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Data" sheetId="1" r:id="rId4"/>
    <sheet state="visible" name="Userpass" sheetId="2" r:id="rId5"/>
    <sheet state="visible" name="CetakUserpass" sheetId="3" r:id="rId6"/>
    <sheet state="visible" name="CetakPenilaian" sheetId="4" r:id="rId7"/>
    <sheet state="hidden" name="Walas" sheetId="5" r:id="rId8"/>
  </sheets>
  <definedNames>
    <definedName hidden="1" localSheetId="0" name="_xlnm._FilterDatabase">MasterData!$A$1:$AA$2387</definedName>
    <definedName hidden="1" localSheetId="1" name="_xlnm._FilterDatabase">Userpass!$A$1:$Q$2388</definedName>
    <definedName hidden="1" localSheetId="4" name="_xlnm._FilterDatabase">Walas!$A$1:$Y$86</definedName>
  </definedNames>
  <calcPr/>
  <extLst>
    <ext uri="GoogleSheetsCustomDataVersion2">
      <go:sheetsCustomData xmlns:go="http://customooxmlschemas.google.com/" r:id="rId9" roundtripDataChecksum="9DI9GRIE0DDPLR7GqVyJB9uGrpFIqo5Sh/nyfRarmhg="/>
    </ext>
  </extLst>
</workbook>
</file>

<file path=xl/sharedStrings.xml><?xml version="1.0" encoding="utf-8"?>
<sst xmlns="http://schemas.openxmlformats.org/spreadsheetml/2006/main" count="37224" uniqueCount="10454">
  <si>
    <t>CEKNIS</t>
  </si>
  <si>
    <t>CEKNISN</t>
  </si>
  <si>
    <t>NIS</t>
  </si>
  <si>
    <t>NISN</t>
  </si>
  <si>
    <t>NAMA</t>
  </si>
  <si>
    <t>JK</t>
  </si>
  <si>
    <t>KELAS</t>
  </si>
  <si>
    <t>ROMBEL</t>
  </si>
  <si>
    <t>TINGKAT</t>
  </si>
  <si>
    <t>TMS</t>
  </si>
  <si>
    <t>MAIL</t>
  </si>
  <si>
    <t>0064692711</t>
  </si>
  <si>
    <t>ABIDA NAFISA SAHDIN</t>
  </si>
  <si>
    <t>P</t>
  </si>
  <si>
    <t>PURNA2025-</t>
  </si>
  <si>
    <t>0057327509</t>
  </si>
  <si>
    <t>ADAM AGUNG SETIAWAN</t>
  </si>
  <si>
    <t>L</t>
  </si>
  <si>
    <t>0053495891</t>
  </si>
  <si>
    <t>AINNUN NASIQA</t>
  </si>
  <si>
    <t>0069643883</t>
  </si>
  <si>
    <t>AINUR ROSIDA</t>
  </si>
  <si>
    <t>0064107208</t>
  </si>
  <si>
    <t>ALSITA NAINA MARDIYAH</t>
  </si>
  <si>
    <t>0069274624</t>
  </si>
  <si>
    <t>ANITA MAUDI PUTRI S.</t>
  </si>
  <si>
    <t>0063450863</t>
  </si>
  <si>
    <t>AULIA RAMADHANI</t>
  </si>
  <si>
    <t>0068735479</t>
  </si>
  <si>
    <t>AXEL RIZKY RAMADHAN SAPUTRI</t>
  </si>
  <si>
    <t>0079578828</t>
  </si>
  <si>
    <t>BALQIS SALSABILLA</t>
  </si>
  <si>
    <t>0074303312</t>
  </si>
  <si>
    <t>CECIL MAULDYA KURNIAWAN</t>
  </si>
  <si>
    <t>0068045902</t>
  </si>
  <si>
    <t>CITRA BELLA</t>
  </si>
  <si>
    <t>0069261445</t>
  </si>
  <si>
    <t>DEVARA ADITYAN LESTARI</t>
  </si>
  <si>
    <t>0079024708</t>
  </si>
  <si>
    <t>DINAR CITRA MUSTIKA</t>
  </si>
  <si>
    <t>0067862798</t>
  </si>
  <si>
    <t>ENELINA RAHMANIA PUTRI</t>
  </si>
  <si>
    <t>0075081167</t>
  </si>
  <si>
    <t>EURIQZA AULIA MARTHA MAHARDIKA</t>
  </si>
  <si>
    <t>0054994698</t>
  </si>
  <si>
    <t>FEDRA MELFIA SARI</t>
  </si>
  <si>
    <t>0063428261</t>
  </si>
  <si>
    <t>FITRIANA PRIMA RIYANTI</t>
  </si>
  <si>
    <t>0067471614</t>
  </si>
  <si>
    <t>INTAN AYU WULANSARI</t>
  </si>
  <si>
    <t>0078572338</t>
  </si>
  <si>
    <t>IRMA AYUNDA NAVISHA</t>
  </si>
  <si>
    <t>3075924156</t>
  </si>
  <si>
    <t>IVONY DWI SASI NOVITA SARI</t>
  </si>
  <si>
    <t>0069979694</t>
  </si>
  <si>
    <t>JAENAL ARIFIN</t>
  </si>
  <si>
    <t>0074604151</t>
  </si>
  <si>
    <t>LIFVIA RIZQIANI</t>
  </si>
  <si>
    <t>0066227531</t>
  </si>
  <si>
    <t>MARIA NURWAHIDAH HARIYANTO</t>
  </si>
  <si>
    <t>0069278795</t>
  </si>
  <si>
    <t>NADINE DEWANTI WULANDARI</t>
  </si>
  <si>
    <t>0063566675</t>
  </si>
  <si>
    <t>NATALIA LILA BAYU WARDANI</t>
  </si>
  <si>
    <t>0074846967</t>
  </si>
  <si>
    <t>NEZZA ALISSYA CAHYA PUTRI</t>
  </si>
  <si>
    <t>0064605507</t>
  </si>
  <si>
    <t>RENATA CANTIKA PUTRI</t>
  </si>
  <si>
    <t>0072537678</t>
  </si>
  <si>
    <t>REVAULINA INTAN FIRDAUSIYAH</t>
  </si>
  <si>
    <t>0067572216</t>
  </si>
  <si>
    <t>REZA RAMADANI HIDAYAT</t>
  </si>
  <si>
    <t>0079894611</t>
  </si>
  <si>
    <t>RINANDA DINARA SAFINA</t>
  </si>
  <si>
    <t>0074774051</t>
  </si>
  <si>
    <t>SABRINA MEISYA DINATA</t>
  </si>
  <si>
    <t>0062437156</t>
  </si>
  <si>
    <t>SALSABILLA MAHARANI</t>
  </si>
  <si>
    <t>0065462092</t>
  </si>
  <si>
    <t>SHAVIRRA SHINTIA ROSSA DELLA</t>
  </si>
  <si>
    <t>0071187132</t>
  </si>
  <si>
    <t>SITI NUR AISYIYAH</t>
  </si>
  <si>
    <t>0074482023</t>
  </si>
  <si>
    <t>TIA PUJI LESTARI</t>
  </si>
  <si>
    <t>0072491375</t>
  </si>
  <si>
    <t>YESI NOVALINDA PUTRI</t>
  </si>
  <si>
    <t>0075976381</t>
  </si>
  <si>
    <t>ALUNG NASWA PRAMELIA</t>
  </si>
  <si>
    <t>0072906242</t>
  </si>
  <si>
    <t>AMELIA ROSEFIANA</t>
  </si>
  <si>
    <t>0078865879</t>
  </si>
  <si>
    <t>ASTY ANGGUN PRATIWI</t>
  </si>
  <si>
    <t>0067969024</t>
  </si>
  <si>
    <t>AZZA SYAFRINIA AULIA PUTRI</t>
  </si>
  <si>
    <t>0077758688</t>
  </si>
  <si>
    <t>BUNGA LAURA ISMAIL</t>
  </si>
  <si>
    <t>0079290797</t>
  </si>
  <si>
    <t>CALINA FRISCHA HARIYADI</t>
  </si>
  <si>
    <t>0071549346</t>
  </si>
  <si>
    <t>DAVINA PATRICIA</t>
  </si>
  <si>
    <t>0066327125</t>
  </si>
  <si>
    <t>DHINI TRI WULAN AUGUSTYA</t>
  </si>
  <si>
    <t>0061089159</t>
  </si>
  <si>
    <t>FAIRA SASKIA BELLINDA</t>
  </si>
  <si>
    <t>0069122376</t>
  </si>
  <si>
    <t>FANINA ZAHIYA PUTRI</t>
  </si>
  <si>
    <t>0079902018</t>
  </si>
  <si>
    <t>FARIDA AYU FEBRIYANTI</t>
  </si>
  <si>
    <t>0066415680</t>
  </si>
  <si>
    <t>FATIN BILQIS SWATIKARA</t>
  </si>
  <si>
    <t>0077842495</t>
  </si>
  <si>
    <t>FIRA EKA NOVENDA</t>
  </si>
  <si>
    <t>0072529112</t>
  </si>
  <si>
    <t>HANANIA KAMALIA MAHFUDOH</t>
  </si>
  <si>
    <t>0078877208</t>
  </si>
  <si>
    <t>ILHAM BANI SAPUTRA</t>
  </si>
  <si>
    <t>0074473355</t>
  </si>
  <si>
    <t>INTI FAULYA KAROMATUL FIRDAUSA</t>
  </si>
  <si>
    <t>0069101005</t>
  </si>
  <si>
    <t>KAYLA SHAKIENA AZAHRA</t>
  </si>
  <si>
    <t>0072504683</t>
  </si>
  <si>
    <t>KHAYLA MARSHA PUTRICIA</t>
  </si>
  <si>
    <t>0069989120</t>
  </si>
  <si>
    <t>LINTANG WAHYU AZIZAH</t>
  </si>
  <si>
    <t>0077892128</t>
  </si>
  <si>
    <t>MAULIDYA VERNANDA</t>
  </si>
  <si>
    <t>0076367086</t>
  </si>
  <si>
    <t>MELISA BELLA APRILIA</t>
  </si>
  <si>
    <t>0074431411</t>
  </si>
  <si>
    <t>MIFTAHUL ULUMAH WAHIDAH</t>
  </si>
  <si>
    <t>0066973796</t>
  </si>
  <si>
    <t>MUHAMMAD ALIF AMIRUL HAKIM</t>
  </si>
  <si>
    <t>0078388213</t>
  </si>
  <si>
    <t>MUHAMMAD IQBAL AKBAR MUKHLASIN</t>
  </si>
  <si>
    <t>0065822481</t>
  </si>
  <si>
    <t>NAJWA AUDIA HABIBATUL AZIZAH</t>
  </si>
  <si>
    <t>0071968831</t>
  </si>
  <si>
    <t>NANDITA AYU ABILZAR</t>
  </si>
  <si>
    <t>0078383004</t>
  </si>
  <si>
    <t>NATASYA SILFAIRA</t>
  </si>
  <si>
    <t>0065595918</t>
  </si>
  <si>
    <t>ODHITA PUTRI</t>
  </si>
  <si>
    <t>0062469576</t>
  </si>
  <si>
    <t>ROY LINGGA LOKA ULUMANSYAH</t>
  </si>
  <si>
    <t>0062765212</t>
  </si>
  <si>
    <t>SALSABILA NUR AFIFAH</t>
  </si>
  <si>
    <t>0075911205</t>
  </si>
  <si>
    <t>SENIA ANGGUN SALMA</t>
  </si>
  <si>
    <t>0063408831</t>
  </si>
  <si>
    <t>SITI MAISYAROH</t>
  </si>
  <si>
    <t>0077008077</t>
  </si>
  <si>
    <t>TALITHA HABIBAH HARDIANSYAH</t>
  </si>
  <si>
    <t>0072535566</t>
  </si>
  <si>
    <t>TASYA MIFTAKHUL JANNAH</t>
  </si>
  <si>
    <t>0069699206</t>
  </si>
  <si>
    <t>WINA AULIA AYU NOVITA JAYA</t>
  </si>
  <si>
    <t>0067046882</t>
  </si>
  <si>
    <t>ZELIKA TRI ADISYA</t>
  </si>
  <si>
    <t>0064309970</t>
  </si>
  <si>
    <t>ADELIA REFINA FAIZ</t>
  </si>
  <si>
    <t>0053468460</t>
  </si>
  <si>
    <t>AKBAR PRATAMA DJAYADIKARTA</t>
  </si>
  <si>
    <t>3147917365</t>
  </si>
  <si>
    <t>ALYA NASWA ZAKIYAH</t>
  </si>
  <si>
    <t>0071438354</t>
  </si>
  <si>
    <t>AMANDA SURYA PUTRI</t>
  </si>
  <si>
    <t>0064546398</t>
  </si>
  <si>
    <t>ANASTASYA AGUSTIN</t>
  </si>
  <si>
    <t>0075944413</t>
  </si>
  <si>
    <t>ANCELLA MEY DIANA PUTRI</t>
  </si>
  <si>
    <t>0079155223</t>
  </si>
  <si>
    <t>APRILLA CARISSA AZZARAH</t>
  </si>
  <si>
    <t>0069628271</t>
  </si>
  <si>
    <t>BIGGI WIRDA AULIA</t>
  </si>
  <si>
    <t>0069585499</t>
  </si>
  <si>
    <t>CECILIA YOSTANATALI</t>
  </si>
  <si>
    <t>0065943034</t>
  </si>
  <si>
    <t>CHRISTA TINATA</t>
  </si>
  <si>
    <t>0063000331</t>
  </si>
  <si>
    <t>DANIYAH DZAKIROH LAILLA</t>
  </si>
  <si>
    <t>0062963675</t>
  </si>
  <si>
    <t>DEVITA ANGGRAENI</t>
  </si>
  <si>
    <t>0072950051</t>
  </si>
  <si>
    <t>DEWI ANISATUL MASRUROH</t>
  </si>
  <si>
    <t>0029005650</t>
  </si>
  <si>
    <t>DWI KUSUMA AYU</t>
  </si>
  <si>
    <t>0063269416</t>
  </si>
  <si>
    <t>GANDHIS RENATA MAY ISWARI</t>
  </si>
  <si>
    <t>0076359827</t>
  </si>
  <si>
    <t>INDI MARETA ARTHAMA</t>
  </si>
  <si>
    <t>0065819405</t>
  </si>
  <si>
    <t>INTAN PUTRI DEVITASARI</t>
  </si>
  <si>
    <t>0071934870</t>
  </si>
  <si>
    <t>KHOIROTUN NISA</t>
  </si>
  <si>
    <t>3073907245</t>
  </si>
  <si>
    <t>LOVELLYA CALISTHA AMARISSA</t>
  </si>
  <si>
    <t>0065885543</t>
  </si>
  <si>
    <t>MARLINA DAVITA EVELYN</t>
  </si>
  <si>
    <t>0077842560</t>
  </si>
  <si>
    <t>MARSHA ALFIRA RAMADHIYA</t>
  </si>
  <si>
    <t>0069981726</t>
  </si>
  <si>
    <t>MAYSA ALIMATUZ ZAHRAH</t>
  </si>
  <si>
    <t>0068290091</t>
  </si>
  <si>
    <t>MEINUR ANGGRAINI</t>
  </si>
  <si>
    <t>0076967050</t>
  </si>
  <si>
    <t>MUSTOFA</t>
  </si>
  <si>
    <t>0073216833</t>
  </si>
  <si>
    <t>NAYLA RAHMA ALYA</t>
  </si>
  <si>
    <t>0076937756</t>
  </si>
  <si>
    <t>RAISA GHANIA FEBRIANTI</t>
  </si>
  <si>
    <t>0073753619</t>
  </si>
  <si>
    <t>RETNO AJENG PURWENI</t>
  </si>
  <si>
    <t>0069038392</t>
  </si>
  <si>
    <t>RIA AYU ANGGRAINI</t>
  </si>
  <si>
    <t>0064600531</t>
  </si>
  <si>
    <t>ROSA ALEXA ADHA</t>
  </si>
  <si>
    <t>0062451623</t>
  </si>
  <si>
    <t>SABRINA PUTRI RAMADHANI</t>
  </si>
  <si>
    <t>0065017213</t>
  </si>
  <si>
    <t>SAFINATUL FITRI OKTAVIA RAHMADANI</t>
  </si>
  <si>
    <t>0074957514</t>
  </si>
  <si>
    <t>SARAH GITA DWI ANDINI</t>
  </si>
  <si>
    <t>0061733596</t>
  </si>
  <si>
    <t>SILVANA SETYAWATI</t>
  </si>
  <si>
    <t>0069669696</t>
  </si>
  <si>
    <t>VONI MARSHELLA YANUAR MAHARANI</t>
  </si>
  <si>
    <t>0072116389</t>
  </si>
  <si>
    <t>ZHARARA AZAHRAWANI</t>
  </si>
  <si>
    <t>0064396111</t>
  </si>
  <si>
    <t>ADINDA YASMIN RAMADANI</t>
  </si>
  <si>
    <t>0061220137</t>
  </si>
  <si>
    <t>ALIYA AGUSTIN NINGTIYAS</t>
  </si>
  <si>
    <t>0061044141</t>
  </si>
  <si>
    <t>AMANDA AYU DITA LESTARI</t>
  </si>
  <si>
    <t>0062572043</t>
  </si>
  <si>
    <t>ANDINI AYU SAFITRI</t>
  </si>
  <si>
    <t>0077568382</t>
  </si>
  <si>
    <t>ANUGRAH DIYAN MAWARNI</t>
  </si>
  <si>
    <t>0078422798</t>
  </si>
  <si>
    <t>AZZAHRA MARCHSYA MAULIDIYA</t>
  </si>
  <si>
    <t>0068572690</t>
  </si>
  <si>
    <t>CHURIEL AIN</t>
  </si>
  <si>
    <t>0067381402</t>
  </si>
  <si>
    <t>CITRA RAMA DANIA</t>
  </si>
  <si>
    <t>0061777206</t>
  </si>
  <si>
    <t>DEWI RACHMASARI</t>
  </si>
  <si>
    <t>0069037910</t>
  </si>
  <si>
    <t>ELLISA AZIZAHTUL IBNI</t>
  </si>
  <si>
    <t>0074345504</t>
  </si>
  <si>
    <t>FEBY DWI NURMASARI</t>
  </si>
  <si>
    <t>0079340349</t>
  </si>
  <si>
    <t>FIFIL NAZILA AULIA</t>
  </si>
  <si>
    <t>0073914887</t>
  </si>
  <si>
    <t>FIRST LOVE RIESTHA ZAHRA AZIZAH</t>
  </si>
  <si>
    <t>0079307157</t>
  </si>
  <si>
    <t>HANUM TIARA SALSABILA</t>
  </si>
  <si>
    <t>0075891925</t>
  </si>
  <si>
    <t>IMELDA BUNGA CITRA SARI</t>
  </si>
  <si>
    <t>0064041595</t>
  </si>
  <si>
    <t>INTAN ALYA SAHRA WIRANI</t>
  </si>
  <si>
    <t>0074188847</t>
  </si>
  <si>
    <t>INTAN EKA LESTARI</t>
  </si>
  <si>
    <t>0068358653</t>
  </si>
  <si>
    <t>KHIKMATUL ULLA</t>
  </si>
  <si>
    <t>0066950890</t>
  </si>
  <si>
    <t>LALUNA CITRA PRAMESTY</t>
  </si>
  <si>
    <t>0073375349</t>
  </si>
  <si>
    <t>LUTFIAH MAHARANI AZZAHRO</t>
  </si>
  <si>
    <t>0077979568</t>
  </si>
  <si>
    <t>MASYAYU HANI ARYANTI</t>
  </si>
  <si>
    <t>0079645449</t>
  </si>
  <si>
    <t>NABILA REVA AMELIA</t>
  </si>
  <si>
    <t>0065157657</t>
  </si>
  <si>
    <t>NAILA AULIA PUTRI WIJAYA</t>
  </si>
  <si>
    <t>0064641889</t>
  </si>
  <si>
    <t>NEIZHA SHABILL PUTRI INDRA</t>
  </si>
  <si>
    <t>0064565504</t>
  </si>
  <si>
    <t>NOVITASARI NUR FADILAH</t>
  </si>
  <si>
    <t>0078807559</t>
  </si>
  <si>
    <t>PINGKAN ASTRI LOLITA</t>
  </si>
  <si>
    <t>0079878764</t>
  </si>
  <si>
    <t>RAHMADHANI RIZKY AMELIA</t>
  </si>
  <si>
    <t>0069406718</t>
  </si>
  <si>
    <t>REGITA DWI MAHARANI</t>
  </si>
  <si>
    <t>0066379076</t>
  </si>
  <si>
    <t>RENATA DIAN NAYLA SAHASIKA</t>
  </si>
  <si>
    <t>0079999491</t>
  </si>
  <si>
    <t>REVALINA MUTIARA PUSPA</t>
  </si>
  <si>
    <t>0077148268</t>
  </si>
  <si>
    <t>RICHA WINDYA RANI</t>
  </si>
  <si>
    <t>0064766783</t>
  </si>
  <si>
    <t>RISKIANTI</t>
  </si>
  <si>
    <t>0075640409</t>
  </si>
  <si>
    <t>SHAFIRA REGITA PUTRI AMANDA</t>
  </si>
  <si>
    <t>0089966623</t>
  </si>
  <si>
    <t>SHIZA NATASHA ALESHA PUTRI</t>
  </si>
  <si>
    <t>0078429533</t>
  </si>
  <si>
    <t>VELLA ROSIANA RELANI PUTRI</t>
  </si>
  <si>
    <t>0062269678</t>
  </si>
  <si>
    <t>ZORDAN WIGOTAMA</t>
  </si>
  <si>
    <t>0078147815</t>
  </si>
  <si>
    <t>AHMAD RAKA PRATAMA</t>
  </si>
  <si>
    <t>0076156565</t>
  </si>
  <si>
    <t>ANDREAN HINOMARU</t>
  </si>
  <si>
    <t>0069935511</t>
  </si>
  <si>
    <t>ANGELINA APRRILIA ABI KRISTIN</t>
  </si>
  <si>
    <t>0077941415</t>
  </si>
  <si>
    <t>ARETA MAHIA ALICE SALSABILA</t>
  </si>
  <si>
    <t>0078066080</t>
  </si>
  <si>
    <t>CANDY EKA MAULANA</t>
  </si>
  <si>
    <t>0075856768</t>
  </si>
  <si>
    <t>CAROLITA CRISTIANCANA</t>
  </si>
  <si>
    <t>0075658421</t>
  </si>
  <si>
    <t>CINTA SAGITA AYU AULIA</t>
  </si>
  <si>
    <t>0069302319</t>
  </si>
  <si>
    <t>CINTA SYIFA IRAWAN</t>
  </si>
  <si>
    <t>0072806927</t>
  </si>
  <si>
    <t>DEVINO ALBINO</t>
  </si>
  <si>
    <t>0063184955</t>
  </si>
  <si>
    <t>DIKA DWI MAY RANGGA</t>
  </si>
  <si>
    <t>0069731440</t>
  </si>
  <si>
    <t>EKA FIRRODTUL MAULIA</t>
  </si>
  <si>
    <t>0065224778</t>
  </si>
  <si>
    <t>FAISAL CHUMAEDI ILYAS</t>
  </si>
  <si>
    <t>0064804848</t>
  </si>
  <si>
    <t>FAJAR BANGKIT SAMBODO</t>
  </si>
  <si>
    <t>0065151260</t>
  </si>
  <si>
    <t>FIORENCIA ANGGUN MAHARANI</t>
  </si>
  <si>
    <t>0075363018</t>
  </si>
  <si>
    <t>GALANG MAULIDIN</t>
  </si>
  <si>
    <t>0078296656</t>
  </si>
  <si>
    <t>HAFIZA FITRA A</t>
  </si>
  <si>
    <t>0062987232</t>
  </si>
  <si>
    <t>HALIMATUS SYA'DIYAH</t>
  </si>
  <si>
    <t>3072836985</t>
  </si>
  <si>
    <t>KEN DAFFADITYA</t>
  </si>
  <si>
    <t>0066203720</t>
  </si>
  <si>
    <t>LINTANG PUTRI AYU WULANDARI</t>
  </si>
  <si>
    <t>0075719749</t>
  </si>
  <si>
    <t>MARGARETHA SARTJE MATAPERE</t>
  </si>
  <si>
    <t>0071486968</t>
  </si>
  <si>
    <t>MEDINA AYU</t>
  </si>
  <si>
    <t>3075544827</t>
  </si>
  <si>
    <t>MOCH RAHMAT HIDAYAT</t>
  </si>
  <si>
    <t>0067825169</t>
  </si>
  <si>
    <t>MOCHAMMAD JAAVER AL GHIFFARI</t>
  </si>
  <si>
    <t>0069319470</t>
  </si>
  <si>
    <t>NAUFAL MUSTHAFA AHMAD</t>
  </si>
  <si>
    <t>0068968828</t>
  </si>
  <si>
    <t>NAURA CHANDA IVANA</t>
  </si>
  <si>
    <t>0079864558</t>
  </si>
  <si>
    <t>NILA RAHMAWATI</t>
  </si>
  <si>
    <t>0077527516</t>
  </si>
  <si>
    <t>OLIVIA AMELINA PUTRI CAHYANI</t>
  </si>
  <si>
    <t>0062454933</t>
  </si>
  <si>
    <t>PUTRI DIA SETYAWAN</t>
  </si>
  <si>
    <t>0054655889</t>
  </si>
  <si>
    <t>RIFKI ANANDA SAPUTRA</t>
  </si>
  <si>
    <t>0066757934</t>
  </si>
  <si>
    <t>ROEBINK SANURIA SANDA</t>
  </si>
  <si>
    <t>3069333347</t>
  </si>
  <si>
    <t>ROMY DIAZ SAPUTRA</t>
  </si>
  <si>
    <t>0075836030</t>
  </si>
  <si>
    <t>ROSSA ZAFIRA AZALYA</t>
  </si>
  <si>
    <t>0079670051</t>
  </si>
  <si>
    <t>SINTA MEYLAWATI</t>
  </si>
  <si>
    <t>0076981667</t>
  </si>
  <si>
    <t>SITI MASRUROH</t>
  </si>
  <si>
    <t>0077473753</t>
  </si>
  <si>
    <t>SYAFITRI SALSABILLA RAMADHIANTY</t>
  </si>
  <si>
    <t>0069771456</t>
  </si>
  <si>
    <t>ZULHAQI FATHUL ABROR</t>
  </si>
  <si>
    <t>0055057030</t>
  </si>
  <si>
    <t>ABBEL SETIYANI</t>
  </si>
  <si>
    <t>0069827012</t>
  </si>
  <si>
    <t>ADITYA TRI DAMARTA</t>
  </si>
  <si>
    <t>0068483073</t>
  </si>
  <si>
    <t>ANDI SETYA KARISMA</t>
  </si>
  <si>
    <t>0066164046</t>
  </si>
  <si>
    <t>ARVIAN AKBAR MAULANA</t>
  </si>
  <si>
    <t>0062891956</t>
  </si>
  <si>
    <t>ARYAHIYYATA ARTAKA</t>
  </si>
  <si>
    <t>0075826443</t>
  </si>
  <si>
    <t>AYU SETYOWATI</t>
  </si>
  <si>
    <t>0061769314</t>
  </si>
  <si>
    <t>CHELSYI KIRENI SUMAMPOUW</t>
  </si>
  <si>
    <t>0075223912</t>
  </si>
  <si>
    <t>DEVA ANDRIAN LESMANA</t>
  </si>
  <si>
    <t>0075597925</t>
  </si>
  <si>
    <t>DWI ANI WAHYU LESTARI</t>
  </si>
  <si>
    <t>0066473803</t>
  </si>
  <si>
    <t>EVANIA JULIA RAMADHANI</t>
  </si>
  <si>
    <t>0064258069</t>
  </si>
  <si>
    <t>FANISSA AZZAHRA SEPTYA FIRNANDA</t>
  </si>
  <si>
    <t>0067347943</t>
  </si>
  <si>
    <t>FATURRACHMAN NUR FAUZANIAR</t>
  </si>
  <si>
    <t>0065591076</t>
  </si>
  <si>
    <t>IBEL PUTRA DITIA</t>
  </si>
  <si>
    <t>0066683331</t>
  </si>
  <si>
    <t>IVAN RIZKY ALDIANSYAH</t>
  </si>
  <si>
    <t>0077132216</t>
  </si>
  <si>
    <t>KENNETH EGBERT ARKANANTA</t>
  </si>
  <si>
    <t>0072605634</t>
  </si>
  <si>
    <t>LUNA MAIA SAYYIDINA SUSFIANA</t>
  </si>
  <si>
    <t>0062909483</t>
  </si>
  <si>
    <t>MAGHFIRA DWI ANGGRAINI</t>
  </si>
  <si>
    <t>0066885703</t>
  </si>
  <si>
    <t>MEYLANY AGUSTINA</t>
  </si>
  <si>
    <t>0075281438</t>
  </si>
  <si>
    <t>MIFTAKUL SHOLIKHAH</t>
  </si>
  <si>
    <t>0074896630</t>
  </si>
  <si>
    <t>MUHAMMAD FARID ARDIANSYAH</t>
  </si>
  <si>
    <t>0078154113</t>
  </si>
  <si>
    <t>MUHAMMAD INSAN KAMIL</t>
  </si>
  <si>
    <t>0079614358</t>
  </si>
  <si>
    <t>MUHAMMAD RIZKY ANDRIAN</t>
  </si>
  <si>
    <t>0063649413</t>
  </si>
  <si>
    <t>MUSTIKA DESY PRASESTI</t>
  </si>
  <si>
    <t>0078751776</t>
  </si>
  <si>
    <t>NADYA MAYADA OCTAVIA</t>
  </si>
  <si>
    <t>0069645169</t>
  </si>
  <si>
    <t>NATHANAEL GALANG OCTAVIANUS</t>
  </si>
  <si>
    <t>0056951174</t>
  </si>
  <si>
    <t>NOR HAMIZA</t>
  </si>
  <si>
    <t>0077880416</t>
  </si>
  <si>
    <t>PRISCILA ENGGILINA</t>
  </si>
  <si>
    <t>0064635767</t>
  </si>
  <si>
    <t>RANI WULANSARI</t>
  </si>
  <si>
    <t>0069756358</t>
  </si>
  <si>
    <t>RATU ARI MULYANE</t>
  </si>
  <si>
    <t>0062513719</t>
  </si>
  <si>
    <t>RAVI ABDULLAH MUZZAKAH</t>
  </si>
  <si>
    <t>0067943812</t>
  </si>
  <si>
    <t>REGITA AZZAHRA CAHYANI</t>
  </si>
  <si>
    <t>0061115344</t>
  </si>
  <si>
    <t>REVALDI PUTRA INDRARYANTO</t>
  </si>
  <si>
    <t>0064947033</t>
  </si>
  <si>
    <t>RIZAL IBRAHIMOVIC</t>
  </si>
  <si>
    <t>0079325017</t>
  </si>
  <si>
    <t>SYELINA MARITZA PUTRI</t>
  </si>
  <si>
    <t>0064738672</t>
  </si>
  <si>
    <t>VERY YOGA PRATAMA</t>
  </si>
  <si>
    <t>0069635367</t>
  </si>
  <si>
    <t>ZAKI SATRIA WIBAWA</t>
  </si>
  <si>
    <t>0074582457</t>
  </si>
  <si>
    <t>ACHA ISMAWARDANI SAPUTRI</t>
  </si>
  <si>
    <t>0065864130</t>
  </si>
  <si>
    <t>ARIF SYAIFUDDIN</t>
  </si>
  <si>
    <t>0066244624</t>
  </si>
  <si>
    <t>ARYA WIJAYA</t>
  </si>
  <si>
    <t>0061978666</t>
  </si>
  <si>
    <t>AYU MAYLANI AZAHRO</t>
  </si>
  <si>
    <t>0074459784</t>
  </si>
  <si>
    <t>CAHYANING SAMROTUL FIKRIYAH</t>
  </si>
  <si>
    <t>0063637961</t>
  </si>
  <si>
    <t>DESHIANA WIJAYANTI MANDASARI</t>
  </si>
  <si>
    <t>0065322309</t>
  </si>
  <si>
    <t>DEVANI CAHYA WARDANIA</t>
  </si>
  <si>
    <t>DWI ANDIKA CAESAR RAMADHANI</t>
  </si>
  <si>
    <t>0077885112</t>
  </si>
  <si>
    <t>DWI FEBRIAN</t>
  </si>
  <si>
    <t>0063291455</t>
  </si>
  <si>
    <t>EXEL BUNGA KHARISMA</t>
  </si>
  <si>
    <t>0078084303</t>
  </si>
  <si>
    <t>FAREL AL JEFADILAH</t>
  </si>
  <si>
    <t>0077170524</t>
  </si>
  <si>
    <t>FORTUNATA PUSPA ADELFYAR</t>
  </si>
  <si>
    <t>0078051875</t>
  </si>
  <si>
    <t>INTAN NURAZIS</t>
  </si>
  <si>
    <t>0073176349</t>
  </si>
  <si>
    <t>JESSICA DWI NASUHA</t>
  </si>
  <si>
    <t>0078316873</t>
  </si>
  <si>
    <t>LITA MANDASARI SAGITA</t>
  </si>
  <si>
    <t>0066082913</t>
  </si>
  <si>
    <t>M. FAISAL ULUMUDDIN</t>
  </si>
  <si>
    <t>0051658816</t>
  </si>
  <si>
    <t>MAISHA AZAHRA</t>
  </si>
  <si>
    <t>0061107250</t>
  </si>
  <si>
    <t>MAVIRA YUSTIKA AZARINIE</t>
  </si>
  <si>
    <t>0078204785</t>
  </si>
  <si>
    <t>MOCHAMMAD ZIDANE FEBRIAN PRATAMA</t>
  </si>
  <si>
    <t>0074265210</t>
  </si>
  <si>
    <t>MUHAMMAD ILYAS JAUHAR</t>
  </si>
  <si>
    <t>0076414281</t>
  </si>
  <si>
    <t>MUHAMMAD IQBAL</t>
  </si>
  <si>
    <t>0076894617</t>
  </si>
  <si>
    <t>MUHAMMAD SHABUR SAVERO GHANIY</t>
  </si>
  <si>
    <t>0063146608</t>
  </si>
  <si>
    <t>NABILA AMANDA PUTRI</t>
  </si>
  <si>
    <t>0063119942</t>
  </si>
  <si>
    <t>NANCA NAZRIEL PRAMANA</t>
  </si>
  <si>
    <t>0076120510</t>
  </si>
  <si>
    <t>NELLA NESIFA AZZA</t>
  </si>
  <si>
    <t>0071736408</t>
  </si>
  <si>
    <t>PANDU SATRIA HUSADA</t>
  </si>
  <si>
    <t>0063819545</t>
  </si>
  <si>
    <t>RAKHA DYNASTI LUBEE</t>
  </si>
  <si>
    <t>0077644867</t>
  </si>
  <si>
    <t>RANY INDAH SAFITRI</t>
  </si>
  <si>
    <t>0069570309</t>
  </si>
  <si>
    <t>RAULENTINA REVA VIOLANDA</t>
  </si>
  <si>
    <t>0064598084</t>
  </si>
  <si>
    <t>RAZQIA AZ ZAHRA WIDHIA PUTRI</t>
  </si>
  <si>
    <t>0054039857</t>
  </si>
  <si>
    <t>RENO AIRLANGGA SATRIO MUKTI</t>
  </si>
  <si>
    <t>0068833863</t>
  </si>
  <si>
    <t>RINA WULANDARI</t>
  </si>
  <si>
    <t>0077695482</t>
  </si>
  <si>
    <t>SYAHLIA RAHMANISA WIDYA SAFIRA</t>
  </si>
  <si>
    <t>0067541718</t>
  </si>
  <si>
    <t>VANDRYA RAMADHANI</t>
  </si>
  <si>
    <t>0076464546</t>
  </si>
  <si>
    <t>YANUAR YOGA PRATAMA</t>
  </si>
  <si>
    <t>0073235185</t>
  </si>
  <si>
    <t>ZAKY SALMAN AL FARIZI</t>
  </si>
  <si>
    <t>0068391519</t>
  </si>
  <si>
    <t>AJENG MAULIDA ANGELIKA</t>
  </si>
  <si>
    <t>0067350585</t>
  </si>
  <si>
    <t>ALBANY ADAM HIDAYAT</t>
  </si>
  <si>
    <t>0072885518</t>
  </si>
  <si>
    <t>ALIVIA DWI ANJANI</t>
  </si>
  <si>
    <t>0058351434</t>
  </si>
  <si>
    <t>ANDRA ARDANA</t>
  </si>
  <si>
    <t>0077836406</t>
  </si>
  <si>
    <t>ARISKA TITIAN ANANZA</t>
  </si>
  <si>
    <t>0056799127</t>
  </si>
  <si>
    <t>ARYA MAULANA SAIFURIZZAL</t>
  </si>
  <si>
    <t>0062639750</t>
  </si>
  <si>
    <t>BUNGA FIENYA ROCHMA</t>
  </si>
  <si>
    <t>0067721534</t>
  </si>
  <si>
    <t>DAFFA RAGIL MAULANA</t>
  </si>
  <si>
    <t>0063127984</t>
  </si>
  <si>
    <t>DEVIN NAUFAL ADZAM PUTRA ARIF</t>
  </si>
  <si>
    <t>0082909396</t>
  </si>
  <si>
    <t>DIMAS SURYA ALAM ALVOKA</t>
  </si>
  <si>
    <t>0065688610</t>
  </si>
  <si>
    <t>FAIZAL AKBAR</t>
  </si>
  <si>
    <t>0062542787</t>
  </si>
  <si>
    <t>FAJAR NUR CAHYA</t>
  </si>
  <si>
    <t>0079883365</t>
  </si>
  <si>
    <t>FEBRIAN NOVA ARIANTO</t>
  </si>
  <si>
    <t>0064294111</t>
  </si>
  <si>
    <t>GHAIDA AZ-ZAHRA</t>
  </si>
  <si>
    <t>0064213307</t>
  </si>
  <si>
    <t>HIQMAL SYAHPUTRA</t>
  </si>
  <si>
    <t>0067229585</t>
  </si>
  <si>
    <t>JAUHARIL ARYA AGATHA</t>
  </si>
  <si>
    <t>0065262685</t>
  </si>
  <si>
    <t>LINTANG SADEWA AJI SAPUTRA</t>
  </si>
  <si>
    <t>0064629476</t>
  </si>
  <si>
    <t>MAULIDIA TRI APRILIA</t>
  </si>
  <si>
    <t>0073471146</t>
  </si>
  <si>
    <t>MOCH.FAZRIL GIBRAN AL FUCHOS</t>
  </si>
  <si>
    <t>0069270313</t>
  </si>
  <si>
    <t>MOCHAMAD INDRA NURWAHID</t>
  </si>
  <si>
    <t>0072413107</t>
  </si>
  <si>
    <t>MOHAMMAD SOHIBI AZAZATI</t>
  </si>
  <si>
    <t>0077227688</t>
  </si>
  <si>
    <t>MUHAMAD YANUAR SATRIAWAN</t>
  </si>
  <si>
    <t>0065075386</t>
  </si>
  <si>
    <t>MUHAMMAD RAFANZHA IDZAL ARIADI</t>
  </si>
  <si>
    <t>0067380751</t>
  </si>
  <si>
    <t>MUHAMMAD ZICKO AIDIL MUKMININ</t>
  </si>
  <si>
    <t>0065032888</t>
  </si>
  <si>
    <t>NADIA PITALOKA</t>
  </si>
  <si>
    <t>0063978534</t>
  </si>
  <si>
    <t>NANDA RAHMA PUTRI SALSABILA</t>
  </si>
  <si>
    <t>0061333731</t>
  </si>
  <si>
    <t>NIKEN KHOIRUNNISA</t>
  </si>
  <si>
    <t>0061387738</t>
  </si>
  <si>
    <t>PUTRI DIAH OKTAVIANA</t>
  </si>
  <si>
    <t>0074904274</t>
  </si>
  <si>
    <t>RAMANDA HANY DEWA ADITYA</t>
  </si>
  <si>
    <t>0062618938</t>
  </si>
  <si>
    <t>RISKA AMILIA FITRIANTI</t>
  </si>
  <si>
    <t>0069857607</t>
  </si>
  <si>
    <t>RIZKY ANIFA ISTIQOMAH</t>
  </si>
  <si>
    <t>0061138773</t>
  </si>
  <si>
    <t>SATRIANI FATIMAH</t>
  </si>
  <si>
    <t>0067288092</t>
  </si>
  <si>
    <t>SONY ADITYA GANGSAR PRATAMA</t>
  </si>
  <si>
    <t>0063563796</t>
  </si>
  <si>
    <t>SYAHRIL NOFTIAN FERDIANSYAH</t>
  </si>
  <si>
    <t>0069617718</t>
  </si>
  <si>
    <t>WAHYUNI INTAN WULANDARI</t>
  </si>
  <si>
    <t>0057063201</t>
  </si>
  <si>
    <t>WOLDEN ANDRIGO RIBUT SUGIARTO</t>
  </si>
  <si>
    <t>0062509062</t>
  </si>
  <si>
    <t>AKBAR DWI FIRMANSYAH</t>
  </si>
  <si>
    <t>0061336073</t>
  </si>
  <si>
    <t>ALFIYAH HANDAYANI</t>
  </si>
  <si>
    <t>0063963280</t>
  </si>
  <si>
    <t>ARIS SETIAWAN BUDI PRASETYO</t>
  </si>
  <si>
    <t>0074472995</t>
  </si>
  <si>
    <t>ARISKI RHINO PRATAMA</t>
  </si>
  <si>
    <t>0062553895</t>
  </si>
  <si>
    <t>ATHALLA REYA RAMADHANI</t>
  </si>
  <si>
    <t>0072824766</t>
  </si>
  <si>
    <t>CAHYANTI WILUJENG</t>
  </si>
  <si>
    <t>0076683864</t>
  </si>
  <si>
    <t>DEVAN DWI MEY ANDIKA</t>
  </si>
  <si>
    <t>0074028409</t>
  </si>
  <si>
    <t>DIEGO MESSI</t>
  </si>
  <si>
    <t>0074675182</t>
  </si>
  <si>
    <t>ELANG NOAH RUH GATI</t>
  </si>
  <si>
    <t>0065484576</t>
  </si>
  <si>
    <t>FAIZATUL SAIMA</t>
  </si>
  <si>
    <t>0076102230</t>
  </si>
  <si>
    <t>FAREL GILANG ARIANDIKA</t>
  </si>
  <si>
    <t>0068550462</t>
  </si>
  <si>
    <t>FINDI AGUSTINI</t>
  </si>
  <si>
    <t>0062080816</t>
  </si>
  <si>
    <t>HELMI NAZRIL SEPTIAN</t>
  </si>
  <si>
    <t>0068165238</t>
  </si>
  <si>
    <t>IQBAL FIRDAUS MAHARDHIKA</t>
  </si>
  <si>
    <t>0136073244</t>
  </si>
  <si>
    <t>JOEYA BAGAS ALFARANDHI</t>
  </si>
  <si>
    <t>0061501182</t>
  </si>
  <si>
    <t>MAHATMA IQBAL NAUFALINO AZ-ZIKR</t>
  </si>
  <si>
    <t>0078805584</t>
  </si>
  <si>
    <t>MAYRINA TYAS ANGGRAINI</t>
  </si>
  <si>
    <t>0133307571</t>
  </si>
  <si>
    <t>MOCH.RIDHO AWALLUDIN FEBRIANSYAH</t>
  </si>
  <si>
    <t>0057590500</t>
  </si>
  <si>
    <t>MOCHAMMAD SHEVA AL KHAUTSAR</t>
  </si>
  <si>
    <t>0061224926</t>
  </si>
  <si>
    <t>MUHAMAD STIVEN KURNIA DWI SAPUTRA</t>
  </si>
  <si>
    <t>0078320719</t>
  </si>
  <si>
    <t>MUHAMMAD FUAD BUDI ABDILLAH</t>
  </si>
  <si>
    <t>0055343627</t>
  </si>
  <si>
    <t>MUHAMMAD RAFLY BUDIONO</t>
  </si>
  <si>
    <t>0071951619</t>
  </si>
  <si>
    <t>NADIA DWI APRILIA</t>
  </si>
  <si>
    <t>0072386533</t>
  </si>
  <si>
    <t>NADYA SALWA PUTRI ANDRIANI</t>
  </si>
  <si>
    <t>0064784562</t>
  </si>
  <si>
    <t>NESSA GITA RAHMAD HAKIM</t>
  </si>
  <si>
    <t>0065739106</t>
  </si>
  <si>
    <t>NOVITA ANGGRAENI</t>
  </si>
  <si>
    <t>0064645821</t>
  </si>
  <si>
    <t>RADITYA FAHRUDIN</t>
  </si>
  <si>
    <t>0041943759</t>
  </si>
  <si>
    <t>RANGGA NICHOLAS PRATAMA</t>
  </si>
  <si>
    <t>0063726824</t>
  </si>
  <si>
    <t>RIZAL NUGROHO ARIFIN</t>
  </si>
  <si>
    <t>0069847027</t>
  </si>
  <si>
    <t>SANIYYA MUTIARA WAHYU RAMADHANI</t>
  </si>
  <si>
    <t>0061568774</t>
  </si>
  <si>
    <t>SERLIA ANGGRAENI</t>
  </si>
  <si>
    <t>0058234665</t>
  </si>
  <si>
    <t>SULISTIO AINUN WAFA</t>
  </si>
  <si>
    <t>0063355586</t>
  </si>
  <si>
    <t>SYANABA NOVA CAHYA ZUANTIKA</t>
  </si>
  <si>
    <t>0061722549</t>
  </si>
  <si>
    <t>WIDO PRAKOSO DWI YULIYANTO</t>
  </si>
  <si>
    <t>0069365566</t>
  </si>
  <si>
    <t>YUDHA MAULANA EFFENDY</t>
  </si>
  <si>
    <t>0069038195</t>
  </si>
  <si>
    <t>ADELIA PUTRI RAMADANI H.P.</t>
  </si>
  <si>
    <t>0068316153</t>
  </si>
  <si>
    <t>ALIFIA AISWARA</t>
  </si>
  <si>
    <t>0067527069</t>
  </si>
  <si>
    <t>ANDINA LAURA CAHYA BULAN FITRIANTI</t>
  </si>
  <si>
    <t>0079632027</t>
  </si>
  <si>
    <t>CHELSEA SLAVINA NOVERITA</t>
  </si>
  <si>
    <t>0061991491</t>
  </si>
  <si>
    <t>CITRA MAULIDIA AGUSTIN</t>
  </si>
  <si>
    <t>0073205045</t>
  </si>
  <si>
    <t>DEVITA RHEA MAHADISCHA</t>
  </si>
  <si>
    <t>0065686434</t>
  </si>
  <si>
    <t>ERLITA ADINDA SARI</t>
  </si>
  <si>
    <t>0061734882</t>
  </si>
  <si>
    <t>IBNATY SALSABILA LIRABBIHA</t>
  </si>
  <si>
    <t>0079056993</t>
  </si>
  <si>
    <t>IRBAH NAFIISAH</t>
  </si>
  <si>
    <t>0066954314</t>
  </si>
  <si>
    <t>ISTIFARUL AINIROHMA</t>
  </si>
  <si>
    <t>0075897948</t>
  </si>
  <si>
    <t>KENES MAULYDIA NUR SUSANTO</t>
  </si>
  <si>
    <t>0067349838</t>
  </si>
  <si>
    <t>KHARIL AINUN NISA NURILA</t>
  </si>
  <si>
    <t>0063749022</t>
  </si>
  <si>
    <t>MUHAMMAD RIZQY PRATAMA</t>
  </si>
  <si>
    <t>0068990979</t>
  </si>
  <si>
    <t>NAYAKA ARETA PUTRA WIDNAR</t>
  </si>
  <si>
    <t>0064810880</t>
  </si>
  <si>
    <t>NAYLA MAYA SELOMITA</t>
  </si>
  <si>
    <t>0077785706</t>
  </si>
  <si>
    <t>NAYLA PUTRI ELISSA RAMADHANI</t>
  </si>
  <si>
    <t>0066598116</t>
  </si>
  <si>
    <t>NUR LAILA</t>
  </si>
  <si>
    <t>0067466344</t>
  </si>
  <si>
    <t>OLIVIA SETYVANI PUTRI ABADI</t>
  </si>
  <si>
    <t>0074429591</t>
  </si>
  <si>
    <t>PRIDANTY KARTIKA NURUL QOMARIAH</t>
  </si>
  <si>
    <t>0071612657</t>
  </si>
  <si>
    <t>PUTRI ALIFYA AFKAR</t>
  </si>
  <si>
    <t>0067839746</t>
  </si>
  <si>
    <t>RIFKA SEPTIA TRIRAHMA</t>
  </si>
  <si>
    <t>0057472410</t>
  </si>
  <si>
    <t>SALSABILA NUR HIDAYATI</t>
  </si>
  <si>
    <t>0072145203</t>
  </si>
  <si>
    <t>SENDY SARASWATI</t>
  </si>
  <si>
    <t>0067983648</t>
  </si>
  <si>
    <t>SHAVIRRA SINTA ROSSA DILLA</t>
  </si>
  <si>
    <t>0075018713</t>
  </si>
  <si>
    <t>SHINDY AURA FERNANDA</t>
  </si>
  <si>
    <t>0069999233</t>
  </si>
  <si>
    <t>VELLINDA AURELLIA PUTRI</t>
  </si>
  <si>
    <t>0068689139</t>
  </si>
  <si>
    <t>VERGA AFRILIA</t>
  </si>
  <si>
    <t>0063276207</t>
  </si>
  <si>
    <t>YENI AGUSTIN</t>
  </si>
  <si>
    <t>0074109491</t>
  </si>
  <si>
    <t>YOGARAKSA DARNA</t>
  </si>
  <si>
    <t>0063631051</t>
  </si>
  <si>
    <t>ZAKIYA</t>
  </si>
  <si>
    <t>0066913613</t>
  </si>
  <si>
    <t>ZASKYA NUR AZIZAH</t>
  </si>
  <si>
    <t>0057683647</t>
  </si>
  <si>
    <t>FERDI SULISTYONO</t>
  </si>
  <si>
    <t>0058564279</t>
  </si>
  <si>
    <t>JAVIER DAFFANA ARRON SIWABESSY</t>
  </si>
  <si>
    <t>0053371553</t>
  </si>
  <si>
    <t>ACHMAD FARHAN FADHILA</t>
  </si>
  <si>
    <t>0064044378</t>
  </si>
  <si>
    <t>ADHITYA DESTA PUTRA PRATAMA</t>
  </si>
  <si>
    <t>0064150254</t>
  </si>
  <si>
    <t>AFAREL NAVIS SEVRANDA</t>
  </si>
  <si>
    <t>0074906117</t>
  </si>
  <si>
    <t>AHMAD RENDI SETIAWAN</t>
  </si>
  <si>
    <t>0063975677</t>
  </si>
  <si>
    <t>ANDIKA SETIA PUTRA</t>
  </si>
  <si>
    <t>0079400447</t>
  </si>
  <si>
    <t>ANGGRA HITO ERWANSYACH</t>
  </si>
  <si>
    <t>0061656394</t>
  </si>
  <si>
    <t>ARIEF HIDAYAT</t>
  </si>
  <si>
    <t>0065760055</t>
  </si>
  <si>
    <t>BHAGASKARA FARRELIO RAMADANI EKA PUTRA</t>
  </si>
  <si>
    <t>0064568928</t>
  </si>
  <si>
    <t>DADIK AKHMAD NAZUHA KHANSA</t>
  </si>
  <si>
    <t>0076727410</t>
  </si>
  <si>
    <t>DAVID PRANATA ADE SAPUTRA</t>
  </si>
  <si>
    <t>0075036522</t>
  </si>
  <si>
    <t>DHAFA AKBAR HENDRIAWAN</t>
  </si>
  <si>
    <t>0063656696</t>
  </si>
  <si>
    <t>DIMAS SETYO PRI HARTANTO</t>
  </si>
  <si>
    <t>0072728956</t>
  </si>
  <si>
    <t>EVAN ANDREW YOGA PRATAMA</t>
  </si>
  <si>
    <t>0069157787</t>
  </si>
  <si>
    <t>HAIKAL KHOIRUMAN ABDILLAH</t>
  </si>
  <si>
    <t>0066874866</t>
  </si>
  <si>
    <t>LANANG SATRIO PAMUNGKAS</t>
  </si>
  <si>
    <t>0014025722</t>
  </si>
  <si>
    <t>MADA TIMOR RAYA</t>
  </si>
  <si>
    <t>0075901628</t>
  </si>
  <si>
    <t>MOCH. GALIH UBAYDILLAH</t>
  </si>
  <si>
    <t>MOCH. RIKO ANDRIANTO</t>
  </si>
  <si>
    <t>0076974955</t>
  </si>
  <si>
    <t>MOCHAMAD FADJRI AGUSTINO</t>
  </si>
  <si>
    <t>0076235030</t>
  </si>
  <si>
    <t>MUHAMAD AF RIZAL</t>
  </si>
  <si>
    <t>0069914287</t>
  </si>
  <si>
    <t>MUHAMAD RAFLI NUR FADILAH</t>
  </si>
  <si>
    <t>0053126521</t>
  </si>
  <si>
    <t>MUHAMMAD KARUNIAWAN</t>
  </si>
  <si>
    <t>0074698176</t>
  </si>
  <si>
    <t>MUHAMMAD RAFLY REYNALDI</t>
  </si>
  <si>
    <t>0072586356</t>
  </si>
  <si>
    <t>NENDRA AKBAR FIRMANSYAH</t>
  </si>
  <si>
    <t>0068283658</t>
  </si>
  <si>
    <t>RAFIF RADITYA FERNANDO</t>
  </si>
  <si>
    <t>0062706443</t>
  </si>
  <si>
    <t>RAHEL DIMAS PRAYOGA</t>
  </si>
  <si>
    <t>0074263156</t>
  </si>
  <si>
    <t>RENDI SATYADIBRATA</t>
  </si>
  <si>
    <t>0075064114</t>
  </si>
  <si>
    <t>RIF'AL BAAQI RIZQI</t>
  </si>
  <si>
    <t>0068910207</t>
  </si>
  <si>
    <t>ROBI TANAMAL</t>
  </si>
  <si>
    <t>0076736472</t>
  </si>
  <si>
    <t>SULTAN FALIH GHOZI</t>
  </si>
  <si>
    <t>0069058532</t>
  </si>
  <si>
    <t>VIVI AGUSTINA</t>
  </si>
  <si>
    <t>0067199409</t>
  </si>
  <si>
    <t>ACHMAT WAHYU ROBBY ISLAMI</t>
  </si>
  <si>
    <t>0061142731</t>
  </si>
  <si>
    <t>ADITYA NUR SALAM</t>
  </si>
  <si>
    <t>0062028318</t>
  </si>
  <si>
    <t>ANDREAS DONI KERONG</t>
  </si>
  <si>
    <t>0068565503</t>
  </si>
  <si>
    <t>ARAFAT SADATH</t>
  </si>
  <si>
    <t>0065231888</t>
  </si>
  <si>
    <t>AZRIL RAEVAN MAHENDRA PUTRA</t>
  </si>
  <si>
    <t>0065762001</t>
  </si>
  <si>
    <t>BIMA ARI RAMADHAN</t>
  </si>
  <si>
    <t>0068601536</t>
  </si>
  <si>
    <t>CANGGIH WIDANTA FASA RAMADANA</t>
  </si>
  <si>
    <t>0051841736</t>
  </si>
  <si>
    <t>DEFI SOPYAN ADIPUTRA</t>
  </si>
  <si>
    <t>0069947868</t>
  </si>
  <si>
    <t>DIMAS ARIMAN PUTRA KRISTIAWAN</t>
  </si>
  <si>
    <t>0067192626</t>
  </si>
  <si>
    <t>DIMAS YOGI ARIL LANZAH</t>
  </si>
  <si>
    <t>0072083222</t>
  </si>
  <si>
    <t>EZRA RESTITUTA</t>
  </si>
  <si>
    <t>0062486292</t>
  </si>
  <si>
    <t>FEMAS ALFI ANDIKA</t>
  </si>
  <si>
    <t>0067411870</t>
  </si>
  <si>
    <t>GILANG HASBY ABDILAH</t>
  </si>
  <si>
    <t>0069453372</t>
  </si>
  <si>
    <t>KEVIN MARIO WIJAYA</t>
  </si>
  <si>
    <t>0073862431</t>
  </si>
  <si>
    <t>MAULADINE YAZID ZIDANE</t>
  </si>
  <si>
    <t>0056696726</t>
  </si>
  <si>
    <t>MOCH. RAFI SABILILLAH</t>
  </si>
  <si>
    <t>0062751244</t>
  </si>
  <si>
    <t>MUHAMAT ARI IVAN</t>
  </si>
  <si>
    <t>0066455714</t>
  </si>
  <si>
    <t>MUHAMMAD BAGUS SETIAWAN</t>
  </si>
  <si>
    <t>0065795890</t>
  </si>
  <si>
    <t>MUHAMMAD FURQON FADHILA</t>
  </si>
  <si>
    <t>0064510072</t>
  </si>
  <si>
    <t>MUHAMMAD LUQMAN HAKIM AL HABIBIE</t>
  </si>
  <si>
    <t>0067465755</t>
  </si>
  <si>
    <t>NICOLA SAPUTRA</t>
  </si>
  <si>
    <t>0072833865</t>
  </si>
  <si>
    <t>RAFLY INDRA FIRMANZA</t>
  </si>
  <si>
    <t>0072001632</t>
  </si>
  <si>
    <t>RAHMAT WAHYUDI</t>
  </si>
  <si>
    <t>0061148544</t>
  </si>
  <si>
    <t>REZA CANDRA ANDIKA</t>
  </si>
  <si>
    <t>0065094036</t>
  </si>
  <si>
    <t>RIFQI EKA MAULANA</t>
  </si>
  <si>
    <t>0078734781</t>
  </si>
  <si>
    <t>SABIL ADI SYATRIA</t>
  </si>
  <si>
    <t>0058313247</t>
  </si>
  <si>
    <t>SYARIF HIDAYATULLAH</t>
  </si>
  <si>
    <t>0078461165</t>
  </si>
  <si>
    <t>YANUAR RISKI MAHARDIKA</t>
  </si>
  <si>
    <t>0063617331</t>
  </si>
  <si>
    <t>BIMO DIAN CAHYO RAMADHANI</t>
  </si>
  <si>
    <t>0079483672</t>
  </si>
  <si>
    <t>BAGAS BUDI ANGGORO</t>
  </si>
  <si>
    <t>0066030389</t>
  </si>
  <si>
    <t>ADAM BUDI SATRIO</t>
  </si>
  <si>
    <t>0057543462</t>
  </si>
  <si>
    <t>ADRIAN FERDIANSYAH</t>
  </si>
  <si>
    <t>0079926018</t>
  </si>
  <si>
    <t>ALVIN SYAHPUTRA</t>
  </si>
  <si>
    <t>0064217852</t>
  </si>
  <si>
    <t>ANGGI PRASETIYO</t>
  </si>
  <si>
    <t>0069080905</t>
  </si>
  <si>
    <t>ARDI IVANTA GALIH PUTRA</t>
  </si>
  <si>
    <t>0065450662</t>
  </si>
  <si>
    <t>AZRIL ROYYAN AL FARADIS</t>
  </si>
  <si>
    <t>0066753742</t>
  </si>
  <si>
    <t>BOBY SATRIO PRATAMA</t>
  </si>
  <si>
    <t>0064874173</t>
  </si>
  <si>
    <t>CEVIN PRATAMA PUTRA</t>
  </si>
  <si>
    <t>0062391183</t>
  </si>
  <si>
    <t>DANIS PUTRA DWI ARDIANSYAH</t>
  </si>
  <si>
    <t>0068051838</t>
  </si>
  <si>
    <t>DENIS PANJI SATRIA</t>
  </si>
  <si>
    <t>0067565641</t>
  </si>
  <si>
    <t>DIMAS RAHMA DANI</t>
  </si>
  <si>
    <t>0065019260</t>
  </si>
  <si>
    <t>EKA FULVIAN CRISPIN</t>
  </si>
  <si>
    <t>0065687115</t>
  </si>
  <si>
    <t>FAHMI PUTRA BAHTIYAR</t>
  </si>
  <si>
    <t>0071746683</t>
  </si>
  <si>
    <t>FIKRI FATHUROHMAN</t>
  </si>
  <si>
    <t>0076983534</t>
  </si>
  <si>
    <t>HABI FEBRIAN MAULANA</t>
  </si>
  <si>
    <t>0076703407</t>
  </si>
  <si>
    <t>KHOYRUNISAM</t>
  </si>
  <si>
    <t>0064468995</t>
  </si>
  <si>
    <t>M. SALMAN ALFARIZI PUTRA</t>
  </si>
  <si>
    <t>0061007500</t>
  </si>
  <si>
    <t>MIFTAH BIMAULIDI ZAIN</t>
  </si>
  <si>
    <t>0065046149</t>
  </si>
  <si>
    <t>MOCHAMAD ARYA PUTRA DAMARDIANSYAH</t>
  </si>
  <si>
    <t>0069306900</t>
  </si>
  <si>
    <t>MUCHLAS</t>
  </si>
  <si>
    <t>0063943873</t>
  </si>
  <si>
    <t>MUHAMAD HIKMAL AKBAR</t>
  </si>
  <si>
    <t>0061057759</t>
  </si>
  <si>
    <t>MUHAMMAD DARMA YUDA ATMAJA</t>
  </si>
  <si>
    <t>0067822749</t>
  </si>
  <si>
    <t>MUHAMMAD IKBAL KHOIRON MUSLIMIN</t>
  </si>
  <si>
    <t>0059033948</t>
  </si>
  <si>
    <t>MUHAMMAD RAFLI RAHARJO</t>
  </si>
  <si>
    <t>0073660568</t>
  </si>
  <si>
    <t>MUHAMMAD RIZKI ADITYA</t>
  </si>
  <si>
    <t>0063844290</t>
  </si>
  <si>
    <t>RAFY RASENDRIYA WIJAYA</t>
  </si>
  <si>
    <t>0066709053</t>
  </si>
  <si>
    <t>RAVANDRA ALBAIHAQI CHESTA</t>
  </si>
  <si>
    <t>0069625573</t>
  </si>
  <si>
    <t>RHOBI HAMSYAH</t>
  </si>
  <si>
    <t>0075169646</t>
  </si>
  <si>
    <t>RIZKI PUTRO WIBOWO</t>
  </si>
  <si>
    <t>0062084121</t>
  </si>
  <si>
    <t>SUGIONO</t>
  </si>
  <si>
    <t>0067969611</t>
  </si>
  <si>
    <t>VERDIAN DHARMA ANDHIKA</t>
  </si>
  <si>
    <t>0069854869</t>
  </si>
  <si>
    <t>WILLDAN DWI SAPUTRA</t>
  </si>
  <si>
    <t>0057148925</t>
  </si>
  <si>
    <t>ABI DWIKI SURYA GANDI</t>
  </si>
  <si>
    <t>0057579863</t>
  </si>
  <si>
    <t>ROBI BACHTIAR</t>
  </si>
  <si>
    <t>0072202204</t>
  </si>
  <si>
    <t>ACHMAD KHASAN</t>
  </si>
  <si>
    <t>0073434662</t>
  </si>
  <si>
    <t>AFRIZAL HISYAM PRATAMA</t>
  </si>
  <si>
    <t>0064059578</t>
  </si>
  <si>
    <t>AGUS RENALDI</t>
  </si>
  <si>
    <t>0074094271</t>
  </si>
  <si>
    <t>ALEXSA GALANG ARELLIO</t>
  </si>
  <si>
    <t>0067046161</t>
  </si>
  <si>
    <t>ALIFIA AGUSTINA</t>
  </si>
  <si>
    <t>0063450506</t>
  </si>
  <si>
    <t>ARIO PRATAMA</t>
  </si>
  <si>
    <t>0078189754</t>
  </si>
  <si>
    <t>BINTANG DWI ALFREDO</t>
  </si>
  <si>
    <t>0057769228</t>
  </si>
  <si>
    <t>DESTA DWI HERMANSYAH</t>
  </si>
  <si>
    <t>0071780557</t>
  </si>
  <si>
    <t>FAIRUZ REZA ILHAM TIYASA</t>
  </si>
  <si>
    <t>0067576019</t>
  </si>
  <si>
    <t>FAUZAN TEGUH IMANSYAH</t>
  </si>
  <si>
    <t>0067173989</t>
  </si>
  <si>
    <t>HAFID SETIAWAN</t>
  </si>
  <si>
    <t>0062958143</t>
  </si>
  <si>
    <t>IKMAL HAFIZH DWI WAHYUDA</t>
  </si>
  <si>
    <t>0076438278</t>
  </si>
  <si>
    <t>KADAKA</t>
  </si>
  <si>
    <t>0056093519</t>
  </si>
  <si>
    <t>LUKAS ADYTYYA SATRIYO UTOMO</t>
  </si>
  <si>
    <t>0054189379</t>
  </si>
  <si>
    <t>MILA FIRNANDA</t>
  </si>
  <si>
    <t>0056990176</t>
  </si>
  <si>
    <t>MUCHAMMAD FAUZI AKBAR</t>
  </si>
  <si>
    <t>0075238657</t>
  </si>
  <si>
    <t>MUHAMMAD ADRIYAN DANU PRAMUDYA.</t>
  </si>
  <si>
    <t>0072197717</t>
  </si>
  <si>
    <t>MUHAMMAD MUSHONNIFUN FAIZ IRSAPUTRA</t>
  </si>
  <si>
    <t>0061489571</t>
  </si>
  <si>
    <t>MUHAMMAD SANDI PRIYANGGA</t>
  </si>
  <si>
    <t>0072327679</t>
  </si>
  <si>
    <t>NABILA RACHMAWATI</t>
  </si>
  <si>
    <t>0062572283</t>
  </si>
  <si>
    <t>PUTRA PAJAR PRASETYO</t>
  </si>
  <si>
    <t>0062241339</t>
  </si>
  <si>
    <t>REFALINO ERLANGGA DWI WIDIANSYAH</t>
  </si>
  <si>
    <t>0138928664</t>
  </si>
  <si>
    <t>VERIO DWI KURNIAWAN</t>
  </si>
  <si>
    <t>0079787930</t>
  </si>
  <si>
    <t>WISNU SETYA WARDHANA</t>
  </si>
  <si>
    <t>0052448133</t>
  </si>
  <si>
    <t>AHMAD TEGUH PRAKOSO</t>
  </si>
  <si>
    <t>0063766237</t>
  </si>
  <si>
    <t>ROYAN FERDIANSYAH SANTOSO</t>
  </si>
  <si>
    <t>0063972512</t>
  </si>
  <si>
    <t>AGIS EKA PRADIPTA HUSADA</t>
  </si>
  <si>
    <t>0058136874</t>
  </si>
  <si>
    <t>AHMAD ANDRIANSAH</t>
  </si>
  <si>
    <t>0063353745</t>
  </si>
  <si>
    <t>ALFREDO DWI SETYAWAN</t>
  </si>
  <si>
    <t>0069712998</t>
  </si>
  <si>
    <t>ANDIRA RESTU CAHYA BINTANG ANUGRAH</t>
  </si>
  <si>
    <t>3064950527</t>
  </si>
  <si>
    <t>ARI DWI PERMANA</t>
  </si>
  <si>
    <t>0076710287</t>
  </si>
  <si>
    <t>ARIL PUTRA PRATAMA</t>
  </si>
  <si>
    <t>0079065662</t>
  </si>
  <si>
    <t>BAYU ANDRA FIRMANSYAH</t>
  </si>
  <si>
    <t>0054861906</t>
  </si>
  <si>
    <t>DAVA YANUAR FIRMANSYAH</t>
  </si>
  <si>
    <t>0065287970</t>
  </si>
  <si>
    <t>DEVAN PUTRA ARIFIANTO</t>
  </si>
  <si>
    <t>0052965996</t>
  </si>
  <si>
    <t>FAHRUL DWI SYAPUTRA</t>
  </si>
  <si>
    <t>0073434661</t>
  </si>
  <si>
    <t>FARID ABIYA PASYA</t>
  </si>
  <si>
    <t>0075926617</t>
  </si>
  <si>
    <t>FEBI ANGGASAPUTRA</t>
  </si>
  <si>
    <t>0058223472</t>
  </si>
  <si>
    <t>IKLAS MURDIANTO</t>
  </si>
  <si>
    <t>0067693297</t>
  </si>
  <si>
    <t>JOHAN WAHYU SAPUTRA</t>
  </si>
  <si>
    <t>0074336337</t>
  </si>
  <si>
    <t>M. RIYAN CATUR ABIMANYU</t>
  </si>
  <si>
    <t>0055375830</t>
  </si>
  <si>
    <t>MOCHAMAD ZAKI WAHIDARIFIN</t>
  </si>
  <si>
    <t>0072027550</t>
  </si>
  <si>
    <t>MAULANA RIFKI HAMDANI YUSUF</t>
  </si>
  <si>
    <t>0079450665</t>
  </si>
  <si>
    <t>MUCHAMMAD GIGIH WIGUNA YUDIANA</t>
  </si>
  <si>
    <t>0068349987</t>
  </si>
  <si>
    <t>MUHAMAD SAIKHUL AMIN</t>
  </si>
  <si>
    <t>3066478030</t>
  </si>
  <si>
    <t>MUHAMMAD DAVID MAULANA</t>
  </si>
  <si>
    <t>0068514228</t>
  </si>
  <si>
    <t>MUHAMMAD RIZQI KURNIAWAN</t>
  </si>
  <si>
    <t>0062903822</t>
  </si>
  <si>
    <t>MUKHAMAD RADIKA REZA ERLANGGA</t>
  </si>
  <si>
    <t>0067864140</t>
  </si>
  <si>
    <t>NADHIFA FRIZA RAHMATIKA</t>
  </si>
  <si>
    <t>0063937454</t>
  </si>
  <si>
    <t>PRIYANTO RAHAYU</t>
  </si>
  <si>
    <t>0061651047</t>
  </si>
  <si>
    <t>PUTRI TAQBIRATUL MAGRIBI</t>
  </si>
  <si>
    <t>0069070079</t>
  </si>
  <si>
    <t>REVA ECHA NEVIRA</t>
  </si>
  <si>
    <t>0061103784</t>
  </si>
  <si>
    <t>RISKI ADI SAPUTRA</t>
  </si>
  <si>
    <t>0068769354</t>
  </si>
  <si>
    <t>SOLEHUDIN SAPUTRA</t>
  </si>
  <si>
    <t>0065131205</t>
  </si>
  <si>
    <t>WISNU RIZAL WOWOR</t>
  </si>
  <si>
    <t>0065652825</t>
  </si>
  <si>
    <t>YOGA DWI NOVIANTO</t>
  </si>
  <si>
    <t>0076950112</t>
  </si>
  <si>
    <t>ANANDA DAFFA RIZKY PRASTINO</t>
  </si>
  <si>
    <t>0069168034</t>
  </si>
  <si>
    <t>ANDRESTA ERSANDY</t>
  </si>
  <si>
    <t>0068510218</t>
  </si>
  <si>
    <t>ARIZONA DWI PRASETYO</t>
  </si>
  <si>
    <t>0061494604</t>
  </si>
  <si>
    <t>ARMANDO CASO GINTING</t>
  </si>
  <si>
    <t>0064973497</t>
  </si>
  <si>
    <t>ASH SHIDDIQ REYNOV DWIPUTRA</t>
  </si>
  <si>
    <t>0063401883</t>
  </si>
  <si>
    <t>BRENDHA ANJAS PAMUNGKAS</t>
  </si>
  <si>
    <t>0079752831</t>
  </si>
  <si>
    <t>BRILLIANT SAPUTRA</t>
  </si>
  <si>
    <t>0068901573</t>
  </si>
  <si>
    <t>DENTA HARVYNDO</t>
  </si>
  <si>
    <t>0061971089</t>
  </si>
  <si>
    <t>DIMAS AGUNG PRASETYO</t>
  </si>
  <si>
    <t>0072480541</t>
  </si>
  <si>
    <t>FAJAR BUYUNG IKHSAN UFIQ</t>
  </si>
  <si>
    <t>0077372015</t>
  </si>
  <si>
    <t>FEBRIAN ABIRIN ARDEVANSYAH</t>
  </si>
  <si>
    <t>0065832988</t>
  </si>
  <si>
    <t>IGE ARDHA DIRGA SETIAWAN</t>
  </si>
  <si>
    <t>0077042570</t>
  </si>
  <si>
    <t>IKHSAN NAUFAL KURNIA RAMADHAN</t>
  </si>
  <si>
    <t>0064609442</t>
  </si>
  <si>
    <t>ISNAINI HIDAYAT PRIBADI</t>
  </si>
  <si>
    <t>0066352929</t>
  </si>
  <si>
    <t>M.FAJRUL FALAH AR-RIZIQ</t>
  </si>
  <si>
    <t>0063330446</t>
  </si>
  <si>
    <t>MANGGUN TOFA</t>
  </si>
  <si>
    <t>0064791459</t>
  </si>
  <si>
    <t>MOCHAMAD AINUR RIDHO</t>
  </si>
  <si>
    <t>0071234983</t>
  </si>
  <si>
    <t>MUHAMAD RENDY YULIANTO</t>
  </si>
  <si>
    <t>0067243899</t>
  </si>
  <si>
    <t>MUHAMMAD FAUZAN MUDZIL</t>
  </si>
  <si>
    <t>0078983868</t>
  </si>
  <si>
    <t>MUHAMMAD RIZQI</t>
  </si>
  <si>
    <t>0076151788</t>
  </si>
  <si>
    <t>MUHAMMAD SAHRUL ALAM</t>
  </si>
  <si>
    <t>0076935591</t>
  </si>
  <si>
    <t>NAUVAL ZIDAN AFKARI</t>
  </si>
  <si>
    <t>0067104179</t>
  </si>
  <si>
    <t>NONI PRIMA ANDIKA</t>
  </si>
  <si>
    <t>0072927067</t>
  </si>
  <si>
    <t>PAUNDRA DEWA SETIAWAN</t>
  </si>
  <si>
    <t>0061966534</t>
  </si>
  <si>
    <t>R.GUNTUR PUTRA PAMUNGKAS</t>
  </si>
  <si>
    <t>0063747123</t>
  </si>
  <si>
    <t>RAGIL BAGUS ARDIANSYAH</t>
  </si>
  <si>
    <t>0078189914</t>
  </si>
  <si>
    <t>RAKA BINTANG PAMUNGKAS</t>
  </si>
  <si>
    <t>0079785762</t>
  </si>
  <si>
    <t>RANGGA DWI JALASENA PRATAMA</t>
  </si>
  <si>
    <t>0079456192</t>
  </si>
  <si>
    <t>SURYA BAGUS ARIFIN</t>
  </si>
  <si>
    <t>0061529948</t>
  </si>
  <si>
    <t>SYA'IFUDIN HUDHA RACHMADANI</t>
  </si>
  <si>
    <t>0071560628</t>
  </si>
  <si>
    <t>VALENTINO ENDRA GUNAWAN</t>
  </si>
  <si>
    <t>0079571555</t>
  </si>
  <si>
    <t>VALENTYNO ELSAN SANTOSO</t>
  </si>
  <si>
    <t>0069405767</t>
  </si>
  <si>
    <t>VICKO MAULANA P.M</t>
  </si>
  <si>
    <t>0073828049</t>
  </si>
  <si>
    <t>WAHYU SANTOSO</t>
  </si>
  <si>
    <t>0069869370</t>
  </si>
  <si>
    <t>YUSUF RAHMATDHANI</t>
  </si>
  <si>
    <t>0077743659</t>
  </si>
  <si>
    <t>ANDREA CHAROLINE MARSHA</t>
  </si>
  <si>
    <t>0075741519</t>
  </si>
  <si>
    <t>AULIA SALSA NABILA</t>
  </si>
  <si>
    <t>0063356043</t>
  </si>
  <si>
    <t>CINDY LARASSATI</t>
  </si>
  <si>
    <t>0065880095</t>
  </si>
  <si>
    <t>DAVID ERIK SAPUTRA</t>
  </si>
  <si>
    <t>0077109329</t>
  </si>
  <si>
    <t>DEWA ADYATMA RAMADHAN CHOIRUL PUTRA</t>
  </si>
  <si>
    <t>0066439996</t>
  </si>
  <si>
    <t>DIESTHA FADHILA</t>
  </si>
  <si>
    <t>0064276273</t>
  </si>
  <si>
    <t>DINASHTY CAHYA FITRAH EDENDY</t>
  </si>
  <si>
    <t>0073733149</t>
  </si>
  <si>
    <t>EVI NUR LAILI</t>
  </si>
  <si>
    <t>0067025176</t>
  </si>
  <si>
    <t>FANDI EKA PRATAMA</t>
  </si>
  <si>
    <t>0055278640</t>
  </si>
  <si>
    <t>FITRIYATUL NURUL KHIKMAH</t>
  </si>
  <si>
    <t>0075091473</t>
  </si>
  <si>
    <t>KELVIN NATHAN A.P</t>
  </si>
  <si>
    <t>0074255856</t>
  </si>
  <si>
    <t>LANANG ABIAN GIVERRO</t>
  </si>
  <si>
    <t>0075847213</t>
  </si>
  <si>
    <t>M FAIZ FARELZA</t>
  </si>
  <si>
    <t>0066263106</t>
  </si>
  <si>
    <t>MEGA CANDRA VINATA</t>
  </si>
  <si>
    <t>0055136046</t>
  </si>
  <si>
    <t>MUHAMAT FAISSAL MAULANA</t>
  </si>
  <si>
    <t>0067573248</t>
  </si>
  <si>
    <t>MUHAMMAD DANIEL FACHREZI</t>
  </si>
  <si>
    <t>0066364409</t>
  </si>
  <si>
    <t>MUHAMMAD NOFAL HIDAYAT</t>
  </si>
  <si>
    <t>0078033357</t>
  </si>
  <si>
    <t>NANDA DWI FEBRI IRWANSYAH</t>
  </si>
  <si>
    <t>0063961799</t>
  </si>
  <si>
    <t>NAYLA NUR AFIFAH</t>
  </si>
  <si>
    <t>0069179443</t>
  </si>
  <si>
    <t>NAZILAH NAINA RACHMAWATI</t>
  </si>
  <si>
    <t>0068521405</t>
  </si>
  <si>
    <t>PUTRA SUDRAJAT</t>
  </si>
  <si>
    <t>0057216476</t>
  </si>
  <si>
    <t>RATU BULAN FELISA</t>
  </si>
  <si>
    <t>0078339289</t>
  </si>
  <si>
    <t>RHEVA GIANT ZAHROTUS SYITA</t>
  </si>
  <si>
    <t>0063448045</t>
  </si>
  <si>
    <t>RIDHO ALFATH NUGRAHA</t>
  </si>
  <si>
    <t>0076371642</t>
  </si>
  <si>
    <t>RIFKI DIDA AFGANI</t>
  </si>
  <si>
    <t>0076868311</t>
  </si>
  <si>
    <t>RIMO PUTRA MAISAL</t>
  </si>
  <si>
    <t>0068956325</t>
  </si>
  <si>
    <t>RINDA MAHADEWI</t>
  </si>
  <si>
    <t>0073561298</t>
  </si>
  <si>
    <t>SAFRILIA NUR HIDAYAH</t>
  </si>
  <si>
    <t>3076452808</t>
  </si>
  <si>
    <t>SILVIA NISA AULIA</t>
  </si>
  <si>
    <t>0075707340</t>
  </si>
  <si>
    <t>VANESA MAQVIROTUL NIKMAH</t>
  </si>
  <si>
    <t>0077862515</t>
  </si>
  <si>
    <t>WAYER RAGA PRAMONO</t>
  </si>
  <si>
    <t>0062793097</t>
  </si>
  <si>
    <t>WIJAYA ADAM SETIAWAN</t>
  </si>
  <si>
    <t>0072257421</t>
  </si>
  <si>
    <t>YASMIN SALSABILA</t>
  </si>
  <si>
    <t>0133526687</t>
  </si>
  <si>
    <t>ZAHRA WAHYU ANANTA</t>
  </si>
  <si>
    <t>0077773751</t>
  </si>
  <si>
    <t>ZAKI ARYANTA</t>
  </si>
  <si>
    <t>0083714798</t>
  </si>
  <si>
    <t>AHMAD SIFAUL QOLBI</t>
  </si>
  <si>
    <t>DROP</t>
  </si>
  <si>
    <t>0077944026</t>
  </si>
  <si>
    <t>AKBAR ARFIYAN AKHMAD</t>
  </si>
  <si>
    <t>0072615517</t>
  </si>
  <si>
    <t>ARFI ARDIANSYAH</t>
  </si>
  <si>
    <t>0067105649</t>
  </si>
  <si>
    <t>BUNGA MEGA CITRA SARI</t>
  </si>
  <si>
    <t>0075980857</t>
  </si>
  <si>
    <t>DENDA WIGUNA JAYA DIKARTA</t>
  </si>
  <si>
    <t>0085200236</t>
  </si>
  <si>
    <t>DINA PUTRI RAMADHANI</t>
  </si>
  <si>
    <t>0085878719</t>
  </si>
  <si>
    <t>DINAR MAULITA</t>
  </si>
  <si>
    <t>0074377224</t>
  </si>
  <si>
    <t>DIVA PUTRI ANANTA</t>
  </si>
  <si>
    <t>0095067721</t>
  </si>
  <si>
    <t>DOMMINIQUE BRENDA THEOPHANIA SANTOSA</t>
  </si>
  <si>
    <t>0089142622</t>
  </si>
  <si>
    <t>HANIF RASHIN MARFADI</t>
  </si>
  <si>
    <t>0093377553</t>
  </si>
  <si>
    <t>HUZEIN AMILUHUR</t>
  </si>
  <si>
    <t>MARYAM ALHAIFA</t>
  </si>
  <si>
    <t>0086933008</t>
  </si>
  <si>
    <t>MAURA LUVIA REVALINA</t>
  </si>
  <si>
    <t>0066829367</t>
  </si>
  <si>
    <t>MOCHAMMAD INDRA</t>
  </si>
  <si>
    <t>0085304064</t>
  </si>
  <si>
    <t>MOH ANDHIKA NURHIDAYAH</t>
  </si>
  <si>
    <t>0071314193</t>
  </si>
  <si>
    <t>MUHAMMAD ALFA RIZKY ROMADHON</t>
  </si>
  <si>
    <t>0064850380</t>
  </si>
  <si>
    <t>MUHAMMAD PRADITYO PUTRA</t>
  </si>
  <si>
    <t>0079605954</t>
  </si>
  <si>
    <t>NIZAR FAIRUS MADA</t>
  </si>
  <si>
    <t>0093036834</t>
  </si>
  <si>
    <t>RENDY DWI ADITYA</t>
  </si>
  <si>
    <t>0098122282</t>
  </si>
  <si>
    <t>RIZKY FAJAR PRASETYO</t>
  </si>
  <si>
    <t>0087390112</t>
  </si>
  <si>
    <t>TANTIKA APRILIA</t>
  </si>
  <si>
    <t>3081520610</t>
  </si>
  <si>
    <t>VIRA ADHA DETALYA</t>
  </si>
  <si>
    <t>0088457313</t>
  </si>
  <si>
    <t>ZAHRONI PUTRA WAHYUDI</t>
  </si>
  <si>
    <t>0098760244</t>
  </si>
  <si>
    <t>ACHMAD FAIRUZ ABDIANSYAH</t>
  </si>
  <si>
    <t>X</t>
  </si>
  <si>
    <t>akn20259253.siswa@smkn12malang.sch.id</t>
  </si>
  <si>
    <t>0091081112</t>
  </si>
  <si>
    <t>ADINDA NOVITA SARI</t>
  </si>
  <si>
    <t>akn20259263.siswa@smkn12malang.sch.id</t>
  </si>
  <si>
    <t>0096016691</t>
  </si>
  <si>
    <t>AGNES OKTAVIA META</t>
  </si>
  <si>
    <t>akn20259271.siswa@smkn12malang.sch.id</t>
  </si>
  <si>
    <t>0094694798</t>
  </si>
  <si>
    <t>AISYA DEWI AMANDA</t>
  </si>
  <si>
    <t>akn20259289.siswa@smkn12malang.sch.id</t>
  </si>
  <si>
    <t>0109665411</t>
  </si>
  <si>
    <t>ALYA NAJWA HAMIDAH</t>
  </si>
  <si>
    <t>akn20259314.siswa@smkn12malang.sch.id</t>
  </si>
  <si>
    <t>0109368200</t>
  </si>
  <si>
    <t>ANDRA BIMA YUDHA</t>
  </si>
  <si>
    <t>akn20259331.siswa@smkn12malang.sch.id</t>
  </si>
  <si>
    <t>0104535697</t>
  </si>
  <si>
    <t>ARINA MAULIDINA</t>
  </si>
  <si>
    <t>akn20259342.siswa@smkn12malang.sch.id</t>
  </si>
  <si>
    <t>0101657626</t>
  </si>
  <si>
    <t>AURA ALIFIA</t>
  </si>
  <si>
    <t>akn20259357.siswa@smkn12malang.sch.id</t>
  </si>
  <si>
    <t>0108917380</t>
  </si>
  <si>
    <t>CALYSTA ALSYADILA PUTRI</t>
  </si>
  <si>
    <t>akn20259382.siswa@smkn12malang.sch.id</t>
  </si>
  <si>
    <t>0093060657</t>
  </si>
  <si>
    <t>CINTA GLADYS ANINDYA</t>
  </si>
  <si>
    <t>akn20259394.siswa@smkn12malang.sch.id</t>
  </si>
  <si>
    <t>0097464384</t>
  </si>
  <si>
    <t>DEVI RISQA LESTARI</t>
  </si>
  <si>
    <t>akn20259407.siswa@smkn12malang.sch.id</t>
  </si>
  <si>
    <t>0106263222</t>
  </si>
  <si>
    <t>DHINIE ARMANITA PUTRI AULYA</t>
  </si>
  <si>
    <t>akn20259414.siswa@smkn12malang.sch.id</t>
  </si>
  <si>
    <t>0093017613</t>
  </si>
  <si>
    <t>DIVA MUKHTALIFANIS SAKINAH</t>
  </si>
  <si>
    <t>akn20259426.siswa@smkn12malang.sch.id</t>
  </si>
  <si>
    <t>0108738698</t>
  </si>
  <si>
    <t>ELVARETTA ANINDYA FAJRI P</t>
  </si>
  <si>
    <t>akn20259435.siswa@smkn12malang.sch.id</t>
  </si>
  <si>
    <t>3102997898</t>
  </si>
  <si>
    <t>FARAH PUTRI AMELIA</t>
  </si>
  <si>
    <t>akn20259451.siswa@smkn12malang.sch.id</t>
  </si>
  <si>
    <t>0106741069</t>
  </si>
  <si>
    <t>FIDELA ALIFIA WIDIANA</t>
  </si>
  <si>
    <t>akn20259463.siswa@smkn12malang.sch.id</t>
  </si>
  <si>
    <t>3096417499</t>
  </si>
  <si>
    <t>HUSNA AHADHA SARI</t>
  </si>
  <si>
    <t>akn20259488.siswa@smkn12malang.sch.id</t>
  </si>
  <si>
    <t>0102432344</t>
  </si>
  <si>
    <t>KALEA PUTRI DEWANTORO</t>
  </si>
  <si>
    <t>akn20259515.siswa@smkn12malang.sch.id</t>
  </si>
  <si>
    <t>0096148794</t>
  </si>
  <si>
    <t>akn20259527.siswa@smkn12malang.sch.id</t>
  </si>
  <si>
    <t>0105489913</t>
  </si>
  <si>
    <t>KIKY ELVARISMA GANDINI</t>
  </si>
  <si>
    <t>akn20259531.siswa@smkn12malang.sch.id</t>
  </si>
  <si>
    <t>0096165527</t>
  </si>
  <si>
    <t>LOVELY NAOMI NOVITASARI BORU SITORUS</t>
  </si>
  <si>
    <t>akn20259539.siswa@smkn12malang.sch.id</t>
  </si>
  <si>
    <t>3098510864</t>
  </si>
  <si>
    <t>METTA MUSTIKA RAHMA</t>
  </si>
  <si>
    <t>akn20259555.siswa@smkn12malang.sch.id</t>
  </si>
  <si>
    <t>0108402682</t>
  </si>
  <si>
    <t>MUHAMMAD AZZAM ADYATMA</t>
  </si>
  <si>
    <t>akn20259617.siswa@smkn12malang.sch.id</t>
  </si>
  <si>
    <t>0101354557</t>
  </si>
  <si>
    <t>MUTIARA WULAN MAULID</t>
  </si>
  <si>
    <t>akn20259647.siswa@smkn12malang.sch.id</t>
  </si>
  <si>
    <t>0107981851</t>
  </si>
  <si>
    <t>NAKEISYA PUTRI FAUZAN</t>
  </si>
  <si>
    <t>akn20259658.siswa@smkn12malang.sch.id</t>
  </si>
  <si>
    <t>0096288536</t>
  </si>
  <si>
    <t>OKTAVIA AMANDA</t>
  </si>
  <si>
    <t>akn20259680.siswa@smkn12malang.sch.id</t>
  </si>
  <si>
    <t>0108747737</t>
  </si>
  <si>
    <t>RAGIL FARAH MAULIDIA</t>
  </si>
  <si>
    <t>akn20259702.siswa@smkn12malang.sch.id</t>
  </si>
  <si>
    <t>0094590203</t>
  </si>
  <si>
    <t>REHAN ASHARI</t>
  </si>
  <si>
    <t>akn20259719.siswa@smkn12malang.sch.id</t>
  </si>
  <si>
    <t>0103883459</t>
  </si>
  <si>
    <t>SALMA FADILAH SUPRAPTO</t>
  </si>
  <si>
    <t>akn20259755.siswa@smkn12malang.sch.id</t>
  </si>
  <si>
    <t>0091517796</t>
  </si>
  <si>
    <t>SARI ANASYA</t>
  </si>
  <si>
    <t>akn20259762.siswa@smkn12malang.sch.id</t>
  </si>
  <si>
    <t>3109356666</t>
  </si>
  <si>
    <t>SAVIRA WAHYU MAULIDIA</t>
  </si>
  <si>
    <t>akn20259770.siswa@smkn12malang.sch.id</t>
  </si>
  <si>
    <t>0101653067</t>
  </si>
  <si>
    <t>SHERA HALUCIA</t>
  </si>
  <si>
    <t>akn20259781.siswa@smkn12malang.sch.id</t>
  </si>
  <si>
    <t>0096669493</t>
  </si>
  <si>
    <t>SITI ANISA</t>
  </si>
  <si>
    <t>akn20259794.siswa@smkn12malang.sch.id</t>
  </si>
  <si>
    <t>0098042754</t>
  </si>
  <si>
    <t>SYAHRANI LAILATUL MAGHFIROH</t>
  </si>
  <si>
    <t>akn20259800.siswa@smkn12malang.sch.id</t>
  </si>
  <si>
    <t>0104296272</t>
  </si>
  <si>
    <t>VANIA AUBERTA MULYADI</t>
  </si>
  <si>
    <t>akn20259815.siswa@smkn12malang.sch.id</t>
  </si>
  <si>
    <t>0094182991</t>
  </si>
  <si>
    <t>ZAHROTUL AZIZAH</t>
  </si>
  <si>
    <t>akn20259839.siswa@smkn12malang.sch.id</t>
  </si>
  <si>
    <t>0097915762</t>
  </si>
  <si>
    <t>ABRAHAM LEWOTOBY</t>
  </si>
  <si>
    <t>akn20259249.siswa@smkn12malang.sch.id</t>
  </si>
  <si>
    <t>0093940780</t>
  </si>
  <si>
    <t>ADINDA PUTRI NAZWA</t>
  </si>
  <si>
    <t>akn20259264.siswa@smkn12malang.sch.id</t>
  </si>
  <si>
    <t>0103918653</t>
  </si>
  <si>
    <t>AHMAD IRVAN FEBRIAN</t>
  </si>
  <si>
    <t>akn20259281.siswa@smkn12malang.sch.id</t>
  </si>
  <si>
    <t>0107895284</t>
  </si>
  <si>
    <t>AISYAH DAVINA ADYA MAHARANI</t>
  </si>
  <si>
    <t>akn20259290.siswa@smkn12malang.sch.id</t>
  </si>
  <si>
    <t>0099241382</t>
  </si>
  <si>
    <t>AMELIA ANDHITA DWI ANANDA</t>
  </si>
  <si>
    <t>akn20259315.siswa@smkn12malang.sch.id</t>
  </si>
  <si>
    <t>0107464179</t>
  </si>
  <si>
    <t>ANDITY HAFSHAH KEIKO FEODORA</t>
  </si>
  <si>
    <t>akn20259330.siswa@smkn12malang.sch.id</t>
  </si>
  <si>
    <t>0107310757</t>
  </si>
  <si>
    <t>ARY SISMA ANANDA</t>
  </si>
  <si>
    <t>akn20259346.siswa@smkn12malang.sch.id</t>
  </si>
  <si>
    <t>0105776252</t>
  </si>
  <si>
    <t>AURA BILQIS SALVA ZAHWA AQILA</t>
  </si>
  <si>
    <t>akn20259358.siswa@smkn12malang.sch.id</t>
  </si>
  <si>
    <t>0094081938</t>
  </si>
  <si>
    <t>CARISSA MARTHA STEVANI</t>
  </si>
  <si>
    <t>akn20259384.siswa@smkn12malang.sch.id</t>
  </si>
  <si>
    <t>0101943256</t>
  </si>
  <si>
    <t>DANETHA AZMY</t>
  </si>
  <si>
    <t>akn20259402.siswa@smkn12malang.sch.id</t>
  </si>
  <si>
    <t>3092730819</t>
  </si>
  <si>
    <t>DEVINA MEILLYA ANGGI SAPUTRI</t>
  </si>
  <si>
    <t>akn20259410.siswa@smkn12malang.sch.id</t>
  </si>
  <si>
    <t>0096579238</t>
  </si>
  <si>
    <t>DIA AYU ANGRAENI</t>
  </si>
  <si>
    <t>akn20259416.siswa@smkn12malang.sch.id</t>
  </si>
  <si>
    <t>0094979597</t>
  </si>
  <si>
    <t>EFFI RISKIYA WARDANA</t>
  </si>
  <si>
    <t>akn20259430.siswa@smkn12malang.sch.id</t>
  </si>
  <si>
    <t>3101497647</t>
  </si>
  <si>
    <t>EMYL SANDI APRILIA</t>
  </si>
  <si>
    <t>akn20259436.siswa@smkn12malang.sch.id</t>
  </si>
  <si>
    <t>0105322925</t>
  </si>
  <si>
    <t>FATIN FATIHAH</t>
  </si>
  <si>
    <t>akn20259457.siswa@smkn12malang.sch.id</t>
  </si>
  <si>
    <t>3093942668</t>
  </si>
  <si>
    <t>GLADYS EKA NURAHAYU</t>
  </si>
  <si>
    <t>akn20259476.siswa@smkn12malang.sch.id</t>
  </si>
  <si>
    <t>0108110195</t>
  </si>
  <si>
    <t>INDRI PUTRI ARIANI</t>
  </si>
  <si>
    <t>akn20259496.siswa@smkn12malang.sch.id</t>
  </si>
  <si>
    <t>0108367914</t>
  </si>
  <si>
    <t>KARIN ANGELITA</t>
  </si>
  <si>
    <t>akn20259517.siswa@smkn12malang.sch.id</t>
  </si>
  <si>
    <t>3098885183</t>
  </si>
  <si>
    <t>KHOLIFATUL IFTIYA</t>
  </si>
  <si>
    <t>akn20259528.siswa@smkn12malang.sch.id</t>
  </si>
  <si>
    <t>0099802401</t>
  </si>
  <si>
    <t>LELY NAJWA SYAMAYNDA</t>
  </si>
  <si>
    <t>akn20259533.siswa@smkn12malang.sch.id</t>
  </si>
  <si>
    <t>0095920290</t>
  </si>
  <si>
    <t>MADINA ARIYANTI SAPUTRI</t>
  </si>
  <si>
    <t>akn20259546.siswa@smkn12malang.sch.id</t>
  </si>
  <si>
    <t>3103529027</t>
  </si>
  <si>
    <t>MIFTAKHUL ZASKIA NURUL AZIZAH</t>
  </si>
  <si>
    <t>akn20259558.siswa@smkn12malang.sch.id</t>
  </si>
  <si>
    <t>0104571954</t>
  </si>
  <si>
    <t>MUHAMMAD RAIHAN SYAHPUTRA</t>
  </si>
  <si>
    <t>akn20259632.siswa@smkn12malang.sch.id</t>
  </si>
  <si>
    <t>0095214615</t>
  </si>
  <si>
    <t>NABILA NUR ANDINI</t>
  </si>
  <si>
    <t>akn20259648.siswa@smkn12malang.sch.id</t>
  </si>
  <si>
    <t>0106754763</t>
  </si>
  <si>
    <t>NAURAH PUTRI MEILANI</t>
  </si>
  <si>
    <t>akn20259665.siswa@smkn12malang.sch.id</t>
  </si>
  <si>
    <t>0092048974</t>
  </si>
  <si>
    <t>PRINCES NATALY LANAHAN SOLIPADAK</t>
  </si>
  <si>
    <t>akn20259684.siswa@smkn12malang.sch.id</t>
  </si>
  <si>
    <t>0093760385</t>
  </si>
  <si>
    <t>RAMA DYAN MAULANA</t>
  </si>
  <si>
    <t>akn20259707.siswa@smkn12malang.sch.id</t>
  </si>
  <si>
    <t>0104347109</t>
  </si>
  <si>
    <t>RICHA FILZA YULIAWATI</t>
  </si>
  <si>
    <t>akn20259731.siswa@smkn12malang.sch.id</t>
  </si>
  <si>
    <t>0101570324</t>
  </si>
  <si>
    <t>SALMA JIHAN FADHILAH</t>
  </si>
  <si>
    <t>akn20259756.siswa@smkn12malang.sch.id</t>
  </si>
  <si>
    <t>3090943972</t>
  </si>
  <si>
    <t>SASA ANIS SAPUTRI</t>
  </si>
  <si>
    <t>akn20259763.siswa@smkn12malang.sch.id</t>
  </si>
  <si>
    <t>0101600639</t>
  </si>
  <si>
    <t>SEPTRIA NUR AZIZAH</t>
  </si>
  <si>
    <t>akn20259775.siswa@smkn12malang.sch.id</t>
  </si>
  <si>
    <t>0097484037</t>
  </si>
  <si>
    <t>SHERAVINA SANIA PUTRI</t>
  </si>
  <si>
    <t>akn20259782.siswa@smkn12malang.sch.id</t>
  </si>
  <si>
    <t>0089825592</t>
  </si>
  <si>
    <t>SITI CHOLIFATUL CHASANAH</t>
  </si>
  <si>
    <t>akn20259795.siswa@smkn12malang.sch.id</t>
  </si>
  <si>
    <t>0096875564</t>
  </si>
  <si>
    <t>TITI NAYLA AURELIYA PUTRI</t>
  </si>
  <si>
    <t>akn20259809.siswa@smkn12malang.sch.id</t>
  </si>
  <si>
    <t>0097175645</t>
  </si>
  <si>
    <t>VIRRA AYUNDA OKTAVIA</t>
  </si>
  <si>
    <t>akn20259819.siswa@smkn12malang.sch.id</t>
  </si>
  <si>
    <t>0106423884</t>
  </si>
  <si>
    <t>ZAINAB</t>
  </si>
  <si>
    <t>akn20259840.siswa@smkn12malang.sch.id</t>
  </si>
  <si>
    <t>0098174661</t>
  </si>
  <si>
    <t>ACHA MAGDA ADELIA</t>
  </si>
  <si>
    <t>akn20259250.siswa@smkn12malang.sch.id</t>
  </si>
  <si>
    <t>0093027054</t>
  </si>
  <si>
    <t>ADZRA AQILA HAFIZHAH</t>
  </si>
  <si>
    <t>akn20259266.siswa@smkn12malang.sch.id</t>
  </si>
  <si>
    <t>0094158077</t>
  </si>
  <si>
    <t>AINIYAH FAIDAH AZMI</t>
  </si>
  <si>
    <t>akn20259286.siswa@smkn12malang.sch.id</t>
  </si>
  <si>
    <t>0097399810</t>
  </si>
  <si>
    <t>AISYAH MULYA RAHMAWATI</t>
  </si>
  <si>
    <t>akn20259291.siswa@smkn12malang.sch.id</t>
  </si>
  <si>
    <t>0093379079</t>
  </si>
  <si>
    <t>ANDI BAGAS KUSUMO</t>
  </si>
  <si>
    <t>akn20259322.siswa@smkn12malang.sch.id</t>
  </si>
  <si>
    <t>0092958235</t>
  </si>
  <si>
    <t>ANZILINA RAHMA</t>
  </si>
  <si>
    <t>akn20259335.siswa@smkn12malang.sch.id</t>
  </si>
  <si>
    <t>0107175887</t>
  </si>
  <si>
    <t>ATHAYA FEBRIA BALQIES</t>
  </si>
  <si>
    <t>akn20259351.siswa@smkn12malang.sch.id</t>
  </si>
  <si>
    <t>0109133463</t>
  </si>
  <si>
    <t>AZIFAH NAJWA YOANI PUTRI</t>
  </si>
  <si>
    <t>akn20259368.siswa@smkn12malang.sch.id</t>
  </si>
  <si>
    <t>0103186828</t>
  </si>
  <si>
    <t>CHAILA GANISHATIKA AURELIA</t>
  </si>
  <si>
    <t>akn20259387.siswa@smkn12malang.sch.id</t>
  </si>
  <si>
    <t>0095413485</t>
  </si>
  <si>
    <t>DELLA MUTIARA CALYSTA</t>
  </si>
  <si>
    <t>akn20259405.siswa@smkn12malang.sch.id</t>
  </si>
  <si>
    <t>3090700418</t>
  </si>
  <si>
    <t>DEWI MARYAM</t>
  </si>
  <si>
    <t>akn20259412.siswa@smkn12malang.sch.id</t>
  </si>
  <si>
    <t>0093145163</t>
  </si>
  <si>
    <t>DIMAS FERNANDO</t>
  </si>
  <si>
    <t>akn20259419.siswa@smkn12malang.sch.id</t>
  </si>
  <si>
    <t>0083300569</t>
  </si>
  <si>
    <t>ELLOK NATHANIA NURAINI</t>
  </si>
  <si>
    <t>akn20259433.siswa@smkn12malang.sch.id</t>
  </si>
  <si>
    <t>0094162561</t>
  </si>
  <si>
    <t>ERVA AMIRAH FAWAZRIZKY</t>
  </si>
  <si>
    <t>akn20259437.siswa@smkn12malang.sch.id</t>
  </si>
  <si>
    <t>0091850313</t>
  </si>
  <si>
    <t>FELDA ELVINA FAUZIAH</t>
  </si>
  <si>
    <t>akn20259459.siswa@smkn12malang.sch.id</t>
  </si>
  <si>
    <t>0098059772</t>
  </si>
  <si>
    <t>GLORIA STEFANI CAMELIA CRISTINE</t>
  </si>
  <si>
    <t>akn20259477.siswa@smkn12malang.sch.id</t>
  </si>
  <si>
    <t>0105271145</t>
  </si>
  <si>
    <t>IZZATI ZAKIA KHOIRUNNISA</t>
  </si>
  <si>
    <t>akn20259503.siswa@smkn12malang.sch.id</t>
  </si>
  <si>
    <t>0104418199</t>
  </si>
  <si>
    <t>KAYLA SABRINA NOVATUNNIZA</t>
  </si>
  <si>
    <t>akn20259518.siswa@smkn12malang.sch.id</t>
  </si>
  <si>
    <t>0098104838</t>
  </si>
  <si>
    <t>KHUROTUL AINI</t>
  </si>
  <si>
    <t>akn20259529.siswa@smkn12malang.sch.id</t>
  </si>
  <si>
    <t>0101337616</t>
  </si>
  <si>
    <t>LEMBAYUNG PRATIWI PUTRI E R</t>
  </si>
  <si>
    <t>akn20259534.siswa@smkn12malang.sch.id</t>
  </si>
  <si>
    <t>0104411044</t>
  </si>
  <si>
    <t>MAULIDIA INDASARI</t>
  </si>
  <si>
    <t>akn20259551.siswa@smkn12malang.sch.id</t>
  </si>
  <si>
    <t>0096792483</t>
  </si>
  <si>
    <t>MIRANDA FELLYCIA PUTRI</t>
  </si>
  <si>
    <t>akn20259562.siswa@smkn12malang.sch.id</t>
  </si>
  <si>
    <t>0109778423</t>
  </si>
  <si>
    <t>MUTIARA BENING SALSABILA</t>
  </si>
  <si>
    <t>akn20259644.siswa@smkn12malang.sch.id</t>
  </si>
  <si>
    <t>0102707543</t>
  </si>
  <si>
    <t>NABILA PUTRI RAHMAWATI</t>
  </si>
  <si>
    <t>akn20259649.siswa@smkn12malang.sch.id</t>
  </si>
  <si>
    <t>0094516367</t>
  </si>
  <si>
    <t>NAYLA OKTAVIA</t>
  </si>
  <si>
    <t>akn20259667.siswa@smkn12malang.sch.id</t>
  </si>
  <si>
    <t>0099742217</t>
  </si>
  <si>
    <t>PUTRIANA DZANNI ABDHIBI MUMTAZA</t>
  </si>
  <si>
    <t>akn20259691.siswa@smkn12malang.sch.id</t>
  </si>
  <si>
    <t>0097359421</t>
  </si>
  <si>
    <t>RARASANTI KUSUMA RAMADHANI</t>
  </si>
  <si>
    <t>akn20259710.siswa@smkn12malang.sch.id</t>
  </si>
  <si>
    <t>0107711415</t>
  </si>
  <si>
    <t>RIDWAN AJI JULIANTO</t>
  </si>
  <si>
    <t>akn20259732.siswa@smkn12malang.sch.id</t>
  </si>
  <si>
    <t>3104206855</t>
  </si>
  <si>
    <t>SALSABILLA RINJANI PUTRI</t>
  </si>
  <si>
    <t>akn20259757.siswa@smkn12malang.sch.id</t>
  </si>
  <si>
    <t>0096135411</t>
  </si>
  <si>
    <t>SASABILA YUNITA AYU</t>
  </si>
  <si>
    <t>akn20259764.siswa@smkn12malang.sch.id</t>
  </si>
  <si>
    <t>0101201357</t>
  </si>
  <si>
    <t>SHAFA HAFIDHASALSABILLA</t>
  </si>
  <si>
    <t>akn20259777.siswa@smkn12malang.sch.id</t>
  </si>
  <si>
    <t>0095972569</t>
  </si>
  <si>
    <t>SHEZA PERMATA AGUSTI</t>
  </si>
  <si>
    <t>akn20259785.siswa@smkn12malang.sch.id</t>
  </si>
  <si>
    <t>0091689923</t>
  </si>
  <si>
    <t>STEFANI NURAINI ZAHRA</t>
  </si>
  <si>
    <t>akn20259797.siswa@smkn12malang.sch.id</t>
  </si>
  <si>
    <t>0102685021</t>
  </si>
  <si>
    <t>ULFA FIKTARUL HIDAYAH</t>
  </si>
  <si>
    <t>akn20259810.siswa@smkn12malang.sch.id</t>
  </si>
  <si>
    <t>0095792350</t>
  </si>
  <si>
    <t>WULAN NOVITASARI</t>
  </si>
  <si>
    <t>akn20259827.siswa@smkn12malang.sch.id</t>
  </si>
  <si>
    <t>0103056463</t>
  </si>
  <si>
    <t>ZAKY ARROSYID</t>
  </si>
  <si>
    <t>akn20259843.siswa@smkn12malang.sch.id</t>
  </si>
  <si>
    <t>0106839323</t>
  </si>
  <si>
    <t>ADYA AZZAHRAH</t>
  </si>
  <si>
    <t>akn20259265.siswa@smkn12malang.sch.id</t>
  </si>
  <si>
    <t>0102427840</t>
  </si>
  <si>
    <t>AFFRA MAURA AVENTEA</t>
  </si>
  <si>
    <t>akn20259267.siswa@smkn12malang.sch.id</t>
  </si>
  <si>
    <t>0083276787</t>
  </si>
  <si>
    <t>AISHEL SEVA OKTAVIA</t>
  </si>
  <si>
    <t>akn20259288.siswa@smkn12malang.sch.id</t>
  </si>
  <si>
    <t>0108163597</t>
  </si>
  <si>
    <t>ALFIRA MEILANA TRIBUANA PUTRI</t>
  </si>
  <si>
    <t>akn20259302.siswa@smkn12malang.sch.id</t>
  </si>
  <si>
    <t>0099408810</t>
  </si>
  <si>
    <t>ANDI DAFFA KUSUMO</t>
  </si>
  <si>
    <t>akn20259324.siswa@smkn12malang.sch.id</t>
  </si>
  <si>
    <t>0101489486</t>
  </si>
  <si>
    <t>AOEDI RAHMAWATI RUSTANTO</t>
  </si>
  <si>
    <t>akn20259336.siswa@smkn12malang.sch.id</t>
  </si>
  <si>
    <t>0096916743</t>
  </si>
  <si>
    <t>AULLYA AMANDA</t>
  </si>
  <si>
    <t>akn20259356.siswa@smkn12malang.sch.id</t>
  </si>
  <si>
    <t>0095033555</t>
  </si>
  <si>
    <t>AZZAHRA KEISHA RAHMA HADI</t>
  </si>
  <si>
    <t>akn20259370.siswa@smkn12malang.sch.id</t>
  </si>
  <si>
    <t>0104160117</t>
  </si>
  <si>
    <t>CINDY FEBRIANA SAVIRA</t>
  </si>
  <si>
    <t>akn20259393.siswa@smkn12malang.sch.id</t>
  </si>
  <si>
    <t>0099012186</t>
  </si>
  <si>
    <t>DESTA OKTAVIA</t>
  </si>
  <si>
    <t>akn20259406.siswa@smkn12malang.sch.id</t>
  </si>
  <si>
    <t>3095573806</t>
  </si>
  <si>
    <t>DEWI NOVITASARI</t>
  </si>
  <si>
    <t>akn20259413.siswa@smkn12malang.sch.id</t>
  </si>
  <si>
    <t>0097198094</t>
  </si>
  <si>
    <t>DINA RAHMA MAHARANI</t>
  </si>
  <si>
    <t>akn20259421.siswa@smkn12malang.sch.id</t>
  </si>
  <si>
    <t>0099111997</t>
  </si>
  <si>
    <t>ELSA NUR FITRIA</t>
  </si>
  <si>
    <t>akn20259434.siswa@smkn12malang.sch.id</t>
  </si>
  <si>
    <t>0105472528</t>
  </si>
  <si>
    <t>FARA DILA APRILLIA EKA DAMAYANTI</t>
  </si>
  <si>
    <t>akn20259450.siswa@smkn12malang.sch.id</t>
  </si>
  <si>
    <t>0098606618</t>
  </si>
  <si>
    <t>FELIA MELVIANA PUTRI</t>
  </si>
  <si>
    <t>akn20259460.siswa@smkn12malang.sch.id</t>
  </si>
  <si>
    <t>3096931718</t>
  </si>
  <si>
    <t>HANDIKA TRIAKTI VARDIANSYAH</t>
  </si>
  <si>
    <t>akn20259481.siswa@smkn12malang.sch.id</t>
  </si>
  <si>
    <t>0092631986</t>
  </si>
  <si>
    <t>KAKA PUTRA RAMADANI</t>
  </si>
  <si>
    <t>akn20259514.siswa@smkn12malang.sch.id</t>
  </si>
  <si>
    <t>0096715089</t>
  </si>
  <si>
    <t>KHILDA ELMAYA ADZHAKIYAH</t>
  </si>
  <si>
    <t>akn20259526.siswa@smkn12malang.sch.id</t>
  </si>
  <si>
    <t>0091288615</t>
  </si>
  <si>
    <t>KIFAYAH AZ ZAHRA</t>
  </si>
  <si>
    <t>akn20259530.siswa@smkn12malang.sch.id</t>
  </si>
  <si>
    <t>0092979548</t>
  </si>
  <si>
    <t>LISA AMANDA SARI</t>
  </si>
  <si>
    <t>akn20259537.siswa@smkn12malang.sch.id</t>
  </si>
  <si>
    <t>0095991951</t>
  </si>
  <si>
    <t>MAURA ABIERA AZZAHRA</t>
  </si>
  <si>
    <t>akn20259552.siswa@smkn12malang.sch.id</t>
  </si>
  <si>
    <t>0095679317</t>
  </si>
  <si>
    <t>MOCH FAREL ALDO IRWANSYAH</t>
  </si>
  <si>
    <t>akn20259566.siswa@smkn12malang.sch.id</t>
  </si>
  <si>
    <t>0093393812</t>
  </si>
  <si>
    <t>MUTIARA PUTRI ARUSTA</t>
  </si>
  <si>
    <t>akn20259646.siswa@smkn12malang.sch.id</t>
  </si>
  <si>
    <t>0105445004</t>
  </si>
  <si>
    <t>NAIDATUL DEWI NURJANAH</t>
  </si>
  <si>
    <t>akn20259655.siswa@smkn12malang.sch.id</t>
  </si>
  <si>
    <t>0099137224</t>
  </si>
  <si>
    <t>NEXIA SHIFA ANGGRAINI</t>
  </si>
  <si>
    <t>akn20259670.siswa@smkn12malang.sch.id</t>
  </si>
  <si>
    <t>0099414191</t>
  </si>
  <si>
    <t>QIARA ADZHANI WIBOWO</t>
  </si>
  <si>
    <t>akn20259692.siswa@smkn12malang.sch.id</t>
  </si>
  <si>
    <t>0093444669</t>
  </si>
  <si>
    <t>RAYHANA NABILA YUSUF</t>
  </si>
  <si>
    <t>akn20259714.siswa@smkn12malang.sch.id</t>
  </si>
  <si>
    <t>0099928588</t>
  </si>
  <si>
    <t>SABRINA PUTRI SALSABIL SALWA</t>
  </si>
  <si>
    <t>akn20259749.siswa@smkn12malang.sch.id</t>
  </si>
  <si>
    <t>3099068699</t>
  </si>
  <si>
    <t>SALWA MAGHFIROH MAULANI</t>
  </si>
  <si>
    <t>akn20259758.siswa@smkn12malang.sch.id</t>
  </si>
  <si>
    <t>0101658448</t>
  </si>
  <si>
    <t>SATYA PRASTOKO</t>
  </si>
  <si>
    <t>akn20259769.siswa@smkn12malang.sch.id</t>
  </si>
  <si>
    <t>0095965540</t>
  </si>
  <si>
    <t>SHAKILA NUR AMALIA</t>
  </si>
  <si>
    <t>akn20259778.siswa@smkn12malang.sch.id</t>
  </si>
  <si>
    <t>0093579958</t>
  </si>
  <si>
    <t>SHIFFA CARISSA OKTA ARIFIYANTO</t>
  </si>
  <si>
    <t>akn20259787.siswa@smkn12malang.sch.id</t>
  </si>
  <si>
    <t>0092312864</t>
  </si>
  <si>
    <t>STEFINA NURAINI ZAHRA</t>
  </si>
  <si>
    <t>akn20259798.siswa@smkn12malang.sch.id</t>
  </si>
  <si>
    <t>0098431731</t>
  </si>
  <si>
    <t>VALMAY HIDAYATI QUMAIROH</t>
  </si>
  <si>
    <t>akn20259813.siswa@smkn12malang.sch.id</t>
  </si>
  <si>
    <t>0094005505</t>
  </si>
  <si>
    <t>YOLANDA PRIANDINNI</t>
  </si>
  <si>
    <t>akn20259831.siswa@smkn12malang.sch.id</t>
  </si>
  <si>
    <t>0103265110</t>
  </si>
  <si>
    <t>ZASKIA AFIFATUL AKHLIA</t>
  </si>
  <si>
    <t>akn20259845.siswa@smkn12malang.sch.id</t>
  </si>
  <si>
    <t>3097683025</t>
  </si>
  <si>
    <t>AHMAD GILANG SEPTIAWAN</t>
  </si>
  <si>
    <t>dkv20259280.siswa@smkn12malang.sch.id</t>
  </si>
  <si>
    <t>0103980458</t>
  </si>
  <si>
    <t>ALMIRA SALSABILA PUTRI ZULFIA</t>
  </si>
  <si>
    <t>dkv20259308.siswa@smkn12malang.sch.id</t>
  </si>
  <si>
    <t>0095380167</t>
  </si>
  <si>
    <t>AMELIA YULINDA BARKAH</t>
  </si>
  <si>
    <t>dkv20259316.siswa@smkn12malang.sch.id</t>
  </si>
  <si>
    <t>0102307400</t>
  </si>
  <si>
    <t>ARYA DIMAS ADI PRAYUGO</t>
  </si>
  <si>
    <t>dkv20259347.siswa@smkn12malang.sch.id</t>
  </si>
  <si>
    <t>0101981377</t>
  </si>
  <si>
    <t>ATIKAH SILMI FAZLA KHAFIYA ZAKHIERA</t>
  </si>
  <si>
    <t>dkv20259352.siswa@smkn12malang.sch.id</t>
  </si>
  <si>
    <t>3102981188</t>
  </si>
  <si>
    <t>AULIA CLARA PUTRI ANGGRAINI</t>
  </si>
  <si>
    <t>dkv20259353.siswa@smkn12malang.sch.id</t>
  </si>
  <si>
    <t>0088165046</t>
  </si>
  <si>
    <t>AVELIA ADINDA</t>
  </si>
  <si>
    <t>dkv20259361.siswa@smkn12malang.sch.id</t>
  </si>
  <si>
    <t>0102148323</t>
  </si>
  <si>
    <t>CINDY AULIA RAHMADI</t>
  </si>
  <si>
    <t>dkv20259392.siswa@smkn12malang.sch.id</t>
  </si>
  <si>
    <t>0102321084</t>
  </si>
  <si>
    <t>DINDA MUTIARA DEWI</t>
  </si>
  <si>
    <t>dkv20259423.siswa@smkn12malang.sch.id</t>
  </si>
  <si>
    <t>0096195668</t>
  </si>
  <si>
    <t>DISTA ROHMANITA ANGGRAINI</t>
  </si>
  <si>
    <t>dkv20259425.siswa@smkn12malang.sch.id</t>
  </si>
  <si>
    <t>0092289442</t>
  </si>
  <si>
    <t>FANE AILSA PARAMESTI</t>
  </si>
  <si>
    <t>dkv20259448.siswa@smkn12malang.sch.id</t>
  </si>
  <si>
    <t>0105766534</t>
  </si>
  <si>
    <t>GADIS AKMA NABILA</t>
  </si>
  <si>
    <t>dkv20259470.siswa@smkn12malang.sch.id</t>
  </si>
  <si>
    <t>0075777494</t>
  </si>
  <si>
    <t>HANUM OCTAVIA MENTARI</t>
  </si>
  <si>
    <t>dkv20259482.siswa@smkn12malang.sch.id</t>
  </si>
  <si>
    <t>0089394324</t>
  </si>
  <si>
    <t>HUSEIN OBAMA WAKID</t>
  </si>
  <si>
    <t>dkv20259487.siswa@smkn12malang.sch.id</t>
  </si>
  <si>
    <t>3097366261</t>
  </si>
  <si>
    <t>INTAN NUR AZZAHROH</t>
  </si>
  <si>
    <t>dkv20259497.siswa@smkn12malang.sch.id</t>
  </si>
  <si>
    <t>0105616576</t>
  </si>
  <si>
    <t>JIHAN DZAKIA AZAHRA</t>
  </si>
  <si>
    <t>dkv20259508.siswa@smkn12malang.sch.id</t>
  </si>
  <si>
    <t>0093865704</t>
  </si>
  <si>
    <t>MARUF MUBAROK</t>
  </si>
  <si>
    <t>dkv20259549.siswa@smkn12malang.sch.id</t>
  </si>
  <si>
    <t>3105172418</t>
  </si>
  <si>
    <t>MINACHUS SANIYAH</t>
  </si>
  <si>
    <t>dkv20259560.siswa@smkn12malang.sch.id</t>
  </si>
  <si>
    <t>0105095609</t>
  </si>
  <si>
    <t>MISYAL EL FADEELLAH</t>
  </si>
  <si>
    <t>dkv20259563.siswa@smkn12malang.sch.id</t>
  </si>
  <si>
    <t>0105599105</t>
  </si>
  <si>
    <t>MOCHAMAD TEGUH FIRMANSYAH</t>
  </si>
  <si>
    <t>dkv20259577.siswa@smkn12malang.sch.id</t>
  </si>
  <si>
    <t>0094716596</t>
  </si>
  <si>
    <t>NAIMA PUTRI DWI HARSARI</t>
  </si>
  <si>
    <t>dkv20259656.siswa@smkn12malang.sch.id</t>
  </si>
  <si>
    <t>0095517783</t>
  </si>
  <si>
    <t>NURAINI AZIZAH</t>
  </si>
  <si>
    <t>dkv20259678.siswa@smkn12malang.sch.id</t>
  </si>
  <si>
    <t>0098418881</t>
  </si>
  <si>
    <t>PRABU FATHIR ALAM</t>
  </si>
  <si>
    <t>dkv20259683.siswa@smkn12malang.sch.id</t>
  </si>
  <si>
    <t>3102573526</t>
  </si>
  <si>
    <t>PUTRI AYU NINGTYAS</t>
  </si>
  <si>
    <t>dkv20259687.siswa@smkn12malang.sch.id</t>
  </si>
  <si>
    <t>0091345521</t>
  </si>
  <si>
    <t>PUTRI RAMA DANI</t>
  </si>
  <si>
    <t>dkv20259689.siswa@smkn12malang.sch.id</t>
  </si>
  <si>
    <t>0099577392</t>
  </si>
  <si>
    <t>QUINTHANIA SADIRA ALHANANI</t>
  </si>
  <si>
    <t>dkv20259694.siswa@smkn12malang.sch.id</t>
  </si>
  <si>
    <t>0093301907</t>
  </si>
  <si>
    <t>RAMA RIZKI PUTRA</t>
  </si>
  <si>
    <t>dkv20259708.siswa@smkn12malang.sch.id</t>
  </si>
  <si>
    <t>0101830543</t>
  </si>
  <si>
    <t>RENAATHA ANINDYA CAROLINE</t>
  </si>
  <si>
    <t>dkv20259720.siswa@smkn12malang.sch.id</t>
  </si>
  <si>
    <t>0095007714</t>
  </si>
  <si>
    <t>RIZAL RAMADHAN</t>
  </si>
  <si>
    <t>dkv20259737.siswa@smkn12malang.sch.id</t>
  </si>
  <si>
    <t>0101241774</t>
  </si>
  <si>
    <t>ROSA FEBRIANTI</t>
  </si>
  <si>
    <t>dkv20259746.siswa@smkn12malang.sch.id</t>
  </si>
  <si>
    <t>0091601094</t>
  </si>
  <si>
    <t>SAFA NABILA PUTRI</t>
  </si>
  <si>
    <t>dkv20259750.siswa@smkn12malang.sch.id</t>
  </si>
  <si>
    <t>0099676523</t>
  </si>
  <si>
    <t>SASKIA HANUM CANDRA DINATA</t>
  </si>
  <si>
    <t>dkv20259766.siswa@smkn12malang.sch.id</t>
  </si>
  <si>
    <t>3104366737</t>
  </si>
  <si>
    <t>SILVA SABRINA FEBRIANTI</t>
  </si>
  <si>
    <t>dkv20259791.siswa@smkn12malang.sch.id</t>
  </si>
  <si>
    <t>3109290458</t>
  </si>
  <si>
    <t>TAKAYURI RABANIA HERLAMBANG</t>
  </si>
  <si>
    <t>dkv20259804.siswa@smkn12malang.sch.id</t>
  </si>
  <si>
    <t>0085438772</t>
  </si>
  <si>
    <t>VISKA PUTRI VIOLISTA</t>
  </si>
  <si>
    <t>dkv20259820.siswa@smkn12malang.sch.id</t>
  </si>
  <si>
    <t>0099005460</t>
  </si>
  <si>
    <t>YOSI NURMALA SARI</t>
  </si>
  <si>
    <t>dkv20259832.siswa@smkn12malang.sch.id</t>
  </si>
  <si>
    <t>0104546977</t>
  </si>
  <si>
    <t>ALMIRA AULIA TSABITAH</t>
  </si>
  <si>
    <t>dkv20259305.siswa@smkn12malang.sch.id</t>
  </si>
  <si>
    <t>0108507488</t>
  </si>
  <si>
    <t>ALVIA PUTRI ANDINI</t>
  </si>
  <si>
    <t>dkv20259312.siswa@smkn12malang.sch.id</t>
  </si>
  <si>
    <t>0095433403</t>
  </si>
  <si>
    <t>ANDIEN LAREINA SULISTYA</t>
  </si>
  <si>
    <t>dkv20259326.siswa@smkn12malang.sch.id</t>
  </si>
  <si>
    <t>0092317526</t>
  </si>
  <si>
    <t>ASTRID DWI NOVITA SARI</t>
  </si>
  <si>
    <t>dkv20259348.siswa@smkn12malang.sch.id</t>
  </si>
  <si>
    <t>0091044499</t>
  </si>
  <si>
    <t>AURELLIA DIVANIA PUTRI</t>
  </si>
  <si>
    <t>dkv20259360.siswa@smkn12malang.sch.id</t>
  </si>
  <si>
    <t>3094005657</t>
  </si>
  <si>
    <t>AYU SULISTIANINGSIH</t>
  </si>
  <si>
    <t>dkv20259366.siswa@smkn12malang.sch.id</t>
  </si>
  <si>
    <t>0101435731</t>
  </si>
  <si>
    <t>DAHAYU JANITRA</t>
  </si>
  <si>
    <t>dkv20259401.siswa@smkn12malang.sch.id</t>
  </si>
  <si>
    <t>0091838035</t>
  </si>
  <si>
    <t>DINDA TRI MAULAN</t>
  </si>
  <si>
    <t>dkv20259424.siswa@smkn12malang.sch.id</t>
  </si>
  <si>
    <t>0108371759</t>
  </si>
  <si>
    <t>EVELYN AIKO PRASTIYANTO</t>
  </si>
  <si>
    <t>dkv20259439.siswa@smkn12malang.sch.id</t>
  </si>
  <si>
    <t>0094332646</t>
  </si>
  <si>
    <t>FATHIR AZALI GANDEWA</t>
  </si>
  <si>
    <t>dkv20259456.siswa@smkn12malang.sch.id</t>
  </si>
  <si>
    <t>3105024188</t>
  </si>
  <si>
    <t>HAFIZAH KAMELIA FAIRUS SAFA</t>
  </si>
  <si>
    <t>dkv20259478.siswa@smkn12malang.sch.id</t>
  </si>
  <si>
    <t>0083282951</t>
  </si>
  <si>
    <t>HAZZEL NATHAN EL KHAUSAR</t>
  </si>
  <si>
    <t>dkv20259484.siswa@smkn12malang.sch.id</t>
  </si>
  <si>
    <t>0108770621</t>
  </si>
  <si>
    <t>INAYAH MAHARANI SUBAGYO</t>
  </si>
  <si>
    <t>dkv20259494.siswa@smkn12malang.sch.id</t>
  </si>
  <si>
    <t>0093265048</t>
  </si>
  <si>
    <t>INTAN NUR AZZIZAH</t>
  </si>
  <si>
    <t>dkv20259498.siswa@smkn12malang.sch.id</t>
  </si>
  <si>
    <t>3098003485</t>
  </si>
  <si>
    <t>KHAYSA RIZQUILLAH RAMADHANI</t>
  </si>
  <si>
    <t>dkv20259524.siswa@smkn12malang.sch.id</t>
  </si>
  <si>
    <t>0101259131</t>
  </si>
  <si>
    <t>MIFKA ALIFIA RAMADANI</t>
  </si>
  <si>
    <t>dkv20259557.siswa@smkn12malang.sch.id</t>
  </si>
  <si>
    <t>3099649977</t>
  </si>
  <si>
    <t>MIQDARU AHMAD NAFI</t>
  </si>
  <si>
    <t>dkv20259561.siswa@smkn12malang.sch.id</t>
  </si>
  <si>
    <t>0091734349</t>
  </si>
  <si>
    <t>MOCH RAFFY ABIZARD</t>
  </si>
  <si>
    <t>dkv20259568.siswa@smkn12malang.sch.id</t>
  </si>
  <si>
    <t>0098774945</t>
  </si>
  <si>
    <t>MUHAMMAD JAWAHIRUL MAKARIM</t>
  </si>
  <si>
    <t>dkv20259629.siswa@smkn12malang.sch.id</t>
  </si>
  <si>
    <t>3108558375</t>
  </si>
  <si>
    <t>NATASYA PUTRI ADIANSYAH</t>
  </si>
  <si>
    <t>dkv20259663.siswa@smkn12malang.sch.id</t>
  </si>
  <si>
    <t>0099186773</t>
  </si>
  <si>
    <t>OVELIA HIDAYAH FINNAJWA</t>
  </si>
  <si>
    <t>dkv20259682.siswa@smkn12malang.sch.id</t>
  </si>
  <si>
    <t>0093623411</t>
  </si>
  <si>
    <t>PUSPITA SARI DEWI</t>
  </si>
  <si>
    <t>dkv20259685.siswa@smkn12malang.sch.id</t>
  </si>
  <si>
    <t>0101232950</t>
  </si>
  <si>
    <t>PUTRI NABILA NUR RISKIYAH</t>
  </si>
  <si>
    <t>dkv20259688.siswa@smkn12malang.sch.id</t>
  </si>
  <si>
    <t>0105293311</t>
  </si>
  <si>
    <t>PUTRI WAHYUNINGTYAS</t>
  </si>
  <si>
    <t>dkv20259690.siswa@smkn12malang.sch.id</t>
  </si>
  <si>
    <t>0085841846</t>
  </si>
  <si>
    <t>RAFFA WIJAYA KUSUMA</t>
  </si>
  <si>
    <t>dkv20259700.siswa@smkn12malang.sch.id</t>
  </si>
  <si>
    <t>3092903341</t>
  </si>
  <si>
    <t>REGITA SAHSALBILA</t>
  </si>
  <si>
    <t>dkv20259718.siswa@smkn12malang.sch.id</t>
  </si>
  <si>
    <t>0108173400</t>
  </si>
  <si>
    <t>RISMAULANA AZZAHRA</t>
  </si>
  <si>
    <t>dkv20259736.siswa@smkn12malang.sch.id</t>
  </si>
  <si>
    <t>0096120331</t>
  </si>
  <si>
    <t>RIZKA FAJARINA AZZAHRA</t>
  </si>
  <si>
    <t>dkv20259738.siswa@smkn12malang.sch.id</t>
  </si>
  <si>
    <t>0106585839</t>
  </si>
  <si>
    <t>SABILA SATYA ADITA</t>
  </si>
  <si>
    <t>dkv20259748.siswa@smkn12malang.sch.id</t>
  </si>
  <si>
    <t>0095635904</t>
  </si>
  <si>
    <t>SALWA NOVELINA PUTRI</t>
  </si>
  <si>
    <t>dkv20259759.siswa@smkn12malang.sch.id</t>
  </si>
  <si>
    <t>0094037854</t>
  </si>
  <si>
    <t>SHIFA AYU MAULIDA</t>
  </si>
  <si>
    <t>dkv20259786.siswa@smkn12malang.sch.id</t>
  </si>
  <si>
    <t>0103697775</t>
  </si>
  <si>
    <t>SYARIFIN RAMA ZULIANTO</t>
  </si>
  <si>
    <t>dkv20259802.siswa@smkn12malang.sch.id</t>
  </si>
  <si>
    <t>0098212487</t>
  </si>
  <si>
    <t>UMIYATUR ROHIMAH</t>
  </si>
  <si>
    <t>dkv20259811.siswa@smkn12malang.sch.id</t>
  </si>
  <si>
    <t>0106779645</t>
  </si>
  <si>
    <t>VRISKA AZ ZAHRA RIZKI PRAMESWARI</t>
  </si>
  <si>
    <t>dkv20259821.siswa@smkn12malang.sch.id</t>
  </si>
  <si>
    <t>ZACKYATUL MISKIYAH</t>
  </si>
  <si>
    <t>dkv20259837.siswa@smkn12malang.sch.id</t>
  </si>
  <si>
    <t>0102792945</t>
  </si>
  <si>
    <t>ZAKIYAH AMIRA ANASTASYA</t>
  </si>
  <si>
    <t>dkv20259841.siswa@smkn12malang.sch.id</t>
  </si>
  <si>
    <t>0091258301</t>
  </si>
  <si>
    <t>AGSELA ENJELITA DWI RAMADHANI</t>
  </si>
  <si>
    <t>klr20259272.siswa@smkn12malang.sch.id</t>
  </si>
  <si>
    <t>0093878633</t>
  </si>
  <si>
    <t>AHMAD FAUZI ROHMATULLAH</t>
  </si>
  <si>
    <t>klr20259279.siswa@smkn12malang.sch.id</t>
  </si>
  <si>
    <t>3087152022</t>
  </si>
  <si>
    <t>AISYAH NUR AULIYA</t>
  </si>
  <si>
    <t>klr20259292.siswa@smkn12malang.sch.id</t>
  </si>
  <si>
    <t>0092564260</t>
  </si>
  <si>
    <t>AMILATUZUHRIA</t>
  </si>
  <si>
    <t>klr20259317.siswa@smkn12malang.sch.id</t>
  </si>
  <si>
    <t>0107129686</t>
  </si>
  <si>
    <t>AMIRA SYAFA AJANI</t>
  </si>
  <si>
    <t>klr20259318.siswa@smkn12malang.sch.id</t>
  </si>
  <si>
    <t>0085549359</t>
  </si>
  <si>
    <t>ANGGITA RUBY OKTAFIANI</t>
  </si>
  <si>
    <t>klr20259333.siswa@smkn12malang.sch.id</t>
  </si>
  <si>
    <t>0096980040</t>
  </si>
  <si>
    <t>ANITA EDELWEIS</t>
  </si>
  <si>
    <t>klr20259334.siswa@smkn12malang.sch.id</t>
  </si>
  <si>
    <t>0099846049</t>
  </si>
  <si>
    <t>AYUMI QUEENA NUR BRAHMANDARI</t>
  </si>
  <si>
    <t>klr20259367.siswa@smkn12malang.sch.id</t>
  </si>
  <si>
    <t>0096990448</t>
  </si>
  <si>
    <t>BERLIAN AYU ANGGRAINI</t>
  </si>
  <si>
    <t>klr20259376.siswa@smkn12malang.sch.id</t>
  </si>
  <si>
    <t>0095820639</t>
  </si>
  <si>
    <t>EKA PUTRI RAHMADANI</t>
  </si>
  <si>
    <t>klr20259431.siswa@smkn12malang.sch.id</t>
  </si>
  <si>
    <t>0091712665</t>
  </si>
  <si>
    <t>ERVIANA DWI ORIENTA</t>
  </si>
  <si>
    <t>klr20259438.siswa@smkn12malang.sch.id</t>
  </si>
  <si>
    <t>0107002674</t>
  </si>
  <si>
    <t>FIRZA LAILIYA MAHESWARI</t>
  </si>
  <si>
    <t>klr20259466.siswa@smkn12malang.sch.id</t>
  </si>
  <si>
    <t>0095394348</t>
  </si>
  <si>
    <t>GADIS TIKA MEYZA ILMIRA</t>
  </si>
  <si>
    <t>klr20259471.siswa@smkn12malang.sch.id</t>
  </si>
  <si>
    <t>0099105813</t>
  </si>
  <si>
    <t>HARYO GUSTI NAWUNGKRIDHA EFFSASH</t>
  </si>
  <si>
    <t>klr20259483.siswa@smkn12malang.sch.id</t>
  </si>
  <si>
    <t>0099789123</t>
  </si>
  <si>
    <t>INTAN PUSPITA DEWI</t>
  </si>
  <si>
    <t>klr20259499.siswa@smkn12malang.sch.id</t>
  </si>
  <si>
    <t>0097135839</t>
  </si>
  <si>
    <t>IQLIMA ZALZALIANT AZAMI</t>
  </si>
  <si>
    <t>klr20259500.siswa@smkn12malang.sch.id</t>
  </si>
  <si>
    <t>0096323543</t>
  </si>
  <si>
    <t>IZZA KIRANA ILMIRA MAHARI</t>
  </si>
  <si>
    <t>klr20259502.siswa@smkn12malang.sch.id</t>
  </si>
  <si>
    <t>0099445333</t>
  </si>
  <si>
    <t>LUAY SALSABILA NUR ARISTA</t>
  </si>
  <si>
    <t>klr20259540.siswa@smkn12malang.sch.id</t>
  </si>
  <si>
    <t>0098731144</t>
  </si>
  <si>
    <t>LUVENA KANA AZZAHRA</t>
  </si>
  <si>
    <t>klr20259542.siswa@smkn12malang.sch.id</t>
  </si>
  <si>
    <t>0106502815</t>
  </si>
  <si>
    <t>MAYRA AKTYA CAHYANINGTIAS</t>
  </si>
  <si>
    <t>klr20259553.siswa@smkn12malang.sch.id</t>
  </si>
  <si>
    <t>3095037819</t>
  </si>
  <si>
    <t>MUHAMMAD AGUS NUR SETIAWAN</t>
  </si>
  <si>
    <t>klr20259607.siswa@smkn12malang.sch.id</t>
  </si>
  <si>
    <t>0095877817</t>
  </si>
  <si>
    <t>MUHAMMAD FADLI AL GHOZI</t>
  </si>
  <si>
    <t>klr20259618.siswa@smkn12malang.sch.id</t>
  </si>
  <si>
    <t>0104244038</t>
  </si>
  <si>
    <t>NAJWA CINTA LUFISYA</t>
  </si>
  <si>
    <t>klr20259657.siswa@smkn12malang.sch.id</t>
  </si>
  <si>
    <t>3090872046</t>
  </si>
  <si>
    <t>NAURA ZARIFAH ULA</t>
  </si>
  <si>
    <t>klr20259664.siswa@smkn12malang.sch.id</t>
  </si>
  <si>
    <t>0094000865</t>
  </si>
  <si>
    <t>QIRANI ALFARA</t>
  </si>
  <si>
    <t>klr20259693.siswa@smkn12malang.sch.id</t>
  </si>
  <si>
    <t>0108504375</t>
  </si>
  <si>
    <t>RADINKA NARA AMIRA AZALIA</t>
  </si>
  <si>
    <t>klr20259696.siswa@smkn12malang.sch.id</t>
  </si>
  <si>
    <t>0094026269</t>
  </si>
  <si>
    <t>RADITYA TEGUH PRIAMBODO</t>
  </si>
  <si>
    <t>klr20259698.siswa@smkn12malang.sch.id</t>
  </si>
  <si>
    <t>0091359255</t>
  </si>
  <si>
    <t>RASITA DEWI KHANIFA</t>
  </si>
  <si>
    <t>klr20259711.siswa@smkn12malang.sch.id</t>
  </si>
  <si>
    <t>0099009370</t>
  </si>
  <si>
    <t>REBIKA ASTRI ADILA L</t>
  </si>
  <si>
    <t>klr20259715.siswa@smkn12malang.sch.id</t>
  </si>
  <si>
    <t>0096045386</t>
  </si>
  <si>
    <t>RIZKA NAZILA RAHMAH</t>
  </si>
  <si>
    <t>klr20259739.siswa@smkn12malang.sch.id</t>
  </si>
  <si>
    <t>0091807165</t>
  </si>
  <si>
    <t>SEKAR AIRALEEYA ISTIAR</t>
  </si>
  <si>
    <t>klr20259773.siswa@smkn12malang.sch.id</t>
  </si>
  <si>
    <t>0106970798</t>
  </si>
  <si>
    <t>SELVINA ZAKIA NUR HABIBAH</t>
  </si>
  <si>
    <t>klr20259774.siswa@smkn12malang.sch.id</t>
  </si>
  <si>
    <t>0107381086</t>
  </si>
  <si>
    <t>SHABRINA VIVIAN PRAMESTI</t>
  </si>
  <si>
    <t>klr20259776.siswa@smkn12malang.sch.id</t>
  </si>
  <si>
    <t>0095808729</t>
  </si>
  <si>
    <t>VANIA VALENCIA ANDINI</t>
  </si>
  <si>
    <t>klr20259816.siswa@smkn12malang.sch.id</t>
  </si>
  <si>
    <t>0108622213</t>
  </si>
  <si>
    <t>YASHINTA AULIA KIRANA</t>
  </si>
  <si>
    <t>klr20259829.siswa@smkn12malang.sch.id</t>
  </si>
  <si>
    <t>0101444668</t>
  </si>
  <si>
    <t>ZAHRA NAZILATURRAHMA</t>
  </si>
  <si>
    <t>klr20259838.siswa@smkn12malang.sch.id</t>
  </si>
  <si>
    <t>0097938415</t>
  </si>
  <si>
    <t>A UBAIDILLAH RAIHAN S</t>
  </si>
  <si>
    <t>pfl20259245.siswa@smkn12malang.sch.id</t>
  </si>
  <si>
    <t>0094010464</t>
  </si>
  <si>
    <t>ACHMAD UMAR ARIFIN</t>
  </si>
  <si>
    <t>pfl20259258.siswa@smkn12malang.sch.id</t>
  </si>
  <si>
    <t>0099490635</t>
  </si>
  <si>
    <t>ADILLA JELITA HAPPY VIJAYANTI</t>
  </si>
  <si>
    <t>pfl20259262.siswa@smkn12malang.sch.id</t>
  </si>
  <si>
    <t>0099972240</t>
  </si>
  <si>
    <t>AHMAD ALIF FAISZI</t>
  </si>
  <si>
    <t>pfl20259276.siswa@smkn12malang.sch.id</t>
  </si>
  <si>
    <t>0107008267</t>
  </si>
  <si>
    <t>ALEA SAFARA FEBIAWAN</t>
  </si>
  <si>
    <t>pfl20259298.siswa@smkn12malang.sch.id</t>
  </si>
  <si>
    <t>0092596972</t>
  </si>
  <si>
    <t>ALIF ATAYA RIZKY SAPUTRO</t>
  </si>
  <si>
    <t>pfl20259303.siswa@smkn12malang.sch.id</t>
  </si>
  <si>
    <t>0091024131</t>
  </si>
  <si>
    <t>ALMIRA NADIA PUTRI</t>
  </si>
  <si>
    <t>pfl20259306.siswa@smkn12malang.sch.id</t>
  </si>
  <si>
    <t>0106269737</t>
  </si>
  <si>
    <t>AURELIA MONICA PUTRI GUNAWAN</t>
  </si>
  <si>
    <t>pfl20259359.siswa@smkn12malang.sch.id</t>
  </si>
  <si>
    <t>0102743098</t>
  </si>
  <si>
    <t>DAVIANDRA MALIK ALDIANO</t>
  </si>
  <si>
    <t>pfl20259404.siswa@smkn12malang.sch.id</t>
  </si>
  <si>
    <t>0089906736</t>
  </si>
  <si>
    <t>FAHRI LUKMAN SETYAWAN</t>
  </si>
  <si>
    <t>bcf20248826.siswa@smkn12malang.sch.id</t>
  </si>
  <si>
    <t>0107089248</t>
  </si>
  <si>
    <t>FAMIELA CINTA RADINSA</t>
  </si>
  <si>
    <t>pfl20259446.siswa@smkn12malang.sch.id</t>
  </si>
  <si>
    <t>0092601424</t>
  </si>
  <si>
    <t>FATAHILLA ARJUN WIRA PRASETYO</t>
  </si>
  <si>
    <t>pfl20259455.siswa@smkn12malang.sch.id</t>
  </si>
  <si>
    <t>0094985049</t>
  </si>
  <si>
    <t>FRIEZA AGUSTINE SALSABILLAH</t>
  </si>
  <si>
    <t>pfl20259468.siswa@smkn12malang.sch.id</t>
  </si>
  <si>
    <t>0105456411</t>
  </si>
  <si>
    <t>KANIA PUTRI ARIETA</t>
  </si>
  <si>
    <t>pfl20259516.siswa@smkn12malang.sch.id</t>
  </si>
  <si>
    <t>0099772196</t>
  </si>
  <si>
    <t>KEISYA AYU AGUSTIN</t>
  </si>
  <si>
    <t>pfl20259520.siswa@smkn12malang.sch.id</t>
  </si>
  <si>
    <t>0096155330</t>
  </si>
  <si>
    <t>KEN MAHASAHASSI</t>
  </si>
  <si>
    <t>pfl20259521.siswa@smkn12malang.sch.id</t>
  </si>
  <si>
    <t>0103321436</t>
  </si>
  <si>
    <t>KHESIA AURELIA SAHARANI</t>
  </si>
  <si>
    <t>pfl20259525.siswa@smkn12malang.sch.id</t>
  </si>
  <si>
    <t>0084078901</t>
  </si>
  <si>
    <t>MOCHAMMAD NASYIR ALMAKI</t>
  </si>
  <si>
    <t>pfl20259585.siswa@smkn12malang.sch.id</t>
  </si>
  <si>
    <t>0098704085</t>
  </si>
  <si>
    <t>MUHAMMAD ALFIAN SALAFIN</t>
  </si>
  <si>
    <t>pfl20259608.siswa@smkn12malang.sch.id</t>
  </si>
  <si>
    <t>0102914434</t>
  </si>
  <si>
    <t>MUHAMMAD ALIF FADHIL SYAHROMI</t>
  </si>
  <si>
    <t>pfl20259611.siswa@smkn12malang.sch.id</t>
  </si>
  <si>
    <t>0072333554</t>
  </si>
  <si>
    <t>MUHAMMAD SEAMY AL AKBAR</t>
  </si>
  <si>
    <t>pfl20259635.siswa@smkn12malang.sch.id</t>
  </si>
  <si>
    <t>0099686211</t>
  </si>
  <si>
    <t>NADINE ELENA AISHWARYATISHA</t>
  </si>
  <si>
    <t>pfl20259652.siswa@smkn12malang.sch.id</t>
  </si>
  <si>
    <t>0093612642</t>
  </si>
  <si>
    <t>NAFFA YASA SAFITRI</t>
  </si>
  <si>
    <t>pfl20259653.siswa@smkn12malang.sch.id</t>
  </si>
  <si>
    <t>0098574227</t>
  </si>
  <si>
    <t>NATASYA AULIA AGUSTIN</t>
  </si>
  <si>
    <t>pfl20259662.siswa@smkn12malang.sch.id</t>
  </si>
  <si>
    <t>0105107905</t>
  </si>
  <si>
    <t>RENITA APSARI ARABELLA</t>
  </si>
  <si>
    <t>pfl20259722.siswa@smkn12malang.sch.id</t>
  </si>
  <si>
    <t>0106247818</t>
  </si>
  <si>
    <t>RENITA DEWI SAPUTRI</t>
  </si>
  <si>
    <t>pfl20259723.siswa@smkn12malang.sch.id</t>
  </si>
  <si>
    <t>0094645265</t>
  </si>
  <si>
    <t>REZA ADITYA PUTRI</t>
  </si>
  <si>
    <t>pfl20259727.siswa@smkn12malang.sch.id</t>
  </si>
  <si>
    <t>0108327282</t>
  </si>
  <si>
    <t>SEANN VRYNSKY MATALIDO</t>
  </si>
  <si>
    <t>pfl20259771.siswa@smkn12malang.sch.id</t>
  </si>
  <si>
    <t>0105440708</t>
  </si>
  <si>
    <t>SULISTIANI</t>
  </si>
  <si>
    <t>pfl20259799.siswa@smkn12malang.sch.id</t>
  </si>
  <si>
    <t>0096740225</t>
  </si>
  <si>
    <t>VANES SYLVIANA RAHMAWATI</t>
  </si>
  <si>
    <t>pfl20259814.siswa@smkn12malang.sch.id</t>
  </si>
  <si>
    <t>0107947894</t>
  </si>
  <si>
    <t>WEFHAL ARA PRAMBUDYA</t>
  </si>
  <si>
    <t>pfl20259823.siswa@smkn12malang.sch.id</t>
  </si>
  <si>
    <t>0097047307</t>
  </si>
  <si>
    <t>YUANITA HERMALIA PUTRI</t>
  </si>
  <si>
    <t>pfl20259833.siswa@smkn12malang.sch.id</t>
  </si>
  <si>
    <t>0103460486</t>
  </si>
  <si>
    <t>YUSNIA MARINI PUTRI</t>
  </si>
  <si>
    <t>pfl20259835.siswa@smkn12malang.sch.id</t>
  </si>
  <si>
    <t>0086977010</t>
  </si>
  <si>
    <t>ZAKY ALIM BAKHTIAR</t>
  </si>
  <si>
    <t>pfl20259842.siswa@smkn12malang.sch.id</t>
  </si>
  <si>
    <t>0106013906</t>
  </si>
  <si>
    <t>ZASKIA PUTRI PRASETIO</t>
  </si>
  <si>
    <t>pfl20259846.siswa@smkn12malang.sch.id</t>
  </si>
  <si>
    <t>3093428048</t>
  </si>
  <si>
    <t>ZEVANYA AL DISTA AMIROH M</t>
  </si>
  <si>
    <t>pfl20259848.siswa@smkn12malang.sch.id</t>
  </si>
  <si>
    <t>0091440352</t>
  </si>
  <si>
    <t>ACHMAD RAYHAN PAHLEVI</t>
  </si>
  <si>
    <t>rpl20259256.siswa@smkn12malang.sch.id</t>
  </si>
  <si>
    <t>0095705681</t>
  </si>
  <si>
    <t>AIRA DINAR FARDANA</t>
  </si>
  <si>
    <t>rpl20259287.siswa@smkn12malang.sch.id</t>
  </si>
  <si>
    <t>0097525381</t>
  </si>
  <si>
    <t>ALENI ASANU KYESI FILAYA</t>
  </si>
  <si>
    <t>rpl20259299.siswa@smkn12malang.sch.id</t>
  </si>
  <si>
    <t>0092324164</t>
  </si>
  <si>
    <t>ANANDHITA KEZYA AMALIA</t>
  </si>
  <si>
    <t>rpl20259321.siswa@smkn12malang.sch.id</t>
  </si>
  <si>
    <t>0099299599</t>
  </si>
  <si>
    <t>ARIF BAGUS RAMADHAN</t>
  </si>
  <si>
    <t>rpl20259341.siswa@smkn12malang.sch.id</t>
  </si>
  <si>
    <t>0106480163</t>
  </si>
  <si>
    <t>AYDIN ZULFIKAR FEBRIYANTO</t>
  </si>
  <si>
    <t>rpl20259364.siswa@smkn12malang.sch.id</t>
  </si>
  <si>
    <t>0097267652</t>
  </si>
  <si>
    <t>BARTOLOMEUS JANSSEN GUNTUR AJIES</t>
  </si>
  <si>
    <t>rpl20259374.siswa@smkn12malang.sch.id</t>
  </si>
  <si>
    <t>0102139155</t>
  </si>
  <si>
    <t>BINTANG ORLIN ARISTAWIDYA</t>
  </si>
  <si>
    <t>rpl20259380.siswa@smkn12malang.sch.id</t>
  </si>
  <si>
    <t>0086508220</t>
  </si>
  <si>
    <t>CEACILYA ALINE PE</t>
  </si>
  <si>
    <t>rpl20259386.siswa@smkn12malang.sch.id</t>
  </si>
  <si>
    <t>0094741412</t>
  </si>
  <si>
    <t>CLEARISTA ORIZA SYAFIRA PUTRI SUTOYO</t>
  </si>
  <si>
    <t>rpl20259398.siswa@smkn12malang.sch.id</t>
  </si>
  <si>
    <t>3096135623</t>
  </si>
  <si>
    <t>FANESA ALIA PUTRI</t>
  </si>
  <si>
    <t>rpl20259449.siswa@smkn12malang.sch.id</t>
  </si>
  <si>
    <t>0095180887</t>
  </si>
  <si>
    <t>GALANG ADITYA PRAYOGA</t>
  </si>
  <si>
    <t>rpl20259472.siswa@smkn12malang.sch.id</t>
  </si>
  <si>
    <t>3094184519</t>
  </si>
  <si>
    <t>ISMA PRATIWI</t>
  </si>
  <si>
    <t>rpl20259501.siswa@smkn12malang.sch.id</t>
  </si>
  <si>
    <t>0093285234</t>
  </si>
  <si>
    <t>JERYCHO AKBAR SUKMANA PUTRA</t>
  </si>
  <si>
    <t>rpl20259507.siswa@smkn12malang.sch.id</t>
  </si>
  <si>
    <t>0092822522</t>
  </si>
  <si>
    <t>KEANU GANDEWA SYAWAL FIRDAUS</t>
  </si>
  <si>
    <t>rpl20259519.siswa@smkn12malang.sch.id</t>
  </si>
  <si>
    <t>0097262888</t>
  </si>
  <si>
    <t>LOLA NUR SALSABILLAH</t>
  </si>
  <si>
    <t>rpl20259538.siswa@smkn12malang.sch.id</t>
  </si>
  <si>
    <t>0092203084</t>
  </si>
  <si>
    <t>MAGFIROH NUR FADILLAH HUZNAH</t>
  </si>
  <si>
    <t>rpl20259547.siswa@smkn12malang.sch.id</t>
  </si>
  <si>
    <t>0108679606</t>
  </si>
  <si>
    <t>MIKI RENCING FAN</t>
  </si>
  <si>
    <t>rpl20259559.siswa@smkn12malang.sch.id</t>
  </si>
  <si>
    <t>0096551414</t>
  </si>
  <si>
    <t>MOCHAMMAD WIDJAN ARSYAD</t>
  </si>
  <si>
    <t>rpl20259587.siswa@smkn12malang.sch.id</t>
  </si>
  <si>
    <t>0105755926</t>
  </si>
  <si>
    <t>MORENO AZKA PANGALILA</t>
  </si>
  <si>
    <t>rpl20259597.siswa@smkn12malang.sch.id</t>
  </si>
  <si>
    <t>3090094877</t>
  </si>
  <si>
    <t>MUHAMMAD ABID FADLURROHMAN</t>
  </si>
  <si>
    <t>rpl20259605.siswa@smkn12malang.sch.id</t>
  </si>
  <si>
    <t>3105238535</t>
  </si>
  <si>
    <t>MUHAMMAD AZHAR</t>
  </si>
  <si>
    <t>rpl20259616.siswa@smkn12malang.sch.id</t>
  </si>
  <si>
    <t>0098256765</t>
  </si>
  <si>
    <t>MUHAMMAD ZAHRON NUR ROFI</t>
  </si>
  <si>
    <t>rpl20259637.siswa@smkn12malang.sch.id</t>
  </si>
  <si>
    <t>0108687006</t>
  </si>
  <si>
    <t>NABILAH KHANZA KAYANA</t>
  </si>
  <si>
    <t>rpl20259650.siswa@smkn12malang.sch.id</t>
  </si>
  <si>
    <t>0096410576</t>
  </si>
  <si>
    <t>NAYLA SALSABILLAH ISLAMIYAH</t>
  </si>
  <si>
    <t>rpl20259668.siswa@smkn12malang.sch.id</t>
  </si>
  <si>
    <t>0097618212</t>
  </si>
  <si>
    <t>NINDYA PUTRI WULANSARI</t>
  </si>
  <si>
    <t>rpl20259671.siswa@smkn12malang.sch.id</t>
  </si>
  <si>
    <t>0098465760</t>
  </si>
  <si>
    <t>NUR SINTA BELLA DEWI ABETFIAN</t>
  </si>
  <si>
    <t>rpl20259677.siswa@smkn12malang.sch.id</t>
  </si>
  <si>
    <t>0095615619</t>
  </si>
  <si>
    <t>OKTAVIANO ARDIANTO KAMIL</t>
  </si>
  <si>
    <t>rpl20259681.siswa@smkn12malang.sch.id</t>
  </si>
  <si>
    <t>0106656091</t>
  </si>
  <si>
    <t>RAIA MAULANA ALI ALKATIRI</t>
  </si>
  <si>
    <t>rpl20259706.siswa@smkn12malang.sch.id</t>
  </si>
  <si>
    <t>0106276567</t>
  </si>
  <si>
    <t>RENATA GYSKA RISKIANTY</t>
  </si>
  <si>
    <t>rpl20259721.siswa@smkn12malang.sch.id</t>
  </si>
  <si>
    <t>0109381919</t>
  </si>
  <si>
    <t>RIFQI MAULANA IBRAHIM</t>
  </si>
  <si>
    <t>rpl20259733.siswa@smkn12malang.sch.id</t>
  </si>
  <si>
    <t>0104640209</t>
  </si>
  <si>
    <t>RZIKY JUAN RAMADHANI</t>
  </si>
  <si>
    <t>rpl20259747.siswa@smkn12malang.sch.id</t>
  </si>
  <si>
    <t>3101231194</t>
  </si>
  <si>
    <t>SHEYLATUL AMALIAH</t>
  </si>
  <si>
    <t>rpl20259784.siswa@smkn12malang.sch.id</t>
  </si>
  <si>
    <t>3100680604</t>
  </si>
  <si>
    <t>SILVIA PUTRI RACHMA DALIKA</t>
  </si>
  <si>
    <t>rpl20259792.siswa@smkn12malang.sch.id</t>
  </si>
  <si>
    <t>0089043864</t>
  </si>
  <si>
    <t>WIBI OKTAFIAN</t>
  </si>
  <si>
    <t>rpl20259824.siswa@smkn12malang.sch.id</t>
  </si>
  <si>
    <t>0091196413</t>
  </si>
  <si>
    <t>ZARASI MAULANA KHADAFI</t>
  </si>
  <si>
    <t>rpl20259844.siswa@smkn12malang.sch.id</t>
  </si>
  <si>
    <t>0096667126</t>
  </si>
  <si>
    <t>AGUSVINO YULIANTO</t>
  </si>
  <si>
    <t>rpl20259275.siswa@smkn12malang.sch.id</t>
  </si>
  <si>
    <t>0048870184</t>
  </si>
  <si>
    <t>AKHMAD HASAN SAIPUDIN</t>
  </si>
  <si>
    <t>rpl20259294.siswa@smkn12malang.sch.id</t>
  </si>
  <si>
    <t>0101063472</t>
  </si>
  <si>
    <t>ALVIN ERLANGGA SAPUTRA</t>
  </si>
  <si>
    <t>rpl20259313.siswa@smkn12malang.sch.id</t>
  </si>
  <si>
    <t>0098632690</t>
  </si>
  <si>
    <t>ANDIKA</t>
  </si>
  <si>
    <t>rpl20259327.siswa@smkn12malang.sch.id</t>
  </si>
  <si>
    <t>0109933575</t>
  </si>
  <si>
    <t>ARTIKA SALSA BELLA</t>
  </si>
  <si>
    <t>rpl20259345.siswa@smkn12malang.sch.id</t>
  </si>
  <si>
    <t>0104643183</t>
  </si>
  <si>
    <t>BAHRUL ULUM</t>
  </si>
  <si>
    <t>rpl20259373.siswa@smkn12malang.sch.id</t>
  </si>
  <si>
    <t>0102659820</t>
  </si>
  <si>
    <t>BELVA SAQUEL ALDIANSYAH</t>
  </si>
  <si>
    <t>rpl20259375.siswa@smkn12malang.sch.id</t>
  </si>
  <si>
    <t>0095070205</t>
  </si>
  <si>
    <t>BRILLIANT PRINCESS AVRILLYA</t>
  </si>
  <si>
    <t>rpl20259381.siswa@smkn12malang.sch.id</t>
  </si>
  <si>
    <t>0098003412</t>
  </si>
  <si>
    <t>CLARISSA NATHANIELA RAMBU AWANG</t>
  </si>
  <si>
    <t>rpl20259397.siswa@smkn12malang.sch.id</t>
  </si>
  <si>
    <t>0094022402</t>
  </si>
  <si>
    <t>DIETA ZAHIDAH AMELIA PUTRI</t>
  </si>
  <si>
    <t>rpl20259418.siswa@smkn12malang.sch.id</t>
  </si>
  <si>
    <t>0096091509</t>
  </si>
  <si>
    <t>FAREN HABIBI HARDIANSYAH</t>
  </si>
  <si>
    <t>rpl20259453.siswa@smkn12malang.sch.id</t>
  </si>
  <si>
    <t>0105607796</t>
  </si>
  <si>
    <t>GEISA FEBRIANI PUTRI</t>
  </si>
  <si>
    <t>rpl20259473.siswa@smkn12malang.sch.id</t>
  </si>
  <si>
    <t>0106428372</t>
  </si>
  <si>
    <t>JANUAR TRIWIBOWO</t>
  </si>
  <si>
    <t>rpl20259505.siswa@smkn12malang.sch.id</t>
  </si>
  <si>
    <t>0107943767</t>
  </si>
  <si>
    <t>JIHAN ULFAH TALITA</t>
  </si>
  <si>
    <t>rpl20259509.siswa@smkn12malang.sch.id</t>
  </si>
  <si>
    <t>0091125938</t>
  </si>
  <si>
    <t>KHAIRI INDRA ASMORO</t>
  </si>
  <si>
    <t>rpl20259522.siswa@smkn12malang.sch.id</t>
  </si>
  <si>
    <t>0099039229</t>
  </si>
  <si>
    <t>M. MIQDAR ZULFIKAR RAMADHANI</t>
  </si>
  <si>
    <t>rpl20259545.siswa@smkn12malang.sch.id</t>
  </si>
  <si>
    <t>0098489638</t>
  </si>
  <si>
    <t>MELODIA AYU OKTAVIA</t>
  </si>
  <si>
    <t>rpl20259554.siswa@smkn12malang.sch.id</t>
  </si>
  <si>
    <t>0108374404</t>
  </si>
  <si>
    <t>MOCH. TAIZER SILB</t>
  </si>
  <si>
    <t>rpl20259571.siswa@smkn12malang.sch.id</t>
  </si>
  <si>
    <t>0096577892</t>
  </si>
  <si>
    <t>MOH RIFAL ARIANSYAH</t>
  </si>
  <si>
    <t>rpl20259591.siswa@smkn12malang.sch.id</t>
  </si>
  <si>
    <t>3101892333</t>
  </si>
  <si>
    <t>MUHAMAD RIZKI ARKAA FINANDA</t>
  </si>
  <si>
    <t>rpl20259604.siswa@smkn12malang.sch.id</t>
  </si>
  <si>
    <t>0106602479</t>
  </si>
  <si>
    <t>MUHAMMAD ALI AKBAR</t>
  </si>
  <si>
    <t>rpl20259609.siswa@smkn12malang.sch.id</t>
  </si>
  <si>
    <t>0105071871</t>
  </si>
  <si>
    <t>MUHAMMAD KEVIN AMARDZACKY</t>
  </si>
  <si>
    <t>rpl20259631.siswa@smkn12malang.sch.id</t>
  </si>
  <si>
    <t>0097533757</t>
  </si>
  <si>
    <t>MUHAMMAD ZIDANE ABIY JOEVIANSYAH</t>
  </si>
  <si>
    <t>rpl20259639.siswa@smkn12malang.sch.id</t>
  </si>
  <si>
    <t>0107103038</t>
  </si>
  <si>
    <t>NAURAH SHERLYNDIA ROFAN</t>
  </si>
  <si>
    <t>rpl20259666.siswa@smkn12malang.sch.id</t>
  </si>
  <si>
    <t>3108947109</t>
  </si>
  <si>
    <t>NELLA ANGGITA PUTRI</t>
  </si>
  <si>
    <t>rpl20259669.siswa@smkn12malang.sch.id</t>
  </si>
  <si>
    <t>0092960610</t>
  </si>
  <si>
    <t>NOVI FARADHILA</t>
  </si>
  <si>
    <t>rpl20259674.siswa@smkn12malang.sch.id</t>
  </si>
  <si>
    <t>0097022480</t>
  </si>
  <si>
    <t>OBIE ARAFI</t>
  </si>
  <si>
    <t>rpl20259679.siswa@smkn12malang.sch.id</t>
  </si>
  <si>
    <t>0089009110</t>
  </si>
  <si>
    <t>RAHMA RAYA AKBAR RAMADHANI</t>
  </si>
  <si>
    <t>rpl20259703.siswa@smkn12malang.sch.id</t>
  </si>
  <si>
    <t>0097283552</t>
  </si>
  <si>
    <t>REGAN FAJAR MIFTAHURRAHMAN</t>
  </si>
  <si>
    <t>rpl20259717.siswa@smkn12malang.sch.id</t>
  </si>
  <si>
    <t>0097325824</t>
  </si>
  <si>
    <t>RHEVANISWA RAFEYLA ARIF PUTRI</t>
  </si>
  <si>
    <t>rpl20259730.siswa@smkn12malang.sch.id</t>
  </si>
  <si>
    <t>0094892019</t>
  </si>
  <si>
    <t>RISKA KIKI AMALIA</t>
  </si>
  <si>
    <t>rpl20259734.siswa@smkn12malang.sch.id</t>
  </si>
  <si>
    <t>0096153573</t>
  </si>
  <si>
    <t>SAKIINA HILYA ABIDA</t>
  </si>
  <si>
    <t>rpl20259753.siswa@smkn12malang.sch.id</t>
  </si>
  <si>
    <t>3090072453</t>
  </si>
  <si>
    <t>SHOFIYAHTUS SAUSAN AFRO NABILAH</t>
  </si>
  <si>
    <t>rpl20259789.siswa@smkn12malang.sch.id</t>
  </si>
  <si>
    <t>0097752734</t>
  </si>
  <si>
    <t>VINZA CELLIA ARNELITA</t>
  </si>
  <si>
    <t>rpl20259818.siswa@smkn12malang.sch.id</t>
  </si>
  <si>
    <t>0098980156</t>
  </si>
  <si>
    <t>YUNANDA RISTA APRIANTI</t>
  </si>
  <si>
    <t>rpl20259834.siswa@smkn12malang.sch.id</t>
  </si>
  <si>
    <t>3099313195</t>
  </si>
  <si>
    <t>ZIVANA SALWA LETISHA</t>
  </si>
  <si>
    <t>rpl20259851.siswa@smkn12malang.sch.id</t>
  </si>
  <si>
    <t>0094598309</t>
  </si>
  <si>
    <t>ABDULLAH DIEGO PRATAMA</t>
  </si>
  <si>
    <t>tkj20259247.siswa@smkn12malang.sch.id</t>
  </si>
  <si>
    <t>0109640147</t>
  </si>
  <si>
    <t>AHMAD PRATAMA TIAN SAPUTRA</t>
  </si>
  <si>
    <t>tkj20259283.siswa@smkn12malang.sch.id</t>
  </si>
  <si>
    <t>0101511031</t>
  </si>
  <si>
    <t>ALISHA SONYA AGUSTIN SINURAT</t>
  </si>
  <si>
    <t>tkj20259304.siswa@smkn12malang.sch.id</t>
  </si>
  <si>
    <t>0094520419</t>
  </si>
  <si>
    <t>ANGGA SEPTIA PRATAMA</t>
  </si>
  <si>
    <t>tkj20259332.siswa@smkn12malang.sch.id</t>
  </si>
  <si>
    <t>0108274351</t>
  </si>
  <si>
    <t>ARFA PRADANA MAULANA</t>
  </si>
  <si>
    <t>tkj20259340.siswa@smkn12malang.sch.id</t>
  </si>
  <si>
    <t>0107760629</t>
  </si>
  <si>
    <t>ATHA ZIVANNA AZMIRAISSA</t>
  </si>
  <si>
    <t>tkj20259349.siswa@smkn12malang.sch.id</t>
  </si>
  <si>
    <t>0096478964</t>
  </si>
  <si>
    <t>AYU JIHAN PRATIWI</t>
  </si>
  <si>
    <t>tkj20259365.siswa@smkn12malang.sch.id</t>
  </si>
  <si>
    <t>0106428387</t>
  </si>
  <si>
    <t>CHELSEA MAULITA SARI</t>
  </si>
  <si>
    <t>tkj20259388.siswa@smkn12malang.sch.id</t>
  </si>
  <si>
    <t>0094665903</t>
  </si>
  <si>
    <t>CINTA LAILATUL FITRI</t>
  </si>
  <si>
    <t>tkj20259395.siswa@smkn12malang.sch.id</t>
  </si>
  <si>
    <t>3101356929</t>
  </si>
  <si>
    <t>DHYANKARTIKA ARWIN PUTRI MULYO</t>
  </si>
  <si>
    <t>tkj20259415.siswa@smkn12malang.sch.id</t>
  </si>
  <si>
    <t>0108131655</t>
  </si>
  <si>
    <t>DINDA MARIYA KRISTIN</t>
  </si>
  <si>
    <t>tkj20259422.siswa@smkn12malang.sch.id</t>
  </si>
  <si>
    <t>0096947193</t>
  </si>
  <si>
    <t>HILLARY BUNGA AGUSTIAN R</t>
  </si>
  <si>
    <t>tkj20259485.siswa@smkn12malang.sch.id</t>
  </si>
  <si>
    <t>0096291925</t>
  </si>
  <si>
    <t>ILMA AL MAGHFIROH</t>
  </si>
  <si>
    <t>tkj20259493.siswa@smkn12malang.sch.id</t>
  </si>
  <si>
    <t>0102400044</t>
  </si>
  <si>
    <t>KAEDAE REYEN ARSA VISA BILILLAH</t>
  </si>
  <si>
    <t>tkj20259511.siswa@smkn12malang.sch.id</t>
  </si>
  <si>
    <t>0108087178</t>
  </si>
  <si>
    <t>KRISNA RAMADHAN PRADIPTA</t>
  </si>
  <si>
    <t>tkj20259532.siswa@smkn12malang.sch.id</t>
  </si>
  <si>
    <t>0093732912</t>
  </si>
  <si>
    <t>MEYSYA SYAKINATU HAWA</t>
  </si>
  <si>
    <t>tkj20259556.siswa@smkn12malang.sch.id</t>
  </si>
  <si>
    <t>0103422822</t>
  </si>
  <si>
    <t>MOCHAMAD RANDISYAH GINANJAR</t>
  </si>
  <si>
    <t>tkj20259575.siswa@smkn12malang.sch.id</t>
  </si>
  <si>
    <t>0095781503</t>
  </si>
  <si>
    <t>MOCHAMMAD GAVIN AL HAQ</t>
  </si>
  <si>
    <t>tkj20259582.siswa@smkn12malang.sch.id</t>
  </si>
  <si>
    <t>0091411309</t>
  </si>
  <si>
    <t>MOHAMMAD RIDHO RIZQI ILHAM</t>
  </si>
  <si>
    <t>tkj20259596.siswa@smkn12malang.sch.id</t>
  </si>
  <si>
    <t>3093553701</t>
  </si>
  <si>
    <t>MUHAMMAD ALIF AL WELLSEN</t>
  </si>
  <si>
    <t>tkj20259610.siswa@smkn12malang.sch.id</t>
  </si>
  <si>
    <t>0099103642</t>
  </si>
  <si>
    <t>MUHAMMAD AVIAN WALIDAIN</t>
  </si>
  <si>
    <t>tkj20259615.siswa@smkn12malang.sch.id</t>
  </si>
  <si>
    <t>0103347300</t>
  </si>
  <si>
    <t>MUHAMMAD IQBAL MAULANA</t>
  </si>
  <si>
    <t>tkj20259627.siswa@smkn12malang.sch.id</t>
  </si>
  <si>
    <t>0095492778</t>
  </si>
  <si>
    <t>NADEZDA CARILLA MAJID</t>
  </si>
  <si>
    <t>tkj20259651.siswa@smkn12malang.sch.id</t>
  </si>
  <si>
    <t>0108821873</t>
  </si>
  <si>
    <t>NATASYA APRILIA KURNIA SARI</t>
  </si>
  <si>
    <t>tkj20259661.siswa@smkn12malang.sch.id</t>
  </si>
  <si>
    <t>0097854588</t>
  </si>
  <si>
    <t>NOVANDA DANUADJI SUWIKO</t>
  </si>
  <si>
    <t>tkj20259673.siswa@smkn12malang.sch.id</t>
  </si>
  <si>
    <t>0108267638</t>
  </si>
  <si>
    <t>R MUHAMMAD RAIHAN DHAFIN</t>
  </si>
  <si>
    <t>tkj20259695.siswa@smkn12malang.sch.id</t>
  </si>
  <si>
    <t>0079340660</t>
  </si>
  <si>
    <t>REVALINO DWIKA APRILIANSYAH</t>
  </si>
  <si>
    <t>tkj20259724.siswa@smkn12malang.sch.id</t>
  </si>
  <si>
    <t>0103414162</t>
  </si>
  <si>
    <t>RIZKY WAHYU PRATAMA</t>
  </si>
  <si>
    <t>tkj20259743.siswa@smkn12malang.sch.id</t>
  </si>
  <si>
    <t>3100748350</t>
  </si>
  <si>
    <t>SAFA PUTERI SETYAWATI</t>
  </si>
  <si>
    <t>tkj20259751.siswa@smkn12malang.sch.id</t>
  </si>
  <si>
    <t>0091700119</t>
  </si>
  <si>
    <t>SHANDY IQBAL AZ ZAHIR</t>
  </si>
  <si>
    <t>tkj20259779.siswa@smkn12malang.sch.id</t>
  </si>
  <si>
    <t>0092880623</t>
  </si>
  <si>
    <t>SHERLY AULIA WARDHANI</t>
  </si>
  <si>
    <t>tkj20259783.siswa@smkn12malang.sch.id</t>
  </si>
  <si>
    <t>0093129287</t>
  </si>
  <si>
    <t>SINTIA SARI</t>
  </si>
  <si>
    <t>tkj20259793.siswa@smkn12malang.sch.id</t>
  </si>
  <si>
    <t>0108349630</t>
  </si>
  <si>
    <t>SYAILENDRA PANDHU WIDIANSYAH</t>
  </si>
  <si>
    <t>tkj20259801.siswa@smkn12malang.sch.id</t>
  </si>
  <si>
    <t>0091204280</t>
  </si>
  <si>
    <t>TASYA ALFAZRIYAH</t>
  </si>
  <si>
    <t>tkj20259805.siswa@smkn12malang.sch.id</t>
  </si>
  <si>
    <t>0094016706</t>
  </si>
  <si>
    <t>USWATON HASANA AMELIA</t>
  </si>
  <si>
    <t>tkj20259812.siswa@smkn12malang.sch.id</t>
  </si>
  <si>
    <t>0105981084</t>
  </si>
  <si>
    <t>ZAZKIA PUTRI ALISYA</t>
  </si>
  <si>
    <t>tkj20259847.siswa@smkn12malang.sch.id</t>
  </si>
  <si>
    <t>0096509242</t>
  </si>
  <si>
    <t>ACHMAD DAVIN ARIFADILAH</t>
  </si>
  <si>
    <t>tkj20259252.siswa@smkn12malang.sch.id</t>
  </si>
  <si>
    <t>0098494820</t>
  </si>
  <si>
    <t>AHMAD RASYA JAVIER SANJAYA</t>
  </si>
  <si>
    <t>tkj20259285.siswa@smkn12malang.sch.id</t>
  </si>
  <si>
    <t>3099304998</t>
  </si>
  <si>
    <t>ANDIN AYUNING MUTIARA</t>
  </si>
  <si>
    <t>tkj20259329.siswa@smkn12malang.sch.id</t>
  </si>
  <si>
    <t>0096700602</t>
  </si>
  <si>
    <t>ARDIANSYAH PUTRA SETIAWAN</t>
  </si>
  <si>
    <t>tkj20259339.siswa@smkn12malang.sch.id</t>
  </si>
  <si>
    <t>0094368717</t>
  </si>
  <si>
    <t>ARJUNA DWI SAPUTRA</t>
  </si>
  <si>
    <t>tkj20259344.siswa@smkn12malang.sch.id</t>
  </si>
  <si>
    <t>0109146634</t>
  </si>
  <si>
    <t>AULIA QUEENA SAKTI</t>
  </si>
  <si>
    <t>tkj20259354.siswa@smkn12malang.sch.id</t>
  </si>
  <si>
    <t>0106242672</t>
  </si>
  <si>
    <t>CATANIA ANGGRAENI RADANA PUTERI</t>
  </si>
  <si>
    <t>tkj20259385.siswa@smkn12malang.sch.id</t>
  </si>
  <si>
    <t>0103585367</t>
  </si>
  <si>
    <t>CHESILIA AISYAH ANDRIANI PUTRI</t>
  </si>
  <si>
    <t>tkj20259389.siswa@smkn12malang.sch.id</t>
  </si>
  <si>
    <t>0106758337</t>
  </si>
  <si>
    <t>CLARISA NURSALSABILLA</t>
  </si>
  <si>
    <t>tkj20259396.siswa@smkn12malang.sch.id</t>
  </si>
  <si>
    <t>0095383794</t>
  </si>
  <si>
    <t>DIAN LESTARIANI</t>
  </si>
  <si>
    <t>tkj20259417.siswa@smkn12malang.sch.id</t>
  </si>
  <si>
    <t>0092820752</t>
  </si>
  <si>
    <t>FERANY JELITA AYUMELZA</t>
  </si>
  <si>
    <t>tkj20259462.siswa@smkn12malang.sch.id</t>
  </si>
  <si>
    <t>0096663648</t>
  </si>
  <si>
    <t>IFA RACHMA AZZAHRA</t>
  </si>
  <si>
    <t>tkj20259489.siswa@smkn12malang.sch.id</t>
  </si>
  <si>
    <t>0102644141</t>
  </si>
  <si>
    <t>JUWITA CLAUDY PUTRI MAHARANI</t>
  </si>
  <si>
    <t>tkj20259510.siswa@smkn12malang.sch.id</t>
  </si>
  <si>
    <t>0093859057</t>
  </si>
  <si>
    <t>KAKA HANDIKA YUDISTIRA PRATAMA</t>
  </si>
  <si>
    <t>tkj20259513.siswa@smkn12malang.sch.id</t>
  </si>
  <si>
    <t>0093346483</t>
  </si>
  <si>
    <t>MALIKA SEKAR KANAYAH</t>
  </si>
  <si>
    <t>tkj20259548.siswa@smkn12malang.sch.id</t>
  </si>
  <si>
    <t>0093937728</t>
  </si>
  <si>
    <t>MOCHAMAD DWI KARISMA PUTRA</t>
  </si>
  <si>
    <t>tkj20259572.siswa@smkn12malang.sch.id</t>
  </si>
  <si>
    <t>0107942582</t>
  </si>
  <si>
    <t>MOCHAMAD REVANGGA EKA PRATAMA</t>
  </si>
  <si>
    <t>tkj20259576.siswa@smkn12malang.sch.id</t>
  </si>
  <si>
    <t>0098326188</t>
  </si>
  <si>
    <t>MOHAMAD AL RAFI</t>
  </si>
  <si>
    <t>tkj20259592.siswa@smkn12malang.sch.id</t>
  </si>
  <si>
    <t>0094202102</t>
  </si>
  <si>
    <t>MUHAMAD FARDAN BAGAS SEPTYANSYAH</t>
  </si>
  <si>
    <t>tkj20259602.siswa@smkn12malang.sch.id</t>
  </si>
  <si>
    <t>0097121005</t>
  </si>
  <si>
    <t>MUHAMMAD ARKA ROJAB</t>
  </si>
  <si>
    <t>tkj20259613.siswa@smkn12malang.sch.id</t>
  </si>
  <si>
    <t>0091343475</t>
  </si>
  <si>
    <t>MUHAMMAD FARHAN ARTADIGUNA TJABO</t>
  </si>
  <si>
    <t>tkj20259619.siswa@smkn12malang.sch.id</t>
  </si>
  <si>
    <t>3094743966</t>
  </si>
  <si>
    <t>MUTIARA DIVA VIRGINIA</t>
  </si>
  <si>
    <t>tkj20259645.siswa@smkn12malang.sch.id</t>
  </si>
  <si>
    <t>3094203609</t>
  </si>
  <si>
    <t>NAMIRA ANJANI YULIA</t>
  </si>
  <si>
    <t>tkj20259659.siswa@smkn12malang.sch.id</t>
  </si>
  <si>
    <t>0095062032</t>
  </si>
  <si>
    <t>NINING MEISAROH</t>
  </si>
  <si>
    <t>tkj20259672.siswa@smkn12malang.sch.id</t>
  </si>
  <si>
    <t>0092813110</t>
  </si>
  <si>
    <t>NOVICHA HILDHA PERMATA ARIFIANI</t>
  </si>
  <si>
    <t>tkj20259675.siswa@smkn12malang.sch.id</t>
  </si>
  <si>
    <t>0096365257</t>
  </si>
  <si>
    <t>RANIA SEKAR ARUM</t>
  </si>
  <si>
    <t>tkj20259709.siswa@smkn12malang.sch.id</t>
  </si>
  <si>
    <t>0091576973</t>
  </si>
  <si>
    <t>RISMA RAMADANI</t>
  </si>
  <si>
    <t>tkj20259735.siswa@smkn12malang.sch.id</t>
  </si>
  <si>
    <t>0091349437</t>
  </si>
  <si>
    <t>ROCHMAD SYAFULLAH ISLAM</t>
  </si>
  <si>
    <t>tkj20259744.siswa@smkn12malang.sch.id</t>
  </si>
  <si>
    <t>0098459433</t>
  </si>
  <si>
    <t>SASKIA ANGGITA SARI</t>
  </si>
  <si>
    <t>tkj20259765.siswa@smkn12malang.sch.id</t>
  </si>
  <si>
    <t>0102787638</t>
  </si>
  <si>
    <t>SHELLA SRIYANTI</t>
  </si>
  <si>
    <t>tkj20259780.siswa@smkn12malang.sch.id</t>
  </si>
  <si>
    <t>0082310739</t>
  </si>
  <si>
    <t>SHINTA PUTRI MAHARANI</t>
  </si>
  <si>
    <t>tkj20259788.siswa@smkn12malang.sch.id</t>
  </si>
  <si>
    <t>0096952830</t>
  </si>
  <si>
    <t>SITI ZACHI LESTARI</t>
  </si>
  <si>
    <t>tkj20259796.siswa@smkn12malang.sch.id</t>
  </si>
  <si>
    <t>0109594886</t>
  </si>
  <si>
    <t>SYINTIA ILLA PRATIWI</t>
  </si>
  <si>
    <t>tkj20259803.siswa@smkn12malang.sch.id</t>
  </si>
  <si>
    <t>0092756089</t>
  </si>
  <si>
    <t>TIARA INDAH LAILATUL FITRI</t>
  </si>
  <si>
    <t>tkj20259807.siswa@smkn12malang.sch.id</t>
  </si>
  <si>
    <t>0108524142</t>
  </si>
  <si>
    <t>WAHYU MARVEL WICAKSONO</t>
  </si>
  <si>
    <t>tkj20259822.siswa@smkn12malang.sch.id</t>
  </si>
  <si>
    <t>0097818431</t>
  </si>
  <si>
    <t>ZHORIF FAQIHAN NUGROHO</t>
  </si>
  <si>
    <t>tkj20259849.siswa@smkn12malang.sch.id</t>
  </si>
  <si>
    <t>0108515191</t>
  </si>
  <si>
    <t>ABDILLAH HAFIZ YUSROMI</t>
  </si>
  <si>
    <t>tkr20259246.siswa@smkn12malang.sch.id</t>
  </si>
  <si>
    <t>0108923269</t>
  </si>
  <si>
    <t>ADAM REZA MARADONA</t>
  </si>
  <si>
    <t>tkr20259259.siswa@smkn12malang.sch.id</t>
  </si>
  <si>
    <t>0091962551</t>
  </si>
  <si>
    <t>AHMAD DICKY KURNIAWAN</t>
  </si>
  <si>
    <t>tkr20259277.siswa@smkn12malang.sch.id</t>
  </si>
  <si>
    <t>0101908723</t>
  </si>
  <si>
    <t>AKHMAD MULKI AHFAZANI</t>
  </si>
  <si>
    <t>tkr20259295.siswa@smkn12malang.sch.id</t>
  </si>
  <si>
    <t>0092744243</t>
  </si>
  <si>
    <t>ALFIN RADITYA PRATAMA</t>
  </si>
  <si>
    <t>tkr20259301.siswa@smkn12malang.sch.id</t>
  </si>
  <si>
    <t>0108885411</t>
  </si>
  <si>
    <t>ALVARO RAFFA BRAMANTYA</t>
  </si>
  <si>
    <t>tkr20259311.siswa@smkn12malang.sch.id</t>
  </si>
  <si>
    <t>0099965959</t>
  </si>
  <si>
    <t>ANDIKA KUSUMA ANDRIANTO</t>
  </si>
  <si>
    <t>tkr20259328.siswa@smkn12malang.sch.id</t>
  </si>
  <si>
    <t>0093250046</t>
  </si>
  <si>
    <t>ARISTYO KAKA FERDIANSYAH</t>
  </si>
  <si>
    <t>tkr20259343.siswa@smkn12malang.sch.id</t>
  </si>
  <si>
    <t>0094989712</t>
  </si>
  <si>
    <t>AXEL EZEKIEL ALFONS</t>
  </si>
  <si>
    <t>tkr20259363.siswa@smkn12malang.sch.id</t>
  </si>
  <si>
    <t>0094583574</t>
  </si>
  <si>
    <t>BHIMA PUTRA RAHARJA</t>
  </si>
  <si>
    <t>tkr20259377.siswa@smkn12malang.sch.id</t>
  </si>
  <si>
    <t>0102824903</t>
  </si>
  <si>
    <t>DAVIAN BINTANG PRASETYA</t>
  </si>
  <si>
    <t>tkr20259403.siswa@smkn12malang.sch.id</t>
  </si>
  <si>
    <t>0094341013</t>
  </si>
  <si>
    <t>DEVITA BAGUS SETIAWAN</t>
  </si>
  <si>
    <t>tkr20259411.siswa@smkn12malang.sch.id</t>
  </si>
  <si>
    <t>0096175523</t>
  </si>
  <si>
    <t>EKA WAHYU RAMADANI</t>
  </si>
  <si>
    <t>tkr20259432.siswa@smkn12malang.sch.id</t>
  </si>
  <si>
    <t>3095049996</t>
  </si>
  <si>
    <t>FANDHY DENTA NURRISKY</t>
  </si>
  <si>
    <t>tkr20259447.siswa@smkn12malang.sch.id</t>
  </si>
  <si>
    <t>0103137960</t>
  </si>
  <si>
    <t>FEBRIAN WICAKSONO</t>
  </si>
  <si>
    <t>tkr20259458.siswa@smkn12malang.sch.id</t>
  </si>
  <si>
    <t>0103789418</t>
  </si>
  <si>
    <t>FLEA NANDA ANGGRAENI</t>
  </si>
  <si>
    <t>tkr20259467.siswa@smkn12malang.sch.id</t>
  </si>
  <si>
    <t>0084605853</t>
  </si>
  <si>
    <t>HAIDAR LUTFI SIROJUDDIN</t>
  </si>
  <si>
    <t>tkr20259479.siswa@smkn12malang.sch.id</t>
  </si>
  <si>
    <t>0109858773</t>
  </si>
  <si>
    <t>ILHAM LUKMANUL HAKIM</t>
  </si>
  <si>
    <t>tkr20259492.siswa@smkn12malang.sch.id</t>
  </si>
  <si>
    <t>0104077958</t>
  </si>
  <si>
    <t>M NAZRIL MAULANA AFRIZAL</t>
  </si>
  <si>
    <t>tkr20259543.siswa@smkn12malang.sch.id</t>
  </si>
  <si>
    <t>0095511374</t>
  </si>
  <si>
    <t>MOCH EVAN SEPTIAN RAMADHAN</t>
  </si>
  <si>
    <t>tkr20259565.siswa@smkn12malang.sch.id</t>
  </si>
  <si>
    <t>0098476591</t>
  </si>
  <si>
    <t>MOCHAMAD MAULANA MALIK IBRAHIM</t>
  </si>
  <si>
    <t>tkr20259574.siswa@smkn12malang.sch.id</t>
  </si>
  <si>
    <t>0095122495</t>
  </si>
  <si>
    <t>MOCHAMMAD IRSYAD PRATAMA</t>
  </si>
  <si>
    <t>tkr20259583.siswa@smkn12malang.sch.id</t>
  </si>
  <si>
    <t>0097869258</t>
  </si>
  <si>
    <t>MOH FAHRI YUNSA</t>
  </si>
  <si>
    <t>tkr20259589.siswa@smkn12malang.sch.id</t>
  </si>
  <si>
    <t>0099636074</t>
  </si>
  <si>
    <t>MUHAMAD RASYA VERRO ANDRA</t>
  </si>
  <si>
    <t>tkr20259603.siswa@smkn12malang.sch.id</t>
  </si>
  <si>
    <t>3083485442</t>
  </si>
  <si>
    <t>MUHAMMAD HAFIZ HAIL</t>
  </si>
  <si>
    <t>tkr20259621.siswa@smkn12malang.sch.id</t>
  </si>
  <si>
    <t>0101321759</t>
  </si>
  <si>
    <t>MUHAMMAD JOKO NUR WACHID</t>
  </si>
  <si>
    <t>tkr20259630.siswa@smkn12malang.sch.id</t>
  </si>
  <si>
    <t>3093187607</t>
  </si>
  <si>
    <t>MUHAMMAD SYARIFUDDIN ZUHRI</t>
  </si>
  <si>
    <t>tkr20259636.siswa@smkn12malang.sch.id</t>
  </si>
  <si>
    <t>3099660579</t>
  </si>
  <si>
    <t>MUKHAMAD DENDI SETIAWAN</t>
  </si>
  <si>
    <t>tkr20259642.siswa@smkn12malang.sch.id</t>
  </si>
  <si>
    <t>0093767496</t>
  </si>
  <si>
    <t>NANDA OKTAVIANO MAHESYA PUTRA</t>
  </si>
  <si>
    <t>tkr20259660.siswa@smkn12malang.sch.id</t>
  </si>
  <si>
    <t>0094456479</t>
  </si>
  <si>
    <t>RAHMADHANI SUKMA SAPUTRA</t>
  </si>
  <si>
    <t>tkr20259704.siswa@smkn12malang.sch.id</t>
  </si>
  <si>
    <t>0097034215</t>
  </si>
  <si>
    <t>REFI SETIYAWAN</t>
  </si>
  <si>
    <t>tkr20259716.siswa@smkn12malang.sch.id</t>
  </si>
  <si>
    <t>0092369148</t>
  </si>
  <si>
    <t>RIZKI BARAKA RAMADHAN</t>
  </si>
  <si>
    <t>tkr20259740.siswa@smkn12malang.sch.id</t>
  </si>
  <si>
    <t>0093120839</t>
  </si>
  <si>
    <t>SAKA DARMAWANGSA</t>
  </si>
  <si>
    <t>tkr20259752.siswa@smkn12malang.sch.id</t>
  </si>
  <si>
    <t>0097313166</t>
  </si>
  <si>
    <t>SEFTIAN JAYA TRIMULYA</t>
  </si>
  <si>
    <t>tkr20259772.siswa@smkn12malang.sch.id</t>
  </si>
  <si>
    <t>0095808389</t>
  </si>
  <si>
    <t>VICTORYA SURYA PUTRI</t>
  </si>
  <si>
    <t>tkr20259817.siswa@smkn12malang.sch.id</t>
  </si>
  <si>
    <t>ZULVANTON</t>
  </si>
  <si>
    <t>tkr20259852.siswa@smkn12malang.sch.id</t>
  </si>
  <si>
    <t>3093981612</t>
  </si>
  <si>
    <t>ACHMAD FELIX DZIKRULLAH</t>
  </si>
  <si>
    <t>tkr20259255.siswa@smkn12malang.sch.id</t>
  </si>
  <si>
    <t>0097385091</t>
  </si>
  <si>
    <t>ADHISTIRA WIDAYADILLAH</t>
  </si>
  <si>
    <t>tkr20259260.siswa@smkn12malang.sch.id</t>
  </si>
  <si>
    <t>3104958814</t>
  </si>
  <si>
    <t>AHMAD RAHMAD AFANDI</t>
  </si>
  <si>
    <t>tkr20259284.siswa@smkn12malang.sch.id</t>
  </si>
  <si>
    <t>0096580518</t>
  </si>
  <si>
    <t>AKSEL SUASTUSAIS VERNANDES</t>
  </si>
  <si>
    <t>tkr20259296.siswa@smkn12malang.sch.id</t>
  </si>
  <si>
    <t>0109324966</t>
  </si>
  <si>
    <t>ALMIRA NURUL QOLBI</t>
  </si>
  <si>
    <t>tkr20259307.siswa@smkn12malang.sch.id</t>
  </si>
  <si>
    <t>0091081451</t>
  </si>
  <si>
    <t>ANANDA DAVA RAMADHANI</t>
  </si>
  <si>
    <t>tkr20259319.siswa@smkn12malang.sch.id</t>
  </si>
  <si>
    <t>0083019599</t>
  </si>
  <si>
    <t>ARIS PUTRA ARDIANSAH</t>
  </si>
  <si>
    <t>oto20248720.siswa@smkn12malang.sch.id</t>
  </si>
  <si>
    <t>0095140198</t>
  </si>
  <si>
    <t>ATHALLAH SYAHMI FIRDAUS CAUNANG</t>
  </si>
  <si>
    <t>tkr20259350.siswa@smkn12malang.sch.id</t>
  </si>
  <si>
    <t>0082093419</t>
  </si>
  <si>
    <t>BAYU WAHYU SASMITO</t>
  </si>
  <si>
    <t>oto20248752.siswa@smkn12malang.sch.id</t>
  </si>
  <si>
    <t>0094269890</t>
  </si>
  <si>
    <t>BIMA NUR ROHMAN</t>
  </si>
  <si>
    <t>tkr20259378.siswa@smkn12malang.sch.id</t>
  </si>
  <si>
    <t>0099933296</t>
  </si>
  <si>
    <t>CAMELLO LAZUARDY TAMA OHARA</t>
  </si>
  <si>
    <t>tkr20259383.siswa@smkn12malang.sch.id</t>
  </si>
  <si>
    <t>0088153486</t>
  </si>
  <si>
    <t>DEVIN ARYA SATYA RAMADHANI</t>
  </si>
  <si>
    <t>tkr20259408.siswa@smkn12malang.sch.id</t>
  </si>
  <si>
    <t>0096618760</t>
  </si>
  <si>
    <t>DIMAS SETYA PRATAMA</t>
  </si>
  <si>
    <t>tkr20259420.siswa@smkn12malang.sch.id</t>
  </si>
  <si>
    <t>3085920757</t>
  </si>
  <si>
    <t>FAJAR INDRA RAMADANI</t>
  </si>
  <si>
    <t>tkr20259444.siswa@smkn12malang.sch.id</t>
  </si>
  <si>
    <t>3093011199</t>
  </si>
  <si>
    <t>FAREL ARTA PRADITA</t>
  </si>
  <si>
    <t>tkr20259452.siswa@smkn12malang.sch.id</t>
  </si>
  <si>
    <t>0092943493</t>
  </si>
  <si>
    <t>FELIZYCO ARIESTO EFFENDY</t>
  </si>
  <si>
    <t>tkr20259461.siswa@smkn12malang.sch.id</t>
  </si>
  <si>
    <t>0107255556</t>
  </si>
  <si>
    <t>GABRIEL</t>
  </si>
  <si>
    <t>tkr20259469.siswa@smkn12malang.sch.id</t>
  </si>
  <si>
    <t>0091523831</t>
  </si>
  <si>
    <t>HANCC VITRA PRATAMA</t>
  </si>
  <si>
    <t>tkr20259480.siswa@smkn12malang.sch.id</t>
  </si>
  <si>
    <t>0095511774</t>
  </si>
  <si>
    <t>INDIGO JUDISTIRA PAMUNGKAS</t>
  </si>
  <si>
    <t>tkr20259495.siswa@smkn12malang.sch.id</t>
  </si>
  <si>
    <t>0096923961</t>
  </si>
  <si>
    <t>M YOGI ALGIFAHRI</t>
  </si>
  <si>
    <t>tkr20259544.siswa@smkn12malang.sch.id</t>
  </si>
  <si>
    <t>0091702170</t>
  </si>
  <si>
    <t>MOCH ROFIQURROCHMAN</t>
  </si>
  <si>
    <t>tkr20259570.siswa@smkn12malang.sch.id</t>
  </si>
  <si>
    <t>0083806353</t>
  </si>
  <si>
    <t>MOCHAMMAD AFDAL ROSHAN HAQIQI</t>
  </si>
  <si>
    <t>tkr20259579.siswa@smkn12malang.sch.id</t>
  </si>
  <si>
    <t>0103590421</t>
  </si>
  <si>
    <t>MOCHAMMAD MOUDI REVANSYACH</t>
  </si>
  <si>
    <t>tkr20259584.siswa@smkn12malang.sch.id</t>
  </si>
  <si>
    <t>0105657168</t>
  </si>
  <si>
    <t>MOHAMAD ZAKY RAGIL JAYAMULYA</t>
  </si>
  <si>
    <t>tkr20259593.siswa@smkn12malang.sch.id</t>
  </si>
  <si>
    <t>0092268438</t>
  </si>
  <si>
    <t>MUHAMMAD ADITYA PRAYOGA</t>
  </si>
  <si>
    <t>tkr20259606.siswa@smkn12malang.sch.id</t>
  </si>
  <si>
    <t>0089948301</t>
  </si>
  <si>
    <t>MUHAMMAD HAIDAR ALVINO</t>
  </si>
  <si>
    <t>tkr20259622.siswa@smkn12malang.sch.id</t>
  </si>
  <si>
    <t>0085548169</t>
  </si>
  <si>
    <t>MUHAMMAD REIFANDY DAVIN ALFIANSYAH</t>
  </si>
  <si>
    <t>tkr20259633.siswa@smkn12malang.sch.id</t>
  </si>
  <si>
    <t>0106559895</t>
  </si>
  <si>
    <t>MUHAMMAD ZIDAN AKBAR MAULANA</t>
  </si>
  <si>
    <t>tkr20259638.siswa@smkn12malang.sch.id</t>
  </si>
  <si>
    <t>3108151919</t>
  </si>
  <si>
    <t>MUKHAMAD IMZA AL FAIZ</t>
  </si>
  <si>
    <t>tkr20259643.siswa@smkn12malang.sch.id</t>
  </si>
  <si>
    <t>0093328670</t>
  </si>
  <si>
    <t>RAFA OCTAVIANO PRATAMA</t>
  </si>
  <si>
    <t>tkr20259699.siswa@smkn12malang.sch.id</t>
  </si>
  <si>
    <t>0098976870</t>
  </si>
  <si>
    <t>RASYID FERDIANSYAH RAMADHAN SYAHPUTRA</t>
  </si>
  <si>
    <t>tkr20259712.siswa@smkn12malang.sch.id</t>
  </si>
  <si>
    <t>0102440691</t>
  </si>
  <si>
    <t>REYNDRA NIZAM MAHESWARA</t>
  </si>
  <si>
    <t>tkr20259726.siswa@smkn12malang.sch.id</t>
  </si>
  <si>
    <t>0102663650</t>
  </si>
  <si>
    <t>RIZKY PUTRA MAULANA</t>
  </si>
  <si>
    <t>tkr20259742.siswa@smkn12malang.sch.id</t>
  </si>
  <si>
    <t>0098420475</t>
  </si>
  <si>
    <t>SAMUEL MAHARSI RENATA PAMBUDI</t>
  </si>
  <si>
    <t>tkr20259760.siswa@smkn12malang.sch.id</t>
  </si>
  <si>
    <t>0098413542</t>
  </si>
  <si>
    <t>SILMI DAIDAN MUCHAMMAD</t>
  </si>
  <si>
    <t>tkr20259790.siswa@smkn12malang.sch.id</t>
  </si>
  <si>
    <t>0091325917</t>
  </si>
  <si>
    <t>WIDI ANDRE JULIANTO</t>
  </si>
  <si>
    <t>tkr20259825.siswa@smkn12malang.sch.id</t>
  </si>
  <si>
    <t>0096319565</t>
  </si>
  <si>
    <t>ACHMAD SOFWAN SYAH</t>
  </si>
  <si>
    <t>tkr20259257.siswa@smkn12malang.sch.id</t>
  </si>
  <si>
    <t>0107909838</t>
  </si>
  <si>
    <t>AFLAH ARYA DHIFAN</t>
  </si>
  <si>
    <t>tkr20259269.siswa@smkn12malang.sch.id</t>
  </si>
  <si>
    <t>0097659975</t>
  </si>
  <si>
    <t>AKBAR IBRAHIM</t>
  </si>
  <si>
    <t>tkr20259293.siswa@smkn12malang.sch.id</t>
  </si>
  <si>
    <t>ALDO NOVALDI SYAHPUTRA</t>
  </si>
  <si>
    <t>tkr20259297.siswa@smkn12malang.sch.id</t>
  </si>
  <si>
    <t>0094328298</t>
  </si>
  <si>
    <t>ALQUDS TUAH SERAWAI</t>
  </si>
  <si>
    <t>tkr20259309.siswa@smkn12malang.sch.id</t>
  </si>
  <si>
    <t>0109737296</t>
  </si>
  <si>
    <t>ANDI SUKMA PRATAMA</t>
  </si>
  <si>
    <t>tkr20259325.siswa@smkn12malang.sch.id</t>
  </si>
  <si>
    <t>0106280610</t>
  </si>
  <si>
    <t>ARDIAN MEI RACHMAT DANI</t>
  </si>
  <si>
    <t>tkr20259337.siswa@smkn12malang.sch.id</t>
  </si>
  <si>
    <t>3108812310</t>
  </si>
  <si>
    <t>AULIYA AYU MAULIDA</t>
  </si>
  <si>
    <t>tkr20259355.siswa@smkn12malang.sch.id</t>
  </si>
  <si>
    <t>0087492139</t>
  </si>
  <si>
    <t>BAGAS SAPUTRA</t>
  </si>
  <si>
    <t>tkr20259371.siswa@smkn12malang.sch.id</t>
  </si>
  <si>
    <t>0093349395</t>
  </si>
  <si>
    <t>BIMA WAHYU HIDAYAT KURNIAWAN</t>
  </si>
  <si>
    <t>tkr20259379.siswa@smkn12malang.sch.id</t>
  </si>
  <si>
    <t>0091442170</t>
  </si>
  <si>
    <t>DAFA NUR ASHAB BILLAH</t>
  </si>
  <si>
    <t>tkr20259399.siswa@smkn12malang.sch.id</t>
  </si>
  <si>
    <t>0094029493</t>
  </si>
  <si>
    <t>DEVIN PUTRA HANI ARDIANSYAH</t>
  </si>
  <si>
    <t>tkr20259409.siswa@smkn12malang.sch.id</t>
  </si>
  <si>
    <t>0109761758</t>
  </si>
  <si>
    <t>DZAKY ALVIANO</t>
  </si>
  <si>
    <t>tkr20259429.siswa@smkn12malang.sch.id</t>
  </si>
  <si>
    <t>3099384448</t>
  </si>
  <si>
    <t>FAKHRUSY SYAKIRIN</t>
  </si>
  <si>
    <t>tkr20259445.siswa@smkn12malang.sch.id</t>
  </si>
  <si>
    <t>0097147518</t>
  </si>
  <si>
    <t>FARREL HAFIZ ALFARIZI</t>
  </si>
  <si>
    <t>tkr20259454.siswa@smkn12malang.sch.id</t>
  </si>
  <si>
    <t>0093198801</t>
  </si>
  <si>
    <t>FINZA ADITYA RAFANDRA</t>
  </si>
  <si>
    <t>tkr20259464.siswa@smkn12malang.sch.id</t>
  </si>
  <si>
    <t>0101455968</t>
  </si>
  <si>
    <t>GENZHA ABIANSYAH PUTRA ASKHA</t>
  </si>
  <si>
    <t>tkr20259474.siswa@smkn12malang.sch.id</t>
  </si>
  <si>
    <t>0105351175</t>
  </si>
  <si>
    <t>HILMI ALAM SAMUDRA</t>
  </si>
  <si>
    <t>tkr20259486.siswa@smkn12malang.sch.id</t>
  </si>
  <si>
    <t>0102352992</t>
  </si>
  <si>
    <t>LINTANG RADITYA PUTRA</t>
  </si>
  <si>
    <t>tkr20259535.siswa@smkn12malang.sch.id</t>
  </si>
  <si>
    <t>0107841617</t>
  </si>
  <si>
    <t>MAULANA ISHAQ</t>
  </si>
  <si>
    <t>tkr20259550.siswa@smkn12malang.sch.id</t>
  </si>
  <si>
    <t>0102633284</t>
  </si>
  <si>
    <t>MOCHAMAD IVAL KHOIRUDIN</t>
  </si>
  <si>
    <t>tkr20259573.siswa@smkn12malang.sch.id</t>
  </si>
  <si>
    <t>0094724780</t>
  </si>
  <si>
    <t>MOCHAMMAD AQEEL FADHLAN GHANEE</t>
  </si>
  <si>
    <t>tkr20259581.siswa@smkn12malang.sch.id</t>
  </si>
  <si>
    <t>0098087989</t>
  </si>
  <si>
    <t>MOCHAMMAD PUTRA AKBAR</t>
  </si>
  <si>
    <t>tkr20259586.siswa@smkn12malang.sch.id</t>
  </si>
  <si>
    <t>0091131992</t>
  </si>
  <si>
    <t>MUCHAMMAD AFIF NUR RAHMAN</t>
  </si>
  <si>
    <t>tkr20259599.siswa@smkn12malang.sch.id</t>
  </si>
  <si>
    <t>0107698879</t>
  </si>
  <si>
    <t>MUHAMMAD ASWAN FAISAL</t>
  </si>
  <si>
    <t>tkr20259614.siswa@smkn12malang.sch.id</t>
  </si>
  <si>
    <t>0105735768</t>
  </si>
  <si>
    <t>MUHAMMAD IBNU ISTAHAR</t>
  </si>
  <si>
    <t>tkr20259624.siswa@smkn12malang.sch.id</t>
  </si>
  <si>
    <t>0094651680</t>
  </si>
  <si>
    <t>MUHAMMAD RIZAL FIRDAUSI</t>
  </si>
  <si>
    <t>tkr20259634.siswa@smkn12malang.sch.id</t>
  </si>
  <si>
    <t>0098299816</t>
  </si>
  <si>
    <t>MUHAMMAD ZULKARNAIN FARDZAN PRATAMA</t>
  </si>
  <si>
    <t>tkr20259640.siswa@smkn12malang.sch.id</t>
  </si>
  <si>
    <t>0096493130</t>
  </si>
  <si>
    <t>NAFIK PRAYOGO</t>
  </si>
  <si>
    <t>tkr20259654.siswa@smkn12malang.sch.id</t>
  </si>
  <si>
    <t>0105811475</t>
  </si>
  <si>
    <t>RAFI MISBAHUL HUDA</t>
  </si>
  <si>
    <t>tkr20259701.siswa@smkn12malang.sch.id</t>
  </si>
  <si>
    <t>0108376761</t>
  </si>
  <si>
    <t>RASYID MULYA AJI BARKATI</t>
  </si>
  <si>
    <t>tkr20259713.siswa@smkn12malang.sch.id</t>
  </si>
  <si>
    <t>0094832598</t>
  </si>
  <si>
    <t>REZA SYAHPUTRA</t>
  </si>
  <si>
    <t>tkr20259729.siswa@smkn12malang.sch.id</t>
  </si>
  <si>
    <t>0105366013</t>
  </si>
  <si>
    <t>ROMI ALAMSAH</t>
  </si>
  <si>
    <t>tkr20259745.siswa@smkn12malang.sch.id</t>
  </si>
  <si>
    <t>0099487999</t>
  </si>
  <si>
    <t>SANDI ARTA JAYA</t>
  </si>
  <si>
    <t>tkr20259761.siswa@smkn12malang.sch.id</t>
  </si>
  <si>
    <t>3102102143</t>
  </si>
  <si>
    <t>TIO ADE EXCEL VEBRIANTO</t>
  </si>
  <si>
    <t>tkr20259808.siswa@smkn12malang.sch.id</t>
  </si>
  <si>
    <t>0092839639</t>
  </si>
  <si>
    <t>ZIRLY TSAMARA AL FAQI</t>
  </si>
  <si>
    <t>tkr20259850.siswa@smkn12malang.sch.id</t>
  </si>
  <si>
    <t>0101422808</t>
  </si>
  <si>
    <t>ABIMANYU ADI WITJAKSONO</t>
  </si>
  <si>
    <t>tsm20259248.siswa@smkn12malang.sch.id</t>
  </si>
  <si>
    <t>0093610910</t>
  </si>
  <si>
    <t>ACHMAD FARREL ZAKY</t>
  </si>
  <si>
    <t>tsm20259254.siswa@smkn12malang.sch.id</t>
  </si>
  <si>
    <t>0101904902</t>
  </si>
  <si>
    <t>AFIF MADANI</t>
  </si>
  <si>
    <t>tsm20259268.siswa@smkn12malang.sch.id</t>
  </si>
  <si>
    <t>0091286237</t>
  </si>
  <si>
    <t>AGUNG SANTOSO</t>
  </si>
  <si>
    <t>tsm20259273.siswa@smkn12malang.sch.id</t>
  </si>
  <si>
    <t>0094852712</t>
  </si>
  <si>
    <t>AHMAD FARHAN RAMADHANI</t>
  </si>
  <si>
    <t>tsm20259278.siswa@smkn12malang.sch.id</t>
  </si>
  <si>
    <t>0095315677</t>
  </si>
  <si>
    <t>ALFIAN FALENTA AGUSTINE</t>
  </si>
  <si>
    <t>tsm20259300.siswa@smkn12malang.sch.id</t>
  </si>
  <si>
    <t>0107737543</t>
  </si>
  <si>
    <t>ANANDA ZACKY PUTRA INDRIANSYAH</t>
  </si>
  <si>
    <t>tsm20259320.siswa@smkn12malang.sch.id</t>
  </si>
  <si>
    <t>0096981208</t>
  </si>
  <si>
    <t>ARDIAN MUHAMMAD HERNANDA</t>
  </si>
  <si>
    <t>tsm20259338.siswa@smkn12malang.sch.id</t>
  </si>
  <si>
    <t>0098393546</t>
  </si>
  <si>
    <t>AZKA IZHAM AL BAIHAQI</t>
  </si>
  <si>
    <t>tsm20259369.siswa@smkn12malang.sch.id</t>
  </si>
  <si>
    <t>0108697385</t>
  </si>
  <si>
    <t>CHRISNAWAN SUGIARTO</t>
  </si>
  <si>
    <t>tsm20259390.siswa@smkn12malang.sch.id</t>
  </si>
  <si>
    <t>3100696080</t>
  </si>
  <si>
    <t>DAFFA ABIZAR AL GHIFARI</t>
  </si>
  <si>
    <t>tsm20259400.siswa@smkn12malang.sch.id</t>
  </si>
  <si>
    <t>0108506189</t>
  </si>
  <si>
    <t>DUWI RAFKA VALENTINO</t>
  </si>
  <si>
    <t>tsm20259427.siswa@smkn12malang.sch.id</t>
  </si>
  <si>
    <t>0094164818</t>
  </si>
  <si>
    <t>EZAR MUZA ATALAH</t>
  </si>
  <si>
    <t>tsm20259440.siswa@smkn12malang.sch.id</t>
  </si>
  <si>
    <t>0088136611</t>
  </si>
  <si>
    <t>FAILUN NUGROHO</t>
  </si>
  <si>
    <t>tsm20259442.siswa@smkn12malang.sch.id</t>
  </si>
  <si>
    <t>0091112123</t>
  </si>
  <si>
    <t>FIQI ANDRIANSYAH</t>
  </si>
  <si>
    <t>tsm20259465.siswa@smkn12malang.sch.id</t>
  </si>
  <si>
    <t>0102961132</t>
  </si>
  <si>
    <t>IFAN MAULANA</t>
  </si>
  <si>
    <t>tsm20259490.siswa@smkn12malang.sch.id</t>
  </si>
  <si>
    <t>0096873193</t>
  </si>
  <si>
    <t>JANARGANA KAINDRA SATWIKA</t>
  </si>
  <si>
    <t>tsm20259504.siswa@smkn12malang.sch.id</t>
  </si>
  <si>
    <t>0106444663</t>
  </si>
  <si>
    <t>KAFA RIZKI BAYU PRATAMA</t>
  </si>
  <si>
    <t>tsm20259512.siswa@smkn12malang.sch.id</t>
  </si>
  <si>
    <t>0107169227</t>
  </si>
  <si>
    <t>LIONEL ICAN DEXTAFENDA</t>
  </si>
  <si>
    <t>tsm20259536.siswa@smkn12malang.sch.id</t>
  </si>
  <si>
    <t>0093957943</t>
  </si>
  <si>
    <t>MOCH BAGUS BAIZAKY</t>
  </si>
  <si>
    <t>tsm20259564.siswa@smkn12malang.sch.id</t>
  </si>
  <si>
    <t>0095852333</t>
  </si>
  <si>
    <t>MOCH RISKY ALDIANSYAH</t>
  </si>
  <si>
    <t>tsm20259569.siswa@smkn12malang.sch.id</t>
  </si>
  <si>
    <t>0091500548</t>
  </si>
  <si>
    <t>MOCHAMMAD ALDIANSYAH DWI MAHARDIKA</t>
  </si>
  <si>
    <t>tsm20259580.siswa@smkn12malang.sch.id</t>
  </si>
  <si>
    <t>0092224433</t>
  </si>
  <si>
    <t>MOH NOVA SIFA CANDRA BUDI</t>
  </si>
  <si>
    <t>tsm20259590.siswa@smkn12malang.sch.id</t>
  </si>
  <si>
    <t>0106602117</t>
  </si>
  <si>
    <t>MOHAMMAD AZHFAR SURINGPATI</t>
  </si>
  <si>
    <t>tsm20259595.siswa@smkn12malang.sch.id</t>
  </si>
  <si>
    <t>0092839561</t>
  </si>
  <si>
    <t>MUCHAMMAD WILDAN MAULANA</t>
  </si>
  <si>
    <t>tsm20259600.siswa@smkn12malang.sch.id</t>
  </si>
  <si>
    <t>0107417090</t>
  </si>
  <si>
    <t>MUHAMMAD ARDANI PUTRA ALFARIZI</t>
  </si>
  <si>
    <t>tsm20259612.siswa@smkn12malang.sch.id</t>
  </si>
  <si>
    <t>0093114045</t>
  </si>
  <si>
    <t>MUHAMMAD HILLDAN</t>
  </si>
  <si>
    <t>tsm20259623.siswa@smkn12malang.sch.id</t>
  </si>
  <si>
    <t>0099657057</t>
  </si>
  <si>
    <t>MUHAMMAD IHSAN PRASETYO</t>
  </si>
  <si>
    <t>tsm20259626.siswa@smkn12malang.sch.id</t>
  </si>
  <si>
    <t>0108813356</t>
  </si>
  <si>
    <t>MUHAMMAT MAULANA MABDUM IBRAHIM</t>
  </si>
  <si>
    <t>tsm20259641.siswa@smkn12malang.sch.id</t>
  </si>
  <si>
    <t>0092089575</t>
  </si>
  <si>
    <t>PUTRA FAJAR NUGROHO</t>
  </si>
  <si>
    <t>tsm20259686.siswa@smkn12malang.sch.id</t>
  </si>
  <si>
    <t>0097562547</t>
  </si>
  <si>
    <t>RAHMAT AZRIEL FAHLEVI</t>
  </si>
  <si>
    <t>tsm20259705.siswa@smkn12malang.sch.id</t>
  </si>
  <si>
    <t>0091168116</t>
  </si>
  <si>
    <t>REZA RAMADANI PRATAMA</t>
  </si>
  <si>
    <t>tsm20259728.siswa@smkn12malang.sch.id</t>
  </si>
  <si>
    <t>0099242454</t>
  </si>
  <si>
    <t>SAKTIAWAN WALIYUDIN</t>
  </si>
  <si>
    <t>tsm20259754.siswa@smkn12malang.sch.id</t>
  </si>
  <si>
    <t>0107312520</t>
  </si>
  <si>
    <t>SATRIYO PRATAMA</t>
  </si>
  <si>
    <t>tsm20259768.siswa@smkn12malang.sch.id</t>
  </si>
  <si>
    <t>0102538097</t>
  </si>
  <si>
    <t>WISYAM SYARIFUDDIN</t>
  </si>
  <si>
    <t>tsm20259826.siswa@smkn12malang.sch.id</t>
  </si>
  <si>
    <t>0108254771</t>
  </si>
  <si>
    <t>YOGA DWI PRANATA</t>
  </si>
  <si>
    <t>tsm20259830.siswa@smkn12malang.sch.id</t>
  </si>
  <si>
    <t>0102889823</t>
  </si>
  <si>
    <t>ACHMAD BAIHAQI AFRIANSYAH</t>
  </si>
  <si>
    <t>tsm20259251.siswa@smkn12malang.sch.id</t>
  </si>
  <si>
    <t>0094534034</t>
  </si>
  <si>
    <t>ADI PRATAMA IBNU HADI</t>
  </si>
  <si>
    <t>tsm20259261.siswa@smkn12malang.sch.id</t>
  </si>
  <si>
    <t>0092680470</t>
  </si>
  <si>
    <t>AGENG WAHANA AMININ</t>
  </si>
  <si>
    <t>tsm20259270.siswa@smkn12malang.sch.id</t>
  </si>
  <si>
    <t>0093501811</t>
  </si>
  <si>
    <t>AGUS ROMADHONI</t>
  </si>
  <si>
    <t>tsm20259274.siswa@smkn12malang.sch.id</t>
  </si>
  <si>
    <t>0101533921</t>
  </si>
  <si>
    <t>AHMAD KAMIL</t>
  </si>
  <si>
    <t>tsm20259282.siswa@smkn12malang.sch.id</t>
  </si>
  <si>
    <t>0106531846</t>
  </si>
  <si>
    <t>ALQYA SURYA PUTRA DUATA</t>
  </si>
  <si>
    <t>tsm20259310.siswa@smkn12malang.sch.id</t>
  </si>
  <si>
    <t>0097712330</t>
  </si>
  <si>
    <t>ANDI BASKARA YUDHA</t>
  </si>
  <si>
    <t>tsm20259323.siswa@smkn12malang.sch.id</t>
  </si>
  <si>
    <t>0092162374</t>
  </si>
  <si>
    <t>AXEL ABI KHINZA RAFIF FARRAS</t>
  </si>
  <si>
    <t>tsm20259362.siswa@smkn12malang.sch.id</t>
  </si>
  <si>
    <t>0093466259</t>
  </si>
  <si>
    <t>BAGUS DWI SAPUTRA</t>
  </si>
  <si>
    <t>tsm20259372.siswa@smkn12malang.sch.id</t>
  </si>
  <si>
    <t>0096833518</t>
  </si>
  <si>
    <t>CHYKO RAMADHAN PUTRA IRAWAN</t>
  </si>
  <si>
    <t>tsm20259391.siswa@smkn12malang.sch.id</t>
  </si>
  <si>
    <t>0091598891</t>
  </si>
  <si>
    <t>DIMAS HAMSYAH PUTRA PRASETYA</t>
  </si>
  <si>
    <t>oto20248797.siswa@smkn12malang.sch.id</t>
  </si>
  <si>
    <t>0109783035</t>
  </si>
  <si>
    <t>DWIJAYA HARTANTO</t>
  </si>
  <si>
    <t>tsm20259428.siswa@smkn12malang.sch.id</t>
  </si>
  <si>
    <t>0095793798</t>
  </si>
  <si>
    <t>EZZA OKTAVIAN PRATAMA</t>
  </si>
  <si>
    <t>tsm20259441.siswa@smkn12malang.sch.id</t>
  </si>
  <si>
    <t>0103126989</t>
  </si>
  <si>
    <t>FAIZ DWI FIRMANSYAH</t>
  </si>
  <si>
    <t>tsm20259443.siswa@smkn12malang.sch.id</t>
  </si>
  <si>
    <t>0098712417</t>
  </si>
  <si>
    <t>GILANG RIZKY ADITYA RAMADHAN</t>
  </si>
  <si>
    <t>tsm20259475.siswa@smkn12malang.sch.id</t>
  </si>
  <si>
    <t>0091692271</t>
  </si>
  <si>
    <t>IKHSAN BAGUS SEPTIAWAN</t>
  </si>
  <si>
    <t>tsm20259491.siswa@smkn12malang.sch.id</t>
  </si>
  <si>
    <t>3094973038</t>
  </si>
  <si>
    <t>JEFRI NURDIANSYAH</t>
  </si>
  <si>
    <t>tsm20259506.siswa@smkn12malang.sch.id</t>
  </si>
  <si>
    <t>0092839199</t>
  </si>
  <si>
    <t>KHALIF ZAYDAN IRWANSYAH</t>
  </si>
  <si>
    <t>tsm20259523.siswa@smkn12malang.sch.id</t>
  </si>
  <si>
    <t>0104197660</t>
  </si>
  <si>
    <t>LUTFIAN RADITYA FIRMANSYAH</t>
  </si>
  <si>
    <t>tsm20259541.siswa@smkn12malang.sch.id</t>
  </si>
  <si>
    <t>0099398108</t>
  </si>
  <si>
    <t>MOCH NAFIDZ YUSRIL IZZA MAHENDRA</t>
  </si>
  <si>
    <t>tsm20259567.siswa@smkn12malang.sch.id</t>
  </si>
  <si>
    <t>0096722066</t>
  </si>
  <si>
    <t>MOCHAMMAD AFAN ALFIANSYAH</t>
  </si>
  <si>
    <t>tsm20259578.siswa@smkn12malang.sch.id</t>
  </si>
  <si>
    <t>0104793623</t>
  </si>
  <si>
    <t>MOCHAMMAD YUDHA APRILIANTO PUTRA</t>
  </si>
  <si>
    <t>tsm20259588.siswa@smkn12malang.sch.id</t>
  </si>
  <si>
    <t>0093161477</t>
  </si>
  <si>
    <t>MOHAMMAD ALVIN</t>
  </si>
  <si>
    <t>tsm20259594.siswa@smkn12malang.sch.id</t>
  </si>
  <si>
    <t>0096732576</t>
  </si>
  <si>
    <t>MUCHAMAD ANDHYKA PUTRA P</t>
  </si>
  <si>
    <t>tsm20259598.siswa@smkn12malang.sch.id</t>
  </si>
  <si>
    <t>0094070504</t>
  </si>
  <si>
    <t>MUHAMAD ARJUNA DROGBA PRASETIYO</t>
  </si>
  <si>
    <t>tsm20259601.siswa@smkn12malang.sch.id</t>
  </si>
  <si>
    <t>0087322336</t>
  </si>
  <si>
    <t>MUHAMMAD FATDLI NASRULLUHWOH</t>
  </si>
  <si>
    <t>tsm20259620.siswa@smkn12malang.sch.id</t>
  </si>
  <si>
    <t>0101494289</t>
  </si>
  <si>
    <t>MUHAMMAD IBRA ADITYA</t>
  </si>
  <si>
    <t>tsm20259625.siswa@smkn12malang.sch.id</t>
  </si>
  <si>
    <t>0095280206</t>
  </si>
  <si>
    <t>MUHAMMAD IVANDER PUTRA RAMADHANI</t>
  </si>
  <si>
    <t>tsm20259628.siswa@smkn12malang.sch.id</t>
  </si>
  <si>
    <t>0106641185</t>
  </si>
  <si>
    <t>NUR JABAR HAYYUN</t>
  </si>
  <si>
    <t>tsm20259676.siswa@smkn12malang.sch.id</t>
  </si>
  <si>
    <t>0095041112</t>
  </si>
  <si>
    <t>RADITYA DAMARIS PUTRA WAHYUDI</t>
  </si>
  <si>
    <t>tsm20259697.siswa@smkn12malang.sch.id</t>
  </si>
  <si>
    <t>0098712645</t>
  </si>
  <si>
    <t>REVANO ERLANGGA SAPUTRA</t>
  </si>
  <si>
    <t>tsm20259725.siswa@smkn12malang.sch.id</t>
  </si>
  <si>
    <t>0089489336</t>
  </si>
  <si>
    <t>RIZKI JAYA SAPUTRA</t>
  </si>
  <si>
    <t>tsm20259741.siswa@smkn12malang.sch.id</t>
  </si>
  <si>
    <t>0092409236</t>
  </si>
  <si>
    <t>SATRIA FRANCO WIJAYA</t>
  </si>
  <si>
    <t>tsm20259767.siswa@smkn12malang.sch.id</t>
  </si>
  <si>
    <t>3091146329</t>
  </si>
  <si>
    <t>TEGUH SISWANTO</t>
  </si>
  <si>
    <t>tsm20259806.siswa@smkn12malang.sch.id</t>
  </si>
  <si>
    <t>0086796810</t>
  </si>
  <si>
    <t>YAHYA ANDI DARMAWAN</t>
  </si>
  <si>
    <t>tsm20259828.siswa@smkn12malang.sch.id</t>
  </si>
  <si>
    <t>0092125119</t>
  </si>
  <si>
    <t>YUSUF FIRMANSYAH</t>
  </si>
  <si>
    <t>tsm20259836.siswa@smkn12malang.sch.id</t>
  </si>
  <si>
    <t>0097044089</t>
  </si>
  <si>
    <t>ABDILLAH ASAD AL ABROR CHIYUN</t>
  </si>
  <si>
    <t>XI</t>
  </si>
  <si>
    <t>0084260340</t>
  </si>
  <si>
    <t>ADINDA NUR AMALIA PUTRI</t>
  </si>
  <si>
    <t>0088663748</t>
  </si>
  <si>
    <t>AISYAH BAQIATUS SHOLIKHA</t>
  </si>
  <si>
    <t>0093902084</t>
  </si>
  <si>
    <t>AMANDA PUTRI YOKANAN</t>
  </si>
  <si>
    <t>0087947569</t>
  </si>
  <si>
    <t>ANISA EKA WAHYUNI</t>
  </si>
  <si>
    <t>0086985976</t>
  </si>
  <si>
    <t>APRILIA ISMA WARDANI</t>
  </si>
  <si>
    <t>0094243521</t>
  </si>
  <si>
    <t>AURELLIA FALICHAH ISMAIL</t>
  </si>
  <si>
    <t>0096928171</t>
  </si>
  <si>
    <t>DESTIFANY SANNU DUARTA</t>
  </si>
  <si>
    <t>0095369823</t>
  </si>
  <si>
    <t>DZIKRINA KANZA HAYU LABIBA</t>
  </si>
  <si>
    <t>0092625747</t>
  </si>
  <si>
    <t>FARRADILA DWI RAMADHANI</t>
  </si>
  <si>
    <t>0091019981</t>
  </si>
  <si>
    <t>FATHYA AZZAHRA CHIYUN</t>
  </si>
  <si>
    <t>0099143711</t>
  </si>
  <si>
    <t>GRACIA YULIANA BETRA</t>
  </si>
  <si>
    <t>0096586042</t>
  </si>
  <si>
    <t>GRISELDA TSURAYYA</t>
  </si>
  <si>
    <t>0097176878</t>
  </si>
  <si>
    <t>INDAH TRI CAHYANI</t>
  </si>
  <si>
    <t>3080394112</t>
  </si>
  <si>
    <t>IRMA WAHYUNINGSIH</t>
  </si>
  <si>
    <t>0081015258</t>
  </si>
  <si>
    <t>ISMI LUTFIAH RAMADHANI</t>
  </si>
  <si>
    <t>0096527480</t>
  </si>
  <si>
    <t>IVANEZS CALISTA VERANY</t>
  </si>
  <si>
    <t>0089644269</t>
  </si>
  <si>
    <t>JESSICA SHINTA DEWI ARIANTI</t>
  </si>
  <si>
    <t>0089623207</t>
  </si>
  <si>
    <t>KEYSA WULAN MARTHA SARI</t>
  </si>
  <si>
    <t>0091452775</t>
  </si>
  <si>
    <t>MARIA AMELIA EVANGELISTA S</t>
  </si>
  <si>
    <t>0087733737</t>
  </si>
  <si>
    <t>MARSHA VIOLA SABRINA JASMINE</t>
  </si>
  <si>
    <t>0095488379</t>
  </si>
  <si>
    <t>MUHAMMAD ALTHAF JANUARIZQI ADJI</t>
  </si>
  <si>
    <t>0086081764</t>
  </si>
  <si>
    <t>MUTIARA MARGARETA</t>
  </si>
  <si>
    <t>0097124848</t>
  </si>
  <si>
    <t>NABILAH BERLIANA SYAHADA</t>
  </si>
  <si>
    <t>0093897133</t>
  </si>
  <si>
    <t>NAZHWA SHABILA MAHARANI</t>
  </si>
  <si>
    <t>0095880101</t>
  </si>
  <si>
    <t>SABRINA MESTY NURLITA</t>
  </si>
  <si>
    <t>0084903442</t>
  </si>
  <si>
    <t>SANDRA AISYA FARLA</t>
  </si>
  <si>
    <t>0092371832</t>
  </si>
  <si>
    <t>SAVRILLA ZARKA PURWANDINI</t>
  </si>
  <si>
    <t>0091308681</t>
  </si>
  <si>
    <t>SHEYLA MEY FARISKA</t>
  </si>
  <si>
    <t>0082074727</t>
  </si>
  <si>
    <t>SITI NUR CHOLILAH</t>
  </si>
  <si>
    <t>0099561060</t>
  </si>
  <si>
    <t>SRI MELATI PUTRIKO</t>
  </si>
  <si>
    <t>3095823623</t>
  </si>
  <si>
    <t>SYAFANA ANATASYA ARYANTIKA</t>
  </si>
  <si>
    <t>0089019228</t>
  </si>
  <si>
    <t>TASYA FIDIA VENSKA PUTRI</t>
  </si>
  <si>
    <t>0099287022</t>
  </si>
  <si>
    <t>VANIA AUBERTHA ELDYA</t>
  </si>
  <si>
    <t>0092187057</t>
  </si>
  <si>
    <t>ZAHRATUS SITA OCTAVIANI</t>
  </si>
  <si>
    <t>0096597303</t>
  </si>
  <si>
    <t>ZULFA NAFISA EKA SURYA</t>
  </si>
  <si>
    <t>0089756890</t>
  </si>
  <si>
    <t>ABID AL-GHIFANI</t>
  </si>
  <si>
    <t>0158865059</t>
  </si>
  <si>
    <t>AGUNG FIRMANSYAH</t>
  </si>
  <si>
    <t>0094470261</t>
  </si>
  <si>
    <t>AISYATURODIYAH AZ ZAHRA</t>
  </si>
  <si>
    <t>0098424388</t>
  </si>
  <si>
    <t>ALEENA NADIVA HARIADI</t>
  </si>
  <si>
    <t>0098375366</t>
  </si>
  <si>
    <t>ARIFAH MEISYA AZZAHRO</t>
  </si>
  <si>
    <t>0088987830</t>
  </si>
  <si>
    <t>AYU ANDINI BERLINDA</t>
  </si>
  <si>
    <t>0088632625</t>
  </si>
  <si>
    <t>BENING ALIFYA</t>
  </si>
  <si>
    <t>0084918240</t>
  </si>
  <si>
    <t>BUNGA NIRMALA</t>
  </si>
  <si>
    <t>0087296089</t>
  </si>
  <si>
    <t>CHALESYA MUTIARANING ANGGUN</t>
  </si>
  <si>
    <t>0097969273</t>
  </si>
  <si>
    <t>CHERYLL FLOWRENCIA ARNELLITA KUSUMA</t>
  </si>
  <si>
    <t>0084473686</t>
  </si>
  <si>
    <t>DAVINA NAURA</t>
  </si>
  <si>
    <t>0087328119</t>
  </si>
  <si>
    <t>DECHANIA MUTIARA ANDINI</t>
  </si>
  <si>
    <t>0093520752</t>
  </si>
  <si>
    <t>DEVI LAILATUL MARDIYAH</t>
  </si>
  <si>
    <t>0820309909</t>
  </si>
  <si>
    <t>DINI OKTASAFITRI KISWONO</t>
  </si>
  <si>
    <t>0081610535</t>
  </si>
  <si>
    <t>DISA PUTRI NADIA</t>
  </si>
  <si>
    <t>0096121966</t>
  </si>
  <si>
    <t>ESTIANA</t>
  </si>
  <si>
    <t>0087971572</t>
  </si>
  <si>
    <t>HAIFA SALSABILA RAMADANI</t>
  </si>
  <si>
    <t>0095366748</t>
  </si>
  <si>
    <t>INTAN DELIWANTARI FERONIKA NDOLU</t>
  </si>
  <si>
    <t>0098922169</t>
  </si>
  <si>
    <t>KAYLA AZARA SAMBERA</t>
  </si>
  <si>
    <t>0084594311</t>
  </si>
  <si>
    <t>KAYLILA PUSPITA NADA RAMADHANI</t>
  </si>
  <si>
    <t>0088456001</t>
  </si>
  <si>
    <t>LAUDYA CINTIA BELLA</t>
  </si>
  <si>
    <t>0089488462</t>
  </si>
  <si>
    <t>LILLAH AULYA MASULA</t>
  </si>
  <si>
    <t>0095739106</t>
  </si>
  <si>
    <t>LUNA DEWI KARTIKA SARI</t>
  </si>
  <si>
    <t>0099988718</t>
  </si>
  <si>
    <t>MUHAMMAD RAYHAN MUBAROK</t>
  </si>
  <si>
    <t>0089397607</t>
  </si>
  <si>
    <t>NABILA AFIYAH LESTARI</t>
  </si>
  <si>
    <t>0079551585</t>
  </si>
  <si>
    <t>NOFI PUTRI HAFI</t>
  </si>
  <si>
    <t>0083379032</t>
  </si>
  <si>
    <t>PUTRI MEYLDA SILVIA</t>
  </si>
  <si>
    <t>3085100661</t>
  </si>
  <si>
    <t>RESKI PEBRIANA Z</t>
  </si>
  <si>
    <t>0081510252</t>
  </si>
  <si>
    <t>RINI WIDIYANTI</t>
  </si>
  <si>
    <t>3095374889</t>
  </si>
  <si>
    <t>RISMA KHALILA ALQISNNA</t>
  </si>
  <si>
    <t>0085327460</t>
  </si>
  <si>
    <t>SHALWA RIANJANI</t>
  </si>
  <si>
    <t>0089244783</t>
  </si>
  <si>
    <t>SHOFIYAH</t>
  </si>
  <si>
    <t>0085124473</t>
  </si>
  <si>
    <t>SRI AJENG</t>
  </si>
  <si>
    <t>0096855098</t>
  </si>
  <si>
    <t>VANESYA NURMAYASARI</t>
  </si>
  <si>
    <t>0096656506</t>
  </si>
  <si>
    <t>VINNA AULIA</t>
  </si>
  <si>
    <t>0088872477</t>
  </si>
  <si>
    <t>WULAN SUCI MAHARANI</t>
  </si>
  <si>
    <t>0066407093</t>
  </si>
  <si>
    <t>ADITYA JAYA</t>
  </si>
  <si>
    <t>0091190713</t>
  </si>
  <si>
    <t>AMANDA JUNIA AMELIA</t>
  </si>
  <si>
    <t>0081452602</t>
  </si>
  <si>
    <t>AMELIA BUNGA SYAFITRI</t>
  </si>
  <si>
    <t>0088777630</t>
  </si>
  <si>
    <t>ANISA RAHMAWATI</t>
  </si>
  <si>
    <t>0087429424</t>
  </si>
  <si>
    <t>AURA WAHYU AULIA</t>
  </si>
  <si>
    <t>0082603584</t>
  </si>
  <si>
    <t>DIVA WULANDARI</t>
  </si>
  <si>
    <t>0099529307</t>
  </si>
  <si>
    <t>DJENAR SENDANG LARASATI</t>
  </si>
  <si>
    <t>0082356351</t>
  </si>
  <si>
    <t>ELISA PUTRI</t>
  </si>
  <si>
    <t>0091501488</t>
  </si>
  <si>
    <t>ELSA AFNATA FIRNANDA</t>
  </si>
  <si>
    <t>0098129158</t>
  </si>
  <si>
    <t>ESTI MARDI BUDI UTAMI</t>
  </si>
  <si>
    <t>3093761714</t>
  </si>
  <si>
    <t>FARIDATUL HIKMA SILFIA</t>
  </si>
  <si>
    <t>3087519945</t>
  </si>
  <si>
    <t>FERISSA ANJANI PUTRI</t>
  </si>
  <si>
    <t>3098253325</t>
  </si>
  <si>
    <t>FERNANDA NUR WAHYUNINGTYAS</t>
  </si>
  <si>
    <t>0095804744</t>
  </si>
  <si>
    <t>FINNA NAYSILA KRISANI</t>
  </si>
  <si>
    <t>0097164492</t>
  </si>
  <si>
    <t>FINO JEVERA JUHARI</t>
  </si>
  <si>
    <t>0082514331</t>
  </si>
  <si>
    <t>GALIH DWI RAMADHANI</t>
  </si>
  <si>
    <t>0092848299</t>
  </si>
  <si>
    <t>GISKA AURELIA ROSADI</t>
  </si>
  <si>
    <t>3090977772</t>
  </si>
  <si>
    <t>INTAN AULIA RAMADHANI</t>
  </si>
  <si>
    <t>0087311627</t>
  </si>
  <si>
    <t>JIHAN ALSYIFA RAMADHANI</t>
  </si>
  <si>
    <t>0088757122</t>
  </si>
  <si>
    <t>LOVI ASRI ANDRIANI</t>
  </si>
  <si>
    <t>0092437850</t>
  </si>
  <si>
    <t>MEITA GALUH NATASYA</t>
  </si>
  <si>
    <t>0098587288</t>
  </si>
  <si>
    <t>MEYSAH ASILAH AZZARA</t>
  </si>
  <si>
    <t>0082383257</t>
  </si>
  <si>
    <t>MUHAMMAD RAZEF ISNANTO</t>
  </si>
  <si>
    <t>3092877273</t>
  </si>
  <si>
    <t>NADINE CLARISTA PUTRI</t>
  </si>
  <si>
    <t>0071360720</t>
  </si>
  <si>
    <t>NAJWA PUTRI WINARTO</t>
  </si>
  <si>
    <t>0094999045</t>
  </si>
  <si>
    <t>NASHWA MAULIDINA KIRANA</t>
  </si>
  <si>
    <t>0081057646</t>
  </si>
  <si>
    <t>NEYNALIFIAH EDY SUPRIONO</t>
  </si>
  <si>
    <t>0087992723</t>
  </si>
  <si>
    <t>NINDA FARADINATA</t>
  </si>
  <si>
    <t>0079559596</t>
  </si>
  <si>
    <t>NURUL AFIFAH</t>
  </si>
  <si>
    <t>0093673710</t>
  </si>
  <si>
    <t>NURUL MAULIDIA</t>
  </si>
  <si>
    <t>0098712871</t>
  </si>
  <si>
    <t>OLIVIA FITRIYANI</t>
  </si>
  <si>
    <t>0087442942</t>
  </si>
  <si>
    <t>RISMA NADIA AFRIYANI</t>
  </si>
  <si>
    <t>0084164474</t>
  </si>
  <si>
    <t>SAGITA EKA CAHYA RAHMADHANI</t>
  </si>
  <si>
    <t>0086801505</t>
  </si>
  <si>
    <t>SHERIL IFAH HABIBAH MAHARANI</t>
  </si>
  <si>
    <t>0089758902</t>
  </si>
  <si>
    <t>SHIREN PUTRI AFRICIA</t>
  </si>
  <si>
    <t>3089968890</t>
  </si>
  <si>
    <t>WIDYA AYU NIKITA SARI</t>
  </si>
  <si>
    <t>0083444998</t>
  </si>
  <si>
    <t>ADINDA SOFYA SARI</t>
  </si>
  <si>
    <t>0085634418</t>
  </si>
  <si>
    <t>ANDIEN NAJLA BALQIS FADHILAH</t>
  </si>
  <si>
    <t>0083984345</t>
  </si>
  <si>
    <t>ANGGUN VIONA MEILANI PUTRI</t>
  </si>
  <si>
    <t>0093453096</t>
  </si>
  <si>
    <t>0086236564</t>
  </si>
  <si>
    <t>ARYA ARDHIANSYAH KUSUMA PUTRA</t>
  </si>
  <si>
    <t>3091206691</t>
  </si>
  <si>
    <t>ATADIA YUSTINA ANGGRAENI</t>
  </si>
  <si>
    <t>0097802268</t>
  </si>
  <si>
    <t>AURA NURSYFA YULIANANDA</t>
  </si>
  <si>
    <t>0076124042</t>
  </si>
  <si>
    <t>CINTA OKTAVIASARI</t>
  </si>
  <si>
    <t>0084284532</t>
  </si>
  <si>
    <t>ELINDA VELLIN PUTRI P</t>
  </si>
  <si>
    <t>0084956122</t>
  </si>
  <si>
    <t>GIZCA RADISTI PRAMESWARI</t>
  </si>
  <si>
    <t>0089017463</t>
  </si>
  <si>
    <t>JESSICA RIZA ADITYA PUTRI</t>
  </si>
  <si>
    <t>0097916305</t>
  </si>
  <si>
    <t>LAILATUL FITRI SEPTIANTI RAMADANI</t>
  </si>
  <si>
    <t>3090562033</t>
  </si>
  <si>
    <t>LAILATUL MAGFIROH</t>
  </si>
  <si>
    <t>0095468887</t>
  </si>
  <si>
    <t>LAURIZQI CAHYA DINANTI</t>
  </si>
  <si>
    <t>0086399840</t>
  </si>
  <si>
    <t>LEVILYA LOMA MAGANI</t>
  </si>
  <si>
    <t>0097590285</t>
  </si>
  <si>
    <t>MARIA JOLIE ANGELINA</t>
  </si>
  <si>
    <t>0087614310</t>
  </si>
  <si>
    <t>MEY MAULIDANTY</t>
  </si>
  <si>
    <t>0081901551</t>
  </si>
  <si>
    <t>MOCHAMMAD ALIF FACHRUDIN</t>
  </si>
  <si>
    <t>0085681241</t>
  </si>
  <si>
    <t>MUTHIA DWI KAMILA</t>
  </si>
  <si>
    <t>0098163230</t>
  </si>
  <si>
    <t>NEYCELA ERIZKA PUTRI</t>
  </si>
  <si>
    <t>0083130852</t>
  </si>
  <si>
    <t>NIMATUL FITRIYAH</t>
  </si>
  <si>
    <t>0082483641</t>
  </si>
  <si>
    <t>NUR AYU BT SAHRI SRI WIJAYANTI</t>
  </si>
  <si>
    <t>0084062506</t>
  </si>
  <si>
    <t>OKTAVIA CHINTYA PRATIWI</t>
  </si>
  <si>
    <t>0085067424</t>
  </si>
  <si>
    <t>PUTRI ANGGUN ANDIANI</t>
  </si>
  <si>
    <t>0089705319</t>
  </si>
  <si>
    <t>RAHMA DWI YULIANI</t>
  </si>
  <si>
    <t>3090572633</t>
  </si>
  <si>
    <t>RIFKI PUTRA PRATAMA</t>
  </si>
  <si>
    <t>0097921505</t>
  </si>
  <si>
    <t>SALMA TANIA PUTRI</t>
  </si>
  <si>
    <t>0096187443</t>
  </si>
  <si>
    <t>SALSABILLA ARLETTA RAMADHANIA</t>
  </si>
  <si>
    <t>0084085844</t>
  </si>
  <si>
    <t>SAVINA WAHYUNINGTYAS</t>
  </si>
  <si>
    <t>0089315386</t>
  </si>
  <si>
    <t>SEKAR AYU CAHYANINGRUM</t>
  </si>
  <si>
    <t>0084855791</t>
  </si>
  <si>
    <t>SHAVRILLA AQUINA DESSY TALICYA</t>
  </si>
  <si>
    <t>0092611622</t>
  </si>
  <si>
    <t>SYFA PUTRI FELISA</t>
  </si>
  <si>
    <t>0099921859</t>
  </si>
  <si>
    <t>THIRZA CERYLLIA SHAFA</t>
  </si>
  <si>
    <t>0087378935</t>
  </si>
  <si>
    <t>VIRA OKTAVIA</t>
  </si>
  <si>
    <t>0097816896</t>
  </si>
  <si>
    <t>ZAHRA VIDYANATA NUHUDI</t>
  </si>
  <si>
    <t>0088663696</t>
  </si>
  <si>
    <t>ZERLINDA KENJI ASMARADHITA</t>
  </si>
  <si>
    <t>0094348132</t>
  </si>
  <si>
    <t>AISYAH YUANITA AULIA</t>
  </si>
  <si>
    <t>3084736213</t>
  </si>
  <si>
    <t>ANGGUN PUTRI WULANDARI</t>
  </si>
  <si>
    <t>0081210306</t>
  </si>
  <si>
    <t>ANISA TRISNAWATI</t>
  </si>
  <si>
    <t>0097419611</t>
  </si>
  <si>
    <t>ARISKA NURUL AZUMI</t>
  </si>
  <si>
    <t>3098457266</t>
  </si>
  <si>
    <t>AURA PERMATA KASIH</t>
  </si>
  <si>
    <t>0084130868</t>
  </si>
  <si>
    <t>AURELLIO ATSAL RAMADHANI</t>
  </si>
  <si>
    <t>0093096025</t>
  </si>
  <si>
    <t>CINTA SALSA AURA ADIBA</t>
  </si>
  <si>
    <t>0085079856</t>
  </si>
  <si>
    <t>CLAFLA GLORIA MATALIDO</t>
  </si>
  <si>
    <t>0086558947</t>
  </si>
  <si>
    <t>DELA MARISKA</t>
  </si>
  <si>
    <t>0076219590</t>
  </si>
  <si>
    <t>DEVANDO JULIANDRA PUTRA</t>
  </si>
  <si>
    <t>0084113680</t>
  </si>
  <si>
    <t>DIAN RATNA SARI</t>
  </si>
  <si>
    <t>0087018994</t>
  </si>
  <si>
    <t>DWI RIZKA APRILIA PUTRI</t>
  </si>
  <si>
    <t>0081116085</t>
  </si>
  <si>
    <t>ERINA CHOIROTUZ ZAHRO</t>
  </si>
  <si>
    <t>0091679032</t>
  </si>
  <si>
    <t>FAVIAN RAFA DIAN</t>
  </si>
  <si>
    <t>0089071438</t>
  </si>
  <si>
    <t>FELLANI LUNETTA PUTRI</t>
  </si>
  <si>
    <t>0086402907</t>
  </si>
  <si>
    <t>FIFANAH DEVITASARI</t>
  </si>
  <si>
    <t>0091352438</t>
  </si>
  <si>
    <t>MARSHA AFRILA NUR AVIZHA</t>
  </si>
  <si>
    <t>0093380716</t>
  </si>
  <si>
    <t>MAULIDIANA MARGARETA</t>
  </si>
  <si>
    <t>0082055475</t>
  </si>
  <si>
    <t>MUHAMMAD EVIN ADITYA PRATAMA</t>
  </si>
  <si>
    <t>0086924913</t>
  </si>
  <si>
    <t>NABIL ALI USTMAN</t>
  </si>
  <si>
    <t>0098165312</t>
  </si>
  <si>
    <t>NABILA YUMNA HABIBAH</t>
  </si>
  <si>
    <t>0089424901</t>
  </si>
  <si>
    <t>NAISYLA FITRIA ZAHRA</t>
  </si>
  <si>
    <t>0091747495</t>
  </si>
  <si>
    <t>NEYSHA RISKIANIA PUTRI</t>
  </si>
  <si>
    <t>0089023135</t>
  </si>
  <si>
    <t>PUTRI NADIYA</t>
  </si>
  <si>
    <t>0098107962</t>
  </si>
  <si>
    <t>RAKA RESTOE BOEMI</t>
  </si>
  <si>
    <t>0084162124</t>
  </si>
  <si>
    <t>REVI DINDA AYU DIAJENG</t>
  </si>
  <si>
    <t>0084362831</t>
  </si>
  <si>
    <t>SYAIFUDIN ALDI KURNIAWAN</t>
  </si>
  <si>
    <t>0095156243</t>
  </si>
  <si>
    <t>TEGAR PRAYOGA</t>
  </si>
  <si>
    <t>0096511967</t>
  </si>
  <si>
    <t>TRAVIS FAVIAN MAHARDIKA</t>
  </si>
  <si>
    <t>0082226959</t>
  </si>
  <si>
    <t>YULIANA</t>
  </si>
  <si>
    <t>0088230029</t>
  </si>
  <si>
    <t>ZALFA JUNIAR ZAHRANI PUTRI</t>
  </si>
  <si>
    <t>0094439939</t>
  </si>
  <si>
    <t>ZIPORA MARGARETH RETNANINGPUTRI</t>
  </si>
  <si>
    <t>0092259902</t>
  </si>
  <si>
    <t>ADISTA CYNTIA SALSABILA</t>
  </si>
  <si>
    <t>0086513760</t>
  </si>
  <si>
    <t>AISYAH MAULINA ZAHRA</t>
  </si>
  <si>
    <t>0092374360</t>
  </si>
  <si>
    <t>ANISA ENGGAR PUSPITASARI</t>
  </si>
  <si>
    <t>0087308243</t>
  </si>
  <si>
    <t>AULIA SUKMA KUSMAWATI</t>
  </si>
  <si>
    <t>3085779336</t>
  </si>
  <si>
    <t>AURELIA RAMEYZA ALYA</t>
  </si>
  <si>
    <t>0085160631</t>
  </si>
  <si>
    <t>AZAHRA KAYSYA YULIA SARI</t>
  </si>
  <si>
    <t>0088515982</t>
  </si>
  <si>
    <t>BILQIS MAHARANI AZ ZAHRA</t>
  </si>
  <si>
    <t>0087201918</t>
  </si>
  <si>
    <t>CARISSA MAURA ANGGITA ANJANI</t>
  </si>
  <si>
    <t>0097725675</t>
  </si>
  <si>
    <t>DENZY NUR TANZAIZA</t>
  </si>
  <si>
    <t>0084902971</t>
  </si>
  <si>
    <t>DINA PUTRI PANGESTI</t>
  </si>
  <si>
    <t>0087962662</t>
  </si>
  <si>
    <t>FAIHA ZULFA SURAHMAD</t>
  </si>
  <si>
    <t>0084699505</t>
  </si>
  <si>
    <t>GILANG ANDRA KUSUMA</t>
  </si>
  <si>
    <t>3084537168</t>
  </si>
  <si>
    <t>INTAN QUROTUL AIN</t>
  </si>
  <si>
    <t>0088028506</t>
  </si>
  <si>
    <t>IRGIN THREEA OLIVIANE</t>
  </si>
  <si>
    <t>0088247840</t>
  </si>
  <si>
    <t>KANISTA SHIVA NETANIA</t>
  </si>
  <si>
    <t>0095590097</t>
  </si>
  <si>
    <t>KARTIKA OKTAVIA BRAHMANA</t>
  </si>
  <si>
    <t>3091795115</t>
  </si>
  <si>
    <t>LINDA PRATIWI</t>
  </si>
  <si>
    <t>0091533672</t>
  </si>
  <si>
    <t>MARCELLA NOVIANSYAH</t>
  </si>
  <si>
    <t>0086109003</t>
  </si>
  <si>
    <t>MARSHA PUTRI NURRATRI SARI</t>
  </si>
  <si>
    <t>0097824282</t>
  </si>
  <si>
    <t>MEISA CAHYANI</t>
  </si>
  <si>
    <t>0081991427</t>
  </si>
  <si>
    <t>MUHAMMAD NAUFAL RAUF FADHILLAH</t>
  </si>
  <si>
    <t>0086538120</t>
  </si>
  <si>
    <t>NABILAH CAHYA PUTRI RAHAYU</t>
  </si>
  <si>
    <t>0082204214</t>
  </si>
  <si>
    <t>NANDINI SEKAR SYAIDHINA</t>
  </si>
  <si>
    <t>0086053856</t>
  </si>
  <si>
    <t>NAZWAETA ADRIA AL SALSABILA</t>
  </si>
  <si>
    <t>0081766769</t>
  </si>
  <si>
    <t>NIA RAMADANI</t>
  </si>
  <si>
    <t>0088172387</t>
  </si>
  <si>
    <t>NISRINA AZKA DZALULIA URBACHI</t>
  </si>
  <si>
    <t>0087059479</t>
  </si>
  <si>
    <t>OKCTAVIA SISCYLIA PUTRI</t>
  </si>
  <si>
    <t>0088370078</t>
  </si>
  <si>
    <t>RAFLI RAYYAN GIYARO</t>
  </si>
  <si>
    <t>0094760957</t>
  </si>
  <si>
    <t>REZALDY PATRICEO WISNU PRATAMA</t>
  </si>
  <si>
    <t>0081154586</t>
  </si>
  <si>
    <t>RIDHO INGGIL PRATAMA</t>
  </si>
  <si>
    <t>0086986762</t>
  </si>
  <si>
    <t>SAKTI WISNU MAULANA</t>
  </si>
  <si>
    <t>0082564714</t>
  </si>
  <si>
    <t>SANTI ISMAWATI SAPITRI</t>
  </si>
  <si>
    <t>0094912088</t>
  </si>
  <si>
    <t>SELIA MAGHFIROH</t>
  </si>
  <si>
    <t>0099152563</t>
  </si>
  <si>
    <t>SITI ZUNAEDAH</t>
  </si>
  <si>
    <t>0083751378</t>
  </si>
  <si>
    <t>TIARA NAFISHA AYU DYAH</t>
  </si>
  <si>
    <t>0098507933</t>
  </si>
  <si>
    <t>ZAICHA NURUL BADYAH</t>
  </si>
  <si>
    <t>0084795333</t>
  </si>
  <si>
    <t>AGISTA FIFTANIA</t>
  </si>
  <si>
    <t>0088218673</t>
  </si>
  <si>
    <t>ALVIFATUL CHUSNA</t>
  </si>
  <si>
    <t>0094208010</t>
  </si>
  <si>
    <t>ARYANI MELATI KARFRINA</t>
  </si>
  <si>
    <t>0085982928</t>
  </si>
  <si>
    <t>AULIYA KIAN FIKRI</t>
  </si>
  <si>
    <t>0081560026</t>
  </si>
  <si>
    <t>AVRILIA DWI SASMITA</t>
  </si>
  <si>
    <t>0097927207</t>
  </si>
  <si>
    <t>BILQIS CAHYANI PUTRI</t>
  </si>
  <si>
    <t>0099090054</t>
  </si>
  <si>
    <t>CANDRA DIMIYATU</t>
  </si>
  <si>
    <t>3095735028</t>
  </si>
  <si>
    <t>CHERRIES AYUNDRI KARINNISA</t>
  </si>
  <si>
    <t>0091632024</t>
  </si>
  <si>
    <t>DHAVIENA SUFY WIDIOWATI</t>
  </si>
  <si>
    <t>0087623399</t>
  </si>
  <si>
    <t>DZAHABIYYAH</t>
  </si>
  <si>
    <t>3092579189</t>
  </si>
  <si>
    <t>FARAH FIRDAUS NURUL HUDA</t>
  </si>
  <si>
    <t>3091907931</t>
  </si>
  <si>
    <t>HABIB RIZKY BENZENA</t>
  </si>
  <si>
    <t>0094863198</t>
  </si>
  <si>
    <t>IQBAL GALANG SAPUTRA</t>
  </si>
  <si>
    <t>3089488440</t>
  </si>
  <si>
    <t>IZRO FAULIDAN NISAK</t>
  </si>
  <si>
    <t>0089772719</t>
  </si>
  <si>
    <t>KARIN OKTAVIANI</t>
  </si>
  <si>
    <t>0098234401</t>
  </si>
  <si>
    <t>KIRANI ELIKA PUTRI</t>
  </si>
  <si>
    <t>0094433885</t>
  </si>
  <si>
    <t>LYSANDRA RAISA YOVANKA</t>
  </si>
  <si>
    <t>0091639149</t>
  </si>
  <si>
    <t>MARINA JINGGA AYU OLIVIA</t>
  </si>
  <si>
    <t>0092648707</t>
  </si>
  <si>
    <t>MAULIDYA ANGGUN AZZURA</t>
  </si>
  <si>
    <t>0082026505</t>
  </si>
  <si>
    <t>MUHAMMAD RIZKI HANIYANTO</t>
  </si>
  <si>
    <t>0088557084</t>
  </si>
  <si>
    <t>NANDA NOFIA EKA PUTRI</t>
  </si>
  <si>
    <t>0089910765</t>
  </si>
  <si>
    <t>NAURA KASYIFI CARISSA PUTRI</t>
  </si>
  <si>
    <t>0083429047</t>
  </si>
  <si>
    <t>NEHEMIA SADEWO JAMES BAYU</t>
  </si>
  <si>
    <t>3095335555</t>
  </si>
  <si>
    <t>NIKEN AYU PUTRI</t>
  </si>
  <si>
    <t>0097366343</t>
  </si>
  <si>
    <t>NISRINA ZAHIRAH RAMADHANI</t>
  </si>
  <si>
    <t>3082194910</t>
  </si>
  <si>
    <t>RACHELIMAROH NUR JANNAH</t>
  </si>
  <si>
    <t>0097721369</t>
  </si>
  <si>
    <t>RATRI ANSETYANING RESTI</t>
  </si>
  <si>
    <t>0096066014</t>
  </si>
  <si>
    <t>REZKILA VIOLA PUTRI AZZAHRA</t>
  </si>
  <si>
    <t>0081555725</t>
  </si>
  <si>
    <t>RISA SAFITRI</t>
  </si>
  <si>
    <t>0087334516</t>
  </si>
  <si>
    <t>SALWA AZZAHRA PUTRI EVANSYAH</t>
  </si>
  <si>
    <t>0092690203</t>
  </si>
  <si>
    <t>SEKAR INDAH PERBAWANI</t>
  </si>
  <si>
    <t>0099414179</t>
  </si>
  <si>
    <t>SITI NUR BULQIS</t>
  </si>
  <si>
    <t>0099084127</t>
  </si>
  <si>
    <t>SIVANIA NURAYU WIJAYANTI</t>
  </si>
  <si>
    <t>0092690486</t>
  </si>
  <si>
    <t>WANDA ALYA KAMILAH</t>
  </si>
  <si>
    <t>0087081480</t>
  </si>
  <si>
    <t>ZALFA FARASHA PUTRI</t>
  </si>
  <si>
    <t>0084156530</t>
  </si>
  <si>
    <t>ABD HAFIDZ HAKIM MARFADI</t>
  </si>
  <si>
    <t>0082980253</t>
  </si>
  <si>
    <t>AHMAD DANI</t>
  </si>
  <si>
    <t>0086784035</t>
  </si>
  <si>
    <t>AKBAR SANDI SYAPUTRA</t>
  </si>
  <si>
    <t>0099002118</t>
  </si>
  <si>
    <t>ALISA SABILA FEBRIANTI</t>
  </si>
  <si>
    <t>0082239639</t>
  </si>
  <si>
    <t>AZAHRA AULIA FATMAWATI</t>
  </si>
  <si>
    <t>0087856231</t>
  </si>
  <si>
    <t>CHELSI APRILIA</t>
  </si>
  <si>
    <t>0085937738</t>
  </si>
  <si>
    <t>DIKI FAJAR SATRIO</t>
  </si>
  <si>
    <t>0084652186</t>
  </si>
  <si>
    <t>DINDA TRIA AULIA</t>
  </si>
  <si>
    <t>0089184985</t>
  </si>
  <si>
    <t>ENDI TRI CAHYONO</t>
  </si>
  <si>
    <t>3118487778</t>
  </si>
  <si>
    <t>FAIZATUL UYUN</t>
  </si>
  <si>
    <t>0096152721</t>
  </si>
  <si>
    <t>FLAVIA ICHA KYRA SHABRINA</t>
  </si>
  <si>
    <t>0083430085</t>
  </si>
  <si>
    <t>HENDRA ANDIKA DWI CAHYA</t>
  </si>
  <si>
    <t>0098209104</t>
  </si>
  <si>
    <t>JESIKA PUTRI MAULIDIYA</t>
  </si>
  <si>
    <t>3089760762</t>
  </si>
  <si>
    <t>LAILLA EFRINDA FITRIA</t>
  </si>
  <si>
    <t>3071577165</t>
  </si>
  <si>
    <t>M TATHHIRUL FUAD</t>
  </si>
  <si>
    <t>0093545649</t>
  </si>
  <si>
    <t>MAULANA FACHREZA</t>
  </si>
  <si>
    <t>0098644727</t>
  </si>
  <si>
    <t>MOCH ADITYA PUTRA FIRMANSYAH</t>
  </si>
  <si>
    <t>0088603318</t>
  </si>
  <si>
    <t>MOH NOVAN ARISANGGI</t>
  </si>
  <si>
    <t>0084079921</t>
  </si>
  <si>
    <t>MUCHAMMAD AUFAL MINAN</t>
  </si>
  <si>
    <t>0083684247</t>
  </si>
  <si>
    <t>MUHAMMAD ABD ROCHMAN SALEH</t>
  </si>
  <si>
    <t>3082145679</t>
  </si>
  <si>
    <t>MUHAMMAD NUR ALFARISI</t>
  </si>
  <si>
    <t>0084981064</t>
  </si>
  <si>
    <t>MUHAMMAD SHAFWAN AKMAL SURENDRA</t>
  </si>
  <si>
    <t>3083546048</t>
  </si>
  <si>
    <t>NABILA YEGITA CAHYANI</t>
  </si>
  <si>
    <t>0089830361</t>
  </si>
  <si>
    <t>NADIA SELVI DWITA AZHARI</t>
  </si>
  <si>
    <t>0099357729</t>
  </si>
  <si>
    <t>RAFI MAULI ISLAN DITAMA</t>
  </si>
  <si>
    <t>0089655534</t>
  </si>
  <si>
    <t>RAVI AHMAD</t>
  </si>
  <si>
    <t>0099589141</t>
  </si>
  <si>
    <t>RIZKY ARUNA FATAH</t>
  </si>
  <si>
    <t>0076413309</t>
  </si>
  <si>
    <t>ROHMAT SETYAWAN</t>
  </si>
  <si>
    <t>0076575362</t>
  </si>
  <si>
    <t>SALVATRA VITA AMANDA</t>
  </si>
  <si>
    <t>0079738923</t>
  </si>
  <si>
    <t>SATRIO ADHILARS SAMPURNO</t>
  </si>
  <si>
    <t>0061386170</t>
  </si>
  <si>
    <t>SYAHRONY ERU WAHYU AJI</t>
  </si>
  <si>
    <t>0082907196</t>
  </si>
  <si>
    <t>ULFA INSANI THAKQWIN</t>
  </si>
  <si>
    <t>0092026936</t>
  </si>
  <si>
    <t>WALIATUN MUNAWAROH</t>
  </si>
  <si>
    <t>0099716903</t>
  </si>
  <si>
    <t>ZAFIRAH RAYSA PUTRI</t>
  </si>
  <si>
    <t>3070004620</t>
  </si>
  <si>
    <t>AFIFAH RAMADANI</t>
  </si>
  <si>
    <t>0079842863</t>
  </si>
  <si>
    <t>AININNABILA RAHMASARI</t>
  </si>
  <si>
    <t>0081164440</t>
  </si>
  <si>
    <t>AL RAHMAD RAFFI FITRAH</t>
  </si>
  <si>
    <t>0093974411</t>
  </si>
  <si>
    <t>ARIE DINAR SALVIA</t>
  </si>
  <si>
    <t>0083336921</t>
  </si>
  <si>
    <t>BAGUS INDRA FERDIANSAH</t>
  </si>
  <si>
    <t>0076058815</t>
  </si>
  <si>
    <t>DEFYAN ANRICCO RONALD PRATAMA</t>
  </si>
  <si>
    <t>0082720243</t>
  </si>
  <si>
    <t>DINDA PUTRI ARTHA MEFIA</t>
  </si>
  <si>
    <t>0084142876</t>
  </si>
  <si>
    <t>ECHA PRATIWI NURDIYATIN</t>
  </si>
  <si>
    <t>0094406367</t>
  </si>
  <si>
    <t>FAHRUL</t>
  </si>
  <si>
    <t>0078367732</t>
  </si>
  <si>
    <t>FITRIA NUR AINI</t>
  </si>
  <si>
    <t>0089167401</t>
  </si>
  <si>
    <t>GALUH DIKA PRAMUJA</t>
  </si>
  <si>
    <t>0097886012</t>
  </si>
  <si>
    <t>HIMATUL ALIA</t>
  </si>
  <si>
    <t>0082922904</t>
  </si>
  <si>
    <t>KEYSA OLIVIA PUTRI</t>
  </si>
  <si>
    <t>KRISNA BAYU</t>
  </si>
  <si>
    <t>0086855371</t>
  </si>
  <si>
    <t>LINGGA AZHAR YUASPUTRA</t>
  </si>
  <si>
    <t>0094095147</t>
  </si>
  <si>
    <t>M. ALWAN ARIEF DARMAWAN</t>
  </si>
  <si>
    <t>0082574892</t>
  </si>
  <si>
    <t>MAULANA JALALUDIN AR RAFAEL</t>
  </si>
  <si>
    <t>0081924598</t>
  </si>
  <si>
    <t>MOCHAMAD RAFI AFDAN ALFIANTO</t>
  </si>
  <si>
    <t>0081086790</t>
  </si>
  <si>
    <t>MOCHAMMAD RIDHO PUTRA PRATAMA</t>
  </si>
  <si>
    <t>0083455479</t>
  </si>
  <si>
    <t>MOHAMMAD RIZKI PRATAMA</t>
  </si>
  <si>
    <t>3093099355</t>
  </si>
  <si>
    <t>MUHAMAD REZA L F</t>
  </si>
  <si>
    <t>0084716125</t>
  </si>
  <si>
    <t>MUHAMMAD ARIFIN</t>
  </si>
  <si>
    <t>0096169039</t>
  </si>
  <si>
    <t>MUHAMMAD RIFA ALFARIZI</t>
  </si>
  <si>
    <t>0085147166</t>
  </si>
  <si>
    <t>NABILA AYU SARI</t>
  </si>
  <si>
    <t>0086162836</t>
  </si>
  <si>
    <t>NADIA AGUSTINA</t>
  </si>
  <si>
    <t>0081139851</t>
  </si>
  <si>
    <t>NAZWA ANGGUN ISLHAHIYAH</t>
  </si>
  <si>
    <t>0075123589</t>
  </si>
  <si>
    <t>RANDYTO PIRU</t>
  </si>
  <si>
    <t>0081505674</t>
  </si>
  <si>
    <t>RICKO ARDIANSYAH</t>
  </si>
  <si>
    <t>0089873668</t>
  </si>
  <si>
    <t>SABRINA NAVA MELYSA ARIYANTI</t>
  </si>
  <si>
    <t>0084455557</t>
  </si>
  <si>
    <t>SATRIA SEPTIAWAN RAHMADAN</t>
  </si>
  <si>
    <t>0085516696</t>
  </si>
  <si>
    <t>SUSAN AMELIA PUTRI</t>
  </si>
  <si>
    <t>0082452083</t>
  </si>
  <si>
    <t>TALITA YUSUF WULANSARI</t>
  </si>
  <si>
    <t>0076588749</t>
  </si>
  <si>
    <t>VALDIMER REYFAN DOVIZIO</t>
  </si>
  <si>
    <t>0093621926</t>
  </si>
  <si>
    <t>YUANITA HESTI CHOFIFA</t>
  </si>
  <si>
    <t>0081984348</t>
  </si>
  <si>
    <t>ADZRA AUNATULLAH UZHMA</t>
  </si>
  <si>
    <t>0083994120</t>
  </si>
  <si>
    <t>AGIZA DWI MEILINA</t>
  </si>
  <si>
    <t>0099970260</t>
  </si>
  <si>
    <t>AIRA JULIANA</t>
  </si>
  <si>
    <t>0094813948</t>
  </si>
  <si>
    <t>ANGGIE YULYANINGTYAS</t>
  </si>
  <si>
    <t>3090206595</t>
  </si>
  <si>
    <t>ANNISA DWI INDARWATI</t>
  </si>
  <si>
    <t>0086441840</t>
  </si>
  <si>
    <t>ANNISA PARAMITA</t>
  </si>
  <si>
    <t>0082708180</t>
  </si>
  <si>
    <t>AQIELA RAHMA ARIFIN</t>
  </si>
  <si>
    <t>0096911590</t>
  </si>
  <si>
    <t>AURA SABILA AZ ZAHRA</t>
  </si>
  <si>
    <t>0092539910</t>
  </si>
  <si>
    <t>AYUNDA ALSAFIRA</t>
  </si>
  <si>
    <t>0098116132</t>
  </si>
  <si>
    <t>CHELSI NURAINI</t>
  </si>
  <si>
    <t>0087359991</t>
  </si>
  <si>
    <t>DELIA NADIA RISTI</t>
  </si>
  <si>
    <t>0098044506</t>
  </si>
  <si>
    <t>DWI AULIA ANWAR</t>
  </si>
  <si>
    <t>0098110387</t>
  </si>
  <si>
    <t>EMIL CALLISTANIA</t>
  </si>
  <si>
    <t>0082740071</t>
  </si>
  <si>
    <t>FILGA FEMIRALDA AUDIAS</t>
  </si>
  <si>
    <t>3095451091</t>
  </si>
  <si>
    <t>GALIH RIZKY HANDIKA</t>
  </si>
  <si>
    <t>0086196259</t>
  </si>
  <si>
    <t>GISHELLA KINESHA</t>
  </si>
  <si>
    <t>3091671582</t>
  </si>
  <si>
    <t>JULYANA</t>
  </si>
  <si>
    <t>0098398637</t>
  </si>
  <si>
    <t>LARASATI KHAIRUNNISA MAULIDIA</t>
  </si>
  <si>
    <t>0083018990</t>
  </si>
  <si>
    <t>MANDHASIA SIWI JIWANGGA PUTRI</t>
  </si>
  <si>
    <t>0094125695</t>
  </si>
  <si>
    <t>MARISA IMAMA FEBRIYANTI</t>
  </si>
  <si>
    <t>0093483562</t>
  </si>
  <si>
    <t>NACITA SAVERO PRADIANTA</t>
  </si>
  <si>
    <t>0083493183</t>
  </si>
  <si>
    <t>NADIA VEGA ROSIANA</t>
  </si>
  <si>
    <t>0089748211</t>
  </si>
  <si>
    <t>NADYA SHAFIRA NUGRAHA</t>
  </si>
  <si>
    <t>0086480327</t>
  </si>
  <si>
    <t>NAURA HANIFAH SAKINAH</t>
  </si>
  <si>
    <t>0087356407</t>
  </si>
  <si>
    <t>NAYA LAILATUL</t>
  </si>
  <si>
    <t>0089840888</t>
  </si>
  <si>
    <t>NEISYA CANTIKA NAVA SABRINA</t>
  </si>
  <si>
    <t>0087457729</t>
  </si>
  <si>
    <t>QUARTITA ANNISA RACHMA SALSABILA</t>
  </si>
  <si>
    <t>0081169887</t>
  </si>
  <si>
    <t>RAESYA AVRILIA MAHARANI</t>
  </si>
  <si>
    <t>0073522901</t>
  </si>
  <si>
    <t>RAGIL ANJANI</t>
  </si>
  <si>
    <t>0088494170</t>
  </si>
  <si>
    <t>SELLA SABRIA NATASYA</t>
  </si>
  <si>
    <t>0082303003</t>
  </si>
  <si>
    <t>WAHYU NINGSIH DWI AGUSTINA</t>
  </si>
  <si>
    <t>0083811844</t>
  </si>
  <si>
    <t>ZAHRA AYUNDA NADIYANTI</t>
  </si>
  <si>
    <t>0094101390</t>
  </si>
  <si>
    <t>ZANIA YAN STEVANI</t>
  </si>
  <si>
    <t>0089656367</t>
  </si>
  <si>
    <t>ACH FAJAR RIFAI</t>
  </si>
  <si>
    <t>3095435055</t>
  </si>
  <si>
    <t>ACHMAD FAHIM AKHTAR</t>
  </si>
  <si>
    <t>0089536414</t>
  </si>
  <si>
    <t>ACHMAD KHUSAIRI</t>
  </si>
  <si>
    <t>3081206702</t>
  </si>
  <si>
    <t>ADITYA PRATAMA</t>
  </si>
  <si>
    <t>0096659703</t>
  </si>
  <si>
    <t>AHMAD RAIHAN ARDHIANSYAH</t>
  </si>
  <si>
    <t>0083903161</t>
  </si>
  <si>
    <t>ANDIKA BAGUS SETIAWAN</t>
  </si>
  <si>
    <t>0093580153</t>
  </si>
  <si>
    <t>ARIK MAULANA ADITYA P</t>
  </si>
  <si>
    <t>0092296482</t>
  </si>
  <si>
    <t>ARYA PRIMA SATYA</t>
  </si>
  <si>
    <t>0088159393</t>
  </si>
  <si>
    <t>BAGUS RAMADHAN</t>
  </si>
  <si>
    <t>0082967386</t>
  </si>
  <si>
    <t>BINTANG ADITYA PRATAMA</t>
  </si>
  <si>
    <t>3097149647</t>
  </si>
  <si>
    <t>DANISA ELLSA WARDANI</t>
  </si>
  <si>
    <t>0096074638</t>
  </si>
  <si>
    <t>DEWI CHIKA OLIVIA</t>
  </si>
  <si>
    <t>0082556933</t>
  </si>
  <si>
    <t>FAIZ NAUFAL YASSAR</t>
  </si>
  <si>
    <t>0098142070</t>
  </si>
  <si>
    <t>FERDIANSAH</t>
  </si>
  <si>
    <t>0091804234</t>
  </si>
  <si>
    <t>GILANG ANGGA KUSUMA A</t>
  </si>
  <si>
    <t>0079401264</t>
  </si>
  <si>
    <t>HERI DWI PURWANTO</t>
  </si>
  <si>
    <t>JEACKLY SUSANTO</t>
  </si>
  <si>
    <t>0088686352</t>
  </si>
  <si>
    <t>M FAIZ DZANUROINI</t>
  </si>
  <si>
    <t>0083083384</t>
  </si>
  <si>
    <t>M. FAQIH ARIFIN</t>
  </si>
  <si>
    <t>3080469618</t>
  </si>
  <si>
    <t>MISBAHUL ULUM</t>
  </si>
  <si>
    <t>0092508369</t>
  </si>
  <si>
    <t>MOCHAMMAD YUSUF ABDILLAH</t>
  </si>
  <si>
    <t>0088031463</t>
  </si>
  <si>
    <t>MUHAMMAD AGUS SANTOSO</t>
  </si>
  <si>
    <t>0092369601</t>
  </si>
  <si>
    <t>MUHAMMAD RAYHAN SAFUTRA</t>
  </si>
  <si>
    <t>0093772510</t>
  </si>
  <si>
    <t>MUHAMMAD ZAKI WICAKSONO</t>
  </si>
  <si>
    <t>0099704158</t>
  </si>
  <si>
    <t>NATHAN IVANDER SARONI</t>
  </si>
  <si>
    <t>0086488735</t>
  </si>
  <si>
    <t>NICKY ACHMAD GENDA ANGGARA</t>
  </si>
  <si>
    <t>0082755759</t>
  </si>
  <si>
    <t>PANDU NAREZA HAFIZ ARVIANANSYA</t>
  </si>
  <si>
    <t>0089547165</t>
  </si>
  <si>
    <t>PUTRA BAYU ADIT FIRMANSAH</t>
  </si>
  <si>
    <t>3084192745</t>
  </si>
  <si>
    <t>RAFIE PRATAMA SYARIFUDIN</t>
  </si>
  <si>
    <t>0099857276</t>
  </si>
  <si>
    <t>RAIHAN FERDIANSYAH</t>
  </si>
  <si>
    <t>0086051875</t>
  </si>
  <si>
    <t>REGAN JOE SATRIAWAN</t>
  </si>
  <si>
    <t>0085518797</t>
  </si>
  <si>
    <t>RIFAN WAHYU FIRMANSYAH</t>
  </si>
  <si>
    <t>0082971457</t>
  </si>
  <si>
    <t>SATRIA HATTA RADJASA</t>
  </si>
  <si>
    <t>0092936344</t>
  </si>
  <si>
    <t>SURYA FIRDAUS</t>
  </si>
  <si>
    <t>0087031472</t>
  </si>
  <si>
    <t>WUKIR JATI YUSRIL ADITYA</t>
  </si>
  <si>
    <t>0086683825</t>
  </si>
  <si>
    <t>ZAKY ARYA SAPUTRA</t>
  </si>
  <si>
    <t>0082918777</t>
  </si>
  <si>
    <t>ACHMAD ADINARYA HEYTA PRATAMA</t>
  </si>
  <si>
    <t>0088038462</t>
  </si>
  <si>
    <t>ADAM KIRAN LAKSAMANA</t>
  </si>
  <si>
    <t>0082197600</t>
  </si>
  <si>
    <t>AHMAD NAFIS AL KHUSHORY</t>
  </si>
  <si>
    <t>0088490101</t>
  </si>
  <si>
    <t>AHMAT ALFARIZI</t>
  </si>
  <si>
    <t>0074361677</t>
  </si>
  <si>
    <t>ANDREAN TERRY NUR FAJRIN</t>
  </si>
  <si>
    <t>0094371620</t>
  </si>
  <si>
    <t>AUREL DHECA PRATAMA PUTRA</t>
  </si>
  <si>
    <t>0092316393</t>
  </si>
  <si>
    <t>BOYS REYGA BANYUARTA</t>
  </si>
  <si>
    <t>0099621179</t>
  </si>
  <si>
    <t>DAVID ARDI FIRDIANSYAH</t>
  </si>
  <si>
    <t>0098565187</t>
  </si>
  <si>
    <t>DIVA DWI SETYIAWAN</t>
  </si>
  <si>
    <t>0099003434</t>
  </si>
  <si>
    <t>FARHAN</t>
  </si>
  <si>
    <t>0081885917</t>
  </si>
  <si>
    <t>GALEH DIKA PRATAMA</t>
  </si>
  <si>
    <t>0084692185</t>
  </si>
  <si>
    <t>HAFIDZ BAYU SETYAWAN</t>
  </si>
  <si>
    <t>3092938025</t>
  </si>
  <si>
    <t>INDINA NURI SALSABILA</t>
  </si>
  <si>
    <t>0094066976</t>
  </si>
  <si>
    <t>LIVENDI DWI RACHMANSYAH</t>
  </si>
  <si>
    <t>3082107584</t>
  </si>
  <si>
    <t>M IQSAN FAIZUN ADHIM</t>
  </si>
  <si>
    <t>0096835246</t>
  </si>
  <si>
    <t>MOCH MALIKIL MULKI DAVA AFRIANSYAH</t>
  </si>
  <si>
    <t>3084355874</t>
  </si>
  <si>
    <t>MOCHAMAD ANDINO PRATAMA</t>
  </si>
  <si>
    <t>0087155562</t>
  </si>
  <si>
    <t>MUHAMMAD IKHWAN NABAWI</t>
  </si>
  <si>
    <t>0095650772</t>
  </si>
  <si>
    <t>MUHAMMAD REHAN</t>
  </si>
  <si>
    <t>0094568141</t>
  </si>
  <si>
    <t>MUKHAMAT KHOIRUL ANAM</t>
  </si>
  <si>
    <t>0091115746</t>
  </si>
  <si>
    <t>NEFTA FANNO EMZZE GUNAWAN</t>
  </si>
  <si>
    <t>0088315876</t>
  </si>
  <si>
    <t>OUREEL AL IMAN MAULANA</t>
  </si>
  <si>
    <t>0096957648</t>
  </si>
  <si>
    <t>PANJY MANDALA ATMANEGARA</t>
  </si>
  <si>
    <t>0076496202</t>
  </si>
  <si>
    <t>RAFFAEL DWI SAPUTRA</t>
  </si>
  <si>
    <t>0089515840</t>
  </si>
  <si>
    <t>RAFIF PURNAMA PUTRA USMAN</t>
  </si>
  <si>
    <t>0082399691</t>
  </si>
  <si>
    <t>RASYID IZZA SYAVANA</t>
  </si>
  <si>
    <t>3084326320</t>
  </si>
  <si>
    <t>REVINO FARREL PUTRA PRADITA</t>
  </si>
  <si>
    <t>0088362949</t>
  </si>
  <si>
    <t>RIVAN ADITYA SAPUTRA</t>
  </si>
  <si>
    <t>0089083386</t>
  </si>
  <si>
    <t>RIZKY DARMAWAN</t>
  </si>
  <si>
    <t>0085075925</t>
  </si>
  <si>
    <t>SATRIA ISLAMIYAH PASHA</t>
  </si>
  <si>
    <t>0077355082</t>
  </si>
  <si>
    <t>TAKAYANDA DENTA ELKAVIO</t>
  </si>
  <si>
    <t>0096112018</t>
  </si>
  <si>
    <t>YANUAR BURHAN FAHREZI</t>
  </si>
  <si>
    <t>0098691914</t>
  </si>
  <si>
    <t>ZHILDAN PRASTYO SAID</t>
  </si>
  <si>
    <t>0093581063</t>
  </si>
  <si>
    <t>ACHMAD BAYU ANGGORO SUDARMINTO</t>
  </si>
  <si>
    <t>0087928310</t>
  </si>
  <si>
    <t>ADITYA BAYU DWI SAPUTRA</t>
  </si>
  <si>
    <t>0094534794</t>
  </si>
  <si>
    <t>AHMAD NUR BAHAUDIN</t>
  </si>
  <si>
    <t>0095008494</t>
  </si>
  <si>
    <t>ALVINO AVRIL ERDIANSYAH JUNIOR</t>
  </si>
  <si>
    <t>3097906741</t>
  </si>
  <si>
    <t>ARDI FERDINAN</t>
  </si>
  <si>
    <t>0098660876</t>
  </si>
  <si>
    <t>ARLENE CAHYA FARIZKY</t>
  </si>
  <si>
    <t>0082121715</t>
  </si>
  <si>
    <t>BAGAS FIRMANSYAH</t>
  </si>
  <si>
    <t>0083187831</t>
  </si>
  <si>
    <t>BIMO NUR WAHYUDI</t>
  </si>
  <si>
    <t>0097615916</t>
  </si>
  <si>
    <t>CHESTA RAISSA FADILAH</t>
  </si>
  <si>
    <t>0098522664</t>
  </si>
  <si>
    <t>DEWANSYAH BAYU ADHIRA</t>
  </si>
  <si>
    <t>0081385656</t>
  </si>
  <si>
    <t>EVALDO NOVAN AGUNG WIDIANTO</t>
  </si>
  <si>
    <t>3083661806</t>
  </si>
  <si>
    <t>FEBIAN RIZKI WAHYU S</t>
  </si>
  <si>
    <t>0099971954</t>
  </si>
  <si>
    <t>GHALANG GEMILANG</t>
  </si>
  <si>
    <t>0095307342</t>
  </si>
  <si>
    <t>HASBINO ABIYANSAH</t>
  </si>
  <si>
    <t>0097307045</t>
  </si>
  <si>
    <t>IRFAN AMWALUDDIN</t>
  </si>
  <si>
    <t>0085028446</t>
  </si>
  <si>
    <t>LOUIS FIGO AL FAHREZY</t>
  </si>
  <si>
    <t>3086643340</t>
  </si>
  <si>
    <t>M WARIS FARDANSYAH</t>
  </si>
  <si>
    <t>0091793263</t>
  </si>
  <si>
    <t>MAULIDANI AKHMAD</t>
  </si>
  <si>
    <t>0081930641</t>
  </si>
  <si>
    <t>MOCH RIZAL SETIAWAN</t>
  </si>
  <si>
    <t>0097297603</t>
  </si>
  <si>
    <t>MOCHAMMAD REFKY FEBRIANTO</t>
  </si>
  <si>
    <t>0084993352</t>
  </si>
  <si>
    <t>MOHAMMAD ALI NAFIT IRAWAN</t>
  </si>
  <si>
    <t>0082856163</t>
  </si>
  <si>
    <t>MUHAMMAD RAMA MAULIDIN</t>
  </si>
  <si>
    <t>3093812246</t>
  </si>
  <si>
    <t>MUHAMMAD ZAKI PRASETYA</t>
  </si>
  <si>
    <t>0086988487</t>
  </si>
  <si>
    <t>NABIL HUDA</t>
  </si>
  <si>
    <t>3099827234</t>
  </si>
  <si>
    <t>NELANDO RISTO HABIL</t>
  </si>
  <si>
    <t>0094613247</t>
  </si>
  <si>
    <t>PRATAMA VIKY PRASETYO</t>
  </si>
  <si>
    <t>0098579183</t>
  </si>
  <si>
    <t>RAFI PRANATA</t>
  </si>
  <si>
    <t>0095458995</t>
  </si>
  <si>
    <t>RAHMATULLAH FAIQ DHIYAUL AULIYAH</t>
  </si>
  <si>
    <t>0088750277</t>
  </si>
  <si>
    <t>RAYHAN ZUFAR ISLAMI ALFIKRI</t>
  </si>
  <si>
    <t>0081020973</t>
  </si>
  <si>
    <t>RICKY PRAMANA HARIS RAMADHAN</t>
  </si>
  <si>
    <t>3088514781</t>
  </si>
  <si>
    <t>SAHRUL ROFIQI</t>
  </si>
  <si>
    <t>0081131122</t>
  </si>
  <si>
    <t>SATYA PANDU RIZKYARTA</t>
  </si>
  <si>
    <t>0081217526</t>
  </si>
  <si>
    <t>THOHA PUTRA PRATAMA</t>
  </si>
  <si>
    <t>0093191464</t>
  </si>
  <si>
    <t>YUSUFI ALBY FAVIAN</t>
  </si>
  <si>
    <t>0091190115</t>
  </si>
  <si>
    <t>ZIDAN MAULIDANI</t>
  </si>
  <si>
    <t>0081481119</t>
  </si>
  <si>
    <t>ACHMAD MAULANA NOVAL SAPUTRA</t>
  </si>
  <si>
    <t>0089001847</t>
  </si>
  <si>
    <t>ADITYA NUR IRVANSYAH</t>
  </si>
  <si>
    <t>3095401431</t>
  </si>
  <si>
    <t>AHMAD JEFRI ATTAUFIK</t>
  </si>
  <si>
    <t>0097203045</t>
  </si>
  <si>
    <t>AHNAF BAIHAQI</t>
  </si>
  <si>
    <t>0081149117</t>
  </si>
  <si>
    <t>AKHMAD SATRIO</t>
  </si>
  <si>
    <t>0085220064</t>
  </si>
  <si>
    <t>ALINA AFRILIA</t>
  </si>
  <si>
    <t>0084562340</t>
  </si>
  <si>
    <t>ANANDA DESTA PUTRA PRATAMA</t>
  </si>
  <si>
    <t>3099708978</t>
  </si>
  <si>
    <t>ANGGARA PUTRA DIGDAYA</t>
  </si>
  <si>
    <t>0092931893</t>
  </si>
  <si>
    <t>DAFFA PUTRA PRADIA</t>
  </si>
  <si>
    <t>0085346709</t>
  </si>
  <si>
    <t>FAREL ANDHIKA PRATAMA</t>
  </si>
  <si>
    <t>0094322819</t>
  </si>
  <si>
    <t>FEBRIYAN DWI ARDIANSYAH</t>
  </si>
  <si>
    <t>0085487440</t>
  </si>
  <si>
    <t>FIRMAN RIZKY TRI ANSORY</t>
  </si>
  <si>
    <t>0095219089</t>
  </si>
  <si>
    <t>GHEISAN ADITYA PUTRA</t>
  </si>
  <si>
    <t>0076549745</t>
  </si>
  <si>
    <t>HITA ADITYA KURNIAWAN</t>
  </si>
  <si>
    <t>0088026965</t>
  </si>
  <si>
    <t>IRGI ARDIANSYAH</t>
  </si>
  <si>
    <t>0095331280</t>
  </si>
  <si>
    <t>M ALI SYAFAR</t>
  </si>
  <si>
    <t>0095650817</t>
  </si>
  <si>
    <t>MOCHAMAD HABIL IRWANSYA</t>
  </si>
  <si>
    <t>0081918473</t>
  </si>
  <si>
    <t>MOCHAMMAD RENDY ANDREANSYAH</t>
  </si>
  <si>
    <t>0078115260</t>
  </si>
  <si>
    <t>MOCHAMMAD YOGA PAMUNGKAS</t>
  </si>
  <si>
    <t>0088911047</t>
  </si>
  <si>
    <t>MOKHAMMAD RENDY SYAHBANA</t>
  </si>
  <si>
    <t>0089714481</t>
  </si>
  <si>
    <t>MUHAMAD MISBAKHUDDIN</t>
  </si>
  <si>
    <t>3087665449</t>
  </si>
  <si>
    <t>MUHAMMAD ALAND FARIS AL BURHANI</t>
  </si>
  <si>
    <t>0091030995</t>
  </si>
  <si>
    <t>MUHAMMAD ALIFIYAN SAPUTRO</t>
  </si>
  <si>
    <t>0087813446</t>
  </si>
  <si>
    <t>MUHAMMAD DAFA</t>
  </si>
  <si>
    <t>3096157880</t>
  </si>
  <si>
    <t>MUHAMMAD HIRZA ANNAS</t>
  </si>
  <si>
    <t>0095468134</t>
  </si>
  <si>
    <t>MUHAMMAD NABIL ALKAUTSAR</t>
  </si>
  <si>
    <t>0097844219</t>
  </si>
  <si>
    <t>MUHAMMAD ZAKY ALFIAN PUTRA</t>
  </si>
  <si>
    <t>0079207409</t>
  </si>
  <si>
    <t>RASTHA LIONSHA</t>
  </si>
  <si>
    <t>0079831949</t>
  </si>
  <si>
    <t>RIVAL RAHMADANI PUTRA</t>
  </si>
  <si>
    <t>0082545645</t>
  </si>
  <si>
    <t>RIZKY DWI ANDIKA</t>
  </si>
  <si>
    <t>0081505359</t>
  </si>
  <si>
    <t>SADHAM RADITYA PURNOMO</t>
  </si>
  <si>
    <t>0096616139</t>
  </si>
  <si>
    <t>SYAHMI LUTFAN</t>
  </si>
  <si>
    <t>0081270963</t>
  </si>
  <si>
    <t>WENDI RAMADONI</t>
  </si>
  <si>
    <t>0083035122</t>
  </si>
  <si>
    <t>ACHMAD RAFI ADITYA WARDANA</t>
  </si>
  <si>
    <t>3088264093</t>
  </si>
  <si>
    <t>AHMAD FADLIL SHIHAB</t>
  </si>
  <si>
    <t>3080059914</t>
  </si>
  <si>
    <t>AHMAD REYHAN AL IRSYAD</t>
  </si>
  <si>
    <t>0085962474</t>
  </si>
  <si>
    <t>AHMAT RAGIL PRASETIYA</t>
  </si>
  <si>
    <t>0089561096</t>
  </si>
  <si>
    <t>AKBAR RIZKY RAMADHAN</t>
  </si>
  <si>
    <t>0092211731</t>
  </si>
  <si>
    <t>ALBIANSYAH SURYA SAPUTRA</t>
  </si>
  <si>
    <t>0084798767</t>
  </si>
  <si>
    <t>AMALIA PUTRI ANGRAINI</t>
  </si>
  <si>
    <t>0089889890</t>
  </si>
  <si>
    <t>ANDHIKA BAGUS SATRIA</t>
  </si>
  <si>
    <t>0082938944</t>
  </si>
  <si>
    <t>CAESAR PUTRA ELTRADA</t>
  </si>
  <si>
    <t>0091917323</t>
  </si>
  <si>
    <t>DAHLIA MEILINDA EFFENDI</t>
  </si>
  <si>
    <t>0087864179</t>
  </si>
  <si>
    <t>FAIRUL DANUARTA</t>
  </si>
  <si>
    <t>0096383086</t>
  </si>
  <si>
    <t>FAREL APRILIAN YUDHA</t>
  </si>
  <si>
    <t>0072879631</t>
  </si>
  <si>
    <t>FIRMAN DWI CATUR RAMADHAN</t>
  </si>
  <si>
    <t>3099589228</t>
  </si>
  <si>
    <t>GALANG PRATAMA BIMA PRAYOGA</t>
  </si>
  <si>
    <t>0081106582</t>
  </si>
  <si>
    <t>HISYAM AL KABBANI</t>
  </si>
  <si>
    <t>0086054576</t>
  </si>
  <si>
    <t>ILHAM AKBAR</t>
  </si>
  <si>
    <t>0093953632</t>
  </si>
  <si>
    <t>KEVIN EKA JULIANTO</t>
  </si>
  <si>
    <t>0085289625</t>
  </si>
  <si>
    <t>MOCHAMAD ANDIKA MAULANA</t>
  </si>
  <si>
    <t>0096406940</t>
  </si>
  <si>
    <t>MOCHAMMAD PRATAMA ALFIANSYAH</t>
  </si>
  <si>
    <t>0086460742</t>
  </si>
  <si>
    <t>MOHAMAD EZRA DAVIN</t>
  </si>
  <si>
    <t>0089446240</t>
  </si>
  <si>
    <t>MUCHAMMAD AGUS PRASETYA</t>
  </si>
  <si>
    <t>0097409079</t>
  </si>
  <si>
    <t>MUHAMMAD AKMAL BAIHAQII</t>
  </si>
  <si>
    <t>0092811790</t>
  </si>
  <si>
    <t>MUHAMMAD ALIF ARDIANSYAH</t>
  </si>
  <si>
    <t>0081804033</t>
  </si>
  <si>
    <t>MUHAMMAD ANDIKA BAGUS PRATAMA</t>
  </si>
  <si>
    <t>3081529328</t>
  </si>
  <si>
    <t>MUHAMMAD FATHIR AUFA KAHSI</t>
  </si>
  <si>
    <t>0084300993</t>
  </si>
  <si>
    <t>MUHAMMAD JULIAN BAERSADI</t>
  </si>
  <si>
    <t>0095600355</t>
  </si>
  <si>
    <t>MUHAMMAD ZAKKY SATRYA AKBAR</t>
  </si>
  <si>
    <t>0086370713</t>
  </si>
  <si>
    <t>NAUFAL HABIBI IBRAHIM</t>
  </si>
  <si>
    <t>0098355378</t>
  </si>
  <si>
    <t>RAFAEL KUSUMA ATMAJA</t>
  </si>
  <si>
    <t>0086677654</t>
  </si>
  <si>
    <t>RIVANNO AL QARANA AZHARI</t>
  </si>
  <si>
    <t>0092030628</t>
  </si>
  <si>
    <t>ROBI SOLEH</t>
  </si>
  <si>
    <t>0084438603</t>
  </si>
  <si>
    <t>SAMSUL ARIFIN</t>
  </si>
  <si>
    <t>0084152737</t>
  </si>
  <si>
    <t>VIKRY FERDIANSA</t>
  </si>
  <si>
    <t>0091703855</t>
  </si>
  <si>
    <t>YOKE TEGUH ANANDA</t>
  </si>
  <si>
    <t>0082365969</t>
  </si>
  <si>
    <t>ZAKARYA HUDA ADYATAMA</t>
  </si>
  <si>
    <t>0084378801</t>
  </si>
  <si>
    <t>ACHMAD ZUFARUDIN</t>
  </si>
  <si>
    <t>0081104098</t>
  </si>
  <si>
    <t>ALVIN RIZKY ADITYA</t>
  </si>
  <si>
    <t>0096645562</t>
  </si>
  <si>
    <t>ANANDA FIRGI LISTYAWAN</t>
  </si>
  <si>
    <t>0096837374</t>
  </si>
  <si>
    <t>ARSYADA FATTAH MUMTAZAN YUWONO</t>
  </si>
  <si>
    <t>0087740407</t>
  </si>
  <si>
    <t>AYUNDA DEVI PRATAMA</t>
  </si>
  <si>
    <t>0096218153</t>
  </si>
  <si>
    <t>AZIZAH KHOIROTUL QORI</t>
  </si>
  <si>
    <t>0099073763</t>
  </si>
  <si>
    <t>BAGAS GALIH FEBRIANSA</t>
  </si>
  <si>
    <t>0097102981</t>
  </si>
  <si>
    <t>BIMBY NOVINDA WAHYUDA</t>
  </si>
  <si>
    <t>0087158807</t>
  </si>
  <si>
    <t>CINDY SAFA AVIKA RAMADHANI</t>
  </si>
  <si>
    <t>0091956719</t>
  </si>
  <si>
    <t>DAVID RAIHAN RAMADHAN</t>
  </si>
  <si>
    <t>0085326785</t>
  </si>
  <si>
    <t>FADILA NUR HANIZAH</t>
  </si>
  <si>
    <t>0081120739</t>
  </si>
  <si>
    <t>FAREL ALDI PRATAMA</t>
  </si>
  <si>
    <t>0097151644</t>
  </si>
  <si>
    <t>FEBRYAN YURICHO ADI WIJAYA</t>
  </si>
  <si>
    <t>0086409628</t>
  </si>
  <si>
    <t>HABIBIE VEDO FIRLIAWAN</t>
  </si>
  <si>
    <t>0099489128</t>
  </si>
  <si>
    <t>HANA TREZA YUDISTIARA</t>
  </si>
  <si>
    <t>0081598574</t>
  </si>
  <si>
    <t>HASRUL AZWAR AFANDI</t>
  </si>
  <si>
    <t>0082557561</t>
  </si>
  <si>
    <t>KHIRANIA POETRY</t>
  </si>
  <si>
    <t>0078069902</t>
  </si>
  <si>
    <t>KRISJE NADA</t>
  </si>
  <si>
    <t>0083362672</t>
  </si>
  <si>
    <t>LATHIFATUL MAGHFIROTUR R</t>
  </si>
  <si>
    <t>0094212624</t>
  </si>
  <si>
    <t>MARTINI USMAN</t>
  </si>
  <si>
    <t>0085924680</t>
  </si>
  <si>
    <t>MEY DINA FIRNANDA</t>
  </si>
  <si>
    <t>0086911246</t>
  </si>
  <si>
    <t>MUH ADIN ARDIANSYAH</t>
  </si>
  <si>
    <t>0084669394</t>
  </si>
  <si>
    <t>MUHAMMAD ILYAS HAMID</t>
  </si>
  <si>
    <t>3097490439</t>
  </si>
  <si>
    <t>MUHAMMAD RIZKY ALDIANSYAH</t>
  </si>
  <si>
    <t>0088426060</t>
  </si>
  <si>
    <t>NAURAH FAKHRIYA GHOLIYAH</t>
  </si>
  <si>
    <t>0094986972</t>
  </si>
  <si>
    <t>NUR ADHI SYAFIRUDIN</t>
  </si>
  <si>
    <t>0084206564</t>
  </si>
  <si>
    <t>OKTAVA ADITYA DENYSHA</t>
  </si>
  <si>
    <t>0084914941</t>
  </si>
  <si>
    <t>RAKA IAN ANANTA</t>
  </si>
  <si>
    <t>0075170046</t>
  </si>
  <si>
    <t>RENGGA SETIAWAN</t>
  </si>
  <si>
    <t>0085726968</t>
  </si>
  <si>
    <t>RISTIA MAYDIANA AULIA</t>
  </si>
  <si>
    <t>0091376421</t>
  </si>
  <si>
    <t>SANDY PUTRA PRATAMA</t>
  </si>
  <si>
    <t>0083117550</t>
  </si>
  <si>
    <t>SOFYAN ARDI FIRMANSAH</t>
  </si>
  <si>
    <t>0093538496</t>
  </si>
  <si>
    <t>VELOVE GERRALDINE AUDI PAMELA</t>
  </si>
  <si>
    <t>0088560457</t>
  </si>
  <si>
    <t>VIRZA A A NARESWARI</t>
  </si>
  <si>
    <t>0098731284</t>
  </si>
  <si>
    <t>YOPPI PUTRA ANUGRAH</t>
  </si>
  <si>
    <t>0083720135</t>
  </si>
  <si>
    <t>AISYAH WAHDANIYAH PUTRI FANDITA</t>
  </si>
  <si>
    <t>0096224853</t>
  </si>
  <si>
    <t>AMELIA RISMA FIRNANDA</t>
  </si>
  <si>
    <t>0082142007</t>
  </si>
  <si>
    <t>ANGGA DWI MAULANA</t>
  </si>
  <si>
    <t>0091028575</t>
  </si>
  <si>
    <t>AULIA MIERZA ASSYAFA</t>
  </si>
  <si>
    <t>0094102757</t>
  </si>
  <si>
    <t>AZ ZAHRA MAULID DINA</t>
  </si>
  <si>
    <t>0087728153</t>
  </si>
  <si>
    <t>BAGAS EKO WARDOYO</t>
  </si>
  <si>
    <t>0093653516</t>
  </si>
  <si>
    <t>BELQIS FLORENCIA RENATA</t>
  </si>
  <si>
    <t>0099758591</t>
  </si>
  <si>
    <t>BIMA SETYA NUGRAHA KURNIAWAN</t>
  </si>
  <si>
    <t>0087421769</t>
  </si>
  <si>
    <t>BRYAN NOVIANTO MAULANA</t>
  </si>
  <si>
    <t>0096086254</t>
  </si>
  <si>
    <t>CLAIRINE ZIGI ANEIRA</t>
  </si>
  <si>
    <t>0095128431</t>
  </si>
  <si>
    <t>DITA AVRILLIA</t>
  </si>
  <si>
    <t>0087247803</t>
  </si>
  <si>
    <t>EVA SESILIA MAULIDA</t>
  </si>
  <si>
    <t>0083201104</t>
  </si>
  <si>
    <t>FAJRIAL BINTANG RAMADHAN</t>
  </si>
  <si>
    <t>0081335210</t>
  </si>
  <si>
    <t>FATIMATUZ ZAHRA</t>
  </si>
  <si>
    <t>0094126878</t>
  </si>
  <si>
    <t>GALANG RAMBU ANARKI</t>
  </si>
  <si>
    <t>0087002854</t>
  </si>
  <si>
    <t>HALDIN LAY</t>
  </si>
  <si>
    <t>0093844054</t>
  </si>
  <si>
    <t>HANIF AULIA YUSUF RAHMAN</t>
  </si>
  <si>
    <t>0081772557</t>
  </si>
  <si>
    <t>KARINA DWI NATALIA</t>
  </si>
  <si>
    <t>0088390045</t>
  </si>
  <si>
    <t>KIRANIA FITRI</t>
  </si>
  <si>
    <t>0094017947</t>
  </si>
  <si>
    <t>LAKSONO ALBAN NUGROHO</t>
  </si>
  <si>
    <t>0088960891</t>
  </si>
  <si>
    <t>LUNA AYU KARTIKA</t>
  </si>
  <si>
    <t>0085278974</t>
  </si>
  <si>
    <t>MAWARDI YAHYA</t>
  </si>
  <si>
    <t>3092989420</t>
  </si>
  <si>
    <t>MOLDY RANDI AHMAD AGUSTIAN</t>
  </si>
  <si>
    <t>3086529124</t>
  </si>
  <si>
    <t>MUHAMMAD AFIF FADHILAH</t>
  </si>
  <si>
    <t>0087098261</t>
  </si>
  <si>
    <t>MUHAMMAD ILYAS ZARKASYI</t>
  </si>
  <si>
    <t>0081026287</t>
  </si>
  <si>
    <t>NADIFA CAHYA ZERLINDA</t>
  </si>
  <si>
    <t>0086312072</t>
  </si>
  <si>
    <t>NOVAN EKA BAKTI SATRIA PERMANA</t>
  </si>
  <si>
    <t>0083007527</t>
  </si>
  <si>
    <t>NUZUL SEPTIAN WAHYU SAMPURNA</t>
  </si>
  <si>
    <t>0092626087</t>
  </si>
  <si>
    <t>RAHMADHITO HIMAWAN SANTOSO</t>
  </si>
  <si>
    <t>0081631273</t>
  </si>
  <si>
    <t>RAMADHAN KAKA PRATAMA</t>
  </si>
  <si>
    <t>0078903687</t>
  </si>
  <si>
    <t>SABRINA RIZKY ANISA</t>
  </si>
  <si>
    <t>0084804001</t>
  </si>
  <si>
    <t>SHINTA AYUNDA ARERIA</t>
  </si>
  <si>
    <t>3090838207</t>
  </si>
  <si>
    <t>SUCI ANITA</t>
  </si>
  <si>
    <t>0076120386</t>
  </si>
  <si>
    <t>YOHAN PUTRA WAHIDDIYAH FAREL W</t>
  </si>
  <si>
    <t>0095512440</t>
  </si>
  <si>
    <t>ZULFA APRILIA</t>
  </si>
  <si>
    <t>0074054172</t>
  </si>
  <si>
    <t>ADDINIA AISYARA WAHYUDI</t>
  </si>
  <si>
    <t>XII</t>
  </si>
  <si>
    <t>0075709265</t>
  </si>
  <si>
    <t>AHMAD SAHRUL MUJAHIDIN</t>
  </si>
  <si>
    <t>0077226715</t>
  </si>
  <si>
    <t>ALFRINA WIDYA SUTRISNA</t>
  </si>
  <si>
    <t>0084253181</t>
  </si>
  <si>
    <t>ALYA RISKA FIRDASARI</t>
  </si>
  <si>
    <t>0086816108</t>
  </si>
  <si>
    <t>ANDINI SYARIFA PUJIANTI</t>
  </si>
  <si>
    <t>0072701017</t>
  </si>
  <si>
    <t>ARUMFIKA NUR ARTINSYAH</t>
  </si>
  <si>
    <t>0077737744</t>
  </si>
  <si>
    <t>BELINDA GABRIELE RAMAHDHANIA</t>
  </si>
  <si>
    <t>0083437603</t>
  </si>
  <si>
    <t>CERINA FEBIOLA AYU WIBOWO</t>
  </si>
  <si>
    <t>0075948560</t>
  </si>
  <si>
    <t>CITRA CHERYL INTAN AVRILLIA</t>
  </si>
  <si>
    <t>0078255114</t>
  </si>
  <si>
    <t>DEISA NUR SALSABILA SALMA</t>
  </si>
  <si>
    <t>0082185208</t>
  </si>
  <si>
    <t>DHECA SASKIA CAHYANINGTYAS</t>
  </si>
  <si>
    <t>0084091219</t>
  </si>
  <si>
    <t>ELINDA ELVITA SARI</t>
  </si>
  <si>
    <t>0088986878</t>
  </si>
  <si>
    <t>ESI FAUZIAH UDANNINGRUM</t>
  </si>
  <si>
    <t>0085009532</t>
  </si>
  <si>
    <t>FINA ZAKIYATUS SALAMAH</t>
  </si>
  <si>
    <t>0075706556</t>
  </si>
  <si>
    <t>FITIADIA MAHARANI</t>
  </si>
  <si>
    <t>0084185068</t>
  </si>
  <si>
    <t>GITA MEI SARAH AMALIA</t>
  </si>
  <si>
    <t>0074737427</t>
  </si>
  <si>
    <t>INDRI ANITA MAHARANI</t>
  </si>
  <si>
    <t>0088357106</t>
  </si>
  <si>
    <t>JIHAN DWI ANGGRAINI</t>
  </si>
  <si>
    <t>0077993072</t>
  </si>
  <si>
    <t>KEYSYAH SALSABILLAH</t>
  </si>
  <si>
    <t>0075463529</t>
  </si>
  <si>
    <t>KIRANA NADIFATUL ELFIRA</t>
  </si>
  <si>
    <t>0087238061</t>
  </si>
  <si>
    <t>MAHARANI ANASTASYA</t>
  </si>
  <si>
    <t>0075367448</t>
  </si>
  <si>
    <t>MONICA NURARIZKY FADILLAH</t>
  </si>
  <si>
    <t>0087076129</t>
  </si>
  <si>
    <t>NADHIEF AULIA NABRAWI</t>
  </si>
  <si>
    <t>0074968560</t>
  </si>
  <si>
    <t>NAIA AZZAHRA ALISYA RAMADHANIA</t>
  </si>
  <si>
    <t>0085920316</t>
  </si>
  <si>
    <t>NAYLA KHARISMA PUTRI</t>
  </si>
  <si>
    <t>0073530812</t>
  </si>
  <si>
    <t>NELA NOVITA APRILIA</t>
  </si>
  <si>
    <t>0077901914</t>
  </si>
  <si>
    <t>PINGKI NUR HIDAYATI</t>
  </si>
  <si>
    <t>0073643586</t>
  </si>
  <si>
    <t>RASYA AKBAR PRAMANA PUTRA</t>
  </si>
  <si>
    <t>0077440429</t>
  </si>
  <si>
    <t>RESTA AULIA</t>
  </si>
  <si>
    <t>0085509526</t>
  </si>
  <si>
    <t>RIBKA OCTALIA</t>
  </si>
  <si>
    <t>0089667949</t>
  </si>
  <si>
    <t>SAFIRA EKA ERIANTI</t>
  </si>
  <si>
    <t>0068108311</t>
  </si>
  <si>
    <t>SALSA NABILA</t>
  </si>
  <si>
    <t>0089981048</t>
  </si>
  <si>
    <t>SONIA INTAN PRAVIKA DEVI</t>
  </si>
  <si>
    <t>0081181501</t>
  </si>
  <si>
    <t>SYAIRA SALSABILLA PUTRI ASFIN</t>
  </si>
  <si>
    <t>0079816193</t>
  </si>
  <si>
    <t>VALENT FARISSI ASTU</t>
  </si>
  <si>
    <t>0077319624</t>
  </si>
  <si>
    <t>YANUELA RENATA YASMIN</t>
  </si>
  <si>
    <t>0082728366</t>
  </si>
  <si>
    <t>ADELIA NIZMA WARDHANI</t>
  </si>
  <si>
    <t>0081539088</t>
  </si>
  <si>
    <t>ALVINA AMALIA SUBHAN</t>
  </si>
  <si>
    <t>0088804628</t>
  </si>
  <si>
    <t>ALZENA AYU NABILA HAKIM</t>
  </si>
  <si>
    <t>0079985645</t>
  </si>
  <si>
    <t>ANGGITA DWI PUSPITANINGRUM</t>
  </si>
  <si>
    <t>0079739922</t>
  </si>
  <si>
    <t>ANNISA NAILATUL IZZAH</t>
  </si>
  <si>
    <t>0088523554</t>
  </si>
  <si>
    <t>ATHIYA BILQIS AIF GHASSANI</t>
  </si>
  <si>
    <t>0086121030</t>
  </si>
  <si>
    <t>AYU CINTIYA NOVITA SARI</t>
  </si>
  <si>
    <t>0083362680</t>
  </si>
  <si>
    <t>BAGAS PUTRA MAHARDIKA</t>
  </si>
  <si>
    <t>0081780743</t>
  </si>
  <si>
    <t>BERTA LADYA UNIQA HOOD</t>
  </si>
  <si>
    <t>0086170560</t>
  </si>
  <si>
    <t>CHALISA SALSABILA</t>
  </si>
  <si>
    <t>0076044088</t>
  </si>
  <si>
    <t>CLARESTA AURORA</t>
  </si>
  <si>
    <t>0083227423</t>
  </si>
  <si>
    <t>DENISYA ARMELIA</t>
  </si>
  <si>
    <t>0081097155</t>
  </si>
  <si>
    <t>DINA ALIFVIA PUTRI ROSA PNL</t>
  </si>
  <si>
    <t>0077407477</t>
  </si>
  <si>
    <t>ELVA ZHATI FIRANA</t>
  </si>
  <si>
    <t>0073453730</t>
  </si>
  <si>
    <t>FAHRA NAYLA RAHMA</t>
  </si>
  <si>
    <t>0081963379</t>
  </si>
  <si>
    <t>FIONA LIVIA ANANDA</t>
  </si>
  <si>
    <t>0081169225</t>
  </si>
  <si>
    <t>GABRIELE TAKA ALFIKO</t>
  </si>
  <si>
    <t>0067478610</t>
  </si>
  <si>
    <t>GRACE KAREN EVEL DARMAWAN</t>
  </si>
  <si>
    <t>0079982067</t>
  </si>
  <si>
    <t>IRMA AMELIA RAHAYU</t>
  </si>
  <si>
    <t>0081081049</t>
  </si>
  <si>
    <t>KAYLA AZALEA PUTRI AUFKLYNA</t>
  </si>
  <si>
    <t>0088369891</t>
  </si>
  <si>
    <t>KHAIRUNNISA NAJWA AULIDINA</t>
  </si>
  <si>
    <t>0083610456</t>
  </si>
  <si>
    <t>KIRANIA PUTRI AULIA</t>
  </si>
  <si>
    <t>0084190172</t>
  </si>
  <si>
    <t>MAUZA AZILA AZ-ZAHRA AZHAR</t>
  </si>
  <si>
    <t>0071291624</t>
  </si>
  <si>
    <t>MUHAMMAD AJI SULTAN</t>
  </si>
  <si>
    <t>0077763740</t>
  </si>
  <si>
    <t>NADILA INTAN SEVIRA</t>
  </si>
  <si>
    <t>0072181404</t>
  </si>
  <si>
    <t>NANDHITA VELLANI GADIS PRATAMA</t>
  </si>
  <si>
    <t>0086675323</t>
  </si>
  <si>
    <t>NAYSILA ALIF SABILLA</t>
  </si>
  <si>
    <t>0083943587</t>
  </si>
  <si>
    <t>NIZAR AURA RAHMA</t>
  </si>
  <si>
    <t>0073363173</t>
  </si>
  <si>
    <t>NUR AULIA AZIMA</t>
  </si>
  <si>
    <t>0086122473</t>
  </si>
  <si>
    <t>PUJI WIDI ASTUTIK</t>
  </si>
  <si>
    <t>0074245388</t>
  </si>
  <si>
    <t>REYVANA PRADIPTA</t>
  </si>
  <si>
    <t>0074520116</t>
  </si>
  <si>
    <t>RISTA AMALIA WULANDARI</t>
  </si>
  <si>
    <t>0085975338</t>
  </si>
  <si>
    <t>SALMA YULFA NURLAILI</t>
  </si>
  <si>
    <t>0074036485</t>
  </si>
  <si>
    <t>SRI LISTARI CHOIRIYA</t>
  </si>
  <si>
    <t>0087950647</t>
  </si>
  <si>
    <t>SYAKHIROH NANDA ASYURA</t>
  </si>
  <si>
    <t>0075224366</t>
  </si>
  <si>
    <t>VANES AURA PUTRI ADZILA</t>
  </si>
  <si>
    <t>0081358095</t>
  </si>
  <si>
    <t>ALVINA PUTRI SUCIATI</t>
  </si>
  <si>
    <t>0086434139</t>
  </si>
  <si>
    <t>AMELIA PUTRI ARINDA NURUL AZIZAH</t>
  </si>
  <si>
    <t>0087817516</t>
  </si>
  <si>
    <t>ANINDIA KEYLA RENGGANIS</t>
  </si>
  <si>
    <t>0071553897</t>
  </si>
  <si>
    <t>ARKANA DANISWARA</t>
  </si>
  <si>
    <t>0078782668</t>
  </si>
  <si>
    <t>ATTHIYYATUS REYSHA AZZURA QURRATUL AINI</t>
  </si>
  <si>
    <t>0071093473</t>
  </si>
  <si>
    <t>AZURA SAFA RAMADHANIA PUTRI HENDRAWATI</t>
  </si>
  <si>
    <t>0073382658</t>
  </si>
  <si>
    <t>CANCERINA FARAH AZZAHRA</t>
  </si>
  <si>
    <t>0075612088</t>
  </si>
  <si>
    <t>CHELSEA SEFIA FIRNANDA</t>
  </si>
  <si>
    <t>3077947541</t>
  </si>
  <si>
    <t>CUT ALEIYA ANGELYNA NASYAA</t>
  </si>
  <si>
    <t>0078350808</t>
  </si>
  <si>
    <t>DEWI ANGGRAENI</t>
  </si>
  <si>
    <t>0077267200</t>
  </si>
  <si>
    <t>DIVA OLIFIA SABILA</t>
  </si>
  <si>
    <t>FAKHRI AL-AZIZ</t>
  </si>
  <si>
    <t>0085948326</t>
  </si>
  <si>
    <t>FEBRIANA NABILA PUTRI</t>
  </si>
  <si>
    <t>0083927505</t>
  </si>
  <si>
    <t>FIRDHA AULIA</t>
  </si>
  <si>
    <t>0084605977</t>
  </si>
  <si>
    <t>GHAISANI SHABRINA HENIZAH</t>
  </si>
  <si>
    <t>0061303890</t>
  </si>
  <si>
    <t>HANNA FITRI AZZAHRA</t>
  </si>
  <si>
    <t>0071986704</t>
  </si>
  <si>
    <t>IRMA AYU WIDIANA FATIKAHSARI</t>
  </si>
  <si>
    <t>0082009969</t>
  </si>
  <si>
    <t>KEISYA MAULANA ANJANI</t>
  </si>
  <si>
    <t>0077004097</t>
  </si>
  <si>
    <t>KHARISMA ANDINI YUNURDIKA</t>
  </si>
  <si>
    <t>0081147392</t>
  </si>
  <si>
    <t>LAILATUL NURAINI</t>
  </si>
  <si>
    <t>0078480225</t>
  </si>
  <si>
    <t>MEYFANDA KURNIASARI</t>
  </si>
  <si>
    <t>0078105878</t>
  </si>
  <si>
    <t>NABILA DISWITA MAHARANI</t>
  </si>
  <si>
    <t>0071074727</t>
  </si>
  <si>
    <t>NADINE AMELIA ASYA TAUFIK</t>
  </si>
  <si>
    <t>0071115099</t>
  </si>
  <si>
    <t>NARRA WHISKEYTA ARDINANTI</t>
  </si>
  <si>
    <t>0084781225</t>
  </si>
  <si>
    <t>NAYSILLA ALYA ZAHRA</t>
  </si>
  <si>
    <t>0073609382</t>
  </si>
  <si>
    <t>NUR HAMIDAH</t>
  </si>
  <si>
    <t>0077180559</t>
  </si>
  <si>
    <t>PUTRI FITRIA SARI</t>
  </si>
  <si>
    <t>0071975829</t>
  </si>
  <si>
    <t>RENATA KUSRIA NOVELIA</t>
  </si>
  <si>
    <t>0074139527</t>
  </si>
  <si>
    <t>RIA ANTIKA</t>
  </si>
  <si>
    <t>0077988944</t>
  </si>
  <si>
    <t>RUBEN PRATAMA</t>
  </si>
  <si>
    <t>0084472629</t>
  </si>
  <si>
    <t>SHAILA RIZKY AMALIA</t>
  </si>
  <si>
    <t>0074648348</t>
  </si>
  <si>
    <t>SUCI HAYATUN NOFUS</t>
  </si>
  <si>
    <t>0082271258</t>
  </si>
  <si>
    <t>SYAUVINKA NATHANIA AZMI REVA AIRIN</t>
  </si>
  <si>
    <t>0083028135</t>
  </si>
  <si>
    <t>VELOVE NINDYA PALUPI</t>
  </si>
  <si>
    <t>0084252628</t>
  </si>
  <si>
    <t>YULIO ABRAMANDO</t>
  </si>
  <si>
    <t>0074978769</t>
  </si>
  <si>
    <t>ZAHRA PUTRI RHAMADANI</t>
  </si>
  <si>
    <t>0071380895</t>
  </si>
  <si>
    <t>AINI SALSABILLAH</t>
  </si>
  <si>
    <t>0075149557</t>
  </si>
  <si>
    <t>ALVIRA AYU VANESA</t>
  </si>
  <si>
    <t>0089635443</t>
  </si>
  <si>
    <t>ANANDA JASMINE RAGITHACAHYA</t>
  </si>
  <si>
    <t>0078734466</t>
  </si>
  <si>
    <t>ANINDYA NOVA WARDHANA</t>
  </si>
  <si>
    <t>0073154544</t>
  </si>
  <si>
    <t>ARNALIA EMMY DWI YULIANA</t>
  </si>
  <si>
    <t>0083815254</t>
  </si>
  <si>
    <t>AULIA KHOIRUN NISA</t>
  </si>
  <si>
    <t>0088591385</t>
  </si>
  <si>
    <t>AURYN DIANICA ALFAISYA</t>
  </si>
  <si>
    <t>0072478506</t>
  </si>
  <si>
    <t>CANTIKA YULIARNINGTIAS</t>
  </si>
  <si>
    <t>0082304234</t>
  </si>
  <si>
    <t>CECILLIA ANIZATUR RAHMADHANI</t>
  </si>
  <si>
    <t>0087175139</t>
  </si>
  <si>
    <t>CINTA YUAN PRATIWI</t>
  </si>
  <si>
    <t>0086182374</t>
  </si>
  <si>
    <t>DEBRINA AYUWANDARI</t>
  </si>
  <si>
    <t>0071335784</t>
  </si>
  <si>
    <t>DHEA FEMITHA PUTRI</t>
  </si>
  <si>
    <t>0075201608</t>
  </si>
  <si>
    <t>DIWAN RAHMAT ALDO SETIAWAN</t>
  </si>
  <si>
    <t>0088519963</t>
  </si>
  <si>
    <t>ERITZA WAHYU SINTA DEWI</t>
  </si>
  <si>
    <t>0077472268</t>
  </si>
  <si>
    <t>FELA FARISA AULIA</t>
  </si>
  <si>
    <t>0084984576</t>
  </si>
  <si>
    <t>FIRRA MEYCA KRISMA DAMAYANTI</t>
  </si>
  <si>
    <t>0087918809</t>
  </si>
  <si>
    <t>GITA FELLISIA DARSONO</t>
  </si>
  <si>
    <t>0086745238</t>
  </si>
  <si>
    <t>HELGA PUTRI TAULANY</t>
  </si>
  <si>
    <t>0087703507</t>
  </si>
  <si>
    <t>JEFRENA PUTRI AULIA</t>
  </si>
  <si>
    <t>0076524317</t>
  </si>
  <si>
    <t>KEMAL HAKIKI PRIMA ZETA</t>
  </si>
  <si>
    <t>0076411802</t>
  </si>
  <si>
    <t>KHOIROTUN NISAK</t>
  </si>
  <si>
    <t>0086721544</t>
  </si>
  <si>
    <t>LINGGA MASAYU GIRISEKA</t>
  </si>
  <si>
    <t>0085688804</t>
  </si>
  <si>
    <t>MIFTACHUL JANNAH</t>
  </si>
  <si>
    <t>0083644154</t>
  </si>
  <si>
    <t>NABILA MELIANA PUTRI</t>
  </si>
  <si>
    <t>3089539355</t>
  </si>
  <si>
    <t>NAFIZA AQEEL RAMADHONA</t>
  </si>
  <si>
    <t>0078125354</t>
  </si>
  <si>
    <t>NATALIA DISTIARIANI HERMANSYAH</t>
  </si>
  <si>
    <t>0082461565</t>
  </si>
  <si>
    <t>NAZILLA EKA APRILIA</t>
  </si>
  <si>
    <t>0072947864</t>
  </si>
  <si>
    <t>RANIA DEWI SAFITRI</t>
  </si>
  <si>
    <t>0087517460</t>
  </si>
  <si>
    <t>REPIANA</t>
  </si>
  <si>
    <t>0083826658</t>
  </si>
  <si>
    <t>RIA MARCHELLINDA EKA AGUSTIN</t>
  </si>
  <si>
    <t>0074960451</t>
  </si>
  <si>
    <t>SABNA NABILA RAMADHANI</t>
  </si>
  <si>
    <t>0086721424</t>
  </si>
  <si>
    <t>SITI ANIATUS SHOLIHA</t>
  </si>
  <si>
    <t>0089646328</t>
  </si>
  <si>
    <t>SYAHNA CITRA KHARISMA</t>
  </si>
  <si>
    <t>0071360867</t>
  </si>
  <si>
    <t>TIA MAIMUNAH</t>
  </si>
  <si>
    <t>0083664004</t>
  </si>
  <si>
    <t>YANUARTI PURI ANDINI</t>
  </si>
  <si>
    <t>0088665824</t>
  </si>
  <si>
    <t>ZUHRIYAH CHUSNUL ROFIDAH</t>
  </si>
  <si>
    <t>3085710969</t>
  </si>
  <si>
    <t>ACHMAD MAULANA</t>
  </si>
  <si>
    <t>0071727384</t>
  </si>
  <si>
    <t>AISYAH NABILA SYIFA</t>
  </si>
  <si>
    <t>0082292002</t>
  </si>
  <si>
    <t>AKHSAN KHULUKI SIDIQ</t>
  </si>
  <si>
    <t>0074504375</t>
  </si>
  <si>
    <t>ALIFVIA DINI NOVITA SARI</t>
  </si>
  <si>
    <t>0088590032</t>
  </si>
  <si>
    <t>ANJELITA APRILIA MELANI PUTRI</t>
  </si>
  <si>
    <t>0072534144</t>
  </si>
  <si>
    <t>BAGUS CAHYA PRATAMA</t>
  </si>
  <si>
    <t>0072567153</t>
  </si>
  <si>
    <t>BUNGA OCTA PUTRI ZIRINA</t>
  </si>
  <si>
    <t>0079398405</t>
  </si>
  <si>
    <t>CANDY DESWITA ZALIANTY</t>
  </si>
  <si>
    <t>0086235525</t>
  </si>
  <si>
    <t>DINDA NOLA MAHESWARI</t>
  </si>
  <si>
    <t>0075175884</t>
  </si>
  <si>
    <t>ECHA AMELIA PUTRI</t>
  </si>
  <si>
    <t>0077127299</t>
  </si>
  <si>
    <t>EZYZA FADIA WARDA LATARANIA</t>
  </si>
  <si>
    <t>0074221281</t>
  </si>
  <si>
    <t>FADIA AYU AMELIA</t>
  </si>
  <si>
    <t>0081892475</t>
  </si>
  <si>
    <t>FALIA AMA GEA MOZA</t>
  </si>
  <si>
    <t>0085273865</t>
  </si>
  <si>
    <t>FAUZIAH MAULIDA</t>
  </si>
  <si>
    <t>0076006334</t>
  </si>
  <si>
    <t>FINKAN VALENDA GARINSA</t>
  </si>
  <si>
    <t>0089655494</t>
  </si>
  <si>
    <t>INDAH KURNIAWATI SUBYANTO</t>
  </si>
  <si>
    <t>0082866845</t>
  </si>
  <si>
    <t>MIRZA YAHYA ZAKARIA</t>
  </si>
  <si>
    <t>0082332146</t>
  </si>
  <si>
    <t>MOCH THORIQ ZIYAD ALFAYYAD</t>
  </si>
  <si>
    <t>0076123367</t>
  </si>
  <si>
    <t>MOHAMAD EGA RIDUWAN</t>
  </si>
  <si>
    <t>0081418867</t>
  </si>
  <si>
    <t>MUHAMMAD FALEN ERVENTIYO</t>
  </si>
  <si>
    <t>0079533813</t>
  </si>
  <si>
    <t>NOVIA BUNGA LESTARI</t>
  </si>
  <si>
    <t>0085142296</t>
  </si>
  <si>
    <t>SABNA AYUNING WULAN</t>
  </si>
  <si>
    <t>0051839104</t>
  </si>
  <si>
    <t>SAMEUL ANGGA</t>
  </si>
  <si>
    <t>3070016222</t>
  </si>
  <si>
    <t>SHEVINA NURRIRAHMA</t>
  </si>
  <si>
    <t>0064067556</t>
  </si>
  <si>
    <t>SITI NUR AISYAH</t>
  </si>
  <si>
    <t>0079682285</t>
  </si>
  <si>
    <t>SYAFILLA SEPTIA PUTRI</t>
  </si>
  <si>
    <t>0085597732</t>
  </si>
  <si>
    <t>VISTA FARIKHATUL ULA</t>
  </si>
  <si>
    <t>0079802482</t>
  </si>
  <si>
    <t>ZAHROTUN NUR AFIDAH</t>
  </si>
  <si>
    <t>0089342429</t>
  </si>
  <si>
    <t>ZAHWA ATTANIA AZUHRI</t>
  </si>
  <si>
    <t>0073844792</t>
  </si>
  <si>
    <t>ZEERYL SASKIA ANANDA</t>
  </si>
  <si>
    <t>0071930480</t>
  </si>
  <si>
    <t>ABDULLAH UMAR SAID</t>
  </si>
  <si>
    <t>0073864553</t>
  </si>
  <si>
    <t>AGUSTIRANI SALSA BILLAH</t>
  </si>
  <si>
    <t>0071596382</t>
  </si>
  <si>
    <t>AHMAD ZAKI RAMADHANI</t>
  </si>
  <si>
    <t>0071124096</t>
  </si>
  <si>
    <t>ALIEF AHMAD RIZKY</t>
  </si>
  <si>
    <t>0078190563</t>
  </si>
  <si>
    <t>AMERICANIA ANGEL JOE VALDIVIA</t>
  </si>
  <si>
    <t>0086405704</t>
  </si>
  <si>
    <t>BUNGA CITRA LESTARI</t>
  </si>
  <si>
    <t>0084274266</t>
  </si>
  <si>
    <t>CHIKA APRILIA SAPUTRI</t>
  </si>
  <si>
    <t>0079656614</t>
  </si>
  <si>
    <t>DAVA PRASETYA</t>
  </si>
  <si>
    <t>0078842836</t>
  </si>
  <si>
    <t>ELSA SABRINA WAHYU MAHARANI PUTRI</t>
  </si>
  <si>
    <t>0086429882</t>
  </si>
  <si>
    <t>ESASI ARAYA SUTASOMA</t>
  </si>
  <si>
    <t>0088930879</t>
  </si>
  <si>
    <t>FARDAN ABDU ROZAK</t>
  </si>
  <si>
    <t>0078244358</t>
  </si>
  <si>
    <t>GADIS NOVENKA GINOMI</t>
  </si>
  <si>
    <t>0067422934</t>
  </si>
  <si>
    <t>HASNA WILDA RAMADHANI</t>
  </si>
  <si>
    <t>0075007494</t>
  </si>
  <si>
    <t>IHWANUL KIROM</t>
  </si>
  <si>
    <t>0078924746</t>
  </si>
  <si>
    <t>KEISYA AYU PUTRI SHABILQIZ</t>
  </si>
  <si>
    <t>0085961660</t>
  </si>
  <si>
    <t>KHOFIFA INDAR PARAWANSA</t>
  </si>
  <si>
    <t>0084611118</t>
  </si>
  <si>
    <t>KINAN IYYAS ULHAQ</t>
  </si>
  <si>
    <t>0089243374</t>
  </si>
  <si>
    <t>MARSHA LADY SELLOMITHA</t>
  </si>
  <si>
    <t>0089295684</t>
  </si>
  <si>
    <t>MAULIDYA ERIKA PUTRI</t>
  </si>
  <si>
    <t>0078190292</t>
  </si>
  <si>
    <t>MUHAMAD ARYA AGHATAN</t>
  </si>
  <si>
    <t>0072378201</t>
  </si>
  <si>
    <t>MUHAMMAD DZAKWAN ABRAMOVIC</t>
  </si>
  <si>
    <t>0078093832</t>
  </si>
  <si>
    <t>MUHAMMAD HIBATULLAH PRATAMA ISWA</t>
  </si>
  <si>
    <t>0075307702</t>
  </si>
  <si>
    <t>NADINE SABRINA RAMADHANI</t>
  </si>
  <si>
    <t>0088716777</t>
  </si>
  <si>
    <t>NAURA QUIRIDA YASDIKA</t>
  </si>
  <si>
    <t>0078209183</t>
  </si>
  <si>
    <t>NUR FADHILAH CHOIROTUN NISA</t>
  </si>
  <si>
    <t>0088790388</t>
  </si>
  <si>
    <t>PRADITA FANY NOERMANDY</t>
  </si>
  <si>
    <t>0075516515</t>
  </si>
  <si>
    <t>REGITA ANGELIA RAHMA</t>
  </si>
  <si>
    <t>0086660793</t>
  </si>
  <si>
    <t>REGZA PUDIASMARA WISUDARAJA</t>
  </si>
  <si>
    <t>0087739677</t>
  </si>
  <si>
    <t>SHINTA NISYWAH AZZAHRA</t>
  </si>
  <si>
    <t>0073521677</t>
  </si>
  <si>
    <t>TATIA ERSA AURELIA</t>
  </si>
  <si>
    <t>0079865743</t>
  </si>
  <si>
    <t>TITA HAPSARI</t>
  </si>
  <si>
    <t>0087015037</t>
  </si>
  <si>
    <t>VERLICHA AMELDYA SANTOSO</t>
  </si>
  <si>
    <t>0078355035</t>
  </si>
  <si>
    <t>VINO ERIC ARDIWINATA</t>
  </si>
  <si>
    <t>0087467343</t>
  </si>
  <si>
    <t>YESSIN KLARISTIAN</t>
  </si>
  <si>
    <t>0087066207</t>
  </si>
  <si>
    <t>ZUHDY FAAZHILAH DWI SUSILO</t>
  </si>
  <si>
    <t>0083277012</t>
  </si>
  <si>
    <t>ADINDA VANESA MAHARANI</t>
  </si>
  <si>
    <t>0079691624</t>
  </si>
  <si>
    <t>AFRIZA DISYACITA YICA</t>
  </si>
  <si>
    <t>0077323952</t>
  </si>
  <si>
    <t>AINUR NADIVA</t>
  </si>
  <si>
    <t>0074538932</t>
  </si>
  <si>
    <t>AKMAL CHABIBI</t>
  </si>
  <si>
    <t>0089105450</t>
  </si>
  <si>
    <t>AMJAD HANA MUFIDAH</t>
  </si>
  <si>
    <t>0087065179</t>
  </si>
  <si>
    <t>BUNGA ASTITI ISTIAR</t>
  </si>
  <si>
    <t>0088107882</t>
  </si>
  <si>
    <t>CAHAYA AJENG KUSUMA</t>
  </si>
  <si>
    <t>0079169416</t>
  </si>
  <si>
    <t>DHESI FATMAWATI</t>
  </si>
  <si>
    <t>0028683689</t>
  </si>
  <si>
    <t>EKA FEBIANTO</t>
  </si>
  <si>
    <t>0062282424</t>
  </si>
  <si>
    <t>ERLIA SARNI</t>
  </si>
  <si>
    <t>0073228517</t>
  </si>
  <si>
    <t>FERNANDO PUTRA NANDIKA</t>
  </si>
  <si>
    <t>0079558493</t>
  </si>
  <si>
    <t>FIDRYA RHOHMA</t>
  </si>
  <si>
    <t>HANI MAILIA</t>
  </si>
  <si>
    <t>0073165336</t>
  </si>
  <si>
    <t>JELITA MUTIARA NINGRUM</t>
  </si>
  <si>
    <t>0084269474</t>
  </si>
  <si>
    <t>KEYSHA VEL DIRA</t>
  </si>
  <si>
    <t>0089968514</t>
  </si>
  <si>
    <t>KHRYSTAVIE PUTRIE NATALYA SOPLANTILA</t>
  </si>
  <si>
    <t>0078026694</t>
  </si>
  <si>
    <t>LAELY NUR HIDAYAH</t>
  </si>
  <si>
    <t>0087286996</t>
  </si>
  <si>
    <t>LINGGA ARKANANTA RIZQULLAH</t>
  </si>
  <si>
    <t>0084890063</t>
  </si>
  <si>
    <t>MARSYA AYU FITRIANI</t>
  </si>
  <si>
    <t>0075881423</t>
  </si>
  <si>
    <t>MAURA ANISSA BHALQIS</t>
  </si>
  <si>
    <t>0089364689</t>
  </si>
  <si>
    <t>MUHAMMAD ARIZQYA RAMADHAN</t>
  </si>
  <si>
    <t>0081825154</t>
  </si>
  <si>
    <t>MUHAMMAD FACHRI ACHMADINEJAD</t>
  </si>
  <si>
    <t>0089721570</t>
  </si>
  <si>
    <t>MUHAMMAD NABIEL FADHILAH</t>
  </si>
  <si>
    <t>0074111518</t>
  </si>
  <si>
    <t>MULAN ANGGRAENI NURDWIYANTI</t>
  </si>
  <si>
    <t>0073072399</t>
  </si>
  <si>
    <t>NAURA KHANSA CAHYANI</t>
  </si>
  <si>
    <t>0081955553</t>
  </si>
  <si>
    <t>NAWA HIKMAWANSAH</t>
  </si>
  <si>
    <t>0079365007</t>
  </si>
  <si>
    <t>PUTRA  MAULANA HELSYNKI</t>
  </si>
  <si>
    <t>0077877071</t>
  </si>
  <si>
    <t>REFITRA AYU KUSUMA NINGRUM</t>
  </si>
  <si>
    <t>0083517891</t>
  </si>
  <si>
    <t>RENATA AMELIA PUTRI SUGIANTO</t>
  </si>
  <si>
    <t>0084472175</t>
  </si>
  <si>
    <t>RULI PUTRA PRATAMA</t>
  </si>
  <si>
    <t>0082378987</t>
  </si>
  <si>
    <t>SYAKEELA KIRANI AZ ZAHRA</t>
  </si>
  <si>
    <t>0089034197</t>
  </si>
  <si>
    <t>TAZAYYADAZZAHWA ZYANUZZAWAJ</t>
  </si>
  <si>
    <t>0075868065</t>
  </si>
  <si>
    <t>ULFANISWAH AFIFAH SYAHIRAH</t>
  </si>
  <si>
    <t>0072144534</t>
  </si>
  <si>
    <t>WIDHA REVI DWI NOVIANTI</t>
  </si>
  <si>
    <t>0081235974</t>
  </si>
  <si>
    <t>YANUAR PANCA ANDHIKA</t>
  </si>
  <si>
    <t>0086734678</t>
  </si>
  <si>
    <t>YUNIAR AYU RAHMAWATI</t>
  </si>
  <si>
    <t>0076207972</t>
  </si>
  <si>
    <t>ACHMAD FADILLAH BAGUS AKBAR</t>
  </si>
  <si>
    <t>0081541807</t>
  </si>
  <si>
    <t>AFIEF ARDIANSYAH ARIEF</t>
  </si>
  <si>
    <t>0077568116</t>
  </si>
  <si>
    <t>ALDILLA PUTRA KARESTU</t>
  </si>
  <si>
    <t>0072444438</t>
  </si>
  <si>
    <t>ARDHAN PUTRA NAGARA AL CHADAD</t>
  </si>
  <si>
    <t>0085078274</t>
  </si>
  <si>
    <t>CHALISTA DWI NATHANIA</t>
  </si>
  <si>
    <t>0079619598</t>
  </si>
  <si>
    <t>DAVA DWI ANTONO</t>
  </si>
  <si>
    <t>0087333809</t>
  </si>
  <si>
    <t>DELLA ANGGRAETA</t>
  </si>
  <si>
    <t>0083059242</t>
  </si>
  <si>
    <t>DIARETNO HANUM SUSILOWATI</t>
  </si>
  <si>
    <t>0089767266</t>
  </si>
  <si>
    <t>ERIK SETIAWAN</t>
  </si>
  <si>
    <t>0081696259</t>
  </si>
  <si>
    <t>FARDA ULIFAH TRI DZAKIRAH</t>
  </si>
  <si>
    <t>0089202815</t>
  </si>
  <si>
    <t>GABRIEL YOGA DVIE APAMA</t>
  </si>
  <si>
    <t>0076932203</t>
  </si>
  <si>
    <t>HERDIANSA SAPUTRA</t>
  </si>
  <si>
    <t>0086129272</t>
  </si>
  <si>
    <t>M ALFIANSYAH</t>
  </si>
  <si>
    <t>0072662668</t>
  </si>
  <si>
    <t>MARSELA CANDRA WINATA</t>
  </si>
  <si>
    <t>0077921187</t>
  </si>
  <si>
    <t>MOCH FATIR ISLAM SYAH</t>
  </si>
  <si>
    <t>0075987636</t>
  </si>
  <si>
    <t>MOCHAMMAD RAVI ALTHAF MAULANA</t>
  </si>
  <si>
    <t>0075959617</t>
  </si>
  <si>
    <t>MUHAMAD FARIZ ANDRIAN</t>
  </si>
  <si>
    <t>0086870178</t>
  </si>
  <si>
    <t>MUHAMMAD DICKY FIRMANSYAH</t>
  </si>
  <si>
    <t>0062004013</t>
  </si>
  <si>
    <t>MUHAMMAD FRANSISCO</t>
  </si>
  <si>
    <t>0088133710</t>
  </si>
  <si>
    <t>MUHAMMAD GILANG DIAUDIN</t>
  </si>
  <si>
    <t>0081456605</t>
  </si>
  <si>
    <t>MUHAMMAD NAUFALINO FABREGAS</t>
  </si>
  <si>
    <t>0073897382</t>
  </si>
  <si>
    <t>MUHAMMAD REQUELME</t>
  </si>
  <si>
    <t>0074121990</t>
  </si>
  <si>
    <t>MUHAMMAD RIFQI MAULANA</t>
  </si>
  <si>
    <t>0074885090</t>
  </si>
  <si>
    <t>NAZWAINNAYAH WARDANA</t>
  </si>
  <si>
    <t>0089736654</t>
  </si>
  <si>
    <t>NDAYU KHABISAT EKA SUMARNA</t>
  </si>
  <si>
    <t>0074983091</t>
  </si>
  <si>
    <t>PINKKAN NINDA DWI STEVANNI</t>
  </si>
  <si>
    <t>0078980659</t>
  </si>
  <si>
    <t>RAJA DAVA PRASETYA</t>
  </si>
  <si>
    <t>0077238007</t>
  </si>
  <si>
    <t>RIZKYA DWI RAMADHAN</t>
  </si>
  <si>
    <t>0064467575</t>
  </si>
  <si>
    <t>ROSSYAN YUSUF ZAHNUAR</t>
  </si>
  <si>
    <t>0074759002</t>
  </si>
  <si>
    <t>ROUDHOTUN NAZWA SALSABILA</t>
  </si>
  <si>
    <t>0087192302</t>
  </si>
  <si>
    <t>TISTAN RAHADIKA DWI WICAKSONO</t>
  </si>
  <si>
    <t>0072358949</t>
  </si>
  <si>
    <t>VIRA DWI ANGGRAINI</t>
  </si>
  <si>
    <t>0086875156</t>
  </si>
  <si>
    <t>WIWIK INDRIANI</t>
  </si>
  <si>
    <t>0074315674</t>
  </si>
  <si>
    <t>AHMAD FAHRI SYAMSURI</t>
  </si>
  <si>
    <t>0081916670</t>
  </si>
  <si>
    <t>AHMAD NAUFAL SATRIO</t>
  </si>
  <si>
    <t>0077195632</t>
  </si>
  <si>
    <t>ALIF DAFA NUR ROCHMAN SUWANDI</t>
  </si>
  <si>
    <t>0074348061</t>
  </si>
  <si>
    <t>ALVIRA WIDYA PUTRI</t>
  </si>
  <si>
    <t>0081534707</t>
  </si>
  <si>
    <t>ANDI TRI PRASETYO</t>
  </si>
  <si>
    <t>0085404145</t>
  </si>
  <si>
    <t>AQSHA PANGGALEH ANANDA M</t>
  </si>
  <si>
    <t>0084797520</t>
  </si>
  <si>
    <t>BERYL AISHA MALVA</t>
  </si>
  <si>
    <t>0087709882</t>
  </si>
  <si>
    <t>CEYSHA VALERINA RENATA</t>
  </si>
  <si>
    <t>0079114190</t>
  </si>
  <si>
    <t>DICKY DARMAWAN</t>
  </si>
  <si>
    <t>3086994259</t>
  </si>
  <si>
    <t>ELLA APRILIA BUNGA DEWI</t>
  </si>
  <si>
    <t>0089637055</t>
  </si>
  <si>
    <t>FAZA FAUZAN ADZIMA ARIF PUTRA</t>
  </si>
  <si>
    <t>0085832577</t>
  </si>
  <si>
    <t>FEBY AYU ARISKA</t>
  </si>
  <si>
    <t>0076510858</t>
  </si>
  <si>
    <t>FERI JULI PURWADINATA</t>
  </si>
  <si>
    <t>0072123925</t>
  </si>
  <si>
    <t>JONATHAN SHANE DAVIS</t>
  </si>
  <si>
    <t>0085337601</t>
  </si>
  <si>
    <t>KARINA</t>
  </si>
  <si>
    <t>0082898232</t>
  </si>
  <si>
    <t>KEYSHAFANA AYODYA PUTRI DEWITYA</t>
  </si>
  <si>
    <t>0087080851</t>
  </si>
  <si>
    <t>KIRANI ANASTASYA PUTRI</t>
  </si>
  <si>
    <t>0074772627</t>
  </si>
  <si>
    <t>LUCKY INDHIE ADRIANSYAH</t>
  </si>
  <si>
    <t>0076756185</t>
  </si>
  <si>
    <t>MOCH  CATUR RAMADHANI</t>
  </si>
  <si>
    <t>0082622740</t>
  </si>
  <si>
    <t>MOCH SAIFUDIN AL FARIS</t>
  </si>
  <si>
    <t>0076854710</t>
  </si>
  <si>
    <t>MOHAMMAD NUR HADI MAULANA</t>
  </si>
  <si>
    <t>0079234622</t>
  </si>
  <si>
    <t>MUHAMMAD AFDAL</t>
  </si>
  <si>
    <t>0078050004</t>
  </si>
  <si>
    <t>NUR ASYIFA CAHYANDARI PUTRI</t>
  </si>
  <si>
    <t>0075712109</t>
  </si>
  <si>
    <t>PUTRI FIRA LESTARI</t>
  </si>
  <si>
    <t>0077349430</t>
  </si>
  <si>
    <t>RAHMA KRISNANDA</t>
  </si>
  <si>
    <t>0076628839</t>
  </si>
  <si>
    <t>RAKA BINTANG PRATAMA</t>
  </si>
  <si>
    <t>0083867246</t>
  </si>
  <si>
    <t>REYNATA TSABITA PUTRI</t>
  </si>
  <si>
    <t>0072940139</t>
  </si>
  <si>
    <t>SADEWO AJI DEWANDARU</t>
  </si>
  <si>
    <t>0085864388</t>
  </si>
  <si>
    <t>SHERLY EKA MEILINDA</t>
  </si>
  <si>
    <t>0078548820</t>
  </si>
  <si>
    <t>SYAFIRA ALYA MIFTAKHUL JANNAH</t>
  </si>
  <si>
    <t>0085666764</t>
  </si>
  <si>
    <t>VINKKY YANUARISTA PUTRI</t>
  </si>
  <si>
    <t>0088725301</t>
  </si>
  <si>
    <t>VIRA AULYA</t>
  </si>
  <si>
    <t>0089569868</t>
  </si>
  <si>
    <t>VIVI NUR HIDAYAH</t>
  </si>
  <si>
    <t>0078995943</t>
  </si>
  <si>
    <t>WAHYUADI PUTRA PRAMANA</t>
  </si>
  <si>
    <t>0086323222</t>
  </si>
  <si>
    <t>ZAHROTUL LITA ANISA</t>
  </si>
  <si>
    <t>0088821103</t>
  </si>
  <si>
    <t>AFRINDA KIRANA PUTRI</t>
  </si>
  <si>
    <t>0089434149</t>
  </si>
  <si>
    <t>ALFANIYA APRILLIA</t>
  </si>
  <si>
    <t>0079679406</t>
  </si>
  <si>
    <t>ANGELLA WAHYU FITRIANI</t>
  </si>
  <si>
    <t>0071985726</t>
  </si>
  <si>
    <t>AYCILA DHEA JOYSHERA</t>
  </si>
  <si>
    <t>0081260596</t>
  </si>
  <si>
    <t>CLEO PUTRI GABRIELLA RENATA</t>
  </si>
  <si>
    <t>0062376190</t>
  </si>
  <si>
    <t>DEFFI MEILINDA</t>
  </si>
  <si>
    <t>0086386323</t>
  </si>
  <si>
    <t>DESIVITA MOZZA</t>
  </si>
  <si>
    <t>0077162259</t>
  </si>
  <si>
    <t>DIGITA FUJI CONCETTA</t>
  </si>
  <si>
    <t>0085491068</t>
  </si>
  <si>
    <t>EDELWISYA PUTRI APRILIA</t>
  </si>
  <si>
    <t>0084532068</t>
  </si>
  <si>
    <t>FAAIYYATUL IFFAH</t>
  </si>
  <si>
    <t>0089595413</t>
  </si>
  <si>
    <t>FERLIN PUTRICIA LAKSANA</t>
  </si>
  <si>
    <t>0084745842</t>
  </si>
  <si>
    <t>FRISKA BUNGA VIOLITA</t>
  </si>
  <si>
    <t>0078627354</t>
  </si>
  <si>
    <t>ILSA ANDRIANI</t>
  </si>
  <si>
    <t>0089065584</t>
  </si>
  <si>
    <t>ISROTUL FADILAH VIERENY</t>
  </si>
  <si>
    <t>0076390069</t>
  </si>
  <si>
    <t>KEYSHA SYAHARANI ARDIAN</t>
  </si>
  <si>
    <t>0075588353</t>
  </si>
  <si>
    <t>MOHAMAT TAUFIQ HIDAYAH</t>
  </si>
  <si>
    <t>0077658623</t>
  </si>
  <si>
    <t>MUHAMMAD PIENDO AGESTIAN SATRIANY</t>
  </si>
  <si>
    <t>0071345490</t>
  </si>
  <si>
    <t>NAAFILAH RIHHADATUL AISY</t>
  </si>
  <si>
    <t>0077657849</t>
  </si>
  <si>
    <t>NADINE MEISYA ARRIZQI</t>
  </si>
  <si>
    <t>0087486763</t>
  </si>
  <si>
    <t>NOVALIA ZAHRA AVIONISSA</t>
  </si>
  <si>
    <t>0088221602</t>
  </si>
  <si>
    <t>PUTRI DINDA CATUR ANGGRAINI</t>
  </si>
  <si>
    <t>0088407885</t>
  </si>
  <si>
    <t>RAIHANAH DIARALUNA KAYNAJMI</t>
  </si>
  <si>
    <t>0088693698</t>
  </si>
  <si>
    <t>RAISYA RASYA RAMANDA</t>
  </si>
  <si>
    <t>0076190143</t>
  </si>
  <si>
    <t>RASYA NUR’AINI NAJIHA</t>
  </si>
  <si>
    <t>0085986282</t>
  </si>
  <si>
    <t>RENANDA AURISKHA CINTA LURIAND</t>
  </si>
  <si>
    <t>0074076023</t>
  </si>
  <si>
    <t>ROYAN AULIA NUR FITRIA</t>
  </si>
  <si>
    <t>0079190364</t>
  </si>
  <si>
    <t>SAFINATUL ARIFAH</t>
  </si>
  <si>
    <t>0072640182</t>
  </si>
  <si>
    <t>SARAH AMALIA</t>
  </si>
  <si>
    <t>0086458645</t>
  </si>
  <si>
    <t>SHEFA AULIA PUTRI ARIYANTO</t>
  </si>
  <si>
    <t>0075572453</t>
  </si>
  <si>
    <t>SRI AYU AGUSTININGTYAS</t>
  </si>
  <si>
    <t>0083482549</t>
  </si>
  <si>
    <t>SULRIDA NOVITA SARI</t>
  </si>
  <si>
    <t>0087365451</t>
  </si>
  <si>
    <t>VANESA SALSABILA AZ ZAHRA</t>
  </si>
  <si>
    <t>0081172163</t>
  </si>
  <si>
    <t>VANIA RAISSA MEYLANI PUTRI</t>
  </si>
  <si>
    <t>0077530317</t>
  </si>
  <si>
    <t>WIDHY AULIA WIJAYA</t>
  </si>
  <si>
    <t>0075240778</t>
  </si>
  <si>
    <t>ZAICHA NUR ANGGRAINI</t>
  </si>
  <si>
    <t>0074039133</t>
  </si>
  <si>
    <t>ACHMAD AGUNG WIYAHYA</t>
  </si>
  <si>
    <t>0081998240</t>
  </si>
  <si>
    <t>ADITYA RAHMAD SUBEKTI</t>
  </si>
  <si>
    <t>0072922184</t>
  </si>
  <si>
    <t>AL FADILLAH REFAN BAIHAQI</t>
  </si>
  <si>
    <t>0081156730</t>
  </si>
  <si>
    <t>ALDIKA SURYA MAHENDRA</t>
  </si>
  <si>
    <t>0079916182</t>
  </si>
  <si>
    <t>ARYA PANDU DWI PRANATA</t>
  </si>
  <si>
    <t>0073168268</t>
  </si>
  <si>
    <t>BAYU WICAKSONO</t>
  </si>
  <si>
    <t>0084637450</t>
  </si>
  <si>
    <t>DAVA ARIF WICAKSONO</t>
  </si>
  <si>
    <t>0074690518</t>
  </si>
  <si>
    <t>DIMAS MAULANA</t>
  </si>
  <si>
    <t>0075562276</t>
  </si>
  <si>
    <t>FATHIR SAVERO EL HASYA</t>
  </si>
  <si>
    <t>0075159867</t>
  </si>
  <si>
    <t>FITRA MAULANA</t>
  </si>
  <si>
    <t>0083772496</t>
  </si>
  <si>
    <t>GANGSAR WIBAWANTO</t>
  </si>
  <si>
    <t>HABIL AL BAIHAQI NURIDA</t>
  </si>
  <si>
    <t>0081375033</t>
  </si>
  <si>
    <t>HARYO WIRING LIMO</t>
  </si>
  <si>
    <t>0074112174</t>
  </si>
  <si>
    <t>IVAN FAJAR SULISTIYO</t>
  </si>
  <si>
    <t>3085006430</t>
  </si>
  <si>
    <t>M FAUZAN ABDILLAH</t>
  </si>
  <si>
    <t>0087335903</t>
  </si>
  <si>
    <t>MAULANA RIZU EMIRZAQ</t>
  </si>
  <si>
    <t>0081561725</t>
  </si>
  <si>
    <t>MOCH ZULKARNAIN FIRDAUS YAHYA</t>
  </si>
  <si>
    <t>0076583956</t>
  </si>
  <si>
    <t>MOCHAMAD HAFIS FIRDAUS</t>
  </si>
  <si>
    <t>0081353605</t>
  </si>
  <si>
    <t>MOH RIDWAN AGUNG ARIANTO</t>
  </si>
  <si>
    <t>0074976882</t>
  </si>
  <si>
    <t>MUHAMAD FAHMI AZZABADI</t>
  </si>
  <si>
    <t>0078680209</t>
  </si>
  <si>
    <t>MUHAMMAD ALIF QURNIAWAN</t>
  </si>
  <si>
    <t>0066049131</t>
  </si>
  <si>
    <t>MUHAMMAD BAYU PUTRA</t>
  </si>
  <si>
    <t>0073397550</t>
  </si>
  <si>
    <t>MUHAMMAD FARAVI SADEWA</t>
  </si>
  <si>
    <t>0071187782</t>
  </si>
  <si>
    <t>MUHAMMAD NIZAR PRATAMA</t>
  </si>
  <si>
    <t>0071948268</t>
  </si>
  <si>
    <t>MUHAMMAD RIZKI</t>
  </si>
  <si>
    <t>0076831848</t>
  </si>
  <si>
    <t>NUR HAMZAH</t>
  </si>
  <si>
    <t>0082036839</t>
  </si>
  <si>
    <t>PAUNDRA GADING YUDISTIRA</t>
  </si>
  <si>
    <t>0071296719</t>
  </si>
  <si>
    <t>RANGGA EKA FAMBAYU</t>
  </si>
  <si>
    <t>0088611088</t>
  </si>
  <si>
    <t>RENO DWI ALFIAN</t>
  </si>
  <si>
    <t>3071167088</t>
  </si>
  <si>
    <t>RIZKY BATRA NUR ALVIN</t>
  </si>
  <si>
    <t>0084503831</t>
  </si>
  <si>
    <t>VALIANT HAFUZA RIANTO</t>
  </si>
  <si>
    <t>0074241911</t>
  </si>
  <si>
    <t>ACHMAD MUFID</t>
  </si>
  <si>
    <t>0077740691</t>
  </si>
  <si>
    <t>AGUS PRASETIYO</t>
  </si>
  <si>
    <t>0073712485</t>
  </si>
  <si>
    <t>AHMAD RIZKI MAULANA</t>
  </si>
  <si>
    <t>0079919855</t>
  </si>
  <si>
    <t>ALDO FAREL SAPUTRA</t>
  </si>
  <si>
    <t>0078285085</t>
  </si>
  <si>
    <t>ANDYKA BAGASKARA</t>
  </si>
  <si>
    <t>0089617101</t>
  </si>
  <si>
    <t>ARIS DWI FIRMANSYAH</t>
  </si>
  <si>
    <t>0082094295</t>
  </si>
  <si>
    <t>ASHAR SHALAHUDDIN ALFIANSYAH</t>
  </si>
  <si>
    <t>3073363590</t>
  </si>
  <si>
    <t>DAFFA ADHA FAUZY WASKITO</t>
  </si>
  <si>
    <t>0076093887</t>
  </si>
  <si>
    <t>DEWANGGA ELWAN PRATAMA</t>
  </si>
  <si>
    <t>0073273126</t>
  </si>
  <si>
    <t>EXEL ACHMAD TEGAR</t>
  </si>
  <si>
    <t>0079087327</t>
  </si>
  <si>
    <t>FAURELIANSYAH NAUVAL ALFARIEDSY</t>
  </si>
  <si>
    <t>0075876681</t>
  </si>
  <si>
    <t>GALANG ARDIAN PUTRA</t>
  </si>
  <si>
    <t>0078812293</t>
  </si>
  <si>
    <t>GUNTUR ADI WIJAYA</t>
  </si>
  <si>
    <t>0087833535</t>
  </si>
  <si>
    <t>HAFIZ TEGAR MEIRAWAN PUTRA</t>
  </si>
  <si>
    <t>3081073328</t>
  </si>
  <si>
    <t>IQBAL FAIZ E RABBANI RIZQI ACHMAD</t>
  </si>
  <si>
    <t>0066201828</t>
  </si>
  <si>
    <t>LISDIONO</t>
  </si>
  <si>
    <t>0072523539</t>
  </si>
  <si>
    <t>MALFAZZA WAHYU SHABRIAND</t>
  </si>
  <si>
    <t>0077537372</t>
  </si>
  <si>
    <t>MOCH FINAN MUBAROK</t>
  </si>
  <si>
    <t>0073610071</t>
  </si>
  <si>
    <t>MOCHAMAD ANGGA FIRMANSYAH</t>
  </si>
  <si>
    <t>0086276740</t>
  </si>
  <si>
    <t>MOCHAMMAD ALIF AKBAR FIRDAUS</t>
  </si>
  <si>
    <t>0078843832</t>
  </si>
  <si>
    <t>MUCHAMAD ADITYA RENDY PUTRA</t>
  </si>
  <si>
    <t>0075297193</t>
  </si>
  <si>
    <t>MUHAMAD RAMA BAGASKARA</t>
  </si>
  <si>
    <t>0071255258</t>
  </si>
  <si>
    <t>MUHAMMAD ANDIKA RAHMADANI</t>
  </si>
  <si>
    <t>0072777348</t>
  </si>
  <si>
    <t>MUHAMMAD BINTANG EKA RAMADHAN</t>
  </si>
  <si>
    <t>0065109898</t>
  </si>
  <si>
    <t>MUHAMMAD HILMI ARDIANSYAH</t>
  </si>
  <si>
    <t>0075393393</t>
  </si>
  <si>
    <t>MUHAMMAD REIFAN DHANIARTA</t>
  </si>
  <si>
    <t>0074571479</t>
  </si>
  <si>
    <t>MUHAMMAD SATRIO ARDIANSYAH</t>
  </si>
  <si>
    <t>0077972271</t>
  </si>
  <si>
    <t>NOR SHOLEH</t>
  </si>
  <si>
    <t>0084756485</t>
  </si>
  <si>
    <t>OGI TRI ANANDA PERKASA</t>
  </si>
  <si>
    <t>0075917142</t>
  </si>
  <si>
    <t>PUJI SAPUTRO</t>
  </si>
  <si>
    <t>0083793432</t>
  </si>
  <si>
    <t>RAIHAN YAHYA ANANTA</t>
  </si>
  <si>
    <t>0089812565</t>
  </si>
  <si>
    <t>RASYA DEVA ARDIANSYA</t>
  </si>
  <si>
    <t>3074988270</t>
  </si>
  <si>
    <t>REVANSA FAJAR MAULANA</t>
  </si>
  <si>
    <t>0076551364</t>
  </si>
  <si>
    <t>VARIEL ALDO PRASETYO</t>
  </si>
  <si>
    <t>0088227078</t>
  </si>
  <si>
    <t>ADAM RAMZI TAUFIQURRAHMAN</t>
  </si>
  <si>
    <t>0085300375</t>
  </si>
  <si>
    <t>AHMAD KEVIN ALISKI</t>
  </si>
  <si>
    <t>0076982278</t>
  </si>
  <si>
    <t>ALDICO DWI PUTRANTO</t>
  </si>
  <si>
    <t>0073777256</t>
  </si>
  <si>
    <t>ALDO MARSEL ADE RAMADHANI</t>
  </si>
  <si>
    <t>0069921153</t>
  </si>
  <si>
    <t>ARDY HIDAYATULLOH</t>
  </si>
  <si>
    <t>0075029141</t>
  </si>
  <si>
    <t>ARYA GUGAH WICAKSONO</t>
  </si>
  <si>
    <t>0078066337</t>
  </si>
  <si>
    <t>BAYU FAIQ PRANATA</t>
  </si>
  <si>
    <t>0071554696</t>
  </si>
  <si>
    <t>BINTANG BAGUS PRASETYO</t>
  </si>
  <si>
    <t>0064500519</t>
  </si>
  <si>
    <t>DARREL BAGUS PRIAMBODO</t>
  </si>
  <si>
    <t>0082528686</t>
  </si>
  <si>
    <t>DIDA FEBIAN FIONESTA</t>
  </si>
  <si>
    <t>0079542597</t>
  </si>
  <si>
    <t>FACHRI RIUL GANGGA SUTIKNO</t>
  </si>
  <si>
    <t>0086116695</t>
  </si>
  <si>
    <t>FEBRIAN EKA PRAMUDYA</t>
  </si>
  <si>
    <t>0074032514</t>
  </si>
  <si>
    <t>GALUNGGA ALIF CHUSUMA PUTRA</t>
  </si>
  <si>
    <t>0081356316</t>
  </si>
  <si>
    <t>HABIB AL BAIHAQI NURIDA</t>
  </si>
  <si>
    <t>0062219181</t>
  </si>
  <si>
    <t>IQBAL IZZUDIN ISLAM</t>
  </si>
  <si>
    <t>0079397728</t>
  </si>
  <si>
    <t>M DAMAR FAIS YUNURDIKA</t>
  </si>
  <si>
    <t>0081175205</t>
  </si>
  <si>
    <t>MAULANA AHMAD MUSTOFA HILMY</t>
  </si>
  <si>
    <t>0075178799</t>
  </si>
  <si>
    <t>MOCH ZIDANE DIMAS KUSUMA</t>
  </si>
  <si>
    <t>0079079968</t>
  </si>
  <si>
    <t>MOCHAMAD FEBRIANSAH</t>
  </si>
  <si>
    <t>0079286204</t>
  </si>
  <si>
    <t>MOH FAISAL HIDAYAT</t>
  </si>
  <si>
    <t>0075397671</t>
  </si>
  <si>
    <t>MUCHAMAD PANDU PRANATA</t>
  </si>
  <si>
    <t>0076691192</t>
  </si>
  <si>
    <t>MUHAMMAD AIDIL FIKRI</t>
  </si>
  <si>
    <t>0077697591</t>
  </si>
  <si>
    <t>MUHAMMAD ANDY IRAWAN</t>
  </si>
  <si>
    <t>0073596419</t>
  </si>
  <si>
    <t>MUHAMMAD DAVID AL BUCHORI</t>
  </si>
  <si>
    <t>0084810237</t>
  </si>
  <si>
    <t>MUHAMMAD ILHAM MUJAHIDIN</t>
  </si>
  <si>
    <t>0085431148</t>
  </si>
  <si>
    <t>MUHAMMAD RIFQI NABIL NAJA</t>
  </si>
  <si>
    <t>3074648272</t>
  </si>
  <si>
    <t>MUHHAMAD RANDYKA PUTRA</t>
  </si>
  <si>
    <t>0071055632</t>
  </si>
  <si>
    <t>NOVAN ARIYANTO SAPUTRA</t>
  </si>
  <si>
    <t>0075870705</t>
  </si>
  <si>
    <t>PASHA CAHYA RAMADHAN</t>
  </si>
  <si>
    <t>0071153265</t>
  </si>
  <si>
    <t>RACHMAN SYAIFUDIN</t>
  </si>
  <si>
    <t>0079885268</t>
  </si>
  <si>
    <t>RAMA SEVIAN LAUNANDA</t>
  </si>
  <si>
    <t>0078746753</t>
  </si>
  <si>
    <t>RENGGA NUR IKHLAS AWANSYACH</t>
  </si>
  <si>
    <t>0081540208</t>
  </si>
  <si>
    <t>REZA DAVA FERDIANSYAH</t>
  </si>
  <si>
    <t>0073198674</t>
  </si>
  <si>
    <t>TIO ADI SYAHPUTRA</t>
  </si>
  <si>
    <t>0086332086</t>
  </si>
  <si>
    <t>YUDHA AL AYUBI QADAFY</t>
  </si>
  <si>
    <t>0076613550</t>
  </si>
  <si>
    <t>AAN KURNIAWAN</t>
  </si>
  <si>
    <t>0066032053</t>
  </si>
  <si>
    <t>ADI NURFAHMI</t>
  </si>
  <si>
    <t>0079333015</t>
  </si>
  <si>
    <t>ALFIAN NAUFAL NUR TAQWA</t>
  </si>
  <si>
    <t>0064673850</t>
  </si>
  <si>
    <t>ANDHIKA WAHYU PRATAMA</t>
  </si>
  <si>
    <t>0083872255</t>
  </si>
  <si>
    <t>ARDHITO BAGUS RIEFKIANTO</t>
  </si>
  <si>
    <t>0073108751</t>
  </si>
  <si>
    <t>ARSYA BINTANG OZORA</t>
  </si>
  <si>
    <t>0082531122</t>
  </si>
  <si>
    <t>BAIHAQI ILHAM FAKHREZI</t>
  </si>
  <si>
    <t>0085321474</t>
  </si>
  <si>
    <t>CAESAR CARAVELLE TRISNA FRISTYAN</t>
  </si>
  <si>
    <t>0083975888</t>
  </si>
  <si>
    <t>DAVI REZI RIZKY PRATAMA</t>
  </si>
  <si>
    <t>0085613419</t>
  </si>
  <si>
    <t>DENIS PUTRA RAMADHAN</t>
  </si>
  <si>
    <t>0079573172</t>
  </si>
  <si>
    <t>DWIKI LARAS SETIAWAN</t>
  </si>
  <si>
    <t>0069440297</t>
  </si>
  <si>
    <t>ERIAN PUTRA GERALDI</t>
  </si>
  <si>
    <t>0075876605</t>
  </si>
  <si>
    <t>FADHILAH RAMADHANI</t>
  </si>
  <si>
    <t>0079393950</t>
  </si>
  <si>
    <t>FARHAN BINTANG SULISTYANTO</t>
  </si>
  <si>
    <t>0072211474</t>
  </si>
  <si>
    <t>FIKO MAREL FIO</t>
  </si>
  <si>
    <t>0087353883</t>
  </si>
  <si>
    <t>HAIKAL PUTRA MAULANA</t>
  </si>
  <si>
    <t>0072028061</t>
  </si>
  <si>
    <t>LEVI ARDIAN</t>
  </si>
  <si>
    <t>0068683140</t>
  </si>
  <si>
    <t>M. RIZKY DICO WAHYUDI</t>
  </si>
  <si>
    <t>0077258223</t>
  </si>
  <si>
    <t>MOCH. MAULIDI FIKA ROBBI</t>
  </si>
  <si>
    <t>0076500676</t>
  </si>
  <si>
    <t>MOCHAMAD FRENDY REKHAN VIRDANY</t>
  </si>
  <si>
    <t>0085913665</t>
  </si>
  <si>
    <t>MOCHAMMAD ZAKKY ARFADIANSYAH BUDIMAN</t>
  </si>
  <si>
    <t>0072820675</t>
  </si>
  <si>
    <t>MOHAMMAD AKMAL RAMADHAN</t>
  </si>
  <si>
    <t>0073051646</t>
  </si>
  <si>
    <t>MUCHAMAD RASYA REZALDI</t>
  </si>
  <si>
    <t>0078294938</t>
  </si>
  <si>
    <t>MUCHAMMAD AHLIL FAHMI</t>
  </si>
  <si>
    <t>0072575834</t>
  </si>
  <si>
    <t>MUHAMMAD FAREL EFENDI</t>
  </si>
  <si>
    <t>3065727254</t>
  </si>
  <si>
    <t>MUHAMMAD RIZAL ANUGERAH SANG AJI</t>
  </si>
  <si>
    <t>0075652053</t>
  </si>
  <si>
    <t>RAFAEL IHSAN JULIANO</t>
  </si>
  <si>
    <t>0056758985</t>
  </si>
  <si>
    <t>RAHMAD SEPTIYAN ALDIANTO</t>
  </si>
  <si>
    <t>0079605299</t>
  </si>
  <si>
    <t>RAVA ADITYA PRADANA PUTRA HAMZAH</t>
  </si>
  <si>
    <t>0078391334</t>
  </si>
  <si>
    <t>REYVAN RADHO BAGHUS PRASETYO</t>
  </si>
  <si>
    <t>0079336373</t>
  </si>
  <si>
    <t>RIFQI MUBAROK</t>
  </si>
  <si>
    <t>0085661436</t>
  </si>
  <si>
    <t>RYAN MANGGALA ARYAGUNA</t>
  </si>
  <si>
    <t>0086336851</t>
  </si>
  <si>
    <t>TIO REZA PRATAMA</t>
  </si>
  <si>
    <t>0083390159</t>
  </si>
  <si>
    <t>VIGO RAGA SATRIA</t>
  </si>
  <si>
    <t>0079699255</t>
  </si>
  <si>
    <t>AHMAD RISKI</t>
  </si>
  <si>
    <t>0072292614</t>
  </si>
  <si>
    <t>ALDO ADITYA PANGESTU</t>
  </si>
  <si>
    <t>0082325234</t>
  </si>
  <si>
    <t>ALVINSAN PUTRA</t>
  </si>
  <si>
    <t>0086918871</t>
  </si>
  <si>
    <t>ANDRA RISKY MAULANA</t>
  </si>
  <si>
    <t>0072777680</t>
  </si>
  <si>
    <t>ARDIAN FERDIANSYAH</t>
  </si>
  <si>
    <t>0072317759</t>
  </si>
  <si>
    <t>BAGUS HIMAS</t>
  </si>
  <si>
    <t>3062289247</t>
  </si>
  <si>
    <t>BRILLIAN ABI MUCHLIS</t>
  </si>
  <si>
    <t>0085636532</t>
  </si>
  <si>
    <t>DAVA REZA RIZKY PRATAMA</t>
  </si>
  <si>
    <t>0076255871</t>
  </si>
  <si>
    <t>DIMAS SATRIA</t>
  </si>
  <si>
    <t>0072386133</t>
  </si>
  <si>
    <t>EKA YUDHA RAMADHANI</t>
  </si>
  <si>
    <t>0089055218</t>
  </si>
  <si>
    <t>FERI ALDI ANGKASA</t>
  </si>
  <si>
    <t>0085442067</t>
  </si>
  <si>
    <t>GANESHA DWI ADJIE MUMAJJAD</t>
  </si>
  <si>
    <t>0079936112</t>
  </si>
  <si>
    <t>KRISNA MUHAMMAD RAMADIKA</t>
  </si>
  <si>
    <t>0072998643</t>
  </si>
  <si>
    <t>M RISKI WAHYU IBRAHIM</t>
  </si>
  <si>
    <t>0074541555</t>
  </si>
  <si>
    <t>MOCHAMAD ENO ALAMSYAH</t>
  </si>
  <si>
    <t>0068301889</t>
  </si>
  <si>
    <t>MOH JOHAN AGUS P</t>
  </si>
  <si>
    <t>0089570261</t>
  </si>
  <si>
    <t>MOHAMMAD IHSAN</t>
  </si>
  <si>
    <t>0081367539</t>
  </si>
  <si>
    <t>MUHAMAD WAHYU NIZAR WICAKSONO</t>
  </si>
  <si>
    <t>0087809166</t>
  </si>
  <si>
    <t>MUHAMMAD FAATIHUL IHSAAN</t>
  </si>
  <si>
    <t>0079207666</t>
  </si>
  <si>
    <t>MUHAMMAD NOZAN RISQU PUTRA</t>
  </si>
  <si>
    <t>0075864566</t>
  </si>
  <si>
    <t>MUHAMMAD RISQI RAMADHAN</t>
  </si>
  <si>
    <t>0078998262</t>
  </si>
  <si>
    <t>NAZRIEL ALIEFARO SHAFA RENO</t>
  </si>
  <si>
    <t>0072437314</t>
  </si>
  <si>
    <t>RAFFY NORFIRMANSAH</t>
  </si>
  <si>
    <t>0079027761</t>
  </si>
  <si>
    <t>RANGGA ALDI SAPUTRA</t>
  </si>
  <si>
    <t>0071361371</t>
  </si>
  <si>
    <t>RENO FEBRILIAN</t>
  </si>
  <si>
    <t>0072776987</t>
  </si>
  <si>
    <t>REYHAN ARGANATA ASADEL</t>
  </si>
  <si>
    <t>0089445766</t>
  </si>
  <si>
    <t>REZA SADEWA</t>
  </si>
  <si>
    <t>0066270767</t>
  </si>
  <si>
    <t>RIO EKA WAHYUDI</t>
  </si>
  <si>
    <t>0078404993</t>
  </si>
  <si>
    <t>TEDI FIRMANSYAH</t>
  </si>
  <si>
    <t>0073631642</t>
  </si>
  <si>
    <t>VICKY PRATAMA FEBRIANSAH</t>
  </si>
  <si>
    <t>0078142287</t>
  </si>
  <si>
    <t>VIRNANDO DIMAS SAPUTRA</t>
  </si>
  <si>
    <t>0074879038</t>
  </si>
  <si>
    <t>ZIDAN ALI HUSSEN</t>
  </si>
  <si>
    <t>0077223110</t>
  </si>
  <si>
    <t>A IRFAN AFANDI</t>
  </si>
  <si>
    <t>0085899112</t>
  </si>
  <si>
    <t>ABDIEL ARIELLA SHOHAN</t>
  </si>
  <si>
    <t>3079974704</t>
  </si>
  <si>
    <t>ADITYA RAMADHANI FAUZI</t>
  </si>
  <si>
    <t>0067501927</t>
  </si>
  <si>
    <t>AHMAD REVALDI SAPUTRA</t>
  </si>
  <si>
    <t>0072634594</t>
  </si>
  <si>
    <t>ALAUDIN ADINATA AL RAMADHANI</t>
  </si>
  <si>
    <t>0088770037</t>
  </si>
  <si>
    <t>ANDHITA LINTANG NAFFI PRATAMA</t>
  </si>
  <si>
    <t>0082308467</t>
  </si>
  <si>
    <t>ANDRE FAIRUZ MAHDI</t>
  </si>
  <si>
    <t>0067050373</t>
  </si>
  <si>
    <t>ARZY FEBRIAN ADI NEGARA</t>
  </si>
  <si>
    <t>0079582201</t>
  </si>
  <si>
    <t>ASKA NAFISA MAULIDAH</t>
  </si>
  <si>
    <t>3087113551</t>
  </si>
  <si>
    <t>CARISA RAHMANDA RYANTI</t>
  </si>
  <si>
    <t>0079921758</t>
  </si>
  <si>
    <t>DHAFA DIMAS HENDRAWAN</t>
  </si>
  <si>
    <t>0087770122</t>
  </si>
  <si>
    <t>ERLANGGA SATRIA CAKRABIRAWA</t>
  </si>
  <si>
    <t>0075994015</t>
  </si>
  <si>
    <t>FIRDA NUR AZIZAH</t>
  </si>
  <si>
    <t>0085437081</t>
  </si>
  <si>
    <t>GADIS MARETA</t>
  </si>
  <si>
    <t>0085369157</t>
  </si>
  <si>
    <t>GALANG PUTRA LESMANA</t>
  </si>
  <si>
    <t>0078910565</t>
  </si>
  <si>
    <t>HANUNG ADI NUGROHO</t>
  </si>
  <si>
    <t>0076211454</t>
  </si>
  <si>
    <t>IZZUN SYAMIL GHALY</t>
  </si>
  <si>
    <t>0055617436</t>
  </si>
  <si>
    <t>JAMALUDDIN AKBAR</t>
  </si>
  <si>
    <t>0073156604</t>
  </si>
  <si>
    <t>KELFIN FIO SAPUTRA</t>
  </si>
  <si>
    <t>0075094054</t>
  </si>
  <si>
    <t>LAILATUL FADILAH</t>
  </si>
  <si>
    <t>0076619450</t>
  </si>
  <si>
    <t>M WAHYU AYESHA</t>
  </si>
  <si>
    <t>0071425566</t>
  </si>
  <si>
    <t>M. BAYU ISLAMI YUONO</t>
  </si>
  <si>
    <t>0086126831</t>
  </si>
  <si>
    <t>MOCH DWI MAULIDDIKA HIDAYAT</t>
  </si>
  <si>
    <t>0074521235</t>
  </si>
  <si>
    <t>MUHAMMAD ALIANSYAH BAIDOWI</t>
  </si>
  <si>
    <t>0082414410</t>
  </si>
  <si>
    <t>MUHAMMAD ALIF ASSYAUQI</t>
  </si>
  <si>
    <t>0071951402</t>
  </si>
  <si>
    <t>MUHAMMAD FAJAR FAREL ANDHIKA</t>
  </si>
  <si>
    <t>0082989034</t>
  </si>
  <si>
    <t>MUHAMMAD RIJAL</t>
  </si>
  <si>
    <t>0075728849</t>
  </si>
  <si>
    <t>NUR JAZILATUR ROHMAH</t>
  </si>
  <si>
    <t>0074331408</t>
  </si>
  <si>
    <t>RAFKA PUTRA RAMADHAN</t>
  </si>
  <si>
    <t>3070423470</t>
  </si>
  <si>
    <t>RAGIL SANDY WICAKSONO</t>
  </si>
  <si>
    <t>0087761543</t>
  </si>
  <si>
    <t>SALIM MAHFUD ABDULLAH ARIF</t>
  </si>
  <si>
    <t>0071084968</t>
  </si>
  <si>
    <t>SASKIA ATHA NOVALIA</t>
  </si>
  <si>
    <t>0078287216</t>
  </si>
  <si>
    <t>YOGA SETYAWAN PURWANTO</t>
  </si>
  <si>
    <t>0079045621</t>
  </si>
  <si>
    <t>YUSUF PAHLEVI</t>
  </si>
  <si>
    <t>0066307856</t>
  </si>
  <si>
    <t>ZAINUDDIN AHMAD</t>
  </si>
  <si>
    <t>0072460882</t>
  </si>
  <si>
    <t>ACHMAD SURYA PUTRA</t>
  </si>
  <si>
    <t>3089720691</t>
  </si>
  <si>
    <t>ADHITIYA  DWI KURNIAWAN</t>
  </si>
  <si>
    <t>3071259876</t>
  </si>
  <si>
    <t>AHMAD HAIDAR RASYIQ</t>
  </si>
  <si>
    <t>0077917284</t>
  </si>
  <si>
    <t>ALDO ROBIANSYAH</t>
  </si>
  <si>
    <t>0076819647</t>
  </si>
  <si>
    <t>ALFITRA NURRAMADHANI</t>
  </si>
  <si>
    <t>0073116626</t>
  </si>
  <si>
    <t>ALHAWA QONAATUL AISYAH</t>
  </si>
  <si>
    <t>0071750797</t>
  </si>
  <si>
    <t>ANGGA SURYA FIRMANSYAH</t>
  </si>
  <si>
    <t>0081668444</t>
  </si>
  <si>
    <t>ANJAS ARDIANTA</t>
  </si>
  <si>
    <t>0081489585</t>
  </si>
  <si>
    <t>BINTANG MY HEART</t>
  </si>
  <si>
    <t>0084792787</t>
  </si>
  <si>
    <t>CALGIS RUDRA REVIENA</t>
  </si>
  <si>
    <t>0078718708</t>
  </si>
  <si>
    <t>DAFA DWI ALDIANSYAH</t>
  </si>
  <si>
    <t>0077752263</t>
  </si>
  <si>
    <t>DEVITA NUR KUMALASARI</t>
  </si>
  <si>
    <t>0077854106</t>
  </si>
  <si>
    <t>EKA ZAHRO SAFITRI</t>
  </si>
  <si>
    <t>0073713936</t>
  </si>
  <si>
    <t>FAJAR YONGKI AGUSTIAN</t>
  </si>
  <si>
    <t>0082694696</t>
  </si>
  <si>
    <t>FARREL DWI FEBRIYANTO</t>
  </si>
  <si>
    <t>0082518575</t>
  </si>
  <si>
    <t>FERDIANSYAH NUR AHMAD ISLANNUDIN</t>
  </si>
  <si>
    <t>0073588530</t>
  </si>
  <si>
    <t>FITROTUS SAIDATIL ULLA</t>
  </si>
  <si>
    <t>0088305016</t>
  </si>
  <si>
    <t>HAFIT RAIH MAULANA</t>
  </si>
  <si>
    <t>0081737656</t>
  </si>
  <si>
    <t>IZZA DAMA SAPUTRA</t>
  </si>
  <si>
    <t>0073320192</t>
  </si>
  <si>
    <t>KHARIS ASH SHIDIQ</t>
  </si>
  <si>
    <t>0087201901</t>
  </si>
  <si>
    <t>M DANU PUTRA MAHENDRA</t>
  </si>
  <si>
    <t>0082780463</t>
  </si>
  <si>
    <t>MAULANA ALIF FACHRIZY</t>
  </si>
  <si>
    <t>0062383682</t>
  </si>
  <si>
    <t>MOCH ZAINAL ABIDIN</t>
  </si>
  <si>
    <t>0086118019</t>
  </si>
  <si>
    <t>MOCHAMAD ZULVIYAN</t>
  </si>
  <si>
    <t>0071903025</t>
  </si>
  <si>
    <t>MOCHAMMAD FARHAN EKA PUTRA</t>
  </si>
  <si>
    <t>0081601055</t>
  </si>
  <si>
    <t>NELLY ASIFA DESTY</t>
  </si>
  <si>
    <t>0072676746</t>
  </si>
  <si>
    <t>NOVITA WAHYU NOVIANA</t>
  </si>
  <si>
    <t>0078863838</t>
  </si>
  <si>
    <t>PAULUS CHRISTIAN</t>
  </si>
  <si>
    <t>0079180738</t>
  </si>
  <si>
    <t>RAMA DWI PRASETYA</t>
  </si>
  <si>
    <t>0072490584</t>
  </si>
  <si>
    <t>REVALIN AMALIA</t>
  </si>
  <si>
    <t>0084396599</t>
  </si>
  <si>
    <t>RIFAYA MEHERUNISSA NAILAH</t>
  </si>
  <si>
    <t>0091661815</t>
  </si>
  <si>
    <t>STEVE DAVID NIKO AUGUSTYN</t>
  </si>
  <si>
    <t>0074940395</t>
  </si>
  <si>
    <t>SULTAN UZAIR HAIDAR</t>
  </si>
  <si>
    <t>0071280875</t>
  </si>
  <si>
    <t>TIARA HANDAYANI</t>
  </si>
  <si>
    <t>0076334973</t>
  </si>
  <si>
    <t>TIRTA AGUNG SAMUDRA</t>
  </si>
  <si>
    <t>0071018809</t>
  </si>
  <si>
    <t>VALENZIA PUTRI ANASTASYA</t>
  </si>
  <si>
    <t>profile_field_nis</t>
  </si>
  <si>
    <t>username</t>
  </si>
  <si>
    <t>password</t>
  </si>
  <si>
    <t>email</t>
  </si>
  <si>
    <t>firstname</t>
  </si>
  <si>
    <t>lastname</t>
  </si>
  <si>
    <t>institution</t>
  </si>
  <si>
    <t>department</t>
  </si>
  <si>
    <t>city</t>
  </si>
  <si>
    <t>country</t>
  </si>
  <si>
    <t>profile_field_tms</t>
  </si>
  <si>
    <t>profile_field_rmbl</t>
  </si>
  <si>
    <t>profile_field_nisn</t>
  </si>
  <si>
    <t>profile_field_lahir</t>
  </si>
  <si>
    <t>profile_field_nik</t>
  </si>
  <si>
    <t>checkup</t>
  </si>
  <si>
    <t>checkout</t>
  </si>
  <si>
    <t>oto20248669.siswa@smkn12malang.sch.id</t>
  </si>
  <si>
    <t>fD*?*2&amp;k?ZW{</t>
  </si>
  <si>
    <t>SMK NEGERI 12 MALANG</t>
  </si>
  <si>
    <t>MALANG</t>
  </si>
  <si>
    <t>ID</t>
  </si>
  <si>
    <t>192024</t>
  </si>
  <si>
    <t>OUT</t>
  </si>
  <si>
    <t>oto20238056.siswa@smkn12malang.sch.id</t>
  </si>
  <si>
    <t>[EtKv8vQ?}Jp</t>
  </si>
  <si>
    <t>182023</t>
  </si>
  <si>
    <t>Not set</t>
  </si>
  <si>
    <t>oto20238109.siswa@smkn12malang.sch.id</t>
  </si>
  <si>
    <t>hhex]SV/&amp;EK7</t>
  </si>
  <si>
    <t>jkt20238143.siswa@smkn12malang.sch.id</t>
  </si>
  <si>
    <t>z?PW2]2-*rs(</t>
  </si>
  <si>
    <t>5 August 2006</t>
  </si>
  <si>
    <t>3507244508060001</t>
  </si>
  <si>
    <t>klr20238178.siswa@smkn12malang.sch.id</t>
  </si>
  <si>
    <t>KGHw^+fQmzn8</t>
  </si>
  <si>
    <t>jkt20248799.siswa@smkn12malang.sch.id</t>
  </si>
  <si>
    <t>y2&amp;R@*2RC&amp;Zh</t>
  </si>
  <si>
    <t>jkt20248800.siswa@smkn12malang.sch.id</t>
  </si>
  <si>
    <t>N8Qjww}?AjGC</t>
  </si>
  <si>
    <t>jkt20238199.siswa@smkn12malang.sch.id</t>
  </si>
  <si>
    <t>V/Lqa3ZU+aVe</t>
  </si>
  <si>
    <t>klr20248809.siswa@smkn12malang.sch.id</t>
  </si>
  <si>
    <t>%8pgw].r{.^U</t>
  </si>
  <si>
    <t>oto20238277.siswa@smkn12malang.sch.id</t>
  </si>
  <si>
    <t>$&amp;w2(X(uV2_b</t>
  </si>
  <si>
    <t>bcf20248887.siswa@smkn12malang.sch.id</t>
  </si>
  <si>
    <t>7U8?)shr(ym@</t>
  </si>
  <si>
    <t>plg20239244.siswa@smkn12malang.sch.id</t>
  </si>
  <si>
    <t>bEhS8*sDG(xN</t>
  </si>
  <si>
    <t>klr20248962.siswa@smkn12malang.sch.id</t>
  </si>
  <si>
    <t>5($C2xGngT!a</t>
  </si>
  <si>
    <t>jkt20248978.siswa@smkn12malang.sch.id</t>
  </si>
  <si>
    <t>NRh$dE]y3krG</t>
  </si>
  <si>
    <t>oto20248984.siswa@smkn12malang.sch.id</t>
  </si>
  <si>
    <t>j$T(x7tv9?pe</t>
  </si>
  <si>
    <t>dkv20249001.siswa@smkn12malang.sch.id</t>
  </si>
  <si>
    <t>_jXeN4*Z)[R%</t>
  </si>
  <si>
    <t>jkt20238426.siswa@smkn12malang.sch.id</t>
  </si>
  <si>
    <t>Uy9&amp;9_HSpHpc</t>
  </si>
  <si>
    <t>oto20238464.siswa@smkn12malang.sch.id</t>
  </si>
  <si>
    <t>vC8=q)7(qRdN</t>
  </si>
  <si>
    <t>oto20249121.siswa@smkn12malang.sch.id</t>
  </si>
  <si>
    <t>qs}D}TzEJ2FM</t>
  </si>
  <si>
    <t>jkt20249144.siswa@smkn12malang.sch.id</t>
  </si>
  <si>
    <t>626-4_yQX%Nu</t>
  </si>
  <si>
    <t>bcf20238578.siswa@smkn12malang.sch.id</t>
  </si>
  <si>
    <t>&amp;Um}Q8%5y${p</t>
  </si>
  <si>
    <t>plg20249210.siswa@smkn12malang.sch.id</t>
  </si>
  <si>
    <t>2rH[Y*FmAJ=)</t>
  </si>
  <si>
    <t>oto20249231.siswa@smkn12malang.sch.id</t>
  </si>
  <si>
    <t>y52.Ax=F&amp;+/c</t>
  </si>
  <si>
    <t>akl20227412.alumni@smkn12malang.sch.id</t>
  </si>
  <si>
    <t>4{74rk[)pYJT</t>
  </si>
  <si>
    <t>akl20227412.siswa@smkn12malang.sch.id</t>
  </si>
  <si>
    <t>172022</t>
  </si>
  <si>
    <t>AKL1</t>
  </si>
  <si>
    <t>akl20227417.alumni@smkn12malang.sch.id</t>
  </si>
  <si>
    <t>6_tv_ZeUWdHC</t>
  </si>
  <si>
    <t>akl20227417.siswa@smkn12malang.sch.id</t>
  </si>
  <si>
    <t>akl20227438.alumni@smkn12malang.sch.id</t>
  </si>
  <si>
    <t>L5?(a!nAvbC/</t>
  </si>
  <si>
    <t>akl20227438.siswa@smkn12malang.sch.id</t>
  </si>
  <si>
    <t>akl20227439.alumni@smkn12malang.sch.id</t>
  </si>
  <si>
    <t>)yY%*Grn4(2b</t>
  </si>
  <si>
    <t>akl20227439.siswa@smkn12malang.sch.id</t>
  </si>
  <si>
    <t>akl20227452.alumni@smkn12malang.sch.id</t>
  </si>
  <si>
    <t>bXm_PTbVVw8q</t>
  </si>
  <si>
    <t>akl20227452.siswa@smkn12malang.sch.id</t>
  </si>
  <si>
    <t>akl20227476.alumni@smkn12malang.sch.id</t>
  </si>
  <si>
    <t>qQ?+wtn&amp;d5{$</t>
  </si>
  <si>
    <t>akl20227476.siswa@smkn12malang.sch.id</t>
  </si>
  <si>
    <t>akl20227501.alumni@smkn12malang.sch.id</t>
  </si>
  <si>
    <t>s!H6C2Uz!d.7</t>
  </si>
  <si>
    <t>akl20227501.siswa@smkn12malang.sch.id</t>
  </si>
  <si>
    <t>akl20227503.alumni@smkn12malang.sch.id</t>
  </si>
  <si>
    <t>HejG4{Lqa!]H</t>
  </si>
  <si>
    <t>akl20227503.siswa@smkn12malang.sch.id</t>
  </si>
  <si>
    <t>akl20227510.alumni@smkn12malang.sch.id</t>
  </si>
  <si>
    <t>/c29r)-R%X{)</t>
  </si>
  <si>
    <t>akl20227510.siswa@smkn12malang.sch.id</t>
  </si>
  <si>
    <t>akl20227529.alumni@smkn12malang.sch.id</t>
  </si>
  <si>
    <t>3/pNekb&amp;crZn</t>
  </si>
  <si>
    <t>akl20227529.siswa@smkn12malang.sch.id</t>
  </si>
  <si>
    <t>akl20227539.alumni@smkn12malang.sch.id</t>
  </si>
  <si>
    <t>.B)%Awvbk7)&amp;</t>
  </si>
  <si>
    <t>akl20227539.siswa@smkn12malang.sch.id</t>
  </si>
  <si>
    <t>akl20227561.alumni@smkn12malang.sch.id</t>
  </si>
  <si>
    <t>(Qr6[gV6xG{V</t>
  </si>
  <si>
    <t>akl20227561.siswa@smkn12malang.sch.id</t>
  </si>
  <si>
    <t>akl20227581.alumni@smkn12malang.sch.id</t>
  </si>
  <si>
    <t>62kZCFNM%SYK</t>
  </si>
  <si>
    <t>akl20227581.siswa@smkn12malang.sch.id</t>
  </si>
  <si>
    <t>akl20227591.alumni@smkn12malang.sch.id</t>
  </si>
  <si>
    <t>pSp%5$u!nvd9</t>
  </si>
  <si>
    <t>akl20227591.siswa@smkn12malang.sch.id</t>
  </si>
  <si>
    <t>akl20227594.alumni@smkn12malang.sch.id</t>
  </si>
  <si>
    <t>E9wYH+vtxQ@2</t>
  </si>
  <si>
    <t>akl20227594.siswa@smkn12malang.sch.id</t>
  </si>
  <si>
    <t>akl20227625.alumni@smkn12malang.sch.id</t>
  </si>
  <si>
    <t>fG&amp;$Wb({uC9j</t>
  </si>
  <si>
    <t>akl20227625.siswa@smkn12malang.sch.id</t>
  </si>
  <si>
    <t>akl20227634.alumni@smkn12malang.sch.id</t>
  </si>
  <si>
    <t>g2_Y*dwe6T5&amp;</t>
  </si>
  <si>
    <t>akl20227634.siswa@smkn12malang.sch.id</t>
  </si>
  <si>
    <t>akl20227662.alumni@smkn12malang.sch.id</t>
  </si>
  <si>
    <t>UA&gt;rzB^Mcw2N</t>
  </si>
  <si>
    <t>akl20227662.siswa@smkn12malang.sch.id</t>
  </si>
  <si>
    <t>akl20227669.alumni@smkn12malang.sch.id</t>
  </si>
  <si>
    <t>c@hTsDT7mn&gt;!</t>
  </si>
  <si>
    <t>akl20227669.siswa@smkn12malang.sch.id</t>
  </si>
  <si>
    <t>akl20227673.alumni@smkn12malang.sch.id</t>
  </si>
  <si>
    <t>9LAv3cE[e?LV</t>
  </si>
  <si>
    <t>akl20227673.siswa@smkn12malang.sch.id</t>
  </si>
  <si>
    <t>akl20227674.alumni@smkn12malang.sch.id</t>
  </si>
  <si>
    <t>6qB.DQBfYXxL</t>
  </si>
  <si>
    <t>akl20227674.siswa@smkn12malang.sch.id</t>
  </si>
  <si>
    <t>akl20227696.alumni@smkn12malang.sch.id</t>
  </si>
  <si>
    <t>]Us8kCBwJ5wD</t>
  </si>
  <si>
    <t>akl20227696.siswa@smkn12malang.sch.id</t>
  </si>
  <si>
    <t>akl20227717.alumni@smkn12malang.sch.id</t>
  </si>
  <si>
    <t>Gw}h2A}=XQ?R</t>
  </si>
  <si>
    <t>akl20227717.siswa@smkn12malang.sch.id</t>
  </si>
  <si>
    <t>akl20227815.alumni@smkn12malang.sch.id</t>
  </si>
  <si>
    <t>TZp@)Tkk?5X}</t>
  </si>
  <si>
    <t>akl20227815.siswa@smkn12malang.sch.id</t>
  </si>
  <si>
    <t>akl20227825.alumni@smkn12malang.sch.id</t>
  </si>
  <si>
    <t>Z39AN!sdLPDc</t>
  </si>
  <si>
    <t>akl20227825.siswa@smkn12malang.sch.id</t>
  </si>
  <si>
    <t>akl20227841.alumni@smkn12malang.sch.id</t>
  </si>
  <si>
    <t>_HM[Kaj!3NNv</t>
  </si>
  <si>
    <t>akl20227841.siswa@smkn12malang.sch.id</t>
  </si>
  <si>
    <t>akl20227893.alumni@smkn12malang.sch.id</t>
  </si>
  <si>
    <t>C8&amp;(qmhC}@VG</t>
  </si>
  <si>
    <t>akl20227893.siswa@smkn12malang.sch.id</t>
  </si>
  <si>
    <t>akl20227901.alumni@smkn12malang.sch.id</t>
  </si>
  <si>
    <t>g&amp;5qccK3j&gt;t-</t>
  </si>
  <si>
    <t>akl20227901.siswa@smkn12malang.sch.id</t>
  </si>
  <si>
    <t>akl20227904.alumni@smkn12malang.sch.id</t>
  </si>
  <si>
    <t>E9$R77Xwrp=U</t>
  </si>
  <si>
    <t>akl20227904.siswa@smkn12malang.sch.id</t>
  </si>
  <si>
    <t>akl20227917.alumni@smkn12malang.sch.id</t>
  </si>
  <si>
    <t>Y$%*^e*53dZF</t>
  </si>
  <si>
    <t>akl20227917.siswa@smkn12malang.sch.id</t>
  </si>
  <si>
    <t>akl20227933.alumni@smkn12malang.sch.id</t>
  </si>
  <si>
    <t>_2LKf&gt;@qrL=+</t>
  </si>
  <si>
    <t>akl20227933.siswa@smkn12malang.sch.id</t>
  </si>
  <si>
    <t>akl20227939.alumni@smkn12malang.sch.id</t>
  </si>
  <si>
    <t>4%}ZyMP)xNHt</t>
  </si>
  <si>
    <t>akl20227939.siswa@smkn12malang.sch.id</t>
  </si>
  <si>
    <t>akl20227947.alumni@smkn12malang.sch.id</t>
  </si>
  <si>
    <t>]hR*%r4!J]hK</t>
  </si>
  <si>
    <t>akl20227947.siswa@smkn12malang.sch.id</t>
  </si>
  <si>
    <t>akl20227956.alumni@smkn12malang.sch.id</t>
  </si>
  <si>
    <t>y34eUb-j4.=X</t>
  </si>
  <si>
    <t>akl20227956.siswa@smkn12malang.sch.id</t>
  </si>
  <si>
    <t>akl20227974.alumni@smkn12malang.sch.id</t>
  </si>
  <si>
    <t>7t8p$&amp;@$$Pf^</t>
  </si>
  <si>
    <t>akl20227974.siswa@smkn12malang.sch.id</t>
  </si>
  <si>
    <t>akl20228003.alumni@smkn12malang.sch.id</t>
  </si>
  <si>
    <t>g7gWg5JQHW+G</t>
  </si>
  <si>
    <t>akl20228003.siswa@smkn12malang.sch.id</t>
  </si>
  <si>
    <t>akl20227453.alumni@smkn12malang.sch.id</t>
  </si>
  <si>
    <t>nUR5SE8Dt/F&amp;</t>
  </si>
  <si>
    <t>akl20227453.siswa@smkn12malang.sch.id</t>
  </si>
  <si>
    <t>AKL2</t>
  </si>
  <si>
    <t>akl20227458.alumni@smkn12malang.sch.id</t>
  </si>
  <si>
    <t>Kuwy7{xL[9F@</t>
  </si>
  <si>
    <t>akl20227458.siswa@smkn12malang.sch.id</t>
  </si>
  <si>
    <t>akl20227499.alumni@smkn12malang.sch.id</t>
  </si>
  <si>
    <t>@X{=Z69(nCKk</t>
  </si>
  <si>
    <t>akl20227499.siswa@smkn12malang.sch.id</t>
  </si>
  <si>
    <t>akl20227508.alumni@smkn12malang.sch.id</t>
  </si>
  <si>
    <t>q/=W7Nw^D-4z</t>
  </si>
  <si>
    <t>akl20227508.siswa@smkn12malang.sch.id</t>
  </si>
  <si>
    <t>akl20227521.alumni@smkn12malang.sch.id</t>
  </si>
  <si>
    <t>hcxcE5-qBS_R</t>
  </si>
  <si>
    <t>akl20227521.siswa@smkn12malang.sch.id</t>
  </si>
  <si>
    <t>akl20227525.alumni@smkn12malang.sch.id</t>
  </si>
  <si>
    <t>8gb!m*6XBqH3</t>
  </si>
  <si>
    <t>akl20227525.siswa@smkn12malang.sch.id</t>
  </si>
  <si>
    <t>akl20227551.alumni@smkn12malang.sch.id</t>
  </si>
  <si>
    <t>wmD_!=c_k8d5</t>
  </si>
  <si>
    <t>akl20227551.siswa@smkn12malang.sch.id</t>
  </si>
  <si>
    <t>akl20227570.alumni@smkn12malang.sch.id</t>
  </si>
  <si>
    <t>&amp;7@a.JRvgQ-]</t>
  </si>
  <si>
    <t>akl20227570.siswa@smkn12malang.sch.id</t>
  </si>
  <si>
    <t>akl20227602.alumni@smkn12malang.sch.id</t>
  </si>
  <si>
    <t>4&gt;+k$W52^&gt;J9</t>
  </si>
  <si>
    <t>akl20227602.siswa@smkn12malang.sch.id</t>
  </si>
  <si>
    <t>akl20227611.alumni@smkn12malang.sch.id</t>
  </si>
  <si>
    <t>^cm2VTCk[d8-</t>
  </si>
  <si>
    <t>akl20227611.siswa@smkn12malang.sch.id</t>
  </si>
  <si>
    <t>akl20227617.alumni@smkn12malang.sch.id</t>
  </si>
  <si>
    <t>2WR8zvXa[F?w</t>
  </si>
  <si>
    <t>akl20227617.siswa@smkn12malang.sch.id</t>
  </si>
  <si>
    <t>akl20227618.alumni@smkn12malang.sch.id</t>
  </si>
  <si>
    <t>?fA&amp;)-BUKq-2</t>
  </si>
  <si>
    <t>akl20227618.siswa@smkn12malang.sch.id</t>
  </si>
  <si>
    <t>akl20227631.alumni@smkn12malang.sch.id</t>
  </si>
  <si>
    <t>at@{LM5N6x2Z</t>
  </si>
  <si>
    <t>akl20227631.siswa@smkn12malang.sch.id</t>
  </si>
  <si>
    <t>akl20227647.alumni@smkn12malang.sch.id</t>
  </si>
  <si>
    <t>&amp;Y8nZcA/(m@2</t>
  </si>
  <si>
    <t>akl20227647.siswa@smkn12malang.sch.id</t>
  </si>
  <si>
    <t>akl20227658.alumni@smkn12malang.sch.id</t>
  </si>
  <si>
    <t>Zrw+2ATQAknm</t>
  </si>
  <si>
    <t>akl20227658.siswa@smkn12malang.sch.id</t>
  </si>
  <si>
    <t>akl20227666.alumni@smkn12malang.sch.id</t>
  </si>
  <si>
    <t>=+4%SsXP/VYr^</t>
  </si>
  <si>
    <t>akl20227666.siswa@smkn12malang.sch.id</t>
  </si>
  <si>
    <t>akl20227681.alumni@smkn12malang.sch.id</t>
  </si>
  <si>
    <t>FbVw+Cm54aL=</t>
  </si>
  <si>
    <t>akl20227681.siswa@smkn12malang.sch.id</t>
  </si>
  <si>
    <t>akl20227688.alumni@smkn12malang.sch.id</t>
  </si>
  <si>
    <t>KS?2jqR^6@.Z</t>
  </si>
  <si>
    <t>akl20227688.siswa@smkn12malang.sch.id</t>
  </si>
  <si>
    <t>akl20227699.alumni@smkn12malang.sch.id</t>
  </si>
  <si>
    <t>?AYaY?cDN5*+</t>
  </si>
  <si>
    <t>akl20227699.siswa@smkn12malang.sch.id</t>
  </si>
  <si>
    <t>akl20227723.alumni@smkn12malang.sch.id</t>
  </si>
  <si>
    <t>-3x.Nc&gt;xb(g&amp;</t>
  </si>
  <si>
    <t>akl20227723.siswa@smkn12malang.sch.id</t>
  </si>
  <si>
    <t>akl20227730.alumni@smkn12malang.sch.id</t>
  </si>
  <si>
    <t>4=WAWVz2Ah7S</t>
  </si>
  <si>
    <t>akl20227730.siswa@smkn12malang.sch.id</t>
  </si>
  <si>
    <t>akl20227733.alumni@smkn12malang.sch.id</t>
  </si>
  <si>
    <t>raUxK3HSe2]c</t>
  </si>
  <si>
    <t>akl20227733.siswa@smkn12malang.sch.id</t>
  </si>
  <si>
    <t>akl20227774.alumni@smkn12malang.sch.id</t>
  </si>
  <si>
    <t>b[Gz&gt;5ey[u(A</t>
  </si>
  <si>
    <t>akl20227774.siswa@smkn12malang.sch.id</t>
  </si>
  <si>
    <t>akl20227788.alumni@smkn12malang.sch.id</t>
  </si>
  <si>
    <t>Z/M?54RjA&gt;5(</t>
  </si>
  <si>
    <t>akl20227788.siswa@smkn12malang.sch.id</t>
  </si>
  <si>
    <t>akl20227819.alumni@smkn12malang.sch.id</t>
  </si>
  <si>
    <t>xXzq.&gt;WKBD7M</t>
  </si>
  <si>
    <t>akl20227819.siswa@smkn12malang.sch.id</t>
  </si>
  <si>
    <t>akl20227824.alumni@smkn12malang.sch.id</t>
  </si>
  <si>
    <t>SbDx.L*Lg2nb</t>
  </si>
  <si>
    <t>akl20227824.siswa@smkn12malang.sch.id</t>
  </si>
  <si>
    <t>akl20227826.alumni@smkn12malang.sch.id</t>
  </si>
  <si>
    <t>sE]/V_9n*/fj</t>
  </si>
  <si>
    <t>akl20227826.siswa@smkn12malang.sch.id</t>
  </si>
  <si>
    <t>akl20227851.alumni@smkn12malang.sch.id</t>
  </si>
  <si>
    <t>hvDEVy%uHJ9g</t>
  </si>
  <si>
    <t>akl20227851.siswa@smkn12malang.sch.id</t>
  </si>
  <si>
    <t>akl20227931.alumni@smkn12malang.sch.id</t>
  </si>
  <si>
    <t>CbHJ5BBpHEK}</t>
  </si>
  <si>
    <t>akl20227931.siswa@smkn12malang.sch.id</t>
  </si>
  <si>
    <t>akl20227937.alumni@smkn12malang.sch.id</t>
  </si>
  <si>
    <t>(bCH7^^kbmD(</t>
  </si>
  <si>
    <t>akl20227937.siswa@smkn12malang.sch.id</t>
  </si>
  <si>
    <t>akl20227944.alumni@smkn12malang.sch.id</t>
  </si>
  <si>
    <t>[b]/tfAL8wQL</t>
  </si>
  <si>
    <t>akl20227944.siswa@smkn12malang.sch.id</t>
  </si>
  <si>
    <t>akl20227954.alumni@smkn12malang.sch.id</t>
  </si>
  <si>
    <t>5N+!u8/%w=QY</t>
  </si>
  <si>
    <t>akl20227954.siswa@smkn12malang.sch.id</t>
  </si>
  <si>
    <t>akl20227972.alumni@smkn12malang.sch.id</t>
  </si>
  <si>
    <t>^H)wp4c3ua-r</t>
  </si>
  <si>
    <t>akl20227972.siswa@smkn12malang.sch.id</t>
  </si>
  <si>
    <t>akl20227973.alumni@smkn12malang.sch.id</t>
  </si>
  <si>
    <t>wsE]nEbpu8nX</t>
  </si>
  <si>
    <t>akl20227973.siswa@smkn12malang.sch.id</t>
  </si>
  <si>
    <t>akl20227995.alumni@smkn12malang.sch.id</t>
  </si>
  <si>
    <t>9c)?GbP_Fbv{</t>
  </si>
  <si>
    <t>akl20227995.siswa@smkn12malang.sch.id</t>
  </si>
  <si>
    <t>akl20228016.alumni@smkn12malang.sch.id</t>
  </si>
  <si>
    <t>cj7^JXv{Qx9t</t>
  </si>
  <si>
    <t>akl20228016.siswa@smkn12malang.sch.id</t>
  </si>
  <si>
    <t>akl20227420.alumni@smkn12malang.sch.id</t>
  </si>
  <si>
    <t>8)-vN{fm]myR</t>
  </si>
  <si>
    <t>akl20227420.siswa@smkn12malang.sch.id</t>
  </si>
  <si>
    <t>AKL3</t>
  </si>
  <si>
    <t>akl20227442.alumni@smkn12malang.sch.id</t>
  </si>
  <si>
    <t>F3$-/.q^R7N(</t>
  </si>
  <si>
    <t>akl20227442.siswa@smkn12malang.sch.id</t>
  </si>
  <si>
    <t>akl20227455.alumni@smkn12malang.sch.id</t>
  </si>
  <si>
    <t>5^mJS?vW{6R&gt;</t>
  </si>
  <si>
    <t>akl20227455.siswa@smkn12malang.sch.id</t>
  </si>
  <si>
    <t>akl20227457.alumni@smkn12malang.sch.id</t>
  </si>
  <si>
    <t>Jk?3sxg?BAXj</t>
  </si>
  <si>
    <t>akl20227457.siswa@smkn12malang.sch.id</t>
  </si>
  <si>
    <t>akl20227461.alumni@smkn12malang.sch.id</t>
  </si>
  <si>
    <t>35fg6._xP+&gt;k</t>
  </si>
  <si>
    <t>akl20227461.siswa@smkn12malang.sch.id</t>
  </si>
  <si>
    <t>akl20227462.alumni@smkn12malang.sch.id</t>
  </si>
  <si>
    <t>yJS3!)wwpD8&gt;</t>
  </si>
  <si>
    <t>akl20227462.siswa@smkn12malang.sch.id</t>
  </si>
  <si>
    <t>akl20227478.alumni@smkn12malang.sch.id</t>
  </si>
  <si>
    <t>=+3)p7S9&amp;h9pR</t>
  </si>
  <si>
    <t>akl20227478.siswa@smkn12malang.sch.id</t>
  </si>
  <si>
    <t>akl20227513.alumni@smkn12malang.sch.id</t>
  </si>
  <si>
    <t>yp}5Z7NX2_6x</t>
  </si>
  <si>
    <t>akl20227513.siswa@smkn12malang.sch.id</t>
  </si>
  <si>
    <t>akl20227530.alumni@smkn12malang.sch.id</t>
  </si>
  <si>
    <t>Dwa4q79mapc[</t>
  </si>
  <si>
    <t>akl20227530.siswa@smkn12malang.sch.id</t>
  </si>
  <si>
    <t>akl20227534.alumni@smkn12malang.sch.id</t>
  </si>
  <si>
    <t>LX(sy_2Tbb8N</t>
  </si>
  <si>
    <t>akl20227534.siswa@smkn12malang.sch.id</t>
  </si>
  <si>
    <t>akl20227547.alumni@smkn12malang.sch.id</t>
  </si>
  <si>
    <t>EU6Dd]__YRXt</t>
  </si>
  <si>
    <t>akl20227547.siswa@smkn12malang.sch.id</t>
  </si>
  <si>
    <t>akl20227564.alumni@smkn12malang.sch.id</t>
  </si>
  <si>
    <t>yd2w[F.cgq%R</t>
  </si>
  <si>
    <t>akl20227564.siswa@smkn12malang.sch.id</t>
  </si>
  <si>
    <t>akl20227567.alumni@smkn12malang.sch.id</t>
  </si>
  <si>
    <t>s@9hq_E^JGhe</t>
  </si>
  <si>
    <t>akl20227567.siswa@smkn12malang.sch.id</t>
  </si>
  <si>
    <t>akl20227586.alumni@smkn12malang.sch.id</t>
  </si>
  <si>
    <t>Lb6CSy6+HC84</t>
  </si>
  <si>
    <t>akl20227586.siswa@smkn12malang.sch.id</t>
  </si>
  <si>
    <t>akl20227638.alumni@smkn12malang.sch.id</t>
  </si>
  <si>
    <t>2yX3q&gt;P^a)X!</t>
  </si>
  <si>
    <t>akl20227638.siswa@smkn12malang.sch.id</t>
  </si>
  <si>
    <t>akl20227660.alumni@smkn12malang.sch.id</t>
  </si>
  <si>
    <t>{/aau+3ngK8$</t>
  </si>
  <si>
    <t>akl20227660.siswa@smkn12malang.sch.id</t>
  </si>
  <si>
    <t>akl20227665.alumni@smkn12malang.sch.id</t>
  </si>
  <si>
    <t>MaKN9qqm=eb@</t>
  </si>
  <si>
    <t>akl20227665.siswa@smkn12malang.sch.id</t>
  </si>
  <si>
    <t>akl20227690.alumni@smkn12malang.sch.id</t>
  </si>
  <si>
    <t>y7m$L@gSNP./</t>
  </si>
  <si>
    <t>akl20227690.siswa@smkn12malang.sch.id</t>
  </si>
  <si>
    <t>akl20227701.alumni@smkn12malang.sch.id</t>
  </si>
  <si>
    <t>NLvJM=DhGc7t</t>
  </si>
  <si>
    <t>akl20227701.siswa@smkn12malang.sch.id</t>
  </si>
  <si>
    <t>akl20227718.alumni@smkn12malang.sch.id</t>
  </si>
  <si>
    <t>gM$v$u/+-/H6</t>
  </si>
  <si>
    <t>akl20227718.siswa@smkn12malang.sch.id</t>
  </si>
  <si>
    <t>akl20227719.alumni@smkn12malang.sch.id</t>
  </si>
  <si>
    <t>Nhgc9&gt;U.ztG.</t>
  </si>
  <si>
    <t>akl20227719.siswa@smkn12malang.sch.id</t>
  </si>
  <si>
    <t>akl20227726.alumni@smkn12malang.sch.id</t>
  </si>
  <si>
    <t>x!cd&gt;X{6&gt;Tqn</t>
  </si>
  <si>
    <t>akl20227726.siswa@smkn12malang.sch.id</t>
  </si>
  <si>
    <t>akl20227729.alumni@smkn12malang.sch.id</t>
  </si>
  <si>
    <t>zj._8$*gNH4L</t>
  </si>
  <si>
    <t>akl20227729.siswa@smkn12malang.sch.id</t>
  </si>
  <si>
    <t>akl20227808.alumni@smkn12malang.sch.id</t>
  </si>
  <si>
    <t>]ZE3/C&amp;NbbjJ</t>
  </si>
  <si>
    <t>akl20227808.siswa@smkn12malang.sch.id</t>
  </si>
  <si>
    <t>akl20227835.alumni@smkn12malang.sch.id</t>
  </si>
  <si>
    <t>7UbdPs?-9}r&gt;</t>
  </si>
  <si>
    <t>akl20227835.siswa@smkn12malang.sch.id</t>
  </si>
  <si>
    <t>akl20227875.alumni@smkn12malang.sch.id</t>
  </si>
  <si>
    <t>}X4dAw44&amp;Ewt</t>
  </si>
  <si>
    <t>akl20227875.siswa@smkn12malang.sch.id</t>
  </si>
  <si>
    <t>akl20227897.alumni@smkn12malang.sch.id</t>
  </si>
  <si>
    <t>{D/wTG%JM?4(</t>
  </si>
  <si>
    <t>akl20227897.siswa@smkn12malang.sch.id</t>
  </si>
  <si>
    <t>akl20227907.alumni@smkn12malang.sch.id</t>
  </si>
  <si>
    <t>[]gBSp6[E&gt;b{</t>
  </si>
  <si>
    <t>akl20227907.siswa@smkn12malang.sch.id</t>
  </si>
  <si>
    <t>akl20227929.alumni@smkn12malang.sch.id</t>
  </si>
  <si>
    <t>6K%&amp;3D7ajBqC</t>
  </si>
  <si>
    <t>akl20227929.siswa@smkn12malang.sch.id</t>
  </si>
  <si>
    <t>akl20227934.alumni@smkn12malang.sch.id</t>
  </si>
  <si>
    <t>Ap)gC2_nM9y!</t>
  </si>
  <si>
    <t>akl20227934.siswa@smkn12malang.sch.id</t>
  </si>
  <si>
    <t>akl20227935.alumni@smkn12malang.sch.id</t>
  </si>
  <si>
    <t>WQu66w)gpL9Y</t>
  </si>
  <si>
    <t>akl20227935.siswa@smkn12malang.sch.id</t>
  </si>
  <si>
    <t>akl20227941.alumni@smkn12malang.sch.id</t>
  </si>
  <si>
    <t>%mXFmy3@-myB</t>
  </si>
  <si>
    <t>akl20227941.siswa@smkn12malang.sch.id</t>
  </si>
  <si>
    <t>akl20227951.alumni@smkn12malang.sch.id</t>
  </si>
  <si>
    <t>GXngEn}&gt;v7?4</t>
  </si>
  <si>
    <t>akl20227951.siswa@smkn12malang.sch.id</t>
  </si>
  <si>
    <t>akl20227987.alumni@smkn12malang.sch.id</t>
  </si>
  <si>
    <t>U5vK4/JFBjH(</t>
  </si>
  <si>
    <t>akl20227987.siswa@smkn12malang.sch.id</t>
  </si>
  <si>
    <t>akl20228017.alumni@smkn12malang.sch.id</t>
  </si>
  <si>
    <t>hx(4xM3F&gt;8Pr</t>
  </si>
  <si>
    <t>akl20228017.siswa@smkn12malang.sch.id</t>
  </si>
  <si>
    <t>akl20227422.alumni@smkn12malang.sch.id</t>
  </si>
  <si>
    <t>X{R]dgh)87=[</t>
  </si>
  <si>
    <t>akl20227422.siswa@smkn12malang.sch.id</t>
  </si>
  <si>
    <t>AKL4</t>
  </si>
  <si>
    <t>akl20227451.alumni@smkn12malang.sch.id</t>
  </si>
  <si>
    <t>cN4Y6cqLM]B=</t>
  </si>
  <si>
    <t>akl20227451.siswa@smkn12malang.sch.id</t>
  </si>
  <si>
    <t>akl20227456.alumni@smkn12malang.sch.id</t>
  </si>
  <si>
    <t>J+kdWqB.3(46</t>
  </si>
  <si>
    <t>akl20227456.siswa@smkn12malang.sch.id</t>
  </si>
  <si>
    <t>akl20227466.alumni@smkn12malang.sch.id</t>
  </si>
  <si>
    <t>UK22S)p)ZgC6</t>
  </si>
  <si>
    <t>akl20227466.siswa@smkn12malang.sch.id</t>
  </si>
  <si>
    <t>akl20227477.alumni@smkn12malang.sch.id</t>
  </si>
  <si>
    <t>MNeQz8B_vAE9</t>
  </si>
  <si>
    <t>akl20227477.siswa@smkn12malang.sch.id</t>
  </si>
  <si>
    <t>akl20227509.alumni@smkn12malang.sch.id</t>
  </si>
  <si>
    <t>jSL!xh4/UL_2</t>
  </si>
  <si>
    <t>akl20227509.siswa@smkn12malang.sch.id</t>
  </si>
  <si>
    <t>akl20227535.alumni@smkn12malang.sch.id</t>
  </si>
  <si>
    <t>}.d4us@D(a/@</t>
  </si>
  <si>
    <t>akl20227535.siswa@smkn12malang.sch.id</t>
  </si>
  <si>
    <t>akl20227541.alumni@smkn12malang.sch.id</t>
  </si>
  <si>
    <t>fMxE&gt;u4CKJ%%</t>
  </si>
  <si>
    <t>akl20227541.siswa@smkn12malang.sch.id</t>
  </si>
  <si>
    <t>akl20227568.alumni@smkn12malang.sch.id</t>
  </si>
  <si>
    <t>3^U8ENPh4n.Z</t>
  </si>
  <si>
    <t>akl20227568.siswa@smkn12malang.sch.id</t>
  </si>
  <si>
    <t>akl20227590.alumni@smkn12malang.sch.id</t>
  </si>
  <si>
    <t>f@.4FBC@9pmd</t>
  </si>
  <si>
    <t>akl20227590.siswa@smkn12malang.sch.id</t>
  </si>
  <si>
    <t>akl20227624.alumni@smkn12malang.sch.id</t>
  </si>
  <si>
    <t>{8&gt;@7U/c*UTC</t>
  </si>
  <si>
    <t>akl20227624.siswa@smkn12malang.sch.id</t>
  </si>
  <si>
    <t>akl20227627.alumni@smkn12malang.sch.id</t>
  </si>
  <si>
    <t>$$Y9f_m&amp;]zAq</t>
  </si>
  <si>
    <t>akl20227627.siswa@smkn12malang.sch.id</t>
  </si>
  <si>
    <t>akl20227633.alumni@smkn12malang.sch.id</t>
  </si>
  <si>
    <t>ts&amp;JgkUR_E8k</t>
  </si>
  <si>
    <t>akl20227633.siswa@smkn12malang.sch.id</t>
  </si>
  <si>
    <t>akl20227648.alumni@smkn12malang.sch.id</t>
  </si>
  <si>
    <t>g^MU/YQvh8By</t>
  </si>
  <si>
    <t>akl20227648.siswa@smkn12malang.sch.id</t>
  </si>
  <si>
    <t>akl20227659.alumni@smkn12malang.sch.id</t>
  </si>
  <si>
    <t>_8&gt;3K&gt;Zy-vKv</t>
  </si>
  <si>
    <t>akl20227659.siswa@smkn12malang.sch.id</t>
  </si>
  <si>
    <t>akl20227661.alumni@smkn12malang.sch.id</t>
  </si>
  <si>
    <t>Y%Ezt&gt;.sZs3Z</t>
  </si>
  <si>
    <t>akl20227661.siswa@smkn12malang.sch.id</t>
  </si>
  <si>
    <t>akl20227663.alumni@smkn12malang.sch.id</t>
  </si>
  <si>
    <t>c_?*=W43sg3e</t>
  </si>
  <si>
    <t>akl20227663.siswa@smkn12malang.sch.id</t>
  </si>
  <si>
    <t>akl20227689.alumni@smkn12malang.sch.id</t>
  </si>
  <si>
    <t>5avPEj8+J_R5</t>
  </si>
  <si>
    <t>akl20227689.siswa@smkn12malang.sch.id</t>
  </si>
  <si>
    <t>akl20227692.alumni@smkn12malang.sch.id</t>
  </si>
  <si>
    <t>Lehc3f&amp;K-)%6</t>
  </si>
  <si>
    <t>akl20227692.siswa@smkn12malang.sch.id</t>
  </si>
  <si>
    <t>akl20227704.alumni@smkn12malang.sch.id</t>
  </si>
  <si>
    <t>KU/E)nx$9QEB</t>
  </si>
  <si>
    <t>akl20227704.siswa@smkn12malang.sch.id</t>
  </si>
  <si>
    <t>akl20227720.alumni@smkn12malang.sch.id</t>
  </si>
  <si>
    <t>xHs[^d-EDu9F</t>
  </si>
  <si>
    <t>akl20227720.siswa@smkn12malang.sch.id</t>
  </si>
  <si>
    <t>akl20227811.alumni@smkn12malang.sch.id</t>
  </si>
  <si>
    <t>U+Rr!L-7}2^a</t>
  </si>
  <si>
    <t>akl20227811.siswa@smkn12malang.sch.id</t>
  </si>
  <si>
    <t>akl20227818.alumni@smkn12malang.sch.id</t>
  </si>
  <si>
    <t>?5LQj2Gc$Va)</t>
  </si>
  <si>
    <t>akl20227818.siswa@smkn12malang.sch.id</t>
  </si>
  <si>
    <t>akl20227837.alumni@smkn12malang.sch.id</t>
  </si>
  <si>
    <t>VMW8tZ_PRB}f</t>
  </si>
  <si>
    <t>akl20227837.siswa@smkn12malang.sch.id</t>
  </si>
  <si>
    <t>akl20227849.alumni@smkn12malang.sch.id</t>
  </si>
  <si>
    <t>V[}d-g7fGez-</t>
  </si>
  <si>
    <t>akl20227849.siswa@smkn12malang.sch.id</t>
  </si>
  <si>
    <t>akl20227856.alumni@smkn12malang.sch.id</t>
  </si>
  <si>
    <t>^nv(kL{4Q}-e</t>
  </si>
  <si>
    <t>akl20227856.siswa@smkn12malang.sch.id</t>
  </si>
  <si>
    <t>akl20227873.alumni@smkn12malang.sch.id</t>
  </si>
  <si>
    <t>9H}47AJthf4{</t>
  </si>
  <si>
    <t>akl20227873.siswa@smkn12malang.sch.id</t>
  </si>
  <si>
    <t>akl20227892.alumni@smkn12malang.sch.id</t>
  </si>
  <si>
    <t>cgb5P34.EuzL</t>
  </si>
  <si>
    <t>akl20227892.siswa@smkn12malang.sch.id</t>
  </si>
  <si>
    <t>akl20227894.alumni@smkn12malang.sch.id</t>
  </si>
  <si>
    <t>a5{u)9{&amp;h7%H</t>
  </si>
  <si>
    <t>akl20227894.siswa@smkn12malang.sch.id</t>
  </si>
  <si>
    <t>akl20227900.alumni@smkn12malang.sch.id</t>
  </si>
  <si>
    <t>TArc+72G8EWn</t>
  </si>
  <si>
    <t>akl20227900.siswa@smkn12malang.sch.id</t>
  </si>
  <si>
    <t>akl20227908.alumni@smkn12malang.sch.id</t>
  </si>
  <si>
    <t>Hx9b_G/tV/=_</t>
  </si>
  <si>
    <t>akl20227908.siswa@smkn12malang.sch.id</t>
  </si>
  <si>
    <t>akl20227921.alumni@smkn12malang.sch.id</t>
  </si>
  <si>
    <t>p!S-Ht%Bqp3V</t>
  </si>
  <si>
    <t>akl20227921.siswa@smkn12malang.sch.id</t>
  </si>
  <si>
    <t>akl20227946.alumni@smkn12malang.sch.id</t>
  </si>
  <si>
    <t>&gt;{q-%zn4UXBw</t>
  </si>
  <si>
    <t>akl20227946.siswa@smkn12malang.sch.id</t>
  </si>
  <si>
    <t>akl20227950.alumni@smkn12malang.sch.id</t>
  </si>
  <si>
    <t>&gt;Tj%!FD8pYB)</t>
  </si>
  <si>
    <t>akl20227950.siswa@smkn12malang.sch.id</t>
  </si>
  <si>
    <t>akl20227979.alumni@smkn12malang.sch.id</t>
  </si>
  <si>
    <t>tGzQtTQW5[2c</t>
  </si>
  <si>
    <t>akl20227979.siswa@smkn12malang.sch.id</t>
  </si>
  <si>
    <t>akl20228018.alumni@smkn12malang.sch.id</t>
  </si>
  <si>
    <t>kE7hWP)X86gb</t>
  </si>
  <si>
    <t>akl20228018.siswa@smkn12malang.sch.id</t>
  </si>
  <si>
    <t>bcf20227436.alumni@smkn12malang.sch.id</t>
  </si>
  <si>
    <t>QSqsmt[4Awhd</t>
  </si>
  <si>
    <t>bcf20227436.siswa@smkn12malang.sch.id</t>
  </si>
  <si>
    <t>BCF1</t>
  </si>
  <si>
    <t>bcf20227470.alumni@smkn12malang.sch.id</t>
  </si>
  <si>
    <t>Qr8Sb_GAy@mj</t>
  </si>
  <si>
    <t>bcf20227470.siswa@smkn12malang.sch.id</t>
  </si>
  <si>
    <t>bcf20227473.alumni@smkn12malang.sch.id</t>
  </si>
  <si>
    <t>WU2=VY6]+brk</t>
  </si>
  <si>
    <t>bcf20227473.siswa@smkn12malang.sch.id</t>
  </si>
  <si>
    <t>bcf20227482.alumni@smkn12malang.sch.id</t>
  </si>
  <si>
    <t>Ve@EhEb99PWz</t>
  </si>
  <si>
    <t>bcf20227482.siswa@smkn12malang.sch.id</t>
  </si>
  <si>
    <t>bcf20227526.alumni@smkn12malang.sch.id</t>
  </si>
  <si>
    <t>9=TPBVgR32A=</t>
  </si>
  <si>
    <t>bcf20227526.siswa@smkn12malang.sch.id</t>
  </si>
  <si>
    <t>bcf20227528.alumni@smkn12malang.sch.id</t>
  </si>
  <si>
    <t>epMPyCm84Np-</t>
  </si>
  <si>
    <t>bcf20227528.siswa@smkn12malang.sch.id</t>
  </si>
  <si>
    <t>bcf20227537.alumni@smkn12malang.sch.id</t>
  </si>
  <si>
    <t>3g6xgT^4kp)r</t>
  </si>
  <si>
    <t>bcf20227537.siswa@smkn12malang.sch.id</t>
  </si>
  <si>
    <t>bcf20227538.alumni@smkn12malang.sch.id</t>
  </si>
  <si>
    <t>FL4HC?BKMY+k</t>
  </si>
  <si>
    <t>bcf20227538.siswa@smkn12malang.sch.id</t>
  </si>
  <si>
    <t>bcf20227563.alumni@smkn12malang.sch.id</t>
  </si>
  <si>
    <t>gP(xx6TNAG^n</t>
  </si>
  <si>
    <t>bcf20227563.siswa@smkn12malang.sch.id</t>
  </si>
  <si>
    <t>bcf20227574.alumni@smkn12malang.sch.id</t>
  </si>
  <si>
    <t>wNd?Cg5uu=V(</t>
  </si>
  <si>
    <t>bcf20227574.siswa@smkn12malang.sch.id</t>
  </si>
  <si>
    <t>bcf20227587.alumni@smkn12malang.sch.id</t>
  </si>
  <si>
    <t>udt&amp;X&amp;74C.6H</t>
  </si>
  <si>
    <t>bcf20227587.siswa@smkn12malang.sch.id</t>
  </si>
  <si>
    <t>bcf20227604.alumni@smkn12malang.sch.id</t>
  </si>
  <si>
    <t>3AN6}Lz5e/{/</t>
  </si>
  <si>
    <t>bcf20227604.siswa@smkn12malang.sch.id</t>
  </si>
  <si>
    <t>bcf20227607.alumni@smkn12malang.sch.id</t>
  </si>
  <si>
    <t>Sp?QyVvg8WZZ</t>
  </si>
  <si>
    <t>bcf20227607.siswa@smkn12malang.sch.id</t>
  </si>
  <si>
    <t>bcf20227630.alumni@smkn12malang.sch.id</t>
  </si>
  <si>
    <t>?Wp^r/68P![Q</t>
  </si>
  <si>
    <t>bcf20227630.siswa@smkn12malang.sch.id</t>
  </si>
  <si>
    <t>bcf20227637.alumni@smkn12malang.sch.id</t>
  </si>
  <si>
    <t>&amp;wS(n6bmV&amp;+E</t>
  </si>
  <si>
    <t>bcf20227637.siswa@smkn12malang.sch.id</t>
  </si>
  <si>
    <t>bcf20227644.alumni@smkn12malang.sch.id</t>
  </si>
  <si>
    <t>!sbG8/[-%?{N</t>
  </si>
  <si>
    <t>bcf20227644.siswa@smkn12malang.sch.id</t>
  </si>
  <si>
    <t>bcf20227646.alumni@smkn12malang.sch.id</t>
  </si>
  <si>
    <t>LFc*^j7?MHmh</t>
  </si>
  <si>
    <t>bcf20227646.siswa@smkn12malang.sch.id</t>
  </si>
  <si>
    <t>bcf20227683.alumni@smkn12malang.sch.id</t>
  </si>
  <si>
    <t>W*$PZX3$d+@y</t>
  </si>
  <si>
    <t>bcf20227683.siswa@smkn12malang.sch.id</t>
  </si>
  <si>
    <t>bcf20227697.alumni@smkn12malang.sch.id</t>
  </si>
  <si>
    <t>t+D^szgt5YB)</t>
  </si>
  <si>
    <t>bcf20227697.siswa@smkn12malang.sch.id</t>
  </si>
  <si>
    <t>bcf20227716.alumni@smkn12malang.sch.id</t>
  </si>
  <si>
    <t>s&gt;yazby}BL9_</t>
  </si>
  <si>
    <t>bcf20227716.siswa@smkn12malang.sch.id</t>
  </si>
  <si>
    <t>bcf20227727.alumni@smkn12malang.sch.id</t>
  </si>
  <si>
    <t>jtX%7}QsStay</t>
  </si>
  <si>
    <t>bcf20227727.siswa@smkn12malang.sch.id</t>
  </si>
  <si>
    <t>bcf20227736.alumni@smkn12malang.sch.id</t>
  </si>
  <si>
    <t>F+pXDYbv%a6?</t>
  </si>
  <si>
    <t>bcf20227736.siswa@smkn12malang.sch.id</t>
  </si>
  <si>
    <t>bcf20227748.alumni@smkn12malang.sch.id</t>
  </si>
  <si>
    <t>.}b_)DFmN4@k</t>
  </si>
  <si>
    <t>bcf20227748.siswa@smkn12malang.sch.id</t>
  </si>
  <si>
    <t>bcf20227828.alumni@smkn12malang.sch.id</t>
  </si>
  <si>
    <t>@cjn5t)Suc?S</t>
  </si>
  <si>
    <t>bcf20227828.siswa@smkn12malang.sch.id</t>
  </si>
  <si>
    <t>bcf20227829.alumni@smkn12malang.sch.id</t>
  </si>
  <si>
    <t>7Jh$Z=&gt;mnV-B</t>
  </si>
  <si>
    <t>bcf20227829.siswa@smkn12malang.sch.id</t>
  </si>
  <si>
    <t>bcf20227844.alumni@smkn12malang.sch.id</t>
  </si>
  <si>
    <t>$Wzw(/hv4r&amp;d</t>
  </si>
  <si>
    <t>bcf20227844.siswa@smkn12malang.sch.id</t>
  </si>
  <si>
    <t>bcf20227852.alumni@smkn12malang.sch.id</t>
  </si>
  <si>
    <t>@-j9cEGEtxW^</t>
  </si>
  <si>
    <t>bcf20227852.siswa@smkn12malang.sch.id</t>
  </si>
  <si>
    <t>bcf20227863.alumni@smkn12malang.sch.id</t>
  </si>
  <si>
    <t>N[AP3UVV&amp;JqG</t>
  </si>
  <si>
    <t>bcf20227863.siswa@smkn12malang.sch.id</t>
  </si>
  <si>
    <t>bcf20227912.alumni@smkn12malang.sch.id</t>
  </si>
  <si>
    <t>gu_9Njt4^&gt;!B</t>
  </si>
  <si>
    <t>bcf20227912.siswa@smkn12malang.sch.id</t>
  </si>
  <si>
    <t>bcf20227927.alumni@smkn12malang.sch.id</t>
  </si>
  <si>
    <t>$QxXCLUf&gt;Lz5</t>
  </si>
  <si>
    <t>bcf20227927.siswa@smkn12malang.sch.id</t>
  </si>
  <si>
    <t>bcf20227928.alumni@smkn12malang.sch.id</t>
  </si>
  <si>
    <t>&gt;j[@W7TnF+y^</t>
  </si>
  <si>
    <t>bcf20227928.siswa@smkn12malang.sch.id</t>
  </si>
  <si>
    <t>bcf20227930.alumni@smkn12malang.sch.id</t>
  </si>
  <si>
    <t>?$379*89$/Nd</t>
  </si>
  <si>
    <t>bcf20227930.siswa@smkn12malang.sch.id</t>
  </si>
  <si>
    <t>bcf20227953.alumni@smkn12malang.sch.id</t>
  </si>
  <si>
    <t>gA27a9w7{J$(</t>
  </si>
  <si>
    <t>bcf20227953.siswa@smkn12malang.sch.id</t>
  </si>
  <si>
    <t>bcf20227955.alumni@smkn12malang.sch.id</t>
  </si>
  <si>
    <t>Y-=&gt;x7cWN5GV</t>
  </si>
  <si>
    <t>bcf20227955.siswa@smkn12malang.sch.id</t>
  </si>
  <si>
    <t>bcf20227965.alumni@smkn12malang.sch.id</t>
  </si>
  <si>
    <t>P*XrLRC$4V?Q</t>
  </si>
  <si>
    <t>bcf20227965.siswa@smkn12malang.sch.id</t>
  </si>
  <si>
    <t>bcf20228019.alumni@smkn12malang.sch.id</t>
  </si>
  <si>
    <t>aS!x38B/nh&gt;T</t>
  </si>
  <si>
    <t>bcf20228019.siswa@smkn12malang.sch.id</t>
  </si>
  <si>
    <t>dkv20227411.alumni@smkn12malang.sch.id</t>
  </si>
  <si>
    <t>5=.gRgPE-vcQ</t>
  </si>
  <si>
    <t>dkv20227411.siswa@smkn12malang.sch.id</t>
  </si>
  <si>
    <t>DKV1</t>
  </si>
  <si>
    <t>dkv20227425.alumni@smkn12malang.sch.id</t>
  </si>
  <si>
    <t>gtc2GvvBe!q!</t>
  </si>
  <si>
    <t>dkv20227425.siswa@smkn12malang.sch.id</t>
  </si>
  <si>
    <t>dkv20227463.alumni@smkn12malang.sch.id</t>
  </si>
  <si>
    <t>w]R/tw9X/9kf</t>
  </si>
  <si>
    <t>dkv20227463.siswa@smkn12malang.sch.id</t>
  </si>
  <si>
    <t>dkv20227494.alumni@smkn12malang.sch.id</t>
  </si>
  <si>
    <t>uBwjxG82F=()</t>
  </si>
  <si>
    <t>dkv20227494.siswa@smkn12malang.sch.id</t>
  </si>
  <si>
    <t>dkv20227497.alumni@smkn12malang.sch.id</t>
  </si>
  <si>
    <t>KAwq&gt;8-GcnUt</t>
  </si>
  <si>
    <t>dkv20227497.siswa@smkn12malang.sch.id</t>
  </si>
  <si>
    <t>dkv20227505.alumni@smkn12malang.sch.id</t>
  </si>
  <si>
    <t>LSV3p^cwVJy$</t>
  </si>
  <si>
    <t>dkv20227505.siswa@smkn12malang.sch.id</t>
  </si>
  <si>
    <t>dkv20227533.alumni@smkn12malang.sch.id</t>
  </si>
  <si>
    <t>Y3&gt;?UsS=dwu!</t>
  </si>
  <si>
    <t>dkv20227533.siswa@smkn12malang.sch.id</t>
  </si>
  <si>
    <t>dkv20227557.alumni@smkn12malang.sch.id</t>
  </si>
  <si>
    <t>[8bGW(q93Wk.</t>
  </si>
  <si>
    <t>dkv20227557.siswa@smkn12malang.sch.id</t>
  </si>
  <si>
    <t>dkv20227584.alumni@smkn12malang.sch.id</t>
  </si>
  <si>
    <t>Y)pWKDUNx8X2</t>
  </si>
  <si>
    <t>dkv20227584.siswa@smkn12malang.sch.id</t>
  </si>
  <si>
    <t>dkv20227596.alumni@smkn12malang.sch.id</t>
  </si>
  <si>
    <t>hrB^a=3q?8pX</t>
  </si>
  <si>
    <t>dkv20227596.siswa@smkn12malang.sch.id</t>
  </si>
  <si>
    <t>dkv20227612.alumni@smkn12malang.sch.id</t>
  </si>
  <si>
    <t>57fj}P_}P(2k</t>
  </si>
  <si>
    <t>dkv20227612.siswa@smkn12malang.sch.id</t>
  </si>
  <si>
    <t>dkv20227619.alumni@smkn12malang.sch.id</t>
  </si>
  <si>
    <t>s-etu!v/KN9c</t>
  </si>
  <si>
    <t>dkv20227619.siswa@smkn12malang.sch.id</t>
  </si>
  <si>
    <t>dkv20227652.alumni@smkn12malang.sch.id</t>
  </si>
  <si>
    <t>RjH/H7FmBmN!</t>
  </si>
  <si>
    <t>dkv20227652.siswa@smkn12malang.sch.id</t>
  </si>
  <si>
    <t>dkv20227672.alumni@smkn12malang.sch.id</t>
  </si>
  <si>
    <t>dHNRLb(3.Fhz</t>
  </si>
  <si>
    <t>dkv20227672.siswa@smkn12malang.sch.id</t>
  </si>
  <si>
    <t>dkv20227685.alumni@smkn12malang.sch.id</t>
  </si>
  <si>
    <t>CXN4w.kn/bQV</t>
  </si>
  <si>
    <t>dkv20227685.siswa@smkn12malang.sch.id</t>
  </si>
  <si>
    <t>dkv20227703.alumni@smkn12malang.sch.id</t>
  </si>
  <si>
    <t>[4xk}h/w9J[]</t>
  </si>
  <si>
    <t>dkv20227703.siswa@smkn12malang.sch.id</t>
  </si>
  <si>
    <t>dkv20227712.alumni@smkn12malang.sch.id</t>
  </si>
  <si>
    <t>9V[XjrZZ2Jc!</t>
  </si>
  <si>
    <t>dkv20227712.siswa@smkn12malang.sch.id</t>
  </si>
  <si>
    <t>dkv20227731.alumni@smkn12malang.sch.id</t>
  </si>
  <si>
    <t>t65+5*_dqd+E</t>
  </si>
  <si>
    <t>dkv20227731.siswa@smkn12malang.sch.id</t>
  </si>
  <si>
    <t>dkv20227734.alumni@smkn12malang.sch.id</t>
  </si>
  <si>
    <t>)V2T-^^%{t!c</t>
  </si>
  <si>
    <t>dkv20227734.siswa@smkn12malang.sch.id</t>
  </si>
  <si>
    <t>dkv20227780.alumni@smkn12malang.sch.id</t>
  </si>
  <si>
    <t>HDf5*8/5Q{&gt;-</t>
  </si>
  <si>
    <t>dkv20227780.siswa@smkn12malang.sch.id</t>
  </si>
  <si>
    <t>dkv20227786.alumni@smkn12malang.sch.id</t>
  </si>
  <si>
    <t>ezY6C8%2cd32</t>
  </si>
  <si>
    <t>dkv20227786.siswa@smkn12malang.sch.id</t>
  </si>
  <si>
    <t>dkv20227798.alumni@smkn12malang.sch.id</t>
  </si>
  <si>
    <t>?eEU?WFB?]b8</t>
  </si>
  <si>
    <t>dkv20227798.siswa@smkn12malang.sch.id</t>
  </si>
  <si>
    <t>dkv20227807.alumni@smkn12malang.sch.id</t>
  </si>
  <si>
    <t>$Qg/*Mezt7.&gt;</t>
  </si>
  <si>
    <t>dkv20227807.siswa@smkn12malang.sch.id</t>
  </si>
  <si>
    <t>dkv20227816.alumni@smkn12malang.sch.id</t>
  </si>
  <si>
    <t>]?ScWP^Nm7?7</t>
  </si>
  <si>
    <t>dkv20227816.siswa@smkn12malang.sch.id</t>
  </si>
  <si>
    <t>dkv20227827.alumni@smkn12malang.sch.id</t>
  </si>
  <si>
    <t>RS2Xdw}!WDc9</t>
  </si>
  <si>
    <t>dkv20227827.siswa@smkn12malang.sch.id</t>
  </si>
  <si>
    <t>dkv20227846.alumni@smkn12malang.sch.id</t>
  </si>
  <si>
    <t>KjtRgq3}&gt;wT5</t>
  </si>
  <si>
    <t>dkv20227846.siswa@smkn12malang.sch.id</t>
  </si>
  <si>
    <t>dkv20227858.alumni@smkn12malang.sch.id</t>
  </si>
  <si>
    <t>4nMvhq2SGU!w</t>
  </si>
  <si>
    <t>dkv20227858.siswa@smkn12malang.sch.id</t>
  </si>
  <si>
    <t>dkv20227881.alumni@smkn12malang.sch.id</t>
  </si>
  <si>
    <t>/_&amp;A%9K2G.qP</t>
  </si>
  <si>
    <t>dkv20227881.siswa@smkn12malang.sch.id</t>
  </si>
  <si>
    <t>dkv20227883.alumni@smkn12malang.sch.id</t>
  </si>
  <si>
    <t>bj4fND{ppPn!</t>
  </si>
  <si>
    <t>dkv20227883.siswa@smkn12malang.sch.id</t>
  </si>
  <si>
    <t>dkv20227887.alumni@smkn12malang.sch.id</t>
  </si>
  <si>
    <t>s[-CC}r9st?b</t>
  </si>
  <si>
    <t>dkv20227887.siswa@smkn12malang.sch.id</t>
  </si>
  <si>
    <t>dkv20227891.alumni@smkn12malang.sch.id</t>
  </si>
  <si>
    <t>^y4jPNU?*AUm</t>
  </si>
  <si>
    <t>dkv20227891.siswa@smkn12malang.sch.id</t>
  </si>
  <si>
    <t>dkv20227899.alumni@smkn12malang.sch.id</t>
  </si>
  <si>
    <t>A]uw)?@$YSq3</t>
  </si>
  <si>
    <t>dkv20227899.siswa@smkn12malang.sch.id</t>
  </si>
  <si>
    <t>dkv20227922.alumni@smkn12malang.sch.id</t>
  </si>
  <si>
    <t>/(N*+SR7v?&gt;=</t>
  </si>
  <si>
    <t>dkv20227922.siswa@smkn12malang.sch.id</t>
  </si>
  <si>
    <t>dkv20227971.alumni@smkn12malang.sch.id</t>
  </si>
  <si>
    <t>&gt;^E4ZxkcFxPm</t>
  </si>
  <si>
    <t>dkv20227971.siswa@smkn12malang.sch.id</t>
  </si>
  <si>
    <t>dkv20227984.alumni@smkn12malang.sch.id</t>
  </si>
  <si>
    <t>X+%Ff-Tp9H&amp;-</t>
  </si>
  <si>
    <t>dkv20227984.siswa@smkn12malang.sch.id</t>
  </si>
  <si>
    <t>dkv20228012.alumni@smkn12malang.sch.id</t>
  </si>
  <si>
    <t>7[DMP^Q+uUV]</t>
  </si>
  <si>
    <t>dkv20228012.siswa@smkn12malang.sch.id</t>
  </si>
  <si>
    <t>dkv20227413.alumni@smkn12malang.sch.id</t>
  </si>
  <si>
    <t>%B.5Aacya?zW</t>
  </si>
  <si>
    <t>dkv20227413.siswa@smkn12malang.sch.id</t>
  </si>
  <si>
    <t>DKV2</t>
  </si>
  <si>
    <t>dkv20227486.alumni@smkn12malang.sch.id</t>
  </si>
  <si>
    <t>pHuQ7+xt.Lqx</t>
  </si>
  <si>
    <t>dkv20227486.siswa@smkn12malang.sch.id</t>
  </si>
  <si>
    <t>dkv20227496.alumni@smkn12malang.sch.id</t>
  </si>
  <si>
    <t>PtL@3mY&gt;@}p2</t>
  </si>
  <si>
    <t>dkv20227496.siswa@smkn12malang.sch.id</t>
  </si>
  <si>
    <t>dkv20227504.alumni@smkn12malang.sch.id</t>
  </si>
  <si>
    <t>*]8J9NpQC&amp;pa</t>
  </si>
  <si>
    <t>dkv20227504.siswa@smkn12malang.sch.id</t>
  </si>
  <si>
    <t>dkv20227523.alumni@smkn12malang.sch.id</t>
  </si>
  <si>
    <t>8_xhq$L7?6Wf</t>
  </si>
  <si>
    <t>dkv20227523.siswa@smkn12malang.sch.id</t>
  </si>
  <si>
    <t>dkv20227555.alumni@smkn12malang.sch.id</t>
  </si>
  <si>
    <t>hCMvhd%A47zu</t>
  </si>
  <si>
    <t>dkv20227555.siswa@smkn12malang.sch.id</t>
  </si>
  <si>
    <t>dkv20227560.alumni@smkn12malang.sch.id</t>
  </si>
  <si>
    <t>q9k2rVJh)mh@</t>
  </si>
  <si>
    <t>dkv20227560.siswa@smkn12malang.sch.id</t>
  </si>
  <si>
    <t>dkv20227583.alumni@smkn12malang.sch.id</t>
  </si>
  <si>
    <t>QA6X9DsM3{LB</t>
  </si>
  <si>
    <t>dkv20227583.siswa@smkn12malang.sch.id</t>
  </si>
  <si>
    <t>dkv20227585.alumni@smkn12malang.sch.id</t>
  </si>
  <si>
    <t>SFcdv3vvF-Um</t>
  </si>
  <si>
    <t>dkv20227585.siswa@smkn12malang.sch.id</t>
  </si>
  <si>
    <t>dkv20227598.alumni@smkn12malang.sch.id</t>
  </si>
  <si>
    <t>QX&amp;Rf2C/qgAZ</t>
  </si>
  <si>
    <t>dkv20227598.siswa@smkn12malang.sch.id</t>
  </si>
  <si>
    <t>dkv20227613.alumni@smkn12malang.sch.id</t>
  </si>
  <si>
    <t>v=AJKtH*ut4@</t>
  </si>
  <si>
    <t>dkv20227613.siswa@smkn12malang.sch.id</t>
  </si>
  <si>
    <t>dkv20227636.alumni@smkn12malang.sch.id</t>
  </si>
  <si>
    <t>NLDYcf]TE99T</t>
  </si>
  <si>
    <t>dkv20227636.siswa@smkn12malang.sch.id</t>
  </si>
  <si>
    <t>dkv20227664.alumni@smkn12malang.sch.id</t>
  </si>
  <si>
    <t>/Hk5@_4a%hH)</t>
  </si>
  <si>
    <t>dkv20227664.siswa@smkn12malang.sch.id</t>
  </si>
  <si>
    <t>dkv20227676.alumni@smkn12malang.sch.id</t>
  </si>
  <si>
    <t>/&gt;F5&amp;evFKDK5</t>
  </si>
  <si>
    <t>dkv20227676.siswa@smkn12malang.sch.id</t>
  </si>
  <si>
    <t>dkv20227700.alumni@smkn12malang.sch.id</t>
  </si>
  <si>
    <t>CCj9h_^)sVjy</t>
  </si>
  <si>
    <t>dkv20227700.siswa@smkn12malang.sch.id</t>
  </si>
  <si>
    <t>dkv20227707.alumni@smkn12malang.sch.id</t>
  </si>
  <si>
    <t>wqjQFwu3nV[p</t>
  </si>
  <si>
    <t>dkv20227707.siswa@smkn12malang.sch.id</t>
  </si>
  <si>
    <t>dkv20227714.alumni@smkn12malang.sch.id</t>
  </si>
  <si>
    <t>?!FL?t8Xhke+</t>
  </si>
  <si>
    <t>dkv20227714.siswa@smkn12malang.sch.id</t>
  </si>
  <si>
    <t>dkv20227724.alumni@smkn12malang.sch.id</t>
  </si>
  <si>
    <t>mU9+RAk3%%}T</t>
  </si>
  <si>
    <t>dkv20227724.siswa@smkn12malang.sch.id</t>
  </si>
  <si>
    <t>dkv20227751.alumni@smkn12malang.sch.id</t>
  </si>
  <si>
    <t>7N&gt;&amp;%KTWBTue</t>
  </si>
  <si>
    <t>dkv20227751.siswa@smkn12malang.sch.id</t>
  </si>
  <si>
    <t>8 February 2007</t>
  </si>
  <si>
    <t>dkv20227785.alumni@smkn12malang.sch.id</t>
  </si>
  <si>
    <t>8SN(RAa]Cxt!</t>
  </si>
  <si>
    <t>dkv20227785.siswa@smkn12malang.sch.id</t>
  </si>
  <si>
    <t>dkv20227787.alumni@smkn12malang.sch.id</t>
  </si>
  <si>
    <t>!j-P3HFhFuu]</t>
  </si>
  <si>
    <t>dkv20227787.siswa@smkn12malang.sch.id</t>
  </si>
  <si>
    <t>dkv20227804.alumni@smkn12malang.sch.id</t>
  </si>
  <si>
    <t>xFS@}WaL@D6G</t>
  </si>
  <si>
    <t>dkv20227804.siswa@smkn12malang.sch.id</t>
  </si>
  <si>
    <t>dkv20227809.alumni@smkn12malang.sch.id</t>
  </si>
  <si>
    <t>EdSW7{BbWW.A</t>
  </si>
  <si>
    <t>dkv20227809.siswa@smkn12malang.sch.id</t>
  </si>
  <si>
    <t>dkv20227820.alumni@smkn12malang.sch.id</t>
  </si>
  <si>
    <t>/@bLWTz*8-vy</t>
  </si>
  <si>
    <t>dkv20227820.siswa@smkn12malang.sch.id</t>
  </si>
  <si>
    <t>dkv20227838.alumni@smkn12malang.sch.id</t>
  </si>
  <si>
    <t>C([KqubE8Njp</t>
  </si>
  <si>
    <t>dkv20227838.siswa@smkn12malang.sch.id</t>
  </si>
  <si>
    <t>dkv20227854.alumni@smkn12malang.sch.id</t>
  </si>
  <si>
    <t>xHUP&gt;)x7$DwR</t>
  </si>
  <si>
    <t>dkv20227854.siswa@smkn12malang.sch.id</t>
  </si>
  <si>
    <t>dkv20227877.alumni@smkn12malang.sch.id</t>
  </si>
  <si>
    <t>{)-RSw3aR*Ab</t>
  </si>
  <si>
    <t>dkv20227877.siswa@smkn12malang.sch.id</t>
  </si>
  <si>
    <t>dkv20227882.alumni@smkn12malang.sch.id</t>
  </si>
  <si>
    <t>NKkK_W6H4d*H</t>
  </si>
  <si>
    <t>dkv20227882.siswa@smkn12malang.sch.id</t>
  </si>
  <si>
    <t>dkv20227885.alumni@smkn12malang.sch.id</t>
  </si>
  <si>
    <t>6!CBWCuAjhAZ</t>
  </si>
  <si>
    <t>dkv20227885.siswa@smkn12malang.sch.id</t>
  </si>
  <si>
    <t>dkv20227889.alumni@smkn12malang.sch.id</t>
  </si>
  <si>
    <t>wVuG+HB?U2*^</t>
  </si>
  <si>
    <t>dkv20227889.siswa@smkn12malang.sch.id</t>
  </si>
  <si>
    <t>dkv20227896.alumni@smkn12malang.sch.id</t>
  </si>
  <si>
    <t>FR?]CPB8SpZ}</t>
  </si>
  <si>
    <t>dkv20227896.siswa@smkn12malang.sch.id</t>
  </si>
  <si>
    <t>dkv20227916.alumni@smkn12malang.sch.id</t>
  </si>
  <si>
    <t>}Y67ebX/tV&gt;3</t>
  </si>
  <si>
    <t>dkv20227916.siswa@smkn12malang.sch.id</t>
  </si>
  <si>
    <t>dkv20227966.alumni@smkn12malang.sch.id</t>
  </si>
  <si>
    <t>t^5zvYj*fuR8</t>
  </si>
  <si>
    <t>dkv20227966.siswa@smkn12malang.sch.id</t>
  </si>
  <si>
    <t>dkv20227977.alumni@smkn12malang.sch.id</t>
  </si>
  <si>
    <t>SykPwx9CJ@}^</t>
  </si>
  <si>
    <t>dkv20227977.siswa@smkn12malang.sch.id</t>
  </si>
  <si>
    <t>dkv20228000.alumni@smkn12malang.sch.id</t>
  </si>
  <si>
    <t>EF9Mz+xnnNeQ</t>
  </si>
  <si>
    <t>dkv20228000.siswa@smkn12malang.sch.id</t>
  </si>
  <si>
    <t>dkv20228014.alumni@smkn12malang.sch.id</t>
  </si>
  <si>
    <t>PjX^L8_k$_Q!</t>
  </si>
  <si>
    <t>dkv20228014.siswa@smkn12malang.sch.id</t>
  </si>
  <si>
    <t>jkt20227440.alumni@smkn12malang.sch.id</t>
  </si>
  <si>
    <t>wsD?d4m4&amp;@e7</t>
  </si>
  <si>
    <t>jkt20227440.siswa@smkn12malang.sch.id</t>
  </si>
  <si>
    <t>JKT1</t>
  </si>
  <si>
    <t>jkt20227443.alumni@smkn12malang.sch.id</t>
  </si>
  <si>
    <t>eJB@EBn[xWz9</t>
  </si>
  <si>
    <t>jkt20227443.siswa@smkn12malang.sch.id</t>
  </si>
  <si>
    <t>25 December 2005</t>
  </si>
  <si>
    <t>jkt20227450.alumni@smkn12malang.sch.id</t>
  </si>
  <si>
    <t>Y@W8BE=dBLa&amp;</t>
  </si>
  <si>
    <t>jkt20227450.siswa@smkn12malang.sch.id</t>
  </si>
  <si>
    <t>jkt20227468.alumni@smkn12malang.sch.id</t>
  </si>
  <si>
    <t>?q2_MLxknc*x</t>
  </si>
  <si>
    <t>jkt20227468.siswa@smkn12malang.sch.id</t>
  </si>
  <si>
    <t>jkt20227490.alumni@smkn12malang.sch.id</t>
  </si>
  <si>
    <t>nkaAdaAMD2&gt;r</t>
  </si>
  <si>
    <t>jkt20227490.siswa@smkn12malang.sch.id</t>
  </si>
  <si>
    <t>jkt20227495.alumni@smkn12malang.sch.id</t>
  </si>
  <si>
    <t>s_?74ajM/PEb</t>
  </si>
  <si>
    <t>jkt20227495.siswa@smkn12malang.sch.id</t>
  </si>
  <si>
    <t>jkt20227520.alumni@smkn12malang.sch.id</t>
  </si>
  <si>
    <t>?-5ZyrPP2@nQ</t>
  </si>
  <si>
    <t>jkt20227520.siswa@smkn12malang.sch.id</t>
  </si>
  <si>
    <t>jkt20227544.alumni@smkn12malang.sch.id</t>
  </si>
  <si>
    <t>/n!yr&gt;C}3k&gt;t</t>
  </si>
  <si>
    <t>jkt20227544.siswa@smkn12malang.sch.id</t>
  </si>
  <si>
    <t>jkt20227562.alumni@smkn12malang.sch.id</t>
  </si>
  <si>
    <t>WqkW7.&amp;mh+wn</t>
  </si>
  <si>
    <t>jkt20227562.siswa@smkn12malang.sch.id</t>
  </si>
  <si>
    <t>jkt20227579.alumni@smkn12malang.sch.id</t>
  </si>
  <si>
    <t>3e7hBj3QM_rj</t>
  </si>
  <si>
    <t>jkt20227579.siswa@smkn12malang.sch.id</t>
  </si>
  <si>
    <t>jkt20227605.alumni@smkn12malang.sch.id</t>
  </si>
  <si>
    <t>vvby[+ZP7&gt;RV</t>
  </si>
  <si>
    <t>jkt20227605.siswa@smkn12malang.sch.id</t>
  </si>
  <si>
    <t>jkt20227609.alumni@smkn12malang.sch.id</t>
  </si>
  <si>
    <t>u&gt;?MH@4bFu]*</t>
  </si>
  <si>
    <t>jkt20227609.siswa@smkn12malang.sch.id</t>
  </si>
  <si>
    <t>jkt20227623.alumni@smkn12malang.sch.id</t>
  </si>
  <si>
    <t>bY..FACr9qWq</t>
  </si>
  <si>
    <t>jkt20227623.siswa@smkn12malang.sch.id</t>
  </si>
  <si>
    <t>jkt20227639.alumni@smkn12malang.sch.id</t>
  </si>
  <si>
    <t>9=&amp;$x9m2$A}n</t>
  </si>
  <si>
    <t>jkt20227639.siswa@smkn12malang.sch.id</t>
  </si>
  <si>
    <t>jkt20227651.alumni@smkn12malang.sch.id</t>
  </si>
  <si>
    <t>=ancyD3z(vdp</t>
  </si>
  <si>
    <t>jkt20227651.siswa@smkn12malang.sch.id</t>
  </si>
  <si>
    <t>jkt20227675.alumni@smkn12malang.sch.id</t>
  </si>
  <si>
    <t>ee]LQV8{mu-2</t>
  </si>
  <si>
    <t>jkt20227675.siswa@smkn12malang.sch.id</t>
  </si>
  <si>
    <t>jkt20227698.alumni@smkn12malang.sch.id</t>
  </si>
  <si>
    <t>&gt;DkAD7r3?Y4w</t>
  </si>
  <si>
    <t>jkt20227698.siswa@smkn12malang.sch.id</t>
  </si>
  <si>
    <t>jkt20227722.alumni@smkn12malang.sch.id</t>
  </si>
  <si>
    <t>n&amp;}p49sLZH!k</t>
  </si>
  <si>
    <t>jkt20227722.siswa@smkn12malang.sch.id</t>
  </si>
  <si>
    <t>jkt20227740.alumni@smkn12malang.sch.id</t>
  </si>
  <si>
    <t>sSx^C5qt]B)g</t>
  </si>
  <si>
    <t>jkt20227740.siswa@smkn12malang.sch.id</t>
  </si>
  <si>
    <t>jkt20227745.alumni@smkn12malang.sch.id</t>
  </si>
  <si>
    <t>cR6Cr8&amp;MyhJ4</t>
  </si>
  <si>
    <t>jkt20227745.siswa@smkn12malang.sch.id</t>
  </si>
  <si>
    <t>jkt20227755.alumni@smkn12malang.sch.id</t>
  </si>
  <si>
    <t>%L=TLQk4VDb6</t>
  </si>
  <si>
    <t>jkt20227755.siswa@smkn12malang.sch.id</t>
  </si>
  <si>
    <t>jkt20227769.alumni@smkn12malang.sch.id</t>
  </si>
  <si>
    <t>2rM.VqVV_gfN</t>
  </si>
  <si>
    <t>jkt20227769.siswa@smkn12malang.sch.id</t>
  </si>
  <si>
    <t>jkt20227793.alumni@smkn12malang.sch.id</t>
  </si>
  <si>
    <t>[P*2x^@&gt;r?uE</t>
  </si>
  <si>
    <t>jkt20227793.siswa@smkn12malang.sch.id</t>
  </si>
  <si>
    <t>jkt20227805.alumni@smkn12malang.sch.id</t>
  </si>
  <si>
    <t>)xSmja]!53L/</t>
  </si>
  <si>
    <t>jkt20227805.siswa@smkn12malang.sch.id</t>
  </si>
  <si>
    <t>jkt20227814.alumni@smkn12malang.sch.id</t>
  </si>
  <si>
    <t>cU6e=TqHpE[8</t>
  </si>
  <si>
    <t>jkt20227814.siswa@smkn12malang.sch.id</t>
  </si>
  <si>
    <t>jkt20227822.alumni@smkn12malang.sch.id</t>
  </si>
  <si>
    <t>M$rN[27udrc_</t>
  </si>
  <si>
    <t>jkt20227822.siswa@smkn12malang.sch.id</t>
  </si>
  <si>
    <t>jkt20227843.alumni@smkn12malang.sch.id</t>
  </si>
  <si>
    <t>AH)d._?MzBf2</t>
  </si>
  <si>
    <t>jkt20227843.siswa@smkn12malang.sch.id</t>
  </si>
  <si>
    <t>jkt20227864.alumni@smkn12malang.sch.id</t>
  </si>
  <si>
    <t>K}LK*$G8Mg4{</t>
  </si>
  <si>
    <t>jkt20227864.siswa@smkn12malang.sch.id</t>
  </si>
  <si>
    <t>jkt20227878.alumni@smkn12malang.sch.id</t>
  </si>
  <si>
    <t>fnV+RXm9?e.(</t>
  </si>
  <si>
    <t>jkt20227878.siswa@smkn12malang.sch.id</t>
  </si>
  <si>
    <t>jkt20227919.alumni@smkn12malang.sch.id</t>
  </si>
  <si>
    <t>H{bp&amp;.qtAL&amp;5</t>
  </si>
  <si>
    <t>jkt20227919.siswa@smkn12malang.sch.id</t>
  </si>
  <si>
    <t>jkt20227925.alumni@smkn12malang.sch.id</t>
  </si>
  <si>
    <t>{WU(KF_qBH%4</t>
  </si>
  <si>
    <t>jkt20227925.siswa@smkn12malang.sch.id</t>
  </si>
  <si>
    <t>jkt20227942.alumni@smkn12malang.sch.id</t>
  </si>
  <si>
    <t>yn[wuGzPC[t3</t>
  </si>
  <si>
    <t>jkt20227942.siswa@smkn12malang.sch.id</t>
  </si>
  <si>
    <t>jkt20227959.alumni@smkn12malang.sch.id</t>
  </si>
  <si>
    <t>$rSWdS]5nm*$</t>
  </si>
  <si>
    <t>jkt20227959.siswa@smkn12malang.sch.id</t>
  </si>
  <si>
    <t>jkt20227967.alumni@smkn12malang.sch.id</t>
  </si>
  <si>
    <t>!H&gt;RTr9/@aDF</t>
  </si>
  <si>
    <t>jkt20227967.siswa@smkn12malang.sch.id</t>
  </si>
  <si>
    <t>jkt20227990.alumni@smkn12malang.sch.id</t>
  </si>
  <si>
    <t>QT{C^N5Y[s?E</t>
  </si>
  <si>
    <t>jkt20227990.siswa@smkn12malang.sch.id</t>
  </si>
  <si>
    <t>jkt20227998.alumni@smkn12malang.sch.id</t>
  </si>
  <si>
    <t>WGtATd4jxF^w</t>
  </si>
  <si>
    <t>jkt20227998.siswa@smkn12malang.sch.id</t>
  </si>
  <si>
    <t>jkt20227441.alumni@smkn12malang.sch.id</t>
  </si>
  <si>
    <t>hDHhZ=9UN&amp;{5</t>
  </si>
  <si>
    <t>jkt20227441.siswa@smkn12malang.sch.id</t>
  </si>
  <si>
    <t>JKT2</t>
  </si>
  <si>
    <t>jkt20227446.alumni@smkn12malang.sch.id</t>
  </si>
  <si>
    <t>_T&gt;RTvf3B_st</t>
  </si>
  <si>
    <t>jkt20227446.siswa@smkn12malang.sch.id</t>
  </si>
  <si>
    <t>jkt20227489.alumni@smkn12malang.sch.id</t>
  </si>
  <si>
    <t>mJX7Urd+RA)?</t>
  </si>
  <si>
    <t>jkt20227489.siswa@smkn12malang.sch.id</t>
  </si>
  <si>
    <t>jkt20227491.alumni@smkn12malang.sch.id</t>
  </si>
  <si>
    <t>EhPKS(2xTLXR</t>
  </si>
  <si>
    <t>jkt20227491.siswa@smkn12malang.sch.id</t>
  </si>
  <si>
    <t>jkt20227500.alumni@smkn12malang.sch.id</t>
  </si>
  <si>
    <t>@KCjGL&gt;7&gt;.m!</t>
  </si>
  <si>
    <t>jkt20227500.siswa@smkn12malang.sch.id</t>
  </si>
  <si>
    <t>jkt20227524.alumni@smkn12malang.sch.id</t>
  </si>
  <si>
    <t>2sBHh+mZ%aLC</t>
  </si>
  <si>
    <t>jkt20227524.siswa@smkn12malang.sch.id</t>
  </si>
  <si>
    <t>jkt20227558.alumni@smkn12malang.sch.id</t>
  </si>
  <si>
    <t>K_L]GR3Le@V+</t>
  </si>
  <si>
    <t>jkt20227558.siswa@smkn12malang.sch.id</t>
  </si>
  <si>
    <t>jkt20227572.alumni@smkn12malang.sch.id</t>
  </si>
  <si>
    <t>!AM86MpA([S.</t>
  </si>
  <si>
    <t>jkt20227572.siswa@smkn12malang.sch.id</t>
  </si>
  <si>
    <t>jkt20227589.alumni@smkn12malang.sch.id</t>
  </si>
  <si>
    <t>.DSyV3+.=3D]</t>
  </si>
  <si>
    <t>jkt20227589.siswa@smkn12malang.sch.id</t>
  </si>
  <si>
    <t>jkt20227606.alumni@smkn12malang.sch.id</t>
  </si>
  <si>
    <t>Gr}&gt;Pg&amp;+(7)m</t>
  </si>
  <si>
    <t>jkt20227606.siswa@smkn12malang.sch.id</t>
  </si>
  <si>
    <t>jkt20227614.alumni@smkn12malang.sch.id</t>
  </si>
  <si>
    <t>af2hch$fmNA5</t>
  </si>
  <si>
    <t>jkt20227614.siswa@smkn12malang.sch.id</t>
  </si>
  <si>
    <t>jkt20227629.alumni@smkn12malang.sch.id</t>
  </si>
  <si>
    <t>Ya%9z&gt;y9drfU</t>
  </si>
  <si>
    <t>jkt20227629.siswa@smkn12malang.sch.id</t>
  </si>
  <si>
    <t>jkt20227650.alumni@smkn12malang.sch.id</t>
  </si>
  <si>
    <t>4&amp;)?c@KLq]=s</t>
  </si>
  <si>
    <t>jkt20227650.siswa@smkn12malang.sch.id</t>
  </si>
  <si>
    <t>jkt20227667.alumni@smkn12malang.sch.id</t>
  </si>
  <si>
    <t>QEEUs%-Qr4rn</t>
  </si>
  <si>
    <t>jkt20227667.siswa@smkn12malang.sch.id</t>
  </si>
  <si>
    <t>jkt20227678.alumni@smkn12malang.sch.id</t>
  </si>
  <si>
    <t>5bj@%Myq+Z49</t>
  </si>
  <si>
    <t>jkt20227678.siswa@smkn12malang.sch.id</t>
  </si>
  <si>
    <t>jkt20227713.alumni@smkn12malang.sch.id</t>
  </si>
  <si>
    <t>4B@XeLz}&amp;&gt;u@</t>
  </si>
  <si>
    <t>jkt20227713.siswa@smkn12malang.sch.id</t>
  </si>
  <si>
    <t>jkt20227725.alumni@smkn12malang.sch.id</t>
  </si>
  <si>
    <t>L?j3+ETW&gt;EkT</t>
  </si>
  <si>
    <t>jkt20227725.siswa@smkn12malang.sch.id</t>
  </si>
  <si>
    <t>jkt20227741.alumni@smkn12malang.sch.id</t>
  </si>
  <si>
    <t>7&amp;@LRz9K4dmg</t>
  </si>
  <si>
    <t>jkt20227741.siswa@smkn12malang.sch.id</t>
  </si>
  <si>
    <t>jkt20227750.alumni@smkn12malang.sch.id</t>
  </si>
  <si>
    <t>?U5V^WRb_e&gt;(</t>
  </si>
  <si>
    <t>jkt20227750.siswa@smkn12malang.sch.id</t>
  </si>
  <si>
    <t>jkt20227768.alumni@smkn12malang.sch.id</t>
  </si>
  <si>
    <t>DMd$^?!8VEU*</t>
  </si>
  <si>
    <t>jkt20227768.siswa@smkn12malang.sch.id</t>
  </si>
  <si>
    <t>jkt20227782.alumni@smkn12malang.sch.id</t>
  </si>
  <si>
    <t>7$pqQQ4+TVMy</t>
  </si>
  <si>
    <t>jkt20227782.siswa@smkn12malang.sch.id</t>
  </si>
  <si>
    <t>jkt20227795.alumni@smkn12malang.sch.id</t>
  </si>
  <si>
    <t>NvwYGYa4w=89</t>
  </si>
  <si>
    <t>jkt20227795.siswa@smkn12malang.sch.id</t>
  </si>
  <si>
    <t>jkt20227813.alumni@smkn12malang.sch.id</t>
  </si>
  <si>
    <t>Sgx?PY]Z7bN=</t>
  </si>
  <si>
    <t>jkt20227813.siswa@smkn12malang.sch.id</t>
  </si>
  <si>
    <t>jkt20227817.alumni@smkn12malang.sch.id</t>
  </si>
  <si>
    <t>g.p5L7F_qBL6</t>
  </si>
  <si>
    <t>jkt20227817.siswa@smkn12malang.sch.id</t>
  </si>
  <si>
    <t>jkt20227840.alumni@smkn12malang.sch.id</t>
  </si>
  <si>
    <t>68{a&gt;PwDC!9^</t>
  </si>
  <si>
    <t>jkt20227840.siswa@smkn12malang.sch.id</t>
  </si>
  <si>
    <t>jkt20227848.alumni@smkn12malang.sch.id</t>
  </si>
  <si>
    <t>&amp;S+hf%z_46wB</t>
  </si>
  <si>
    <t>jkt20227848.siswa@smkn12malang.sch.id</t>
  </si>
  <si>
    <t>jkt20227867.alumni@smkn12malang.sch.id</t>
  </si>
  <si>
    <t>?KH)&amp;uwm=T2R</t>
  </si>
  <si>
    <t>jkt20227867.siswa@smkn12malang.sch.id</t>
  </si>
  <si>
    <t>jkt20227880.alumni@smkn12malang.sch.id</t>
  </si>
  <si>
    <t>%FTxc(4B?jb}</t>
  </si>
  <si>
    <t>jkt20227880.siswa@smkn12malang.sch.id</t>
  </si>
  <si>
    <t>jkt20227923.alumni@smkn12malang.sch.id</t>
  </si>
  <si>
    <t>xQvAj7%-TCG2</t>
  </si>
  <si>
    <t>jkt20227923.siswa@smkn12malang.sch.id</t>
  </si>
  <si>
    <t>jkt20227940.alumni@smkn12malang.sch.id</t>
  </si>
  <si>
    <t>fVD]X*d@f68n</t>
  </si>
  <si>
    <t>jkt20227940.siswa@smkn12malang.sch.id</t>
  </si>
  <si>
    <t>jkt20227945.alumni@smkn12malang.sch.id</t>
  </si>
  <si>
    <t>9%njw&gt;Y.e]$x</t>
  </si>
  <si>
    <t>jkt20227945.siswa@smkn12malang.sch.id</t>
  </si>
  <si>
    <t>jkt20227962.alumni@smkn12malang.sch.id</t>
  </si>
  <si>
    <t>NJ7ekj3-Bj3X</t>
  </si>
  <si>
    <t>jkt20227962.siswa@smkn12malang.sch.id</t>
  </si>
  <si>
    <t>jkt20227969.alumni@smkn12malang.sch.id</t>
  </si>
  <si>
    <t>be9t{6-aT(SB</t>
  </si>
  <si>
    <t>jkt20227969.siswa@smkn12malang.sch.id</t>
  </si>
  <si>
    <t>jkt20227992.alumni@smkn12malang.sch.id</t>
  </si>
  <si>
    <t>$$s49g/yXFs?</t>
  </si>
  <si>
    <t>jkt20227992.siswa@smkn12malang.sch.id</t>
  </si>
  <si>
    <t>jkt20228007.alumni@smkn12malang.sch.id</t>
  </si>
  <si>
    <t>%mZUk)[65ZTp</t>
  </si>
  <si>
    <t>jkt20228007.siswa@smkn12malang.sch.id</t>
  </si>
  <si>
    <t>klr20227419.alumni@smkn12malang.sch.id</t>
  </si>
  <si>
    <t>B86]LxRqRJZ9</t>
  </si>
  <si>
    <t>klr20227419.siswa@smkn12malang.sch.id</t>
  </si>
  <si>
    <t>KLR1</t>
  </si>
  <si>
    <t>klr20227449.alumni@smkn12malang.sch.id</t>
  </si>
  <si>
    <t>=QZZHG5F!2fS</t>
  </si>
  <si>
    <t>klr20227449.siswa@smkn12malang.sch.id</t>
  </si>
  <si>
    <t>klr20227465.alumni@smkn12malang.sch.id</t>
  </si>
  <si>
    <t>$4awEsrS.8Xy</t>
  </si>
  <si>
    <t>klr20227465.siswa@smkn12malang.sch.id</t>
  </si>
  <si>
    <t>klr20227532.alumni@smkn12malang.sch.id</t>
  </si>
  <si>
    <t>V&gt;9wS%Hs)!mF</t>
  </si>
  <si>
    <t>klr20227532.siswa@smkn12malang.sch.id</t>
  </si>
  <si>
    <t>klr20227540.alumni@smkn12malang.sch.id</t>
  </si>
  <si>
    <t>bRzCz}z6^WgC</t>
  </si>
  <si>
    <t>klr20227540.siswa@smkn12malang.sch.id</t>
  </si>
  <si>
    <t>klr20227565.alumni@smkn12malang.sch.id</t>
  </si>
  <si>
    <t>Q.Cc./ZqUe!2</t>
  </si>
  <si>
    <t>klr20227565.siswa@smkn12malang.sch.id</t>
  </si>
  <si>
    <t>klr20227593.alumni@smkn12malang.sch.id</t>
  </si>
  <si>
    <t>zdqJ8TeC]tdy</t>
  </si>
  <si>
    <t>klr20227593.siswa@smkn12malang.sch.id</t>
  </si>
  <si>
    <t>klr20227653.alumni@smkn12malang.sch.id</t>
  </si>
  <si>
    <t>.&gt;D29Mv+.Kg=</t>
  </si>
  <si>
    <t>klr20227653.siswa@smkn12malang.sch.id</t>
  </si>
  <si>
    <t>klr20227668.alumni@smkn12malang.sch.id</t>
  </si>
  <si>
    <t>v9/[=qm*GkbV</t>
  </si>
  <si>
    <t>klr20227668.siswa@smkn12malang.sch.id</t>
  </si>
  <si>
    <t>klr20227671.alumni@smkn12malang.sch.id</t>
  </si>
  <si>
    <t>e5AdyfF@=WMp</t>
  </si>
  <si>
    <t>klr20227671.siswa@smkn12malang.sch.id</t>
  </si>
  <si>
    <t>klr20227684.alumni@smkn12malang.sch.id</t>
  </si>
  <si>
    <t>&gt;4JF?qz/auZY</t>
  </si>
  <si>
    <t>klr20227684.siswa@smkn12malang.sch.id</t>
  </si>
  <si>
    <t>klr20227687.alumni@smkn12malang.sch.id</t>
  </si>
  <si>
    <t>_@3yKpSSPBK*</t>
  </si>
  <si>
    <t>klr20227687.siswa@smkn12malang.sch.id</t>
  </si>
  <si>
    <t>klr20227801.alumni@smkn12malang.sch.id</t>
  </si>
  <si>
    <t>}{_@5y&amp;s2K7B</t>
  </si>
  <si>
    <t>klr20227801.siswa@smkn12malang.sch.id</t>
  </si>
  <si>
    <t>klr20227831.alumni@smkn12malang.sch.id</t>
  </si>
  <si>
    <t>ZL[8X/_&gt;j*6?</t>
  </si>
  <si>
    <t>klr20227831.siswa@smkn12malang.sch.id</t>
  </si>
  <si>
    <t>klr20227832.alumni@smkn12malang.sch.id</t>
  </si>
  <si>
    <t>bBx*(M/vPY4t</t>
  </si>
  <si>
    <t>klr20227832.siswa@smkn12malang.sch.id</t>
  </si>
  <si>
    <t>klr20227834.alumni@smkn12malang.sch.id</t>
  </si>
  <si>
    <t>GGqDxF6_25kT</t>
  </si>
  <si>
    <t>klr20227834.siswa@smkn12malang.sch.id</t>
  </si>
  <si>
    <t>klr20227850.alumni@smkn12malang.sch.id</t>
  </si>
  <si>
    <t>htv$cR7A35hA</t>
  </si>
  <si>
    <t>klr20227850.siswa@smkn12malang.sch.id</t>
  </si>
  <si>
    <t>klr20227853.alumni@smkn12malang.sch.id</t>
  </si>
  <si>
    <t>]+YGekcU5gwY</t>
  </si>
  <si>
    <t>klr20227853.siswa@smkn12malang.sch.id</t>
  </si>
  <si>
    <t>klr20227857.alumni@smkn12malang.sch.id</t>
  </si>
  <si>
    <t>9h3VrTnaree*</t>
  </si>
  <si>
    <t>klr20227857.siswa@smkn12malang.sch.id</t>
  </si>
  <si>
    <t>klr20227862.alumni@smkn12malang.sch.id</t>
  </si>
  <si>
    <t>NDehw[Y?6-)5</t>
  </si>
  <si>
    <t>klr20227862.siswa@smkn12malang.sch.id</t>
  </si>
  <si>
    <t>klr20227911.alumni@smkn12malang.sch.id</t>
  </si>
  <si>
    <t>s8LR?{YDb%-y</t>
  </si>
  <si>
    <t>klr20227911.siswa@smkn12malang.sch.id</t>
  </si>
  <si>
    <t>klr20227938.alumni@smkn12malang.sch.id</t>
  </si>
  <si>
    <t>9bz{-Zx5XQ7{</t>
  </si>
  <si>
    <t>klr20227938.siswa@smkn12malang.sch.id</t>
  </si>
  <si>
    <t>klr20227943.alumni@smkn12malang.sch.id</t>
  </si>
  <si>
    <t>/H{Xd34he$_K</t>
  </si>
  <si>
    <t>klr20227943.siswa@smkn12malang.sch.id</t>
  </si>
  <si>
    <t>klr20227948.alumni@smkn12malang.sch.id</t>
  </si>
  <si>
    <t>9XNq.8u4U^!C</t>
  </si>
  <si>
    <t>klr20227948.siswa@smkn12malang.sch.id</t>
  </si>
  <si>
    <t>klr20227949.alumni@smkn12malang.sch.id</t>
  </si>
  <si>
    <t>8j(3Z}L3D4T!</t>
  </si>
  <si>
    <t>klr20227949.siswa@smkn12malang.sch.id</t>
  </si>
  <si>
    <t>klr20227980.alumni@smkn12malang.sch.id</t>
  </si>
  <si>
    <t>m86C7.^w%a8s</t>
  </si>
  <si>
    <t>klr20227980.siswa@smkn12malang.sch.id</t>
  </si>
  <si>
    <t>klr20227982.alumni@smkn12malang.sch.id</t>
  </si>
  <si>
    <t>BH]^T{]yq595</t>
  </si>
  <si>
    <t>klr20227982.siswa@smkn12malang.sch.id</t>
  </si>
  <si>
    <t>klr20228002.alumni@smkn12malang.sch.id</t>
  </si>
  <si>
    <t>r(Gt_2BWZjXg</t>
  </si>
  <si>
    <t>klr20228002.siswa@smkn12malang.sch.id</t>
  </si>
  <si>
    <t>klr20228005.alumni@smkn12malang.sch.id</t>
  </si>
  <si>
    <t>A}&amp;eH&gt;9sfG8.</t>
  </si>
  <si>
    <t>klr20228005.siswa@smkn12malang.sch.id</t>
  </si>
  <si>
    <t>klr20228013.alumni@smkn12malang.sch.id</t>
  </si>
  <si>
    <t>/6&amp;h&amp;(JhZG])</t>
  </si>
  <si>
    <t>klr20228013.siswa@smkn12malang.sch.id</t>
  </si>
  <si>
    <t>klr20228015.alumni@smkn12malang.sch.id</t>
  </si>
  <si>
    <t>2M8-uyAEQxAv</t>
  </si>
  <si>
    <t>klr20228015.siswa@smkn12malang.sch.id</t>
  </si>
  <si>
    <t>oto20227414.alumni@smkn12malang.sch.id</t>
  </si>
  <si>
    <t>W=KP[wVb&amp;4mw</t>
  </si>
  <si>
    <t>oto20227414.siswa@smkn12malang.sch.id</t>
  </si>
  <si>
    <t>OTO1</t>
  </si>
  <si>
    <t>oto20227421.alumni@smkn12malang.sch.id</t>
  </si>
  <si>
    <t>U&gt;N756WyTa*X</t>
  </si>
  <si>
    <t>oto20227421.siswa@smkn12malang.sch.id</t>
  </si>
  <si>
    <t>oto20227427.alumni@smkn12malang.sch.id</t>
  </si>
  <si>
    <t>jw[YQ238(6rs</t>
  </si>
  <si>
    <t>oto20227427.siswa@smkn12malang.sch.id</t>
  </si>
  <si>
    <t>oto20227437.alumni@smkn12malang.sch.id</t>
  </si>
  <si>
    <t>HQP9Yq$y7T%s</t>
  </si>
  <si>
    <t>oto20227437.siswa@smkn12malang.sch.id</t>
  </si>
  <si>
    <t>oto20227464.alumni@smkn12malang.sch.id</t>
  </si>
  <si>
    <t>Y9tLtgXXj29{</t>
  </si>
  <si>
    <t>oto20227464.siswa@smkn12malang.sch.id</t>
  </si>
  <si>
    <t>oto20227475.alumni@smkn12malang.sch.id</t>
  </si>
  <si>
    <t>V*eBPp6YCTcX</t>
  </si>
  <si>
    <t>oto20227475.siswa@smkn12malang.sch.id</t>
  </si>
  <si>
    <t>oto20227485.alumni@smkn12malang.sch.id</t>
  </si>
  <si>
    <t>}$ak95XcGaG[</t>
  </si>
  <si>
    <t>oto20227485.siswa@smkn12malang.sch.id</t>
  </si>
  <si>
    <t>oto20227512.alumni@smkn12malang.sch.id</t>
  </si>
  <si>
    <t>SHGXJcjK!K^6</t>
  </si>
  <si>
    <t>oto20227512.siswa@smkn12malang.sch.id</t>
  </si>
  <si>
    <t>oto20227543.alumni@smkn12malang.sch.id</t>
  </si>
  <si>
    <t>EAE4cg[dU.-E</t>
  </si>
  <si>
    <t>oto20227543.siswa@smkn12malang.sch.id</t>
  </si>
  <si>
    <t>oto20227550.alumni@smkn12malang.sch.id</t>
  </si>
  <si>
    <t>]}uU$f4qB2(C</t>
  </si>
  <si>
    <t>oto20227550.siswa@smkn12malang.sch.id</t>
  </si>
  <si>
    <t>oto20227569.alumni@smkn12malang.sch.id</t>
  </si>
  <si>
    <t>VMs{D&amp;R6kLYu</t>
  </si>
  <si>
    <t>oto20227569.siswa@smkn12malang.sch.id</t>
  </si>
  <si>
    <t>oto20227578.alumni@smkn12malang.sch.id</t>
  </si>
  <si>
    <t>)XF6(]6ePbf_</t>
  </si>
  <si>
    <t>oto20227578.siswa@smkn12malang.sch.id</t>
  </si>
  <si>
    <t>oto20227595.alumni@smkn12malang.sch.id</t>
  </si>
  <si>
    <t>.&gt;3GsD5H_esc</t>
  </si>
  <si>
    <t>oto20227595.siswa@smkn12malang.sch.id</t>
  </si>
  <si>
    <t>oto20217009.alumni@smkn12malang.sch.id</t>
  </si>
  <si>
    <t>4yf!!hZsFh5_</t>
  </si>
  <si>
    <t>oto20217009.siswa@smkn12malang.sch.id</t>
  </si>
  <si>
    <t>162021</t>
  </si>
  <si>
    <t>oto20227645.alumni@smkn12malang.sch.id</t>
  </si>
  <si>
    <t>-t9Vff+/x?m]</t>
  </si>
  <si>
    <t>oto20227645.siswa@smkn12malang.sch.id</t>
  </si>
  <si>
    <t>oto20217053.alumni@smkn12malang.sch.id</t>
  </si>
  <si>
    <t>MBLLMMJ}bf*3</t>
  </si>
  <si>
    <t>oto20217053.siswa@smkn12malang.sch.id</t>
  </si>
  <si>
    <t>oto20227694.alumni@smkn12malang.sch.id</t>
  </si>
  <si>
    <t>S_gdkh_5sdc)</t>
  </si>
  <si>
    <t>oto20227694.siswa@smkn12malang.sch.id</t>
  </si>
  <si>
    <t>oto20227711.alumni@smkn12malang.sch.id</t>
  </si>
  <si>
    <t>7t.8n)&gt;X&amp;d&amp;(</t>
  </si>
  <si>
    <t>oto20227711.siswa@smkn12malang.sch.id</t>
  </si>
  <si>
    <t>oto20227737.alumni@smkn12malang.sch.id</t>
  </si>
  <si>
    <t>Xa5D*{2H?K}/</t>
  </si>
  <si>
    <t>oto20227737.siswa@smkn12malang.sch.id</t>
  </si>
  <si>
    <t>oto20227739.alumni@smkn12malang.sch.id</t>
  </si>
  <si>
    <t>-6b(-S=C@{*E</t>
  </si>
  <si>
    <t>oto20227739.siswa@smkn12malang.sch.id</t>
  </si>
  <si>
    <t>oto20227744.alumni@smkn12malang.sch.id</t>
  </si>
  <si>
    <t>3&gt;Fzn%DwUXy&gt;</t>
  </si>
  <si>
    <t>oto20227744.siswa@smkn12malang.sch.id</t>
  </si>
  <si>
    <t>oto20227761.alumni@smkn12malang.sch.id</t>
  </si>
  <si>
    <t>un9Qcg.+/Mp!</t>
  </si>
  <si>
    <t>oto20227761.siswa@smkn12malang.sch.id</t>
  </si>
  <si>
    <t>oto20227765.alumni@smkn12malang.sch.id</t>
  </si>
  <si>
    <t>FV(C6{7Ucx@F</t>
  </si>
  <si>
    <t>oto20227765.siswa@smkn12malang.sch.id</t>
  </si>
  <si>
    <t>oto20227789.alumni@smkn12malang.sch.id</t>
  </si>
  <si>
    <t>/G-q4E!a{[m4</t>
  </si>
  <si>
    <t>oto20227789.siswa@smkn12malang.sch.id</t>
  </si>
  <si>
    <t>oto20227796.alumni@smkn12malang.sch.id</t>
  </si>
  <si>
    <t>wCX[x_^A2[KT</t>
  </si>
  <si>
    <t>oto20227796.siswa@smkn12malang.sch.id</t>
  </si>
  <si>
    <t>oto20227839.alumni@smkn12malang.sch.id</t>
  </si>
  <si>
    <t>ZM&gt;d8p-=rQk/</t>
  </si>
  <si>
    <t>oto20227839.siswa@smkn12malang.sch.id</t>
  </si>
  <si>
    <t>oto20227868.alumni@smkn12malang.sch.id</t>
  </si>
  <si>
    <t>XrjRk/&amp;LjQn4</t>
  </si>
  <si>
    <t>oto20227868.siswa@smkn12malang.sch.id</t>
  </si>
  <si>
    <t>oto20227872.alumni@smkn12malang.sch.id</t>
  </si>
  <si>
    <t>EK?A!^86RwPN</t>
  </si>
  <si>
    <t>oto20227872.siswa@smkn12malang.sch.id</t>
  </si>
  <si>
    <t>oto20227895.alumni@smkn12malang.sch.id</t>
  </si>
  <si>
    <t>^Mh6F5X}tWfT</t>
  </si>
  <si>
    <t>oto20227895.siswa@smkn12malang.sch.id</t>
  </si>
  <si>
    <t>oto20227910.alumni@smkn12malang.sch.id</t>
  </si>
  <si>
    <t>6=yR*_H!aNF!</t>
  </si>
  <si>
    <t>oto20227910.siswa@smkn12malang.sch.id</t>
  </si>
  <si>
    <t>oto20227926.alumni@smkn12malang.sch.id</t>
  </si>
  <si>
    <t>kL!qC9}7wap&gt;</t>
  </si>
  <si>
    <t>oto20227926.siswa@smkn12malang.sch.id</t>
  </si>
  <si>
    <t>oto20227963.alumni@smkn12malang.sch.id</t>
  </si>
  <si>
    <t>z]u!Hu!}6W$+</t>
  </si>
  <si>
    <t>oto20227963.siswa@smkn12malang.sch.id</t>
  </si>
  <si>
    <t>oto20227986.alumni@smkn12malang.sch.id</t>
  </si>
  <si>
    <t>thR7H7q.M=!L</t>
  </si>
  <si>
    <t>oto20227986.siswa@smkn12malang.sch.id</t>
  </si>
  <si>
    <t>oto20227416.alumni@smkn12malang.sch.id</t>
  </si>
  <si>
    <t>9]avXqKZbbvK</t>
  </si>
  <si>
    <t>oto20227416.siswa@smkn12malang.sch.id</t>
  </si>
  <si>
    <t>OTO2</t>
  </si>
  <si>
    <t>oto20227424.alumni@smkn12malang.sch.id</t>
  </si>
  <si>
    <t>p=8Nq^5^kr7E</t>
  </si>
  <si>
    <t>oto20227424.siswa@smkn12malang.sch.id</t>
  </si>
  <si>
    <t>oto20227471.alumni@smkn12malang.sch.id</t>
  </si>
  <si>
    <t>VakR6bHu}r$v</t>
  </si>
  <si>
    <t>oto20227471.siswa@smkn12malang.sch.id</t>
  </si>
  <si>
    <t>oto20227479.alumni@smkn12malang.sch.id</t>
  </si>
  <si>
    <t>nBZmR8vU.G%m</t>
  </si>
  <si>
    <t>oto20227479.siswa@smkn12malang.sch.id</t>
  </si>
  <si>
    <t>oto20227506.alumni@smkn12malang.sch.id</t>
  </si>
  <si>
    <t>_YS7^N+DWfN7</t>
  </si>
  <si>
    <t>oto20227506.siswa@smkn12malang.sch.id</t>
  </si>
  <si>
    <t>oto20238634.alumni@smkn12malang.sch.id</t>
  </si>
  <si>
    <t>LZ]6N&amp;2a&gt;jr%</t>
  </si>
  <si>
    <t>oto20238634.siswa@smkn12malang.sch.id</t>
  </si>
  <si>
    <t>oto20227514.alumni@smkn12malang.sch.id</t>
  </si>
  <si>
    <t>G[ruC-@G4Hzk</t>
  </si>
  <si>
    <t>oto20227514.siswa@smkn12malang.sch.id</t>
  </si>
  <si>
    <t>oto20238633.alumni@smkn12malang.sch.id</t>
  </si>
  <si>
    <t>4!HG$J5?eKBs</t>
  </si>
  <si>
    <t>oto20238633.siswa@smkn12malang.sch.id</t>
  </si>
  <si>
    <t>172023</t>
  </si>
  <si>
    <t>oto20227527.alumni@smkn12malang.sch.id</t>
  </si>
  <si>
    <t>dzaXjx)_9_z%</t>
  </si>
  <si>
    <t>oto20227527.siswa@smkn12malang.sch.id</t>
  </si>
  <si>
    <t>oto20227552.alumni@smkn12malang.sch.id</t>
  </si>
  <si>
    <t>L6g.6Y69Jggm</t>
  </si>
  <si>
    <t>oto20227552.siswa@smkn12malang.sch.id</t>
  </si>
  <si>
    <t>oto20227576.alumni@smkn12malang.sch.id</t>
  </si>
  <si>
    <t>%pGD2JUuWpz?</t>
  </si>
  <si>
    <t>oto20227576.siswa@smkn12malang.sch.id</t>
  </si>
  <si>
    <t>oto20227580.alumni@smkn12malang.sch.id</t>
  </si>
  <si>
    <t>28{6EPMzGCwS</t>
  </si>
  <si>
    <t>oto20227580.siswa@smkn12malang.sch.id</t>
  </si>
  <si>
    <t>oto20227599.alumni@smkn12malang.sch.id</t>
  </si>
  <si>
    <t>/dqrT=-Es}2X</t>
  </si>
  <si>
    <t>oto20227599.siswa@smkn12malang.sch.id</t>
  </si>
  <si>
    <t>oto20227626.alumni@smkn12malang.sch.id</t>
  </si>
  <si>
    <t>]RGEbv5]83Z3</t>
  </si>
  <si>
    <t>oto20227626.siswa@smkn12malang.sch.id</t>
  </si>
  <si>
    <t>oto20227640.alumni@smkn12malang.sch.id</t>
  </si>
  <si>
    <t>=MtMaL3^5n-S</t>
  </si>
  <si>
    <t>oto20227640.siswa@smkn12malang.sch.id</t>
  </si>
  <si>
    <t>oto20227686.alumni@smkn12malang.sch.id</t>
  </si>
  <si>
    <t>c*9C2-dSsqVH</t>
  </si>
  <si>
    <t>oto20227686.siswa@smkn12malang.sch.id</t>
  </si>
  <si>
    <t>oto20227721.alumni@smkn12malang.sch.id</t>
  </si>
  <si>
    <t>Bty}A5]TTpvw</t>
  </si>
  <si>
    <t>oto20227721.siswa@smkn12malang.sch.id</t>
  </si>
  <si>
    <t>oto20227738.alumni@smkn12malang.sch.id</t>
  </si>
  <si>
    <t>G$}H=3}!HJm9</t>
  </si>
  <si>
    <t>oto20227738.siswa@smkn12malang.sch.id</t>
  </si>
  <si>
    <t>oto20227770.alumni@smkn12malang.sch.id</t>
  </si>
  <si>
    <t>2)AZWvYLHz[&gt;</t>
  </si>
  <si>
    <t>oto20227770.siswa@smkn12malang.sch.id</t>
  </si>
  <si>
    <t>oto20227775.alumni@smkn12malang.sch.id</t>
  </si>
  <si>
    <t>Xc]eAyej@!5q</t>
  </si>
  <si>
    <t>oto20227775.siswa@smkn12malang.sch.id</t>
  </si>
  <si>
    <t>oto20227783.alumni@smkn12malang.sch.id</t>
  </si>
  <si>
    <t>=+zRq%5q/HG)t</t>
  </si>
  <si>
    <t>oto20227783.siswa@smkn12malang.sch.id</t>
  </si>
  <si>
    <t>oto20227790.alumni@smkn12malang.sch.id</t>
  </si>
  <si>
    <t>hr5Qvq&gt;f$j/2</t>
  </si>
  <si>
    <t>oto20227790.siswa@smkn12malang.sch.id</t>
  </si>
  <si>
    <t>oto20227842.alumni@smkn12malang.sch.id</t>
  </si>
  <si>
    <t>?6_Da4j^Ts2R</t>
  </si>
  <si>
    <t>oto20227842.siswa@smkn12malang.sch.id</t>
  </si>
  <si>
    <t>oto20227869.alumni@smkn12malang.sch.id</t>
  </si>
  <si>
    <t>Q3kF+P9&amp;9zpu</t>
  </si>
  <si>
    <t>oto20227869.siswa@smkn12malang.sch.id</t>
  </si>
  <si>
    <t>oto20227874.alumni@smkn12malang.sch.id</t>
  </si>
  <si>
    <t>sT64.P@!%F6J</t>
  </si>
  <si>
    <t>oto20227874.siswa@smkn12malang.sch.id</t>
  </si>
  <si>
    <t>oto20227903.alumni@smkn12malang.sch.id</t>
  </si>
  <si>
    <t>Y&gt;MTP-Un}2zB</t>
  </si>
  <si>
    <t>oto20227903.siswa@smkn12malang.sch.id</t>
  </si>
  <si>
    <t>oto20227914.alumni@smkn12malang.sch.id</t>
  </si>
  <si>
    <t>V_v8fTz}_Rvj</t>
  </si>
  <si>
    <t>oto20227914.siswa@smkn12malang.sch.id</t>
  </si>
  <si>
    <t>oto20227932.alumni@smkn12malang.sch.id</t>
  </si>
  <si>
    <t>YSmu]TF5tVQe</t>
  </si>
  <si>
    <t>oto20227932.siswa@smkn12malang.sch.id</t>
  </si>
  <si>
    <t>oto20227970.alumni@smkn12malang.sch.id</t>
  </si>
  <si>
    <t>VGVND^N3-/q3</t>
  </si>
  <si>
    <t>oto20227970.siswa@smkn12malang.sch.id</t>
  </si>
  <si>
    <t>oto20227999.alumni@smkn12malang.sch.id</t>
  </si>
  <si>
    <t>Gk{fq8YAKuXA</t>
  </si>
  <si>
    <t>oto20227999.siswa@smkn12malang.sch.id</t>
  </si>
  <si>
    <t>oto20227418.alumni@smkn12malang.sch.id</t>
  </si>
  <si>
    <t>f3mH5X*SG/P-</t>
  </si>
  <si>
    <t>oto20227418.siswa@smkn12malang.sch.id</t>
  </si>
  <si>
    <t>OTO3</t>
  </si>
  <si>
    <t>oto20227426.alumni@smkn12malang.sch.id</t>
  </si>
  <si>
    <t>pEyt@Esy@6V4</t>
  </si>
  <si>
    <t>oto20227426.siswa@smkn12malang.sch.id</t>
  </si>
  <si>
    <t>oto20227454.alumni@smkn12malang.sch.id</t>
  </si>
  <si>
    <t>8nmxF]{k_uy]</t>
  </si>
  <si>
    <t>oto20227454.siswa@smkn12malang.sch.id</t>
  </si>
  <si>
    <t>oto20227474.alumni@smkn12malang.sch.id</t>
  </si>
  <si>
    <t>2+R)e%)uD?kg</t>
  </si>
  <si>
    <t>oto20227474.siswa@smkn12malang.sch.id</t>
  </si>
  <si>
    <t>oto20227480.alumni@smkn12malang.sch.id</t>
  </si>
  <si>
    <t>W+&amp;e$4D.m/PT</t>
  </si>
  <si>
    <t>oto20227480.siswa@smkn12malang.sch.id</t>
  </si>
  <si>
    <t>oto20227507.alumni@smkn12malang.sch.id</t>
  </si>
  <si>
    <t>cjb)C4w}aaB=</t>
  </si>
  <si>
    <t>oto20227507.siswa@smkn12malang.sch.id</t>
  </si>
  <si>
    <t>oto20227517.alumni@smkn12malang.sch.id</t>
  </si>
  <si>
    <t>wS[7(utzYeF+</t>
  </si>
  <si>
    <t>oto20227517.siswa@smkn12malang.sch.id</t>
  </si>
  <si>
    <t>oto20227531.alumni@smkn12malang.sch.id</t>
  </si>
  <si>
    <t>Vd{&gt;4hbdTfye</t>
  </si>
  <si>
    <t>oto20227531.siswa@smkn12malang.sch.id</t>
  </si>
  <si>
    <t>oto20227546.alumni@smkn12malang.sch.id</t>
  </si>
  <si>
    <t>83eP5KZNPK*D</t>
  </si>
  <si>
    <t>oto20227546.siswa@smkn12malang.sch.id</t>
  </si>
  <si>
    <t>oto20227553.alumni@smkn12malang.sch.id</t>
  </si>
  <si>
    <t>J4XLqWs)KLuZ</t>
  </si>
  <si>
    <t>oto20227553.siswa@smkn12malang.sch.id</t>
  </si>
  <si>
    <t>oto20227577.alumni@smkn12malang.sch.id</t>
  </si>
  <si>
    <t>e=Q?7bh!._aC</t>
  </si>
  <si>
    <t>oto20227577.siswa@smkn12malang.sch.id</t>
  </si>
  <si>
    <t>oto20227588.alumni@smkn12malang.sch.id</t>
  </si>
  <si>
    <t>J38$Ag7BLQL7</t>
  </si>
  <si>
    <t>oto20227588.siswa@smkn12malang.sch.id</t>
  </si>
  <si>
    <t>oto20227600.alumni@smkn12malang.sch.id</t>
  </si>
  <si>
    <t>?G=Y}4ZH}(Wn</t>
  </si>
  <si>
    <t>oto20227600.siswa@smkn12malang.sch.id</t>
  </si>
  <si>
    <t>oto20227628.alumni@smkn12malang.sch.id</t>
  </si>
  <si>
    <t>ED*L7.Re^%Q2</t>
  </si>
  <si>
    <t>oto20227628.siswa@smkn12malang.sch.id</t>
  </si>
  <si>
    <t>oto20227642.alumni@smkn12malang.sch.id</t>
  </si>
  <si>
    <t>3BdZ}=j({6_R</t>
  </si>
  <si>
    <t>oto20227642.siswa@smkn12malang.sch.id</t>
  </si>
  <si>
    <t>oto20227691.alumni@smkn12malang.sch.id</t>
  </si>
  <si>
    <t>k]Ju7QpxE.V%</t>
  </si>
  <si>
    <t>oto20227691.siswa@smkn12malang.sch.id</t>
  </si>
  <si>
    <t>oto20227709.alumni@smkn12malang.sch.id</t>
  </si>
  <si>
    <t>W6M-.ZnmR8%7</t>
  </si>
  <si>
    <t>oto20227709.siswa@smkn12malang.sch.id</t>
  </si>
  <si>
    <t>oto20227732.alumni@smkn12malang.sch.id</t>
  </si>
  <si>
    <t>&gt;)?5n-xGT6Nd</t>
  </si>
  <si>
    <t>oto20227732.siswa@smkn12malang.sch.id</t>
  </si>
  <si>
    <t>oto20227743.alumni@smkn12malang.sch.id</t>
  </si>
  <si>
    <t>%&gt;5&amp;Nz=Ln(7z</t>
  </si>
  <si>
    <t>oto20227743.siswa@smkn12malang.sch.id</t>
  </si>
  <si>
    <t>oto20227760.alumni@smkn12malang.sch.id</t>
  </si>
  <si>
    <t>=G^2Z+b%7PQ/</t>
  </si>
  <si>
    <t>oto20227760.siswa@smkn12malang.sch.id</t>
  </si>
  <si>
    <t>oto20227763.alumni@smkn12malang.sch.id</t>
  </si>
  <si>
    <t>GTg&amp;a6hY2mwF</t>
  </si>
  <si>
    <t>oto20227763.siswa@smkn12malang.sch.id</t>
  </si>
  <si>
    <t>oto20227777.alumni@smkn12malang.sch.id</t>
  </si>
  <si>
    <t>qR+27Dt+nP?+</t>
  </si>
  <si>
    <t>oto20227777.siswa@smkn12malang.sch.id</t>
  </si>
  <si>
    <t>oto20227784.alumni@smkn12malang.sch.id</t>
  </si>
  <si>
    <t>g8ZDY*5tVJ3D</t>
  </si>
  <si>
    <t>oto20227784.siswa@smkn12malang.sch.id</t>
  </si>
  <si>
    <t>oto20227794.alumni@smkn12malang.sch.id</t>
  </si>
  <si>
    <t>m-&gt;[L4&gt;X$&amp;_V</t>
  </si>
  <si>
    <t>oto20227794.siswa@smkn12malang.sch.id</t>
  </si>
  <si>
    <t>oto20227797.alumni@smkn12malang.sch.id</t>
  </si>
  <si>
    <t>B6d*pxG==9kD</t>
  </si>
  <si>
    <t>oto20227797.siswa@smkn12malang.sch.id</t>
  </si>
  <si>
    <t>oto20227870.alumni@smkn12malang.sch.id</t>
  </si>
  <si>
    <t>&amp;)N!tc3Tn2DX</t>
  </si>
  <si>
    <t>oto20227870.siswa@smkn12malang.sch.id</t>
  </si>
  <si>
    <t>oto20227886.alumni@smkn12malang.sch.id</t>
  </si>
  <si>
    <t>%@B*[RPn6W&gt;T</t>
  </si>
  <si>
    <t>oto20227886.siswa@smkn12malang.sch.id</t>
  </si>
  <si>
    <t>oto20227906.alumni@smkn12malang.sch.id</t>
  </si>
  <si>
    <t>mK35MJjY!^By</t>
  </si>
  <si>
    <t>oto20227906.siswa@smkn12malang.sch.id</t>
  </si>
  <si>
    <t>oto20227924.alumni@smkn12malang.sch.id</t>
  </si>
  <si>
    <t>5yL?&amp;eL(3UW9</t>
  </si>
  <si>
    <t>oto20227924.siswa@smkn12malang.sch.id</t>
  </si>
  <si>
    <t>oto20227961.alumni@smkn12malang.sch.id</t>
  </si>
  <si>
    <t>N8S]6@kE7BpT</t>
  </si>
  <si>
    <t>oto20227961.siswa@smkn12malang.sch.id</t>
  </si>
  <si>
    <t>oto20227981.alumni@smkn12malang.sch.id</t>
  </si>
  <si>
    <t>Fz7)gB4rq(}!</t>
  </si>
  <si>
    <t>oto20227981.siswa@smkn12malang.sch.id</t>
  </si>
  <si>
    <t>oto20227994.alumni@smkn12malang.sch.id</t>
  </si>
  <si>
    <t>Rf+(.}478AcU</t>
  </si>
  <si>
    <t>oto20227994.siswa@smkn12malang.sch.id</t>
  </si>
  <si>
    <t>oto20216799.alumni@smkn12malang.sch.id</t>
  </si>
  <si>
    <t>5Nu5/=nQpr{B</t>
  </si>
  <si>
    <t>oto20216799.siswa@smkn12malang.sch.id</t>
  </si>
  <si>
    <t>OTO4</t>
  </si>
  <si>
    <t>oto20227415.alumni@smkn12malang.sch.id</t>
  </si>
  <si>
    <t>Fp5MqFQbJ}*x</t>
  </si>
  <si>
    <t>oto20227415.siswa@smkn12malang.sch.id</t>
  </si>
  <si>
    <t>oto20227428.alumni@smkn12malang.sch.id</t>
  </si>
  <si>
    <t>5Y{G)mH@me&amp;s</t>
  </si>
  <si>
    <t>oto20227428.siswa@smkn12malang.sch.id</t>
  </si>
  <si>
    <t>oto20227430.alumni@smkn12malang.sch.id</t>
  </si>
  <si>
    <t>H3h}+SQ!_*/E</t>
  </si>
  <si>
    <t>oto20227430.siswa@smkn12malang.sch.id</t>
  </si>
  <si>
    <t>oto20227445.alumni@smkn12malang.sch.id</t>
  </si>
  <si>
    <t>g2FLxsBNT&amp;/Z</t>
  </si>
  <si>
    <t>oto20227445.siswa@smkn12malang.sch.id</t>
  </si>
  <si>
    <t>oto20227448.alumni@smkn12malang.sch.id</t>
  </si>
  <si>
    <t>m+SQbTL9=A)}</t>
  </si>
  <si>
    <t>oto20227448.siswa@smkn12malang.sch.id</t>
  </si>
  <si>
    <t>oto20227488.alumni@smkn12malang.sch.id</t>
  </si>
  <si>
    <t>Wy&gt;XU6X@AnJn</t>
  </si>
  <si>
    <t>oto20227488.siswa@smkn12malang.sch.id</t>
  </si>
  <si>
    <t>oto20227515.alumni@smkn12malang.sch.id</t>
  </si>
  <si>
    <t>nJ.?=g52^4SA</t>
  </si>
  <si>
    <t>oto20227515.siswa@smkn12malang.sch.id</t>
  </si>
  <si>
    <t>oto20227556.alumni@smkn12malang.sch.id</t>
  </si>
  <si>
    <t>egKnjxJnv_B7</t>
  </si>
  <si>
    <t>oto20227556.siswa@smkn12malang.sch.id</t>
  </si>
  <si>
    <t>oto20227603.alumni@smkn12malang.sch.id</t>
  </si>
  <si>
    <t>/kZSMk&amp;B4HQd</t>
  </si>
  <si>
    <t>oto20227603.siswa@smkn12malang.sch.id</t>
  </si>
  <si>
    <t>oto20227620.alumni@smkn12malang.sch.id</t>
  </si>
  <si>
    <t>?22N?k+&amp;4zS2</t>
  </si>
  <si>
    <t>oto20227620.siswa@smkn12malang.sch.id</t>
  </si>
  <si>
    <t>oto20227643.alumni@smkn12malang.sch.id</t>
  </si>
  <si>
    <t>h!ANM=-6Feg/</t>
  </si>
  <si>
    <t>oto20227643.siswa@smkn12malang.sch.id</t>
  </si>
  <si>
    <t>oto20227657.alumni@smkn12malang.sch.id</t>
  </si>
  <si>
    <t>/GH!PqhNL3Ec</t>
  </si>
  <si>
    <t>oto20227657.siswa@smkn12malang.sch.id</t>
  </si>
  <si>
    <t>oto20227680.alumni@smkn12malang.sch.id</t>
  </si>
  <si>
    <t>hr&gt;}?f8^VUtQ</t>
  </si>
  <si>
    <t>oto20227680.siswa@smkn12malang.sch.id</t>
  </si>
  <si>
    <t>oto20227702.alumni@smkn12malang.sch.id</t>
  </si>
  <si>
    <t>]7hV!8w=r{3%</t>
  </si>
  <si>
    <t>oto20227702.siswa@smkn12malang.sch.id</t>
  </si>
  <si>
    <t>oto20227735.alumni@smkn12malang.sch.id</t>
  </si>
  <si>
    <t>gzH/cHz6kw_=</t>
  </si>
  <si>
    <t>oto20227735.siswa@smkn12malang.sch.id</t>
  </si>
  <si>
    <t>oto20227758.alumni@smkn12malang.sch.id</t>
  </si>
  <si>
    <t>[-D%5JpBx/{S</t>
  </si>
  <si>
    <t>oto20227758.siswa@smkn12malang.sch.id</t>
  </si>
  <si>
    <t>oto20227773.alumni@smkn12malang.sch.id</t>
  </si>
  <si>
    <t>wbH(63sb-}Dk</t>
  </si>
  <si>
    <t>oto20227773.siswa@smkn12malang.sch.id</t>
  </si>
  <si>
    <t>oto20227791.alumni@smkn12malang.sch.id</t>
  </si>
  <si>
    <t>85T8_F+SsJ&gt;M</t>
  </si>
  <si>
    <t>oto20227791.siswa@smkn12malang.sch.id</t>
  </si>
  <si>
    <t>oto20227803.alumni@smkn12malang.sch.id</t>
  </si>
  <si>
    <t>{yT%3q*]f[-p</t>
  </si>
  <si>
    <t>oto20227803.siswa@smkn12malang.sch.id</t>
  </si>
  <si>
    <t>oto20227810.alumni@smkn12malang.sch.id</t>
  </si>
  <si>
    <t>SHnMX{H74AxX</t>
  </si>
  <si>
    <t>oto20227810.siswa@smkn12malang.sch.id</t>
  </si>
  <si>
    <t>oto20227860.alumni@smkn12malang.sch.id</t>
  </si>
  <si>
    <t>MQ3g)vf--we/</t>
  </si>
  <si>
    <t>oto20227860.siswa@smkn12malang.sch.id</t>
  </si>
  <si>
    <t>oto20227890.alumni@smkn12malang.sch.id</t>
  </si>
  <si>
    <t>9n9.9Dv^KwHp</t>
  </si>
  <si>
    <t>oto20227890.siswa@smkn12malang.sch.id</t>
  </si>
  <si>
    <t>oto20217301.alumni@smkn12malang.sch.id</t>
  </si>
  <si>
    <t>6?g.SMcZDmH/</t>
  </si>
  <si>
    <t>oto20217301.siswa@smkn12malang.sch.id</t>
  </si>
  <si>
    <t>oto20227983.alumni@smkn12malang.sch.id</t>
  </si>
  <si>
    <t>Rw&amp;XJCm8EQNz</t>
  </si>
  <si>
    <t>oto20227983.siswa@smkn12malang.sch.id</t>
  </si>
  <si>
    <t>oto20227997.alumni@smkn12malang.sch.id</t>
  </si>
  <si>
    <t>u@$RLL23ZS@2</t>
  </si>
  <si>
    <t>oto20227997.siswa@smkn12malang.sch.id</t>
  </si>
  <si>
    <t>oto20227429.alumni@smkn12malang.sch.id</t>
  </si>
  <si>
    <t>(n?MCJeG4phe</t>
  </si>
  <si>
    <t>oto20227429.siswa@smkn12malang.sch.id</t>
  </si>
  <si>
    <t>OTO5</t>
  </si>
  <si>
    <t>oto20227431.alumni@smkn12malang.sch.id</t>
  </si>
  <si>
    <t>NSbb%bY3uA-W</t>
  </si>
  <si>
    <t>oto20227431.siswa@smkn12malang.sch.id</t>
  </si>
  <si>
    <t>oto20216835.alumni@smkn12malang.sch.id</t>
  </si>
  <si>
    <t>]6b_Lg@sbf9t</t>
  </si>
  <si>
    <t>oto20216835.siswa@smkn12malang.sch.id</t>
  </si>
  <si>
    <t>oto20227447.alumni@smkn12malang.sch.id</t>
  </si>
  <si>
    <t>Ex^j?./n_4d*</t>
  </si>
  <si>
    <t>oto20227447.siswa@smkn12malang.sch.id</t>
  </si>
  <si>
    <t>oto20227467.alumni@smkn12malang.sch.id</t>
  </si>
  <si>
    <t>GZX8Gmy&gt;/gdN</t>
  </si>
  <si>
    <t>oto20227467.siswa@smkn12malang.sch.id</t>
  </si>
  <si>
    <t>oto20227483.alumni@smkn12malang.sch.id</t>
  </si>
  <si>
    <t>@r9HentKw4&gt;R</t>
  </si>
  <si>
    <t>oto20227483.siswa@smkn12malang.sch.id</t>
  </si>
  <si>
    <t>oto20227487.alumni@smkn12malang.sch.id</t>
  </si>
  <si>
    <t>XS5+GT&gt;%_5x&gt;</t>
  </si>
  <si>
    <t>oto20227487.siswa@smkn12malang.sch.id</t>
  </si>
  <si>
    <t>oto20227511.alumni@smkn12malang.sch.id</t>
  </si>
  <si>
    <t>N$=9cJAcG8CW</t>
  </si>
  <si>
    <t>oto20227511.siswa@smkn12malang.sch.id</t>
  </si>
  <si>
    <t>oto20227548.alumni@smkn12malang.sch.id</t>
  </si>
  <si>
    <t>(&gt;xvmjGv@XU3</t>
  </si>
  <si>
    <t>oto20227548.siswa@smkn12malang.sch.id</t>
  </si>
  <si>
    <t>oto20227559.alumni@smkn12malang.sch.id</t>
  </si>
  <si>
    <t>$s[JHE)M=_6u</t>
  </si>
  <si>
    <t>oto20227559.siswa@smkn12malang.sch.id</t>
  </si>
  <si>
    <t>oto20227601.alumni@smkn12malang.sch.id</t>
  </si>
  <si>
    <t>m8Kr-$WM(.vN</t>
  </si>
  <si>
    <t>oto20227601.siswa@smkn12malang.sch.id</t>
  </si>
  <si>
    <t>oto20227616.alumni@smkn12malang.sch.id</t>
  </si>
  <si>
    <t>WcQwF{Ha8&amp;R5</t>
  </si>
  <si>
    <t>oto20227616.siswa@smkn12malang.sch.id</t>
  </si>
  <si>
    <t>oto20227621.alumni@smkn12malang.sch.id</t>
  </si>
  <si>
    <t>/J^*_bXhFpv5</t>
  </si>
  <si>
    <t>oto20227621.siswa@smkn12malang.sch.id</t>
  </si>
  <si>
    <t>oto20227656.alumni@smkn12malang.sch.id</t>
  </si>
  <si>
    <t>]dFN^nqY6)u^</t>
  </si>
  <si>
    <t>oto20227656.siswa@smkn12malang.sch.id</t>
  </si>
  <si>
    <t>oto20227679.alumni@smkn12malang.sch.id</t>
  </si>
  <si>
    <t>{hY2gpQLS$K7</t>
  </si>
  <si>
    <t>oto20227679.siswa@smkn12malang.sch.id</t>
  </si>
  <si>
    <t>oto20227708.alumni@smkn12malang.sch.id</t>
  </si>
  <si>
    <t>.7)(W?=3NzGk</t>
  </si>
  <si>
    <t>oto20227708.siswa@smkn12malang.sch.id</t>
  </si>
  <si>
    <t>oto20227757.alumni@smkn12malang.sch.id</t>
  </si>
  <si>
    <t>wy57[_q25&amp;%Z</t>
  </si>
  <si>
    <t>oto20227757.siswa@smkn12malang.sch.id</t>
  </si>
  <si>
    <t>oto20227746.alumni@smkn12malang.sch.id</t>
  </si>
  <si>
    <t>(e89bwqv4rLf</t>
  </si>
  <si>
    <t>oto20227746.siswa@smkn12malang.sch.id</t>
  </si>
  <si>
    <t>oto20227759.alumni@smkn12malang.sch.id</t>
  </si>
  <si>
    <t>Y)uc?SfqN5sL</t>
  </si>
  <si>
    <t>oto20227759.siswa@smkn12malang.sch.id</t>
  </si>
  <si>
    <t>oto20227767.alumni@smkn12malang.sch.id</t>
  </si>
  <si>
    <t>Ze&gt;W&amp;.Mk5d9j</t>
  </si>
  <si>
    <t>oto20227767.siswa@smkn12malang.sch.id</t>
  </si>
  <si>
    <t>oto20227778.alumni@smkn12malang.sch.id</t>
  </si>
  <si>
    <t>Z[%{.{667qEa</t>
  </si>
  <si>
    <t>oto20227778.siswa@smkn12malang.sch.id</t>
  </si>
  <si>
    <t>oto20227800.alumni@smkn12malang.sch.id</t>
  </si>
  <si>
    <t>6uA&gt;}*{$!94B</t>
  </si>
  <si>
    <t>oto20227800.siswa@smkn12malang.sch.id</t>
  </si>
  <si>
    <t>oto20227806.alumni@smkn12malang.sch.id</t>
  </si>
  <si>
    <t>D4N[qGf8Kw-X</t>
  </si>
  <si>
    <t>oto20227806.siswa@smkn12malang.sch.id</t>
  </si>
  <si>
    <t>oto20227812.alumni@smkn12malang.sch.id</t>
  </si>
  <si>
    <t>VB?&amp;4++tG?}A</t>
  </si>
  <si>
    <t>oto20227812.siswa@smkn12malang.sch.id</t>
  </si>
  <si>
    <t>oto20227859.alumni@smkn12malang.sch.id</t>
  </si>
  <si>
    <t>4d.nhDfE{AnE</t>
  </si>
  <si>
    <t>oto20227859.siswa@smkn12malang.sch.id</t>
  </si>
  <si>
    <t>oto20227865.alumni@smkn12malang.sch.id</t>
  </si>
  <si>
    <t>EsjJQ6pNnfN-</t>
  </si>
  <si>
    <t>oto20227865.siswa@smkn12malang.sch.id</t>
  </si>
  <si>
    <t>oto20227898.alumni@smkn12malang.sch.id</t>
  </si>
  <si>
    <t>3nA.$ZNEVqfh</t>
  </si>
  <si>
    <t>oto20227898.siswa@smkn12malang.sch.id</t>
  </si>
  <si>
    <t>oto20227920.alumni@smkn12malang.sch.id</t>
  </si>
  <si>
    <t>?+$]qn4[F^AL</t>
  </si>
  <si>
    <t>oto20227920.siswa@smkn12malang.sch.id</t>
  </si>
  <si>
    <t>oto20217307.alumni@smkn12malang.sch.id</t>
  </si>
  <si>
    <t>}xL7ytE)z=8G</t>
  </si>
  <si>
    <t>oto20217307.siswa@smkn12malang.sch.id</t>
  </si>
  <si>
    <t>oto20227958.alumni@smkn12malang.sch.id</t>
  </si>
  <si>
    <t>.b/E+7w/*Pgx</t>
  </si>
  <si>
    <t>oto20227958.siswa@smkn12malang.sch.id</t>
  </si>
  <si>
    <t>oto20227996.alumni@smkn12malang.sch.id</t>
  </si>
  <si>
    <t>YBct9@]/@m$s</t>
  </si>
  <si>
    <t>oto20227996.siswa@smkn12malang.sch.id</t>
  </si>
  <si>
    <t>oto20228004.alumni@smkn12malang.sch.id</t>
  </si>
  <si>
    <t>]?6*vr.(rshS</t>
  </si>
  <si>
    <t>oto20228004.siswa@smkn12malang.sch.id</t>
  </si>
  <si>
    <t>plg20227460.alumni@smkn12malang.sch.id</t>
  </si>
  <si>
    <t>5+B9HABc^eM!</t>
  </si>
  <si>
    <t>plg20227460.siswa@smkn12malang.sch.id</t>
  </si>
  <si>
    <t>PLG1</t>
  </si>
  <si>
    <t>plg20227472.alumni@smkn12malang.sch.id</t>
  </si>
  <si>
    <t>E?vBs+@Z4Uh%</t>
  </si>
  <si>
    <t>plg20227472.siswa@smkn12malang.sch.id</t>
  </si>
  <si>
    <t>plg20227492.alumni@smkn12malang.sch.id</t>
  </si>
  <si>
    <t>B7kB)tk2KgzX</t>
  </si>
  <si>
    <t>plg20227492.siswa@smkn12malang.sch.id</t>
  </si>
  <si>
    <t>plg20227493.alumni@smkn12malang.sch.id</t>
  </si>
  <si>
    <t>mKP@bzDz8{NF</t>
  </si>
  <si>
    <t>plg20227493.siswa@smkn12malang.sch.id</t>
  </si>
  <si>
    <t>plg20227498.alumni@smkn12malang.sch.id</t>
  </si>
  <si>
    <t>m@g)%=$U9Cz[</t>
  </si>
  <si>
    <t>plg20227498.siswa@smkn12malang.sch.id</t>
  </si>
  <si>
    <t>plg20227518.alumni@smkn12malang.sch.id</t>
  </si>
  <si>
    <t>D53tvXk&gt;Ds&gt;^</t>
  </si>
  <si>
    <t>plg20227518.siswa@smkn12malang.sch.id</t>
  </si>
  <si>
    <t>plg20227519.alumni@smkn12malang.sch.id</t>
  </si>
  <si>
    <t>%Vjb4)Fkg5.$</t>
  </si>
  <si>
    <t>plg20227519.siswa@smkn12malang.sch.id</t>
  </si>
  <si>
    <t>plg20227554.alumni@smkn12malang.sch.id</t>
  </si>
  <si>
    <t>.U%x}Ffh7u-a</t>
  </si>
  <si>
    <t>plg20227554.siswa@smkn12malang.sch.id</t>
  </si>
  <si>
    <t>plg20227575.alumni@smkn12malang.sch.id</t>
  </si>
  <si>
    <t>/bcD[5{s=A6S</t>
  </si>
  <si>
    <t>plg20227575.siswa@smkn12malang.sch.id</t>
  </si>
  <si>
    <t>plg20227608.alumni@smkn12malang.sch.id</t>
  </si>
  <si>
    <t>3L4{hLL3s?DY</t>
  </si>
  <si>
    <t>plg20227608.siswa@smkn12malang.sch.id</t>
  </si>
  <si>
    <t>plg20227622.alumni@smkn12malang.sch.id</t>
  </si>
  <si>
    <t>D3V_Et.n!R[c</t>
  </si>
  <si>
    <t>plg20227622.siswa@smkn12malang.sch.id</t>
  </si>
  <si>
    <t>plg20227654.alumni@smkn12malang.sch.id</t>
  </si>
  <si>
    <t>{/D_4Le+!njJ</t>
  </si>
  <si>
    <t>plg20227654.siswa@smkn12malang.sch.id</t>
  </si>
  <si>
    <t>plg20227655.alumni@smkn12malang.sch.id</t>
  </si>
  <si>
    <t>ZjY}Sy?mV428</t>
  </si>
  <si>
    <t>plg20227655.siswa@smkn12malang.sch.id</t>
  </si>
  <si>
    <t>plg20227670.alumni@smkn12malang.sch.id</t>
  </si>
  <si>
    <t>7tY9m%TD8eM4</t>
  </si>
  <si>
    <t>plg20227670.siswa@smkn12malang.sch.id</t>
  </si>
  <si>
    <t>plg20227710.alumni@smkn12malang.sch.id</t>
  </si>
  <si>
    <t>f3e$Y)/wR)m7</t>
  </si>
  <si>
    <t>plg20227710.siswa@smkn12malang.sch.id</t>
  </si>
  <si>
    <t>plg20227715.alumni@smkn12malang.sch.id</t>
  </si>
  <si>
    <t>7U*CVsX3$97W</t>
  </si>
  <si>
    <t>plg20227715.siswa@smkn12malang.sch.id</t>
  </si>
  <si>
    <t>plg20227742.alumni@smkn12malang.sch.id</t>
  </si>
  <si>
    <t>KV@5D[JC8bjB</t>
  </si>
  <si>
    <t>plg20227742.siswa@smkn12malang.sch.id</t>
  </si>
  <si>
    <t>plg20227766.alumni@smkn12malang.sch.id</t>
  </si>
  <si>
    <t>s^xd^5J7!^S8</t>
  </si>
  <si>
    <t>plg20227766.siswa@smkn12malang.sch.id</t>
  </si>
  <si>
    <t>plg20227781.alumni@smkn12malang.sch.id</t>
  </si>
  <si>
    <t>Y66%s-x&gt;ua?]</t>
  </si>
  <si>
    <t>plg20227781.siswa@smkn12malang.sch.id</t>
  </si>
  <si>
    <t>plg20227799.alumni@smkn12malang.sch.id</t>
  </si>
  <si>
    <t>Gt.22&gt;rrDqV(</t>
  </si>
  <si>
    <t>plg20227799.siswa@smkn12malang.sch.id</t>
  </si>
  <si>
    <t>plg20227802.alumni@smkn12malang.sch.id</t>
  </si>
  <si>
    <t>gKN7]{3kx5@q</t>
  </si>
  <si>
    <t>plg20227802.siswa@smkn12malang.sch.id</t>
  </si>
  <si>
    <t>plg20227830.alumni@smkn12malang.sch.id</t>
  </si>
  <si>
    <t>j&amp;Y2{53HUz2P</t>
  </si>
  <si>
    <t>plg20227830.siswa@smkn12malang.sch.id</t>
  </si>
  <si>
    <t>plg20227845.alumni@smkn12malang.sch.id</t>
  </si>
  <si>
    <t>W+Uv7.%n2p3w</t>
  </si>
  <si>
    <t>plg20227845.siswa@smkn12malang.sch.id</t>
  </si>
  <si>
    <t>plg20227855.alumni@smkn12malang.sch.id</t>
  </si>
  <si>
    <t>9F?6&gt;+@hLD4w</t>
  </si>
  <si>
    <t>plg20227855.siswa@smkn12malang.sch.id</t>
  </si>
  <si>
    <t>plg20227866.alumni@smkn12malang.sch.id</t>
  </si>
  <si>
    <t>fW@)%qf4hkh5</t>
  </si>
  <si>
    <t>plg20227866.siswa@smkn12malang.sch.id</t>
  </si>
  <si>
    <t>plg20227871.alumni@smkn12malang.sch.id</t>
  </si>
  <si>
    <t>Z2u[?&amp;/]2/Fd</t>
  </si>
  <si>
    <t>plg20227871.siswa@smkn12malang.sch.id</t>
  </si>
  <si>
    <t>plg20227876.alumni@smkn12malang.sch.id</t>
  </si>
  <si>
    <t>Jac9zT%)QxMy</t>
  </si>
  <si>
    <t>plg20227876.siswa@smkn12malang.sch.id</t>
  </si>
  <si>
    <t>plg20227879.alumni@smkn12malang.sch.id</t>
  </si>
  <si>
    <t>{}_&amp;9CuKu?+F</t>
  </si>
  <si>
    <t>plg20227879.siswa@smkn12malang.sch.id</t>
  </si>
  <si>
    <t>plg20227964.alumni@smkn12malang.sch.id</t>
  </si>
  <si>
    <t>=S7&gt;g4z+?$*X</t>
  </si>
  <si>
    <t>plg20227964.siswa@smkn12malang.sch.id</t>
  </si>
  <si>
    <t>plg20227968.alumni@smkn12malang.sch.id</t>
  </si>
  <si>
    <t>]8]WB?]mNmRW</t>
  </si>
  <si>
    <t>plg20227968.siswa@smkn12malang.sch.id</t>
  </si>
  <si>
    <t>plg20227975.alumni@smkn12malang.sch.id</t>
  </si>
  <si>
    <t>)WL)XR2R$d@r</t>
  </si>
  <si>
    <t>plg20227975.siswa@smkn12malang.sch.id</t>
  </si>
  <si>
    <t>plg20227976.alumni@smkn12malang.sch.id</t>
  </si>
  <si>
    <t>UX/3PsCbnneG</t>
  </si>
  <si>
    <t>plg20227976.siswa@smkn12malang.sch.id</t>
  </si>
  <si>
    <t>plg20227985.alumni@smkn12malang.sch.id</t>
  </si>
  <si>
    <t>]%Jf5%SA*/(r</t>
  </si>
  <si>
    <t>plg20227985.siswa@smkn12malang.sch.id</t>
  </si>
  <si>
    <t>plg20227988.alumni@smkn12malang.sch.id</t>
  </si>
  <si>
    <t>*)Ud^P*9@*xe</t>
  </si>
  <si>
    <t>plg20227988.siswa@smkn12malang.sch.id</t>
  </si>
  <si>
    <t>plg20228008.alumni@smkn12malang.sch.id</t>
  </si>
  <si>
    <t>]37Ck$dF+7az</t>
  </si>
  <si>
    <t>plg20228008.siswa@smkn12malang.sch.id</t>
  </si>
  <si>
    <t>plg20227469.alumni@smkn12malang.sch.id</t>
  </si>
  <si>
    <t>q&amp;fZ=$hg4Hfc</t>
  </si>
  <si>
    <t>plg20227469.siswa@smkn12malang.sch.id</t>
  </si>
  <si>
    <t>PLG2</t>
  </si>
  <si>
    <t>plg20227502.alumni@smkn12malang.sch.id</t>
  </si>
  <si>
    <t>7=cV}@}]xX/u</t>
  </si>
  <si>
    <t>plg20227502.siswa@smkn12malang.sch.id</t>
  </si>
  <si>
    <t>plg20227536.alumni@smkn12malang.sch.id</t>
  </si>
  <si>
    <t>vQ6=n3gC)-ug</t>
  </si>
  <si>
    <t>plg20227536.siswa@smkn12malang.sch.id</t>
  </si>
  <si>
    <t>plg20227549.alumni@smkn12malang.sch.id</t>
  </si>
  <si>
    <t>Nf88pakjk?%-</t>
  </si>
  <si>
    <t>plg20227549.siswa@smkn12malang.sch.id</t>
  </si>
  <si>
    <t>plg20227566.alumni@smkn12malang.sch.id</t>
  </si>
  <si>
    <t>=+mZGQtQ9qRBM</t>
  </si>
  <si>
    <t>plg20227566.siswa@smkn12malang.sch.id</t>
  </si>
  <si>
    <t>plg20227573.alumni@smkn12malang.sch.id</t>
  </si>
  <si>
    <t>2Fk5r9Mj.@**</t>
  </si>
  <si>
    <t>plg20227573.siswa@smkn12malang.sch.id</t>
  </si>
  <si>
    <t>plg20227582.alumni@smkn12malang.sch.id</t>
  </si>
  <si>
    <t>?s}3(6]-6Q45</t>
  </si>
  <si>
    <t>plg20227582.siswa@smkn12malang.sch.id</t>
  </si>
  <si>
    <t>plg20227597.alumni@smkn12malang.sch.id</t>
  </si>
  <si>
    <t>P8S@HEbkr)5w</t>
  </si>
  <si>
    <t>plg20227597.siswa@smkn12malang.sch.id</t>
  </si>
  <si>
    <t>plg20227610.alumni@smkn12malang.sch.id</t>
  </si>
  <si>
    <t>)F3U%LT$/DDf</t>
  </si>
  <si>
    <t>plg20227610.siswa@smkn12malang.sch.id</t>
  </si>
  <si>
    <t>plg20227635.alumni@smkn12malang.sch.id</t>
  </si>
  <si>
    <t>?9kwA*TJ.@jL</t>
  </si>
  <si>
    <t>plg20227635.siswa@smkn12malang.sch.id</t>
  </si>
  <si>
    <t>plg20227682.alumni@smkn12malang.sch.id</t>
  </si>
  <si>
    <t>}=x%SEq6&gt;BM6</t>
  </si>
  <si>
    <t>plg20227682.siswa@smkn12malang.sch.id</t>
  </si>
  <si>
    <t>plg20227693.alumni@smkn12malang.sch.id</t>
  </si>
  <si>
    <t>6mCyE[}RwV54</t>
  </si>
  <si>
    <t>plg20227693.siswa@smkn12malang.sch.id</t>
  </si>
  <si>
    <t>plg20227705.alumni@smkn12malang.sch.id</t>
  </si>
  <si>
    <t>LUa3W5DZ}M)a</t>
  </si>
  <si>
    <t>plg20227705.siswa@smkn12malang.sch.id</t>
  </si>
  <si>
    <t>plg20227728.alumni@smkn12malang.sch.id</t>
  </si>
  <si>
    <t>Gnz.L(BY5X}8</t>
  </si>
  <si>
    <t>plg20227728.siswa@smkn12malang.sch.id</t>
  </si>
  <si>
    <t>plg20227771.alumni@smkn12malang.sch.id</t>
  </si>
  <si>
    <t>f6rkxnc=!tJG</t>
  </si>
  <si>
    <t>plg20227771.siswa@smkn12malang.sch.id</t>
  </si>
  <si>
    <t>plg20227776.alumni@smkn12malang.sch.id</t>
  </si>
  <si>
    <t>pd2S&amp;M*Jyr9Q</t>
  </si>
  <si>
    <t>plg20227776.siswa@smkn12malang.sch.id</t>
  </si>
  <si>
    <t>plg20227792.alumni@smkn12malang.sch.id</t>
  </si>
  <si>
    <t>YaZfn3}tCq3(</t>
  </si>
  <si>
    <t>plg20227792.siswa@smkn12malang.sch.id</t>
  </si>
  <si>
    <t>plg20227821.alumni@smkn12malang.sch.id</t>
  </si>
  <si>
    <t>gn*8K!vPmEXg</t>
  </si>
  <si>
    <t>plg20227821.siswa@smkn12malang.sch.id</t>
  </si>
  <si>
    <t>plg20227833.alumni@smkn12malang.sch.id</t>
  </si>
  <si>
    <t>{CYfjhWE6tUT</t>
  </si>
  <si>
    <t>plg20227833.siswa@smkn12malang.sch.id</t>
  </si>
  <si>
    <t>plg20227836.alumni@smkn12malang.sch.id</t>
  </si>
  <si>
    <t>uLKm5VhJQ%F5</t>
  </si>
  <si>
    <t>plg20227836.siswa@smkn12malang.sch.id</t>
  </si>
  <si>
    <t>plg20227861.alumni@smkn12malang.sch.id</t>
  </si>
  <si>
    <t>At?g$!b!/m8?</t>
  </si>
  <si>
    <t>plg20227861.siswa@smkn12malang.sch.id</t>
  </si>
  <si>
    <t>plg20227884.alumni@smkn12malang.sch.id</t>
  </si>
  <si>
    <t>A@X@v^nb]G8}</t>
  </si>
  <si>
    <t>plg20227884.siswa@smkn12malang.sch.id</t>
  </si>
  <si>
    <t>plg20227905.alumni@smkn12malang.sch.id</t>
  </si>
  <si>
    <t>5dNJKw7_xS7t</t>
  </si>
  <si>
    <t>plg20227905.siswa@smkn12malang.sch.id</t>
  </si>
  <si>
    <t>plg20227909.alumni@smkn12malang.sch.id</t>
  </si>
  <si>
    <t>9[!J%%B&gt;_wTg</t>
  </si>
  <si>
    <t>plg20227909.siswa@smkn12malang.sch.id</t>
  </si>
  <si>
    <t>plg20227913.alumni@smkn12malang.sch.id</t>
  </si>
  <si>
    <t>h4S6*8!3z3Ee</t>
  </si>
  <si>
    <t>plg20227913.siswa@smkn12malang.sch.id</t>
  </si>
  <si>
    <t>plg20227915.alumni@smkn12malang.sch.id</t>
  </si>
  <si>
    <t>ehkCH4[?wLr/</t>
  </si>
  <si>
    <t>plg20227915.siswa@smkn12malang.sch.id</t>
  </si>
  <si>
    <t>plg20227918.alumni@smkn12malang.sch.id</t>
  </si>
  <si>
    <t>TXz%[gpTQ9C*</t>
  </si>
  <si>
    <t>plg20227918.siswa@smkn12malang.sch.id</t>
  </si>
  <si>
    <t>plg20227936.alumni@smkn12malang.sch.id</t>
  </si>
  <si>
    <t>![Frx6NJPekR</t>
  </si>
  <si>
    <t>plg20227936.siswa@smkn12malang.sch.id</t>
  </si>
  <si>
    <t>plg20227952.alumni@smkn12malang.sch.id</t>
  </si>
  <si>
    <t>U8G7/W8!X8vF</t>
  </si>
  <si>
    <t>plg20227952.siswa@smkn12malang.sch.id</t>
  </si>
  <si>
    <t>plg20227978.alumni@smkn12malang.sch.id</t>
  </si>
  <si>
    <t>)QW8m8Z9MLvR</t>
  </si>
  <si>
    <t>plg20227978.siswa@smkn12malang.sch.id</t>
  </si>
  <si>
    <t>plg20227991.alumni@smkn12malang.sch.id</t>
  </si>
  <si>
    <t>[xzKGM6&amp;cDBk</t>
  </si>
  <si>
    <t>plg20227991.siswa@smkn12malang.sch.id</t>
  </si>
  <si>
    <t>plg20227993.alumni@smkn12malang.sch.id</t>
  </si>
  <si>
    <t>rrC8sf&amp;bB?YE</t>
  </si>
  <si>
    <t>plg20227993.siswa@smkn12malang.sch.id</t>
  </si>
  <si>
    <t>plg20228001.alumni@smkn12malang.sch.id</t>
  </si>
  <si>
    <t>za^4)J??9cxM</t>
  </si>
  <si>
    <t>plg20228001.siswa@smkn12malang.sch.id</t>
  </si>
  <si>
    <t>plg20228009.alumni@smkn12malang.sch.id</t>
  </si>
  <si>
    <t>&gt;JN/W!yD8L)T</t>
  </si>
  <si>
    <t>plg20228009.siswa@smkn12malang.sch.id</t>
  </si>
  <si>
    <t>plg20228011.alumni@smkn12malang.sch.id</t>
  </si>
  <si>
    <t>*n-c7C}{sV^*</t>
  </si>
  <si>
    <t>plg20228011.siswa@smkn12malang.sch.id</t>
  </si>
  <si>
    <t>9*^pyqh8S7]r</t>
  </si>
  <si>
    <t>akl20248639.siswa@smkn12malang.sch.id</t>
  </si>
  <si>
    <t>akl20248650.siswa@smkn12malang.sch.id</t>
  </si>
  <si>
    <t>z$g/S5@U(.Mj</t>
  </si>
  <si>
    <t>akl20248675.siswa@smkn12malang.sch.id</t>
  </si>
  <si>
    <t>F?6/[3S3=4Jw</t>
  </si>
  <si>
    <t>akl20248693.siswa@smkn12malang.sch.id</t>
  </si>
  <si>
    <t>5GJ.K]_S[h!^</t>
  </si>
  <si>
    <t>akl20248707.siswa@smkn12malang.sch.id</t>
  </si>
  <si>
    <t>.juw3n]N^tZq</t>
  </si>
  <si>
    <t>akl20248714.siswa@smkn12malang.sch.id</t>
  </si>
  <si>
    <t>@GZG8C5{h)-(</t>
  </si>
  <si>
    <t>akl20248737.siswa@smkn12malang.sch.id</t>
  </si>
  <si>
    <t>X*{8+Ujb%J-L</t>
  </si>
  <si>
    <t>akl20248789.siswa@smkn12malang.sch.id</t>
  </si>
  <si>
    <t>}5e/Z]&amp;L$9.6</t>
  </si>
  <si>
    <t>akl20248813.siswa@smkn12malang.sch.id</t>
  </si>
  <si>
    <t>^M*y/?4gxDFs</t>
  </si>
  <si>
    <t>akl20248839.siswa@smkn12malang.sch.id</t>
  </si>
  <si>
    <t>jQv^sSBNeq23</t>
  </si>
  <si>
    <t>akl20248840.siswa@smkn12malang.sch.id</t>
  </si>
  <si>
    <t>ejWg}=&amp;-qXn9</t>
  </si>
  <si>
    <t>akl20248871.siswa@smkn12malang.sch.id</t>
  </si>
  <si>
    <t>g&amp;(ZK88pJ$xa</t>
  </si>
  <si>
    <t>akl20248872.siswa@smkn12malang.sch.id</t>
  </si>
  <si>
    <t>aPLjQXc)2q?v</t>
  </si>
  <si>
    <t>akl20248889.siswa@smkn12malang.sch.id</t>
  </si>
  <si>
    <t>8?NEW2Hd_FD[</t>
  </si>
  <si>
    <t>akl20248898.siswa@smkn12malang.sch.id</t>
  </si>
  <si>
    <t>=+]hv-6wv]RjJ</t>
  </si>
  <si>
    <t>akl20248899.siswa@smkn12malang.sch.id</t>
  </si>
  <si>
    <t>eYZ6+TsE*(th</t>
  </si>
  <si>
    <t>akl20248900.siswa@smkn12malang.sch.id</t>
  </si>
  <si>
    <t>d@(rnSW)7c=r</t>
  </si>
  <si>
    <t>akl20248905.siswa@smkn12malang.sch.id</t>
  </si>
  <si>
    <t>Q{}pG%fHzf5V</t>
  </si>
  <si>
    <t>akl20248916.siswa@smkn12malang.sch.id</t>
  </si>
  <si>
    <t>M8JHfPsL*&gt;U^</t>
  </si>
  <si>
    <t>akl20248949.siswa@smkn12malang.sch.id</t>
  </si>
  <si>
    <t>H_t)Jc*e2tuw</t>
  </si>
  <si>
    <t>akl20248955.siswa@smkn12malang.sch.id</t>
  </si>
  <si>
    <t>&gt;8*C4p5RPNN&amp;</t>
  </si>
  <si>
    <t>akl20249004.siswa@smkn12malang.sch.id</t>
  </si>
  <si>
    <t>b%DRm93CKTeB</t>
  </si>
  <si>
    <t>akl20249033.siswa@smkn12malang.sch.id</t>
  </si>
  <si>
    <t>&amp;m7k_^Jq5mGE</t>
  </si>
  <si>
    <t>akl20249040.siswa@smkn12malang.sch.id</t>
  </si>
  <si>
    <t>v5+&gt;y6R(-yb&amp;</t>
  </si>
  <si>
    <t>akl20249060.siswa@smkn12malang.sch.id</t>
  </si>
  <si>
    <t>W4f88J@$dDh^</t>
  </si>
  <si>
    <t>akl20249147.siswa@smkn12malang.sch.id</t>
  </si>
  <si>
    <t>N%Yeu+WUK8Y4</t>
  </si>
  <si>
    <t>akl20249159.siswa@smkn12malang.sch.id</t>
  </si>
  <si>
    <t>k-*&amp;hv*M/AC2</t>
  </si>
  <si>
    <t>akl20249168.siswa@smkn12malang.sch.id</t>
  </si>
  <si>
    <t>dZD@3y]8=]av</t>
  </si>
  <si>
    <t>akl20249176.siswa@smkn12malang.sch.id</t>
  </si>
  <si>
    <t>^F3Dp%Hp&gt;a]-</t>
  </si>
  <si>
    <t>akl20249181.siswa@smkn12malang.sch.id</t>
  </si>
  <si>
    <t>z3zhA@pAaLq3</t>
  </si>
  <si>
    <t>akl20249186.siswa@smkn12malang.sch.id</t>
  </si>
  <si>
    <t>^2^-3bE/Q/K8</t>
  </si>
  <si>
    <t>akl20249190.siswa@smkn12malang.sch.id</t>
  </si>
  <si>
    <t>{v=*}H_]4VrR</t>
  </si>
  <si>
    <t>akl20249197.siswa@smkn12malang.sch.id</t>
  </si>
  <si>
    <t>LNtD]g(&gt;7]Xg</t>
  </si>
  <si>
    <t>akl20249206.siswa@smkn12malang.sch.id</t>
  </si>
  <si>
    <t>k4^$V2m+Te97</t>
  </si>
  <si>
    <t>akl20249230.siswa@smkn12malang.sch.id</t>
  </si>
  <si>
    <t>8M3$(!UxJmZ6</t>
  </si>
  <si>
    <t>akl20249243.siswa@smkn12malang.sch.id</t>
  </si>
  <si>
    <t>5V[ca2axQvxW</t>
  </si>
  <si>
    <t>akl20248640.siswa@smkn12malang.sch.id</t>
  </si>
  <si>
    <t>Va@6_cAfQK(}</t>
  </si>
  <si>
    <t>akl20248661.siswa@smkn12malang.sch.id</t>
  </si>
  <si>
    <t>BXu4%jZSMK!6</t>
  </si>
  <si>
    <t>akl20248679.siswa@smkn12malang.sch.id</t>
  </si>
  <si>
    <t>C[*B32RnA!59</t>
  </si>
  <si>
    <t>akl20248685.siswa@smkn12malang.sch.id</t>
  </si>
  <si>
    <t>[7x-/ADR_-xb</t>
  </si>
  <si>
    <t>akl20248718.siswa@smkn12malang.sch.id</t>
  </si>
  <si>
    <t>u(KsK?{z7p?Y</t>
  </si>
  <si>
    <t>akl20248740.siswa@smkn12malang.sch.id</t>
  </si>
  <si>
    <t>x+vsL8AdmgD&amp;</t>
  </si>
  <si>
    <t>akl20248754.siswa@smkn12malang.sch.id</t>
  </si>
  <si>
    <t>nNN-2&gt;cS&amp;+W(</t>
  </si>
  <si>
    <t>akl20248763.siswa@smkn12malang.sch.id</t>
  </si>
  <si>
    <t>4F.38gdyP.nY</t>
  </si>
  <si>
    <t>akl20248767.siswa@smkn12malang.sch.id</t>
  </si>
  <si>
    <t>qty{VSpZw6A^</t>
  </si>
  <si>
    <t>akl20248771.siswa@smkn12malang.sch.id</t>
  </si>
  <si>
    <t>v3ncH_!Yx.Gy</t>
  </si>
  <si>
    <t>akl20248783.siswa@smkn12malang.sch.id</t>
  </si>
  <si>
    <t>-6k!PCbaMc$}</t>
  </si>
  <si>
    <t>akl20248784.siswa@smkn12malang.sch.id</t>
  </si>
  <si>
    <t>5=qQeJ8Uy.J(</t>
  </si>
  <si>
    <t>akl20248791.siswa@smkn12malang.sch.id</t>
  </si>
  <si>
    <t>E7mEeT=fybkm</t>
  </si>
  <si>
    <t>akl20248803.siswa@smkn12malang.sch.id</t>
  </si>
  <si>
    <t>g8-jQNabe?TA</t>
  </si>
  <si>
    <t>akl20248804.siswa@smkn12malang.sch.id</t>
  </si>
  <si>
    <t>}C{V5tzwmaK5</t>
  </si>
  <si>
    <t>akl20248822.siswa@smkn12malang.sch.id</t>
  </si>
  <si>
    <t>7$[!&gt;wT[!2}-</t>
  </si>
  <si>
    <t>akl20248876.siswa@smkn12malang.sch.id</t>
  </si>
  <si>
    <t>^M.x{w}Qq8r@</t>
  </si>
  <si>
    <t>akl20248892.siswa@smkn12malang.sch.id</t>
  </si>
  <si>
    <t>c4v6G&amp;}PEZF*</t>
  </si>
  <si>
    <t>akl20248912.siswa@smkn12malang.sch.id</t>
  </si>
  <si>
    <t>{MF7%k+Xp_MQ</t>
  </si>
  <si>
    <t>akl20248913.siswa@smkn12malang.sch.id</t>
  </si>
  <si>
    <t>Vr-688Y)&amp;*yq</t>
  </si>
  <si>
    <t>akl20248928.siswa@smkn12malang.sch.id</t>
  </si>
  <si>
    <t>(v/Jw6vzJBa+</t>
  </si>
  <si>
    <t>akl20248931.siswa@smkn12malang.sch.id</t>
  </si>
  <si>
    <t>?uUfzNs7QYwu</t>
  </si>
  <si>
    <t>akl20248938.siswa@smkn12malang.sch.id</t>
  </si>
  <si>
    <t>(yDr&amp;U_?2vbN</t>
  </si>
  <si>
    <t>akl20249019.siswa@smkn12malang.sch.id</t>
  </si>
  <si>
    <t>z2SPHG/4b$zN</t>
  </si>
  <si>
    <t>akl20249036.siswa@smkn12malang.sch.id</t>
  </si>
  <si>
    <t>g3t2jVa2^eqM</t>
  </si>
  <si>
    <t>akl20249077.siswa@smkn12malang.sch.id</t>
  </si>
  <si>
    <t>.k7aF6Ye6uW2</t>
  </si>
  <si>
    <t>akl20249094.siswa@smkn12malang.sch.id</t>
  </si>
  <si>
    <t>(F7mXP]LGpF-</t>
  </si>
  <si>
    <t>akl20249123.siswa@smkn12malang.sch.id</t>
  </si>
  <si>
    <t>9afd(ygqyK9G</t>
  </si>
  <si>
    <t>akl20249133.siswa@smkn12malang.sch.id</t>
  </si>
  <si>
    <t>_Mf8@t.[yvL*</t>
  </si>
  <si>
    <t>akl20249135.siswa@smkn12malang.sch.id</t>
  </si>
  <si>
    <t>6T@uNbReG5/M</t>
  </si>
  <si>
    <t>akl20249173.siswa@smkn12malang.sch.id</t>
  </si>
  <si>
    <t>}hfkG8_h*)9s</t>
  </si>
  <si>
    <t>akl20249179.siswa@smkn12malang.sch.id</t>
  </si>
  <si>
    <t>8h^QLZP5UGR/</t>
  </si>
  <si>
    <t>akl20249185.siswa@smkn12malang.sch.id</t>
  </si>
  <si>
    <t>U9QrvY/g(4Sf</t>
  </si>
  <si>
    <t>akl20249205.siswa@smkn12malang.sch.id</t>
  </si>
  <si>
    <t>XaFBZG@n4mAG</t>
  </si>
  <si>
    <t>akl20249209.siswa@smkn12malang.sch.id</t>
  </si>
  <si>
    <t>N?&amp;Cs{HM6$zA</t>
  </si>
  <si>
    <t>akl20249219.siswa@smkn12malang.sch.id</t>
  </si>
  <si>
    <t>azq@8U!2wDZ.</t>
  </si>
  <si>
    <t>akl20248654.siswa@smkn12malang.sch.id</t>
  </si>
  <si>
    <t>Wcaermfh4*^U</t>
  </si>
  <si>
    <t>akl20248692.siswa@smkn12malang.sch.id</t>
  </si>
  <si>
    <t>9Q2V{f52MGP{</t>
  </si>
  <si>
    <t>akl20248694.siswa@smkn12malang.sch.id</t>
  </si>
  <si>
    <t>Tw%ae^M6xdZ&gt;</t>
  </si>
  <si>
    <t>akl20248709.siswa@smkn12malang.sch.id</t>
  </si>
  <si>
    <t>KF^fqde}7w9$</t>
  </si>
  <si>
    <t>akl20248734.siswa@smkn12malang.sch.id</t>
  </si>
  <si>
    <t>*A%hVu+.}Z=2</t>
  </si>
  <si>
    <t>akl20248807.siswa@smkn12malang.sch.id</t>
  </si>
  <si>
    <t>4q$t+6g7&amp;M/j</t>
  </si>
  <si>
    <t>akl20248808.siswa@smkn12malang.sch.id</t>
  </si>
  <si>
    <t>&gt;=9UN(e{y)z8</t>
  </si>
  <si>
    <t>akl20248816.siswa@smkn12malang.sch.id</t>
  </si>
  <si>
    <t>uAy(pt(7Kc!C</t>
  </si>
  <si>
    <t>akl20248817.siswa@smkn12malang.sch.id</t>
  </si>
  <si>
    <t>=@V+N/C8e6q7</t>
  </si>
  <si>
    <t>akl20248821.siswa@smkn12malang.sch.id</t>
  </si>
  <si>
    <t>w_9FhtsN68wt</t>
  </si>
  <si>
    <t>akl20248838.siswa@smkn12malang.sch.id</t>
  </si>
  <si>
    <t>[zY4-Fmm&amp;be[</t>
  </si>
  <si>
    <t>akl20248848.siswa@smkn12malang.sch.id</t>
  </si>
  <si>
    <t>?7!4*Lsr+@*5</t>
  </si>
  <si>
    <t>akl20248849.siswa@smkn12malang.sch.id</t>
  </si>
  <si>
    <t>R&amp;ZB@Ck2Xep7</t>
  </si>
  <si>
    <t>akl20248852.siswa@smkn12malang.sch.id</t>
  </si>
  <si>
    <t>x5jxAs=9j]f4</t>
  </si>
  <si>
    <t>akl20248853.siswa@smkn12malang.sch.id</t>
  </si>
  <si>
    <t>9/?tszADNEuj</t>
  </si>
  <si>
    <t>akl20248861.siswa@smkn12malang.sch.id</t>
  </si>
  <si>
    <t>xjrQ@PVW5!bm</t>
  </si>
  <si>
    <t>akl20248869.siswa@smkn12malang.sch.id</t>
  </si>
  <si>
    <t>WN34H__DtsWF</t>
  </si>
  <si>
    <t>akl20248891.siswa@smkn12malang.sch.id</t>
  </si>
  <si>
    <t>A^_acYjR3.^6</t>
  </si>
  <si>
    <t>akl20248906.siswa@smkn12malang.sch.id</t>
  </si>
  <si>
    <t>e@_c9$Y=]&amp;C^</t>
  </si>
  <si>
    <t>akl20248936.siswa@smkn12malang.sch.id</t>
  </si>
  <si>
    <t>Ev&gt;Q/ZL$&gt;AN8</t>
  </si>
  <si>
    <t>akl20248965.siswa@smkn12malang.sch.id</t>
  </si>
  <si>
    <t>y649swduZR/7</t>
  </si>
  <si>
    <t>akl20248968.siswa@smkn12malang.sch.id</t>
  </si>
  <si>
    <t>@JKB=nDrVDj5</t>
  </si>
  <si>
    <t>akl20249021.siswa@smkn12malang.sch.id</t>
  </si>
  <si>
    <t>}X}w3qx4bx8H</t>
  </si>
  <si>
    <t>akl20249047.siswa@smkn12malang.sch.id</t>
  </si>
  <si>
    <t>JKjkr-y5BHPf</t>
  </si>
  <si>
    <t>akl20249050.siswa@smkn12malang.sch.id</t>
  </si>
  <si>
    <t>x$J6^n4DadE7</t>
  </si>
  <si>
    <t>akl20249053.siswa@smkn12malang.sch.id</t>
  </si>
  <si>
    <t>WzebYaja$6$9</t>
  </si>
  <si>
    <t>akl20249068.siswa@smkn12malang.sch.id</t>
  </si>
  <si>
    <t>QYD?V&gt;4Hc+7g</t>
  </si>
  <si>
    <t>akl20249074.siswa@smkn12malang.sch.id</t>
  </si>
  <si>
    <t>bE4_DdG[YL%^</t>
  </si>
  <si>
    <t>akl20249081.siswa@smkn12malang.sch.id</t>
  </si>
  <si>
    <t>3MM-(ALc}H!u</t>
  </si>
  <si>
    <t>akl20249082.siswa@smkn12malang.sch.id</t>
  </si>
  <si>
    <t>c38Y(g-We&amp;Ts</t>
  </si>
  <si>
    <t>akl20249087.siswa@smkn12malang.sch.id</t>
  </si>
  <si>
    <t>UTXh-w(j*5LR</t>
  </si>
  <si>
    <t>akl20249136.siswa@smkn12malang.sch.id</t>
  </si>
  <si>
    <t>2X!&gt;-/(TKc7?</t>
  </si>
  <si>
    <t>akl20249151.siswa@smkn12malang.sch.id</t>
  </si>
  <si>
    <t>3vPZT..RS4Jw</t>
  </si>
  <si>
    <t>akl20249175.siswa@smkn12malang.sch.id</t>
  </si>
  <si>
    <t>%-mhKNm5=fVz</t>
  </si>
  <si>
    <t>akl20249178.siswa@smkn12malang.sch.id</t>
  </si>
  <si>
    <t>%a63$huf.vQ%</t>
  </si>
  <si>
    <t>akl20249217.siswa@smkn12malang.sch.id</t>
  </si>
  <si>
    <t>84M7bA%{AkZ?</t>
  </si>
  <si>
    <t>akl20248651.siswa@smkn12malang.sch.id</t>
  </si>
  <si>
    <t>(P55(Ydda-MZ</t>
  </si>
  <si>
    <t>akl20248699.siswa@smkn12malang.sch.id</t>
  </si>
  <si>
    <t>/TgB8ppvtx7Z</t>
  </si>
  <si>
    <t>akl20248706.siswa@smkn12malang.sch.id</t>
  </si>
  <si>
    <t>zz_$H9g8/B9(</t>
  </si>
  <si>
    <t>akl20248710.siswa@smkn12malang.sch.id</t>
  </si>
  <si>
    <t>r{Xa+QGR4mW6</t>
  </si>
  <si>
    <t>akl20248724.siswa@smkn12malang.sch.id</t>
  </si>
  <si>
    <t>tGWNhg@8MM5n</t>
  </si>
  <si>
    <t>akl20248727.siswa@smkn12malang.sch.id</t>
  </si>
  <si>
    <t>h=/u&gt;@t8ae=M</t>
  </si>
  <si>
    <t>akl20248731.siswa@smkn12malang.sch.id</t>
  </si>
  <si>
    <t>VE{v]N%6qzUj</t>
  </si>
  <si>
    <t>akl20248774.siswa@smkn12malang.sch.id</t>
  </si>
  <si>
    <t>{eDKyb2-92S{</t>
  </si>
  <si>
    <t>akl20248815.siswa@smkn12malang.sch.id</t>
  </si>
  <si>
    <t>s8X2d=9Lg?(-</t>
  </si>
  <si>
    <t>akl20248870.siswa@smkn12malang.sch.id</t>
  </si>
  <si>
    <t>(aRh$$NN][y8</t>
  </si>
  <si>
    <t>akl20248904.siswa@smkn12malang.sch.id</t>
  </si>
  <si>
    <t>d_)bGQ*xN?2!</t>
  </si>
  <si>
    <t>akl20248922.siswa@smkn12malang.sch.id</t>
  </si>
  <si>
    <t>X)[D-(LWd8Wj</t>
  </si>
  <si>
    <t>akl20248923.siswa@smkn12malang.sch.id</t>
  </si>
  <si>
    <t>4U_qLhh&amp;wdr5</t>
  </si>
  <si>
    <t>akl20248929.siswa@smkn12malang.sch.id</t>
  </si>
  <si>
    <t>9vjuBEV*my[-</t>
  </si>
  <si>
    <t>akl20248930.siswa@smkn12malang.sch.id</t>
  </si>
  <si>
    <t>e+nqMe9_9=/T</t>
  </si>
  <si>
    <t>akl20248950.siswa@smkn12malang.sch.id</t>
  </si>
  <si>
    <t>DMx4cg=bk@eq</t>
  </si>
  <si>
    <t>akl20248967.siswa@smkn12malang.sch.id</t>
  </si>
  <si>
    <t>J9XX8B6X%n/}</t>
  </si>
  <si>
    <t>akl20248977.siswa@smkn12malang.sch.id</t>
  </si>
  <si>
    <t>AFC(BU3q(Xxt</t>
  </si>
  <si>
    <t>akl20249032.siswa@smkn12malang.sch.id</t>
  </si>
  <si>
    <t>=+7z8EG9uvF6Y</t>
  </si>
  <si>
    <t>akl20249067.siswa@smkn12malang.sch.id</t>
  </si>
  <si>
    <t>/c^aY63[D&gt;nk</t>
  </si>
  <si>
    <t>akl20249073.siswa@smkn12malang.sch.id</t>
  </si>
  <si>
    <t>Rggkzh2BxV3.</t>
  </si>
  <si>
    <t>akl20249080.siswa@smkn12malang.sch.id</t>
  </si>
  <si>
    <t>B?t^w?4{4E_q</t>
  </si>
  <si>
    <t>akl20249086.siswa@smkn12malang.sch.id</t>
  </si>
  <si>
    <t>6P&gt;qmhKM_n*m</t>
  </si>
  <si>
    <t>akl20249093.siswa@smkn12malang.sch.id</t>
  </si>
  <si>
    <t>HJm9S[4?P[h7</t>
  </si>
  <si>
    <t>akl20249107.siswa@smkn12malang.sch.id</t>
  </si>
  <si>
    <t>y*7$!$GLLNr7</t>
  </si>
  <si>
    <t>akl20249132.siswa@smkn12malang.sch.id</t>
  </si>
  <si>
    <t>bYs]2Y++4(%9</t>
  </si>
  <si>
    <t>akl20249154.siswa@smkn12malang.sch.id</t>
  </si>
  <si>
    <t>d&amp;?E9@xj)/5m</t>
  </si>
  <si>
    <t>akl20249155.siswa@smkn12malang.sch.id</t>
  </si>
  <si>
    <t>t]NU5UZ-TEQR</t>
  </si>
  <si>
    <t>akl20249167.siswa@smkn12malang.sch.id</t>
  </si>
  <si>
    <t>$M4(r@@U46aM</t>
  </si>
  <si>
    <t>akl20249169.siswa@smkn12malang.sch.id</t>
  </si>
  <si>
    <t>-$yT3tJ$Q@Lk</t>
  </si>
  <si>
    <t>akl20249174.siswa@smkn12malang.sch.id</t>
  </si>
  <si>
    <t>QpDcBqx-sGF6</t>
  </si>
  <si>
    <t>akl20249194.siswa@smkn12malang.sch.id</t>
  </si>
  <si>
    <t>K.FbDpVvf2==</t>
  </si>
  <si>
    <t>akl20249199.siswa@smkn12malang.sch.id</t>
  </si>
  <si>
    <t>3n*kPfz*vAWL</t>
  </si>
  <si>
    <t>akl20249211.siswa@smkn12malang.sch.id</t>
  </si>
  <si>
    <t>)8Gez69r?Uqt</t>
  </si>
  <si>
    <t>akl20249229.siswa@smkn12malang.sch.id</t>
  </si>
  <si>
    <t>}8&amp;F6Q5bK?D{</t>
  </si>
  <si>
    <t>akl20249238.siswa@smkn12malang.sch.id</t>
  </si>
  <si>
    <t>33fZxW8j!e8S</t>
  </si>
  <si>
    <t>$bqHYe6c</t>
  </si>
  <si>
    <t>202025</t>
  </si>
  <si>
    <t>AKN1</t>
  </si>
  <si>
    <t>(rCRzRb6</t>
  </si>
  <si>
    <t>h2wk@Dte</t>
  </si>
  <si>
    <t>#B528Ym3</t>
  </si>
  <si>
    <t>(Gp62L8W</t>
  </si>
  <si>
    <t>eB4&amp;7bwg</t>
  </si>
  <si>
    <t>nUyH7HT)</t>
  </si>
  <si>
    <t>yS@8keFf</t>
  </si>
  <si>
    <t>(GXLc7ns</t>
  </si>
  <si>
    <t>xLfg9bX$</t>
  </si>
  <si>
    <t>S#c4SwCA</t>
  </si>
  <si>
    <t>7hgkL@Mg</t>
  </si>
  <si>
    <t>Q9k_uEuc</t>
  </si>
  <si>
    <t>px9_FpYY</t>
  </si>
  <si>
    <t>Hmh9TWp$</t>
  </si>
  <si>
    <t>7yag%MSD</t>
  </si>
  <si>
    <t>4Ed&amp;hmV7</t>
  </si>
  <si>
    <t>D6J9$9Ub</t>
  </si>
  <si>
    <t>x9ZV$SVz</t>
  </si>
  <si>
    <t>kERFN6Y_</t>
  </si>
  <si>
    <t>Q@Lf4bwS</t>
  </si>
  <si>
    <t>4m%29JTN</t>
  </si>
  <si>
    <t>ME3@HzYs</t>
  </si>
  <si>
    <t>MnZf_4AV</t>
  </si>
  <si>
    <t>rsgfB7R(</t>
  </si>
  <si>
    <t>n#3rvt6G</t>
  </si>
  <si>
    <t>d%8E5gCV</t>
  </si>
  <si>
    <t>zP#AaG5Q</t>
  </si>
  <si>
    <t>WB8hnLs$</t>
  </si>
  <si>
    <t>WADx3@pP</t>
  </si>
  <si>
    <t>2cHQ#Wwh</t>
  </si>
  <si>
    <t>Ea3K&amp;jGg</t>
  </si>
  <si>
    <t>KZcT_n8M</t>
  </si>
  <si>
    <t>VQb3X$KG</t>
  </si>
  <si>
    <t>g_9a8fsV</t>
  </si>
  <si>
    <t>KCL)YZ6f</t>
  </si>
  <si>
    <t>8Ssf5LF@</t>
  </si>
  <si>
    <t>AKN2</t>
  </si>
  <si>
    <t>@RykdhA4</t>
  </si>
  <si>
    <t>wSE4)vxR</t>
  </si>
  <si>
    <t>s7tgDjK)</t>
  </si>
  <si>
    <t>h4fP&amp;cFN</t>
  </si>
  <si>
    <t>9HqZmaS%</t>
  </si>
  <si>
    <t>7k_cx6Cg</t>
  </si>
  <si>
    <t>hEk84jh_</t>
  </si>
  <si>
    <t>jh6Mfyf$</t>
  </si>
  <si>
    <t>SvMu8Xg@</t>
  </si>
  <si>
    <t>WyE9dyr%</t>
  </si>
  <si>
    <t>PD7FEz#9</t>
  </si>
  <si>
    <t>4a$zCJx2</t>
  </si>
  <si>
    <t>5)3CxXSm</t>
  </si>
  <si>
    <t>yt_Qz87e</t>
  </si>
  <si>
    <t>my54p)Nv</t>
  </si>
  <si>
    <t>%X9eZW65</t>
  </si>
  <si>
    <t>5AXbvdT#</t>
  </si>
  <si>
    <t>4NEFY(Cw</t>
  </si>
  <si>
    <t>@uW7dYZ2</t>
  </si>
  <si>
    <t>)Y6fuWJG</t>
  </si>
  <si>
    <t>q2qpT6%S</t>
  </si>
  <si>
    <t>taEn6#vV</t>
  </si>
  <si>
    <t>bMXULw6$</t>
  </si>
  <si>
    <t>NT99$aDV</t>
  </si>
  <si>
    <t>Q4(MwGNT</t>
  </si>
  <si>
    <t>5UyNs%Du</t>
  </si>
  <si>
    <t>VVZb8ZM#</t>
  </si>
  <si>
    <t>VbGQgv7$</t>
  </si>
  <si>
    <t>N3eT%wyB</t>
  </si>
  <si>
    <t>4EsaYW_h</t>
  </si>
  <si>
    <t>GJm7rJ#b</t>
  </si>
  <si>
    <t>U@YgaP3E</t>
  </si>
  <si>
    <t>6MnR#4Yv</t>
  </si>
  <si>
    <t>sY_bFXT6</t>
  </si>
  <si>
    <t>tY9j2#PK</t>
  </si>
  <si>
    <t>$7bw8D4s</t>
  </si>
  <si>
    <t>AKN3</t>
  </si>
  <si>
    <t>db5Mh(9Q</t>
  </si>
  <si>
    <t>xG(uJBe7</t>
  </si>
  <si>
    <t>Dbn)8xnA</t>
  </si>
  <si>
    <t>h437@QZj</t>
  </si>
  <si>
    <t>kn6VS@j9</t>
  </si>
  <si>
    <t>YUpHb&amp;5u</t>
  </si>
  <si>
    <t>2JrH#wrF</t>
  </si>
  <si>
    <t>h87EA)SA</t>
  </si>
  <si>
    <t>A33Wv&amp;Ld</t>
  </si>
  <si>
    <t>5wx&amp;hjJv</t>
  </si>
  <si>
    <t>3D5(kUrK</t>
  </si>
  <si>
    <t>2QFFZ$Zn</t>
  </si>
  <si>
    <t>2M6Npa#X</t>
  </si>
  <si>
    <t>%Huv8vnt</t>
  </si>
  <si>
    <t>dw&amp;6wUR7</t>
  </si>
  <si>
    <t>z%asK8VP</t>
  </si>
  <si>
    <t>y2vK&amp;Hdv</t>
  </si>
  <si>
    <t>mL_Kzda3</t>
  </si>
  <si>
    <t>B5kGKrR(</t>
  </si>
  <si>
    <t>3mR)EM88</t>
  </si>
  <si>
    <t>h_MEj6eu</t>
  </si>
  <si>
    <t>6eug#qAA</t>
  </si>
  <si>
    <t>pP689@aE</t>
  </si>
  <si>
    <t>gty&amp;qUT8</t>
  </si>
  <si>
    <t>7&amp;n2Wb8g</t>
  </si>
  <si>
    <t>6U_j4m8y</t>
  </si>
  <si>
    <t>pQ4(VMrX</t>
  </si>
  <si>
    <t>%8YA98wx</t>
  </si>
  <si>
    <t>#K32mp3s</t>
  </si>
  <si>
    <t>WQjVP(E6</t>
  </si>
  <si>
    <t>(jFD4pX5</t>
  </si>
  <si>
    <t>%8vDSRKB</t>
  </si>
  <si>
    <t>3$NwSfdy</t>
  </si>
  <si>
    <t>wHP4)2cT</t>
  </si>
  <si>
    <t>kVmB(T2y</t>
  </si>
  <si>
    <t>3p#fHT9N</t>
  </si>
  <si>
    <t>AKN4</t>
  </si>
  <si>
    <t>DAnh&amp;H5D</t>
  </si>
  <si>
    <t>Qy2XR@5H</t>
  </si>
  <si>
    <t>jJMq@Q34</t>
  </si>
  <si>
    <t>DV%VX8rD</t>
  </si>
  <si>
    <t>C5vVwu@D</t>
  </si>
  <si>
    <t>mZ)uU95V</t>
  </si>
  <si>
    <t>b3atxz)F</t>
  </si>
  <si>
    <t>X$PDvU8M</t>
  </si>
  <si>
    <t>rB%Fm98s</t>
  </si>
  <si>
    <t>s5Vv_CzJ</t>
  </si>
  <si>
    <t>yMAhp9_8</t>
  </si>
  <si>
    <t>DMdh8v@F</t>
  </si>
  <si>
    <t>E#gneY2w</t>
  </si>
  <si>
    <t>4nJ5v%Qw</t>
  </si>
  <si>
    <t>Z8RM#azy</t>
  </si>
  <si>
    <t>Xc5$atTc</t>
  </si>
  <si>
    <t>4@LtMBLQ</t>
  </si>
  <si>
    <t>gFd2CmL%</t>
  </si>
  <si>
    <t>D3uvhE_w</t>
  </si>
  <si>
    <t>kK@3AZhs</t>
  </si>
  <si>
    <t>8&amp;NDUTyL</t>
  </si>
  <si>
    <t>LPS)XHa7</t>
  </si>
  <si>
    <t>7x5$BRGn</t>
  </si>
  <si>
    <t>xS$3VwH6</t>
  </si>
  <si>
    <t>jvEMXc3(</t>
  </si>
  <si>
    <t>6)5AhPtc</t>
  </si>
  <si>
    <t>@eg5K8eU</t>
  </si>
  <si>
    <t>#B5pM85x</t>
  </si>
  <si>
    <t>bn$Y6sU8</t>
  </si>
  <si>
    <t>7y77a$Pe</t>
  </si>
  <si>
    <t>HZ(D3Ys3</t>
  </si>
  <si>
    <t>@L2wuCSv</t>
  </si>
  <si>
    <t>fvr&amp;CRg7</t>
  </si>
  <si>
    <t>T(5u8BGH</t>
  </si>
  <si>
    <t>#v8AAqhd</t>
  </si>
  <si>
    <t>bcf20248678.siswa@smkn12malang.sch.id</t>
  </si>
  <si>
    <t>Suv%?]P6s9vr</t>
  </si>
  <si>
    <t>bcf20248705.siswa@smkn12malang.sch.id</t>
  </si>
  <si>
    <t>}d_9eGX.^QX?</t>
  </si>
  <si>
    <t>bcf20248711.siswa@smkn12malang.sch.id</t>
  </si>
  <si>
    <t>P@dK3pN6spjU</t>
  </si>
  <si>
    <t>bcf20248721.siswa@smkn12malang.sch.id</t>
  </si>
  <si>
    <t>Ur_63F%9^ULL</t>
  </si>
  <si>
    <t>bcf20248732.siswa@smkn12malang.sch.id</t>
  </si>
  <si>
    <t>&gt;?)49B{Z}qZD</t>
  </si>
  <si>
    <t>bcf20248738.siswa@smkn12malang.sch.id</t>
  </si>
  <si>
    <t>L/K[MnRV}(7/</t>
  </si>
  <si>
    <t>bcf20248775.siswa@smkn12malang.sch.id</t>
  </si>
  <si>
    <t>=2&amp;UK]uzu/?U</t>
  </si>
  <si>
    <t>bcf20248776.siswa@smkn12malang.sch.id</t>
  </si>
  <si>
    <t>8T5J2Up-nwYZ</t>
  </si>
  <si>
    <t>bcf20248786.siswa@smkn12malang.sch.id</t>
  </si>
  <si>
    <t>@qWzt86tbf.v</t>
  </si>
  <si>
    <t>bcf20248790.siswa@smkn12malang.sch.id</t>
  </si>
  <si>
    <t>Lgaf%US)@2_L</t>
  </si>
  <si>
    <t>bcf20248795.siswa@smkn12malang.sch.id</t>
  </si>
  <si>
    <t>yx}=.YX*8zX7</t>
  </si>
  <si>
    <t>bcf20248811.siswa@smkn12malang.sch.id</t>
  </si>
  <si>
    <t>zdY.=96SpgU=</t>
  </si>
  <si>
    <t>bcf20248820.siswa@smkn12malang.sch.id</t>
  </si>
  <si>
    <t>H[M6g&gt;y*uqdt</t>
  </si>
  <si>
    <t>bcf20248842.siswa@smkn12malang.sch.id</t>
  </si>
  <si>
    <t>]=vY]By+LNJ2</t>
  </si>
  <si>
    <t>bcf20248846.siswa@smkn12malang.sch.id</t>
  </si>
  <si>
    <t>9CE{_6{QWq{J</t>
  </si>
  <si>
    <t>bcf20248850.siswa@smkn12malang.sch.id</t>
  </si>
  <si>
    <t>gS9.Y!.sUv3[</t>
  </si>
  <si>
    <t>bcf20248953.siswa@smkn12malang.sch.id</t>
  </si>
  <si>
    <t>83+6--gz@@GE</t>
  </si>
  <si>
    <t>bcf20248960.siswa@smkn12malang.sch.id</t>
  </si>
  <si>
    <t>y[9Rx=vT{AN[</t>
  </si>
  <si>
    <t>bcf20249008.siswa@smkn12malang.sch.id</t>
  </si>
  <si>
    <t>@7+zks&amp;z5xYD</t>
  </si>
  <si>
    <t>bcf20249034.siswa@smkn12malang.sch.id</t>
  </si>
  <si>
    <t>*vmgu&gt;=gh6CK</t>
  </si>
  <si>
    <t>bcf20249039.siswa@smkn12malang.sch.id</t>
  </si>
  <si>
    <t>$pn+r4X^W%{E</t>
  </si>
  <si>
    <t>bcf20249049.siswa@smkn12malang.sch.id</t>
  </si>
  <si>
    <t>^d/p/7/TAgX@</t>
  </si>
  <si>
    <t>bcf20249069.siswa@smkn12malang.sch.id</t>
  </si>
  <si>
    <t>A_7h[TJHhwwe</t>
  </si>
  <si>
    <t>bcf20249095.siswa@smkn12malang.sch.id</t>
  </si>
  <si>
    <t>=&gt;Dt_]U(/B*8</t>
  </si>
  <si>
    <t>bcf20249112.siswa@smkn12malang.sch.id</t>
  </si>
  <si>
    <t>aw[xy?Rg6&amp;fh</t>
  </si>
  <si>
    <t>bcf20249124.siswa@smkn12malang.sch.id</t>
  </si>
  <si>
    <t>/ArW=!4zKNph</t>
  </si>
  <si>
    <t>bcf20249193.siswa@smkn12malang.sch.id</t>
  </si>
  <si>
    <t>mec.q/hDDr&gt;7</t>
  </si>
  <si>
    <t>bcf20249198.siswa@smkn12malang.sch.id</t>
  </si>
  <si>
    <t>&gt;2*wS*Fprvv^</t>
  </si>
  <si>
    <t>bcf20249202.siswa@smkn12malang.sch.id</t>
  </si>
  <si>
    <t>%GEm*AN!3CcY</t>
  </si>
  <si>
    <t>bcf20249225.siswa@smkn12malang.sch.id</t>
  </si>
  <si>
    <t>YrQekJ5L3]{h</t>
  </si>
  <si>
    <t>bcf20249236.siswa@smkn12malang.sch.id</t>
  </si>
  <si>
    <t>3e+FQtPLgwQ7</t>
  </si>
  <si>
    <t>bcf20249241.siswa@smkn12malang.sch.id</t>
  </si>
  <si>
    <t>^%DT-y_a5$Eq</t>
  </si>
  <si>
    <t>TY(g5UgE</t>
  </si>
  <si>
    <t>mCW#h6ey</t>
  </si>
  <si>
    <t>zS&amp;m7wJr</t>
  </si>
  <si>
    <t>J)x4jSed</t>
  </si>
  <si>
    <t>M#5FE23j</t>
  </si>
  <si>
    <t>KhA#3bzq</t>
  </si>
  <si>
    <t>hrdk$r3F</t>
  </si>
  <si>
    <t>Etnf52R(</t>
  </si>
  <si>
    <t>uZAvv)g9</t>
  </si>
  <si>
    <t>ct9@pCjH</t>
  </si>
  <si>
    <t>&amp;nZ8hwKA</t>
  </si>
  <si>
    <t>mGDSW8$z</t>
  </si>
  <si>
    <t>pUmq&amp;Jc4</t>
  </si>
  <si>
    <t>NkBRTP7%</t>
  </si>
  <si>
    <t>t)XZY3Pq</t>
  </si>
  <si>
    <t>YV@kkXL4</t>
  </si>
  <si>
    <t>vjFRV73%</t>
  </si>
  <si>
    <t>naE9fG&amp;E</t>
  </si>
  <si>
    <t>j_muT5kq</t>
  </si>
  <si>
    <t>BhjY8g7(</t>
  </si>
  <si>
    <t>e3R_B7Rr</t>
  </si>
  <si>
    <t>4Ltp(t5a</t>
  </si>
  <si>
    <t>72k)wmRN</t>
  </si>
  <si>
    <t>urCCd4)h</t>
  </si>
  <si>
    <t>x5rY)fTQ</t>
  </si>
  <si>
    <t>dMpRu6U$</t>
  </si>
  <si>
    <t>pXuLR_A9</t>
  </si>
  <si>
    <t>Q_n4XCj2</t>
  </si>
  <si>
    <t>$dFny6MB</t>
  </si>
  <si>
    <t>zm3zJ&amp;PQ</t>
  </si>
  <si>
    <t>9VvAww)E</t>
  </si>
  <si>
    <t>cy(V6gqP</t>
  </si>
  <si>
    <t>nEE4GV&amp;x</t>
  </si>
  <si>
    <t>MdfvTm%2</t>
  </si>
  <si>
    <t>f9&amp;zXRQL</t>
  </si>
  <si>
    <t>TLLd3D@7</t>
  </si>
  <si>
    <t>dkv20248652.siswa@smkn12malang.sch.id</t>
  </si>
  <si>
    <t>CJdmsj)x3?=h</t>
  </si>
  <si>
    <t>dkv20248676.siswa@smkn12malang.sch.id</t>
  </si>
  <si>
    <t>S&gt;[8YU)S&gt;WsM</t>
  </si>
  <si>
    <t>dkv20248708.siswa@smkn12malang.sch.id</t>
  </si>
  <si>
    <t>NZxLm8qz/rmq</t>
  </si>
  <si>
    <t>dkv20248729.siswa@smkn12malang.sch.id</t>
  </si>
  <si>
    <t>]hDD%QW5KCMe</t>
  </si>
  <si>
    <t>dkv20248736.siswa@smkn12malang.sch.id</t>
  </si>
  <si>
    <t>r%9$)aSh3cx2</t>
  </si>
  <si>
    <t>dkv20248745.siswa@smkn12malang.sch.id</t>
  </si>
  <si>
    <t>bD(.6tT]@Hug</t>
  </si>
  <si>
    <t>dkv20248756.siswa@smkn12malang.sch.id</t>
  </si>
  <si>
    <t>&amp;M{/Bw5aLtyh</t>
  </si>
  <si>
    <t>dkv20248766.siswa@smkn12malang.sch.id</t>
  </si>
  <si>
    <t>&gt;jk=UR^9z@jj</t>
  </si>
  <si>
    <t>dkv20248788.siswa@smkn12malang.sch.id</t>
  </si>
  <si>
    <t>{LKq/JX&amp;3HYu</t>
  </si>
  <si>
    <t>dkv20248798.siswa@smkn12malang.sch.id</t>
  </si>
  <si>
    <t>*ygJcUG@W974</t>
  </si>
  <si>
    <t>dkv20248828.siswa@smkn12malang.sch.id</t>
  </si>
  <si>
    <t>P+z3[WPvbmpM</t>
  </si>
  <si>
    <t>dkv20248866.siswa@smkn12malang.sch.id</t>
  </si>
  <si>
    <t>PM&amp;7gfmWBtrg</t>
  </si>
  <si>
    <t>dkv20248893.siswa@smkn12malang.sch.id</t>
  </si>
  <si>
    <t>[_pND}RnTy2(</t>
  </si>
  <si>
    <t>dkv20248897.siswa@smkn12malang.sch.id</t>
  </si>
  <si>
    <t>K_Zrb6@Aywwj</t>
  </si>
  <si>
    <t>dkv20248908.siswa@smkn12malang.sch.id</t>
  </si>
  <si>
    <t>KV{Qz7D%M9tn</t>
  </si>
  <si>
    <t>dkv20248911.siswa@smkn12malang.sch.id</t>
  </si>
  <si>
    <t>zZ%6bx+)49RL</t>
  </si>
  <si>
    <t>dkv20248932.siswa@smkn12malang.sch.id</t>
  </si>
  <si>
    <t>tqwcb}Cg^7w&gt;</t>
  </si>
  <si>
    <t>dkv20248948.siswa@smkn12malang.sch.id</t>
  </si>
  <si>
    <t>V2{eaxd{G!tC</t>
  </si>
  <si>
    <t>dkv20248954.siswa@smkn12malang.sch.id</t>
  </si>
  <si>
    <t>m(4C67&amp;tbhtk</t>
  </si>
  <si>
    <t>dkv20248964.siswa@smkn12malang.sch.id</t>
  </si>
  <si>
    <t>!dufEJhM!^U2</t>
  </si>
  <si>
    <t>dkv20249016.siswa@smkn12malang.sch.id</t>
  </si>
  <si>
    <t>W)&amp;Mn4&gt;3NymN</t>
  </si>
  <si>
    <t>dkv20249041.siswa@smkn12malang.sch.id</t>
  </si>
  <si>
    <t>c!BfpaH6Pfh&amp;</t>
  </si>
  <si>
    <t>dkv20249052.siswa@smkn12malang.sch.id</t>
  </si>
  <si>
    <t>Q2]Ma]y93^Dy</t>
  </si>
  <si>
    <t>dkv20249062.siswa@smkn12malang.sch.id</t>
  </si>
  <si>
    <t>zp3/ER}xu)E5</t>
  </si>
  <si>
    <t>dkv20249070.siswa@smkn12malang.sch.id</t>
  </si>
  <si>
    <t>=+Mz8T!bfu-XF</t>
  </si>
  <si>
    <t>dkv20249075.siswa@smkn12malang.sch.id</t>
  </si>
  <si>
    <t>Lmg3A+!6X@Gu</t>
  </si>
  <si>
    <t>dkv20249084.siswa@smkn12malang.sch.id</t>
  </si>
  <si>
    <t>xFL]./z3&gt;v{N</t>
  </si>
  <si>
    <t>dkv20249105.siswa@smkn12malang.sch.id</t>
  </si>
  <si>
    <t>sC9Zcxw3EC]5</t>
  </si>
  <si>
    <t>dkv20249126.siswa@smkn12malang.sch.id</t>
  </si>
  <si>
    <t>$cg7t&gt;M8+[}P</t>
  </si>
  <si>
    <t>dkv20249130.siswa@smkn12malang.sch.id</t>
  </si>
  <si>
    <t>@/br4)]Zf&amp;^T</t>
  </si>
  <si>
    <t>dkv20249153.siswa@smkn12malang.sch.id</t>
  </si>
  <si>
    <t>(^J3fM^tjD68</t>
  </si>
  <si>
    <t>dkv20249161.siswa@smkn12malang.sch.id</t>
  </si>
  <si>
    <t>).m)2!QZ$Fec</t>
  </si>
  <si>
    <t>dkv20249171.siswa@smkn12malang.sch.id</t>
  </si>
  <si>
    <t>2b+Y-@5@f4pG</t>
  </si>
  <si>
    <t>dkv20249182.siswa@smkn12malang.sch.id</t>
  </si>
  <si>
    <t>xD7{)%N7t)n/</t>
  </si>
  <si>
    <t>dkv20249201.siswa@smkn12malang.sch.id</t>
  </si>
  <si>
    <t>y^=U@$6c?5{b</t>
  </si>
  <si>
    <t>dkv20249232.siswa@smkn12malang.sch.id</t>
  </si>
  <si>
    <t>p&amp;s&amp;QN5[3WD4</t>
  </si>
  <si>
    <t>G7JEs&amp;Kv</t>
  </si>
  <si>
    <t>&amp;BwLmm4q</t>
  </si>
  <si>
    <t>$Y6vtVZ4</t>
  </si>
  <si>
    <t>$DxBp3Lw</t>
  </si>
  <si>
    <t>7ym9eyZ@</t>
  </si>
  <si>
    <t>wC8@kcRs</t>
  </si>
  <si>
    <t>dFxVG9P#</t>
  </si>
  <si>
    <t>5WP@e7jF</t>
  </si>
  <si>
    <t>aRK#s68n</t>
  </si>
  <si>
    <t>2w4WQkc(</t>
  </si>
  <si>
    <t>Z5DzbhZ(</t>
  </si>
  <si>
    <t>v7dvSw3#</t>
  </si>
  <si>
    <t>3cyRFdr@</t>
  </si>
  <si>
    <t>cs7j%3GA</t>
  </si>
  <si>
    <t>2heZbM)v</t>
  </si>
  <si>
    <t>J&amp;Xpzh7z</t>
  </si>
  <si>
    <t>xqC@c9CZ</t>
  </si>
  <si>
    <t>qT(T9Brv</t>
  </si>
  <si>
    <t>KQE7_zfg</t>
  </si>
  <si>
    <t>Q$dAt7Qg</t>
  </si>
  <si>
    <t>zVhBf6T(</t>
  </si>
  <si>
    <t>)znYSP6g</t>
  </si>
  <si>
    <t>2C@n6CLz</t>
  </si>
  <si>
    <t>S4#j7PrS</t>
  </si>
  <si>
    <t>e8bC(C4X</t>
  </si>
  <si>
    <t>6DFPd5_E</t>
  </si>
  <si>
    <t>)S9y5Y7A</t>
  </si>
  <si>
    <t>Qq6r&amp;43S</t>
  </si>
  <si>
    <t>)YYdYQS4</t>
  </si>
  <si>
    <t>Fhf4MqZ)</t>
  </si>
  <si>
    <t>F)Vfdr4W</t>
  </si>
  <si>
    <t>NgaF@q7W</t>
  </si>
  <si>
    <t>6)Y6rz53</t>
  </si>
  <si>
    <t>TXt7MX_S</t>
  </si>
  <si>
    <t>Yh_Chu5G</t>
  </si>
  <si>
    <t>cMkpk9_U</t>
  </si>
  <si>
    <t>dkv20248659.siswa@smkn12malang.sch.id</t>
  </si>
  <si>
    <t>ETfGd_qSfS4Y</t>
  </si>
  <si>
    <t>dkv20248688.siswa@smkn12malang.sch.id</t>
  </si>
  <si>
    <t>JWTJghLR9SX^</t>
  </si>
  <si>
    <t>dkv20248726.siswa@smkn12malang.sch.id</t>
  </si>
  <si>
    <t>Ad&gt;67faAxycx</t>
  </si>
  <si>
    <t>dkv20248730.siswa@smkn12malang.sch.id</t>
  </si>
  <si>
    <t>{EuE9+*-R_+C</t>
  </si>
  <si>
    <t>dkv20248739.siswa@smkn12malang.sch.id</t>
  </si>
  <si>
    <t>unSsL9&gt;/@3y&gt;</t>
  </si>
  <si>
    <t>dkv20248755.siswa@smkn12malang.sch.id</t>
  </si>
  <si>
    <t>=+vf)h&amp;zMn9(9</t>
  </si>
  <si>
    <t>dkv20248765.siswa@smkn12malang.sch.id</t>
  </si>
  <si>
    <t>pnTGu(E9t?wr</t>
  </si>
  <si>
    <t>dkv20248770.siswa@smkn12malang.sch.id</t>
  </si>
  <si>
    <t>7&amp;RbYEBHBL*j</t>
  </si>
  <si>
    <t>dkv20248794.siswa@smkn12malang.sch.id</t>
  </si>
  <si>
    <t>V@7hRLyW{/nb</t>
  </si>
  <si>
    <t>dkv20248812.siswa@smkn12malang.sch.id</t>
  </si>
  <si>
    <t>==Y/7=kk/}xH</t>
  </si>
  <si>
    <t>dkv20248833.siswa@smkn12malang.sch.id</t>
  </si>
  <si>
    <t>U*GXwFe[F83?</t>
  </si>
  <si>
    <t>dkv20248873.siswa@smkn12malang.sch.id</t>
  </si>
  <si>
    <t>NDntM]$7N8Hx</t>
  </si>
  <si>
    <t>dkv20248894.siswa@smkn12malang.sch.id</t>
  </si>
  <si>
    <t>cbTT6{7dXf4T</t>
  </si>
  <si>
    <t>dkv20248901.siswa@smkn12malang.sch.id</t>
  </si>
  <si>
    <t>$kAg74mN]=pT</t>
  </si>
  <si>
    <t>dkv20248909.siswa@smkn12malang.sch.id</t>
  </si>
  <si>
    <t>LsnLTGvfRS4_</t>
  </si>
  <si>
    <t>dkv20248918.siswa@smkn12malang.sch.id</t>
  </si>
  <si>
    <t>s.}Ru]r}(h)9</t>
  </si>
  <si>
    <t>dkv20248939.siswa@smkn12malang.sch.id</t>
  </si>
  <si>
    <t>NTB2eXfhK@R]</t>
  </si>
  <si>
    <t>dkv20248951.siswa@smkn12malang.sch.id</t>
  </si>
  <si>
    <t>)@68M.m$6(dJ</t>
  </si>
  <si>
    <t>dkv20248961.siswa@smkn12malang.sch.id</t>
  </si>
  <si>
    <t>}y?hv$hn8QSu</t>
  </si>
  <si>
    <t>dkv20249024.siswa@smkn12malang.sch.id</t>
  </si>
  <si>
    <t>stR^b7(Zf.Zg</t>
  </si>
  <si>
    <t>dkv20249051.siswa@smkn12malang.sch.id</t>
  </si>
  <si>
    <t>L([^pqj6^DS4</t>
  </si>
  <si>
    <t>dkv20249057.siswa@smkn12malang.sch.id</t>
  </si>
  <si>
    <t>fm2q^LBW-8cN</t>
  </si>
  <si>
    <t>dkv20249064.siswa@smkn12malang.sch.id</t>
  </si>
  <si>
    <t>UGUqd3rYXs]G</t>
  </si>
  <si>
    <t>dkv20249072.siswa@smkn12malang.sch.id</t>
  </si>
  <si>
    <t>w7qx@%!f9YLG</t>
  </si>
  <si>
    <t>dkv20249076.siswa@smkn12malang.sch.id</t>
  </si>
  <si>
    <t>CK{]Ez(=(+@8</t>
  </si>
  <si>
    <t>dkv20249097.siswa@smkn12malang.sch.id</t>
  </si>
  <si>
    <t>7ds@bV(cz5.R</t>
  </si>
  <si>
    <t>dkv20249117.siswa@smkn12malang.sch.id</t>
  </si>
  <si>
    <t>f5$9JE.mWWR7</t>
  </si>
  <si>
    <t>dkv20249127.siswa@smkn12malang.sch.id</t>
  </si>
  <si>
    <t>{p/(m[+rY2LE</t>
  </si>
  <si>
    <t>dkv20249134.siswa@smkn12malang.sch.id</t>
  </si>
  <si>
    <t>ueE8sfHC-p&amp;_</t>
  </si>
  <si>
    <t>dkv20249157.siswa@smkn12malang.sch.id</t>
  </si>
  <si>
    <t>b$LNsEm%K=8-</t>
  </si>
  <si>
    <t>dkv20249170.siswa@smkn12malang.sch.id</t>
  </si>
  <si>
    <t>79Y5T{rmUh%D</t>
  </si>
  <si>
    <t>dkv20249180.siswa@smkn12malang.sch.id</t>
  </si>
  <si>
    <t>c^fJMncw@ah9</t>
  </si>
  <si>
    <t>dkv20249183.siswa@smkn12malang.sch.id</t>
  </si>
  <si>
    <t>an&gt;GC7TQU&gt;v.</t>
  </si>
  <si>
    <t>dkv20249215.siswa@smkn12malang.sch.id</t>
  </si>
  <si>
    <t>3}^+qfKADn4X</t>
  </si>
  <si>
    <t>dkv20249235.siswa@smkn12malang.sch.id</t>
  </si>
  <si>
    <t>PBnMC%hpb+]2</t>
  </si>
  <si>
    <t>jkt20248638.siswa@smkn12malang.sch.id</t>
  </si>
  <si>
    <t>j=*]*DqR{6ja</t>
  </si>
  <si>
    <t>jkt20248662.siswa@smkn12malang.sch.id</t>
  </si>
  <si>
    <t>74BZ[y/g4snw</t>
  </si>
  <si>
    <t>jkt20248681.siswa@smkn12malang.sch.id</t>
  </si>
  <si>
    <t>Lx3znZdMP}sL</t>
  </si>
  <si>
    <t>jkt20248687.siswa@smkn12malang.sch.id</t>
  </si>
  <si>
    <t>}89nWD_5fL7t</t>
  </si>
  <si>
    <t>jkt20248744.siswa@smkn12malang.sch.id</t>
  </si>
  <si>
    <t>aTKy8u}?zLWg</t>
  </si>
  <si>
    <t>jkt20248768.siswa@smkn12malang.sch.id</t>
  </si>
  <si>
    <t>j5xWBD.2v?jN</t>
  </si>
  <si>
    <t>jkt20248796.siswa@smkn12malang.sch.id</t>
  </si>
  <si>
    <t>5h!9Rn=hPG.!</t>
  </si>
  <si>
    <t>jkt20248802.siswa@smkn12malang.sch.id</t>
  </si>
  <si>
    <t>L.HH/3mV_b@j</t>
  </si>
  <si>
    <t>jkt20248819.siswa@smkn12malang.sch.id</t>
  </si>
  <si>
    <t>(*xNS=@%LGM6</t>
  </si>
  <si>
    <t>jkt20248831.siswa@smkn12malang.sch.id</t>
  </si>
  <si>
    <t>sWaDS2S2%97!</t>
  </si>
  <si>
    <t>jkt20248857.siswa@smkn12malang.sch.id</t>
  </si>
  <si>
    <t>vG]k@tq84&amp;Cw</t>
  </si>
  <si>
    <t>jkt20248882.siswa@smkn12malang.sch.id</t>
  </si>
  <si>
    <t>^MKvkc)zk7E7</t>
  </si>
  <si>
    <t>jkt20248903.siswa@smkn12malang.sch.id</t>
  </si>
  <si>
    <t>)zbtqC&gt;yZMc7</t>
  </si>
  <si>
    <t>jkt20248924.siswa@smkn12malang.sch.id</t>
  </si>
  <si>
    <t>gE$z&gt;G7K^%=h</t>
  </si>
  <si>
    <t>jkt20248943.siswa@smkn12malang.sch.id</t>
  </si>
  <si>
    <t>(85*x[[V}wRD</t>
  </si>
  <si>
    <t>jkt20248957.siswa@smkn12malang.sch.id</t>
  </si>
  <si>
    <t>22z5W9u)7C$E</t>
  </si>
  <si>
    <t>jkt20248970.siswa@smkn12malang.sch.id</t>
  </si>
  <si>
    <t>Xr5hn4_YE!rt</t>
  </si>
  <si>
    <t>jkt20248985.siswa@smkn12malang.sch.id</t>
  </si>
  <si>
    <t>r?dn(+6^%Knn</t>
  </si>
  <si>
    <t>jkt20248992.siswa@smkn12malang.sch.id</t>
  </si>
  <si>
    <t>$2qCsYqzD%&gt;f</t>
  </si>
  <si>
    <t>jkt20248996.siswa@smkn12malang.sch.id</t>
  </si>
  <si>
    <t>PEv4.$Nj%z+E</t>
  </si>
  <si>
    <t>jkt20249017.siswa@smkn12malang.sch.id</t>
  </si>
  <si>
    <t>4Er-Vs{z@vPn</t>
  </si>
  <si>
    <t>jkt20249026.siswa@smkn12malang.sch.id</t>
  </si>
  <si>
    <t>t6DA@Ke&gt;*j7F</t>
  </si>
  <si>
    <t>jkt20249038.siswa@smkn12malang.sch.id</t>
  </si>
  <si>
    <t>y?j&amp;3)-!WDH(</t>
  </si>
  <si>
    <t>jkt20249044.siswa@smkn12malang.sch.id</t>
  </si>
  <si>
    <t>}s?z5BXtb!(2</t>
  </si>
  <si>
    <t>jkt20249101.siswa@smkn12malang.sch.id</t>
  </si>
  <si>
    <t>^EZtr.ft@82q</t>
  </si>
  <si>
    <t>jkt20249118.siswa@smkn12malang.sch.id</t>
  </si>
  <si>
    <t>W?rk%w)86g]?</t>
  </si>
  <si>
    <t>jkt20249141.siswa@smkn12malang.sch.id</t>
  </si>
  <si>
    <t>ZTybCT4$=w5P</t>
  </si>
  <si>
    <t>jkt20249146.siswa@smkn12malang.sch.id</t>
  </si>
  <si>
    <t>gqB.g(yh&gt;+7*</t>
  </si>
  <si>
    <t>jkt20249156.siswa@smkn12malang.sch.id</t>
  </si>
  <si>
    <t>*Zf6%6mSQkBE</t>
  </si>
  <si>
    <t>jkt20249165.siswa@smkn12malang.sch.id</t>
  </si>
  <si>
    <t>KKURwh(6h99x</t>
  </si>
  <si>
    <t>jkt20249192.siswa@smkn12malang.sch.id</t>
  </si>
  <si>
    <t>LW^]hpKxZ6F?</t>
  </si>
  <si>
    <t>jkt20249203.siswa@smkn12malang.sch.id</t>
  </si>
  <si>
    <t>x3wAr9SsZMk=</t>
  </si>
  <si>
    <t>jkt20249214.siswa@smkn12malang.sch.id</t>
  </si>
  <si>
    <t>Tc983J&amp;kHArw</t>
  </si>
  <si>
    <t>jkt20249227.siswa@smkn12malang.sch.id</t>
  </si>
  <si>
    <t>vemVD)bq6V*.</t>
  </si>
  <si>
    <t>jkt20248658.siswa@smkn12malang.sch.id</t>
  </si>
  <si>
    <t>-Cz)f3=Fruqb</t>
  </si>
  <si>
    <t>jkt20248673.siswa@smkn12malang.sch.id</t>
  </si>
  <si>
    <t>TgEG}{^36fmB</t>
  </si>
  <si>
    <t>jkt20248683.siswa@smkn12malang.sch.id</t>
  </si>
  <si>
    <t>gRJq@b.T/9(t</t>
  </si>
  <si>
    <t>jkt20248717.siswa@smkn12malang.sch.id</t>
  </si>
  <si>
    <t>zh.Y6(@@f}fL</t>
  </si>
  <si>
    <t>jkt20248750.siswa@smkn12malang.sch.id</t>
  </si>
  <si>
    <t>c&amp;]tz5A*DCVc</t>
  </si>
  <si>
    <t>jkt20248785.siswa@smkn12malang.sch.id</t>
  </si>
  <si>
    <t>*&gt;mHN&amp;UX9&amp;K$</t>
  </si>
  <si>
    <t>jkt20248801.siswa@smkn12malang.sch.id</t>
  </si>
  <si>
    <t>9+%CNWLyLsZH</t>
  </si>
  <si>
    <t>jkt20248814.siswa@smkn12malang.sch.id</t>
  </si>
  <si>
    <t>w+594${Du!!r</t>
  </si>
  <si>
    <t>jkt20248827.siswa@smkn12malang.sch.id</t>
  </si>
  <si>
    <t>hkuXk%$7pxEZ</t>
  </si>
  <si>
    <t>jkt20248856.siswa@smkn12malang.sch.id</t>
  </si>
  <si>
    <t>cA]e_7B}=AHn</t>
  </si>
  <si>
    <t>jkt20248863.siswa@smkn12malang.sch.id</t>
  </si>
  <si>
    <t>[A2/tay!t(zx</t>
  </si>
  <si>
    <t>jkt20248884.siswa@smkn12malang.sch.id</t>
  </si>
  <si>
    <t>LT$jCnU!k$u8</t>
  </si>
  <si>
    <t>jkt20248915.siswa@smkn12malang.sch.id</t>
  </si>
  <si>
    <t>.H9_Vv-.WZPX</t>
  </si>
  <si>
    <t>jkt20248921.siswa@smkn12malang.sch.id</t>
  </si>
  <si>
    <t>-Uge4jR&gt;S{z%</t>
  </si>
  <si>
    <t>jkt20248933.siswa@smkn12malang.sch.id</t>
  </si>
  <si>
    <t>V(j=9?^L8!ag</t>
  </si>
  <si>
    <t>jkt20248945.siswa@smkn12malang.sch.id</t>
  </si>
  <si>
    <t>g$-He=m/4M3b</t>
  </si>
  <si>
    <t>jkt20248958.siswa@smkn12malang.sch.id</t>
  </si>
  <si>
    <t>?/mu.Ft7$(5p</t>
  </si>
  <si>
    <t>jkt20248976.siswa@smkn12malang.sch.id</t>
  </si>
  <si>
    <t>-!-BedeEH6cr</t>
  </si>
  <si>
    <t>jkt20248982.siswa@smkn12malang.sch.id</t>
  </si>
  <si>
    <t>b5.?VHKpz7%x</t>
  </si>
  <si>
    <t>jkt20248988.siswa@smkn12malang.sch.id</t>
  </si>
  <si>
    <t>E9QazNF.JYzW</t>
  </si>
  <si>
    <t>jkt20248995.siswa@smkn12malang.sch.id</t>
  </si>
  <si>
    <t>&amp;V3/C?x!..Wc</t>
  </si>
  <si>
    <t>jkt20249006.siswa@smkn12malang.sch.id</t>
  </si>
  <si>
    <t>V2n@T=!se)_!</t>
  </si>
  <si>
    <t>jkt20249023.siswa@smkn12malang.sch.id</t>
  </si>
  <si>
    <t>@R2s-sdrLV%@</t>
  </si>
  <si>
    <t>jkt20249037.siswa@smkn12malang.sch.id</t>
  </si>
  <si>
    <t>_@z7h-?w=gQJ</t>
  </si>
  <si>
    <t>jkt20249043.siswa@smkn12malang.sch.id</t>
  </si>
  <si>
    <t>]hZHB3.aRbeA</t>
  </si>
  <si>
    <t>jkt20249061.siswa@smkn12malang.sch.id</t>
  </si>
  <si>
    <t>cZh5s]+WZ7BC</t>
  </si>
  <si>
    <t>jkt20249114.siswa@smkn12malang.sch.id</t>
  </si>
  <si>
    <t>{S3)EM&gt;3eRpJ</t>
  </si>
  <si>
    <t>jkt20249128.siswa@smkn12malang.sch.id</t>
  </si>
  <si>
    <t>YqkrBM{JB*X2</t>
  </si>
  <si>
    <t>jkt20249148.siswa@smkn12malang.sch.id</t>
  </si>
  <si>
    <t>7uQxqF(Ym(b{</t>
  </si>
  <si>
    <t>jkt20249164.siswa@smkn12malang.sch.id</t>
  </si>
  <si>
    <t>M()ZnN7u[$ja</t>
  </si>
  <si>
    <t>jkt20249189.siswa@smkn12malang.sch.id</t>
  </si>
  <si>
    <t>-D?*9$U9?4Ts</t>
  </si>
  <si>
    <t>jkt20249196.siswa@smkn12malang.sch.id</t>
  </si>
  <si>
    <t>eay6r8_LVw-6</t>
  </si>
  <si>
    <t>jkt20249204.siswa@smkn12malang.sch.id</t>
  </si>
  <si>
    <t>.hHJN4BX--C3</t>
  </si>
  <si>
    <t>jkt20249224.siswa@smkn12malang.sch.id</t>
  </si>
  <si>
    <t>w9wEV&amp;N-CVt7</t>
  </si>
  <si>
    <t>3qpp5Q_w</t>
  </si>
  <si>
    <t>j64Tn@cq</t>
  </si>
  <si>
    <t>E5aAVjm#</t>
  </si>
  <si>
    <t>pF6)Uh7H</t>
  </si>
  <si>
    <t>$Dt9UESm</t>
  </si>
  <si>
    <t>umM%3aVG</t>
  </si>
  <si>
    <t>axVmd2$w</t>
  </si>
  <si>
    <t>2&amp;cQ5Wjp</t>
  </si>
  <si>
    <t>wWyRZ6G)</t>
  </si>
  <si>
    <t>gf6kcy)M</t>
  </si>
  <si>
    <t>H#Yhgg7C</t>
  </si>
  <si>
    <t>y2#42zbB</t>
  </si>
  <si>
    <t>esf_w4EU</t>
  </si>
  <si>
    <t>twag#9Y7</t>
  </si>
  <si>
    <t>_hgKw97M</t>
  </si>
  <si>
    <t>DE7Dv)UC</t>
  </si>
  <si>
    <t>Uuh4@ERd</t>
  </si>
  <si>
    <t>mTZXz@5c</t>
  </si>
  <si>
    <t>f8)BqtAx</t>
  </si>
  <si>
    <t>Um9Wmy)6</t>
  </si>
  <si>
    <t>hmR5bqG@</t>
  </si>
  <si>
    <t>9$BpRJGv</t>
  </si>
  <si>
    <t>9CvPTV$V</t>
  </si>
  <si>
    <t>B%qv2Gvz</t>
  </si>
  <si>
    <t>yJpy%v5Y</t>
  </si>
  <si>
    <t>Sw#N8FEs</t>
  </si>
  <si>
    <t>n4D(vta5</t>
  </si>
  <si>
    <t>W#NmySy7</t>
  </si>
  <si>
    <t>Cwvw3&amp;g6</t>
  </si>
  <si>
    <t>xa8Y@vzj</t>
  </si>
  <si>
    <t>3yMa(dyu</t>
  </si>
  <si>
    <t>N2xn_aFf</t>
  </si>
  <si>
    <t>a4k4#Kgj</t>
  </si>
  <si>
    <t>@v6akzJZ</t>
  </si>
  <si>
    <t>kfVF5c&amp;S</t>
  </si>
  <si>
    <t>9AL#j2Cw</t>
  </si>
  <si>
    <t>klr20248657.siswa@smkn12malang.sch.id</t>
  </si>
  <si>
    <t>H3Mt@6n$R/F5</t>
  </si>
  <si>
    <t>klr20248660.siswa@smkn12malang.sch.id</t>
  </si>
  <si>
    <t>/&gt;J6eM8[x2Jx</t>
  </si>
  <si>
    <t>klr20248674.siswa@smkn12malang.sch.id</t>
  </si>
  <si>
    <t>@kPrNK7^R^bz</t>
  </si>
  <si>
    <t>klr20248704.siswa@smkn12malang.sch.id</t>
  </si>
  <si>
    <t>WW9Hh^NL!aEt</t>
  </si>
  <si>
    <t>klr20248712.siswa@smkn12malang.sch.id</t>
  </si>
  <si>
    <t>EY6u9aXpy@Gr</t>
  </si>
  <si>
    <t>klr20248713.siswa@smkn12malang.sch.id</t>
  </si>
  <si>
    <t>kNWfhE%}A4B^</t>
  </si>
  <si>
    <t>klr20248715.siswa@smkn12malang.sch.id</t>
  </si>
  <si>
    <t>pHU4f[gsSYt&gt;</t>
  </si>
  <si>
    <t>klr20248733.siswa@smkn12malang.sch.id</t>
  </si>
  <si>
    <t>xUG&amp;-M^=8S$?</t>
  </si>
  <si>
    <t>klr20248741.siswa@smkn12malang.sch.id</t>
  </si>
  <si>
    <t>S*_KL!3@$wtm</t>
  </si>
  <si>
    <t>klr20248769.siswa@smkn12malang.sch.id</t>
  </si>
  <si>
    <t>AjNFfWY/2Ekj</t>
  </si>
  <si>
    <t>klr20248787.siswa@smkn12malang.sch.id</t>
  </si>
  <si>
    <t>892a4Hc[_7D]</t>
  </si>
  <si>
    <t>klr20248810.siswa@smkn12malang.sch.id</t>
  </si>
  <si>
    <t>DW6ESg@aUq4@</t>
  </si>
  <si>
    <t>klr20248818.siswa@smkn12malang.sch.id</t>
  </si>
  <si>
    <t>58ax4+uZ@ma!</t>
  </si>
  <si>
    <t>klr20248851.siswa@smkn12malang.sch.id</t>
  </si>
  <si>
    <t>)_VP7j8WZ4@L</t>
  </si>
  <si>
    <t>klr20248862.siswa@smkn12malang.sch.id</t>
  </si>
  <si>
    <t>KcvE276njMd&amp;</t>
  </si>
  <si>
    <t>klr20248868.siswa@smkn12malang.sch.id</t>
  </si>
  <si>
    <t>WL)8x&amp;Km*bd/</t>
  </si>
  <si>
    <t>klr20248907.siswa@smkn12malang.sch.id</t>
  </si>
  <si>
    <t>D?cGbgM6$j}[</t>
  </si>
  <si>
    <t>klr20248926.siswa@smkn12malang.sch.id</t>
  </si>
  <si>
    <t>7%jZKA+s}W2k</t>
  </si>
  <si>
    <t>klr20248947.siswa@smkn12malang.sch.id</t>
  </si>
  <si>
    <t>&gt;!6L?4+nBCU]</t>
  </si>
  <si>
    <t>klr20248952.siswa@smkn12malang.sch.id</t>
  </si>
  <si>
    <t>}N9ecv}x7tWS</t>
  </si>
  <si>
    <t>klr20249042.siswa@smkn12malang.sch.id</t>
  </si>
  <si>
    <t>9w{B=ZDyWG*@</t>
  </si>
  <si>
    <t>klr20249045.siswa@smkn12malang.sch.id</t>
  </si>
  <si>
    <t>NJ4G4V=^[S2v</t>
  </si>
  <si>
    <t>klr20249048.siswa@smkn12malang.sch.id</t>
  </si>
  <si>
    <t>{*PDF+rn2F+=</t>
  </si>
  <si>
    <t>klr20249056.siswa@smkn12malang.sch.id</t>
  </si>
  <si>
    <t>F89A9Tu5&amp;!k(</t>
  </si>
  <si>
    <t>klr20249059.siswa@smkn12malang.sch.id</t>
  </si>
  <si>
    <t>7LC%ea$!Tx.{</t>
  </si>
  <si>
    <t>klr20249065.siswa@smkn12malang.sch.id</t>
  </si>
  <si>
    <t>@!t]BJE=K5].</t>
  </si>
  <si>
    <t>klr20249096.siswa@smkn12malang.sch.id</t>
  </si>
  <si>
    <t>^Q]!9Rkw]8+Y</t>
  </si>
  <si>
    <t>klr20249098.siswa@smkn12malang.sch.id</t>
  </si>
  <si>
    <t>V4FY&amp;H!M&amp;K[u</t>
  </si>
  <si>
    <t>klr20249106.siswa@smkn12malang.sch.id</t>
  </si>
  <si>
    <t>3radV?HD/f!F</t>
  </si>
  <si>
    <t>klr20249172.siswa@smkn12malang.sch.id</t>
  </si>
  <si>
    <t>&amp;Qpd[p.fu7Ew</t>
  </si>
  <si>
    <t>klr20249213.siswa@smkn12malang.sch.id</t>
  </si>
  <si>
    <t>sCjum[xN4.sz</t>
  </si>
  <si>
    <t>klr20249228.siswa@smkn12malang.sch.id</t>
  </si>
  <si>
    <t>^J@e-36Q=Xmv</t>
  </si>
  <si>
    <t>klr20249237.siswa@smkn12malang.sch.id</t>
  </si>
  <si>
    <t>{9.C[E[$Vz=e</t>
  </si>
  <si>
    <t>oto20248641.siswa@smkn12malang.sch.id</t>
  </si>
  <si>
    <t>7BttHDKyZ}2w</t>
  </si>
  <si>
    <t>oto20248644.siswa@smkn12malang.sch.id</t>
  </si>
  <si>
    <t>3yd-p/A%E6&gt;F</t>
  </si>
  <si>
    <t>oto20248645.siswa@smkn12malang.sch.id</t>
  </si>
  <si>
    <t>xgP{X$JW3NAX</t>
  </si>
  <si>
    <t>oto20248656.siswa@smkn12malang.sch.id</t>
  </si>
  <si>
    <t>CA-pVV4&amp;qgA=</t>
  </si>
  <si>
    <t>oto20248667.siswa@smkn12malang.sch.id</t>
  </si>
  <si>
    <t>@tvGvX!2.eWT</t>
  </si>
  <si>
    <t>oto20248700.siswa@smkn12malang.sch.id</t>
  </si>
  <si>
    <t>@_PSKCk!Em8s</t>
  </si>
  <si>
    <t>oto20248719.siswa@smkn12malang.sch.id</t>
  </si>
  <si>
    <t>N6vH*f7xhQ{S</t>
  </si>
  <si>
    <t>oto20248725.siswa@smkn12malang.sch.id</t>
  </si>
  <si>
    <t>N^d*qu&amp;-78Fk</t>
  </si>
  <si>
    <t>oto20248751.siswa@smkn12malang.sch.id</t>
  </si>
  <si>
    <t>rZ3)5NR&gt;nvt9</t>
  </si>
  <si>
    <t>oto20248760.siswa@smkn12malang.sch.id</t>
  </si>
  <si>
    <t>K87UZ/uhyyEj</t>
  </si>
  <si>
    <t>oto20248780.siswa@smkn12malang.sch.id</t>
  </si>
  <si>
    <t>ue8Z3^GPy@Vg</t>
  </si>
  <si>
    <t>oto20248793.siswa@smkn12malang.sch.id</t>
  </si>
  <si>
    <t>eAGbt5ML_{*{</t>
  </si>
  <si>
    <t>oto20248830.siswa@smkn12malang.sch.id</t>
  </si>
  <si>
    <t>U=h7Z((g&amp;$n?</t>
  </si>
  <si>
    <t>oto20248847.siswa@smkn12malang.sch.id</t>
  </si>
  <si>
    <t>q&amp;4UvMtp_{!K</t>
  </si>
  <si>
    <t>oto20248867.siswa@smkn12malang.sch.id</t>
  </si>
  <si>
    <t>5^dEb$PhNr{^</t>
  </si>
  <si>
    <t>oto20248883.siswa@smkn12malang.sch.id</t>
  </si>
  <si>
    <t>25bnQLB(xtCG</t>
  </si>
  <si>
    <t>oto20248902.siswa@smkn12malang.sch.id</t>
  </si>
  <si>
    <t>8Y^EfENL-Zd@</t>
  </si>
  <si>
    <t>oto20248941.siswa@smkn12malang.sch.id</t>
  </si>
  <si>
    <t>Bm9=Gm[T+Z9B</t>
  </si>
  <si>
    <t>oto20248946.siswa@smkn12malang.sch.id</t>
  </si>
  <si>
    <t>6z{jYVf5RD=M</t>
  </si>
  <si>
    <t>oto20248969.siswa@smkn12malang.sch.id</t>
  </si>
  <si>
    <t>L]axaN6V$BUy</t>
  </si>
  <si>
    <t>oto20248983.siswa@smkn12malang.sch.id</t>
  </si>
  <si>
    <t>&amp;jks.8-HL8^W</t>
  </si>
  <si>
    <t>oto20248998.siswa@smkn12malang.sch.id</t>
  </si>
  <si>
    <t>=zU5_+f&gt;WY!&amp;</t>
  </si>
  <si>
    <t>oto20249020.siswa@smkn12malang.sch.id</t>
  </si>
  <si>
    <t>D3nYw/yT@4m4</t>
  </si>
  <si>
    <t>oto20249028.siswa@smkn12malang.sch.id</t>
  </si>
  <si>
    <t>Ze=)!8@Xtzv9</t>
  </si>
  <si>
    <t>oto20249054.siswa@smkn12malang.sch.id</t>
  </si>
  <si>
    <t>&amp;f2V%TV=9{Qw</t>
  </si>
  <si>
    <t>oto20249071.siswa@smkn12malang.sch.id</t>
  </si>
  <si>
    <t>6sS?W8Y!7fkC</t>
  </si>
  <si>
    <t>oto20249089.siswa@smkn12malang.sch.id</t>
  </si>
  <si>
    <t>/gPyV4/@AavD</t>
  </si>
  <si>
    <t>oto20249092.siswa@smkn12malang.sch.id</t>
  </si>
  <si>
    <t>qwDy3QTWDD)Z</t>
  </si>
  <si>
    <t>oto20249103.siswa@smkn12malang.sch.id</t>
  </si>
  <si>
    <t>Pb*z?&amp;Mm8UxD</t>
  </si>
  <si>
    <t>oto20249110.siswa@smkn12malang.sch.id</t>
  </si>
  <si>
    <t>8$BqgjREz+_B</t>
  </si>
  <si>
    <t>oto20249120.siswa@smkn12malang.sch.id</t>
  </si>
  <si>
    <t>ZJ2VgFE2=Y.f</t>
  </si>
  <si>
    <t>oto20249131.siswa@smkn12malang.sch.id</t>
  </si>
  <si>
    <t>4.!8Df8cm?hE</t>
  </si>
  <si>
    <t>oto20249162.siswa@smkn12malang.sch.id</t>
  </si>
  <si>
    <t>r7k3{M@gAdM$</t>
  </si>
  <si>
    <t>oto20249188.siswa@smkn12malang.sch.id</t>
  </si>
  <si>
    <t>RwySg8Z/4^V&amp;</t>
  </si>
  <si>
    <t>oto20249218.siswa@smkn12malang.sch.id</t>
  </si>
  <si>
    <t>.5s.a^MVkEgR</t>
  </si>
  <si>
    <t>oto20249234.siswa@smkn12malang.sch.id</t>
  </si>
  <si>
    <t>3M%4_WtCc+6%</t>
  </si>
  <si>
    <t>oto20248642.siswa@smkn12malang.sch.id</t>
  </si>
  <si>
    <t>GUz?5fa8EmY4</t>
  </si>
  <si>
    <t>oto20248649.siswa@smkn12malang.sch.id</t>
  </si>
  <si>
    <t>VY!2t!N&gt;.hm{</t>
  </si>
  <si>
    <t>oto20248665.siswa@smkn12malang.sch.id</t>
  </si>
  <si>
    <t>jFf7V=xt3.FB</t>
  </si>
  <si>
    <t>oto20248670.siswa@smkn12malang.sch.id</t>
  </si>
  <si>
    <t>3L+BSRcyBdTU</t>
  </si>
  <si>
    <t>oto20248701.siswa@smkn12malang.sch.id</t>
  </si>
  <si>
    <t>$3^NjM.3%[wF</t>
  </si>
  <si>
    <t>oto20248735.siswa@smkn12malang.sch.id</t>
  </si>
  <si>
    <t>JBCGrc6?8x)g</t>
  </si>
  <si>
    <t>oto20248761.siswa@smkn12malang.sch.id</t>
  </si>
  <si>
    <t>HQ&amp;&gt;hmwj6tn/</t>
  </si>
  <si>
    <t>oto20248781.siswa@smkn12malang.sch.id</t>
  </si>
  <si>
    <t>gcH=b]3/.R$2</t>
  </si>
  <si>
    <t>oto20248806.siswa@smkn12malang.sch.id</t>
  </si>
  <si>
    <t>Gc5b}V@p6FvM</t>
  </si>
  <si>
    <t>oto20248837.siswa@smkn12malang.sch.id</t>
  </si>
  <si>
    <t>NdX$KzEw4udx</t>
  </si>
  <si>
    <t>oto20248860.siswa@smkn12malang.sch.id</t>
  </si>
  <si>
    <t>2.kbk7-k*Nv!</t>
  </si>
  <si>
    <t>oto20248875.siswa@smkn12malang.sch.id</t>
  </si>
  <si>
    <t>VH.a]?*g=4hh</t>
  </si>
  <si>
    <t>oto20248890.siswa@smkn12malang.sch.id</t>
  </si>
  <si>
    <t>[2v3G6Um_)mY</t>
  </si>
  <si>
    <t>oto20248934.siswa@smkn12malang.sch.id</t>
  </si>
  <si>
    <t>4Buhntyv8c%g</t>
  </si>
  <si>
    <t>oto20248942.siswa@smkn12malang.sch.id</t>
  </si>
  <si>
    <t>etN)eRmgm6Qw</t>
  </si>
  <si>
    <t>oto20248971.siswa@smkn12malang.sch.id</t>
  </si>
  <si>
    <t>&gt;&gt;s$767V&gt;&gt;QF</t>
  </si>
  <si>
    <t>oto20248974.siswa@smkn12malang.sch.id</t>
  </si>
  <si>
    <t>{(f/qAsaTq6J</t>
  </si>
  <si>
    <t>oto20249011.siswa@smkn12malang.sch.id</t>
  </si>
  <si>
    <t>hn]Ra2BY9n%$</t>
  </si>
  <si>
    <t>oto20249022.siswa@smkn12malang.sch.id</t>
  </si>
  <si>
    <t>3}.{kzNB6e&gt;q</t>
  </si>
  <si>
    <t>oto20249031.siswa@smkn12malang.sch.id</t>
  </si>
  <si>
    <t>]x8vn-&gt;]]4V%</t>
  </si>
  <si>
    <t>oto20249063.siswa@smkn12malang.sch.id</t>
  </si>
  <si>
    <t>ZqCWwh!V8{G%</t>
  </si>
  <si>
    <t>oto20249088.siswa@smkn12malang.sch.id</t>
  </si>
  <si>
    <t>/[*}!3UjL[6P</t>
  </si>
  <si>
    <t>oto20249090.siswa@smkn12malang.sch.id</t>
  </si>
  <si>
    <t>MhJ]Jfw5cRjg</t>
  </si>
  <si>
    <t>oto20249100.siswa@smkn12malang.sch.id</t>
  </si>
  <si>
    <t>2Ej&gt;--bNUcg?</t>
  </si>
  <si>
    <t>oto20249104.siswa@smkn12malang.sch.id</t>
  </si>
  <si>
    <t>JsB4t!5H3SK2</t>
  </si>
  <si>
    <t>oto20249116.siswa@smkn12malang.sch.id</t>
  </si>
  <si>
    <t>3ct!bXrC6PjB</t>
  </si>
  <si>
    <t>oto20249125.siswa@smkn12malang.sch.id</t>
  </si>
  <si>
    <t>6sV{fzyYXn8e</t>
  </si>
  <si>
    <t>oto20249139.siswa@smkn12malang.sch.id</t>
  </si>
  <si>
    <t>&amp;}Hgms3enp2N</t>
  </si>
  <si>
    <t>oto20249142.siswa@smkn12malang.sch.id</t>
  </si>
  <si>
    <t>dG9J6_hSszfm</t>
  </si>
  <si>
    <t>oto20249163.siswa@smkn12malang.sch.id</t>
  </si>
  <si>
    <t>9s_vCFZBR+az</t>
  </si>
  <si>
    <t>oto20249195.siswa@smkn12malang.sch.id</t>
  </si>
  <si>
    <t>Hd&amp;VU*yjjSb7</t>
  </si>
  <si>
    <t>oto20249220.siswa@smkn12malang.sch.id</t>
  </si>
  <si>
    <t>Ay9Db2/m)8]?</t>
  </si>
  <si>
    <t>oto20249239.siswa@smkn12malang.sch.id</t>
  </si>
  <si>
    <t>4B/bzBjj4.ev</t>
  </si>
  <si>
    <t>oto20248643.siswa@smkn12malang.sch.id</t>
  </si>
  <si>
    <t>d@wnM[?G2]*.</t>
  </si>
  <si>
    <t>oto20248653.siswa@smkn12malang.sch.id</t>
  </si>
  <si>
    <t>2!9w=XRjDYcc</t>
  </si>
  <si>
    <t>oto20248666.siswa@smkn12malang.sch.id</t>
  </si>
  <si>
    <t>WdKq4J_3.MrH</t>
  </si>
  <si>
    <t>oto20248690.siswa@smkn12malang.sch.id</t>
  </si>
  <si>
    <t>bM47nNn=Mf6P</t>
  </si>
  <si>
    <t>oto20248716.siswa@smkn12malang.sch.id</t>
  </si>
  <si>
    <t>@&gt;xMWyGfdyC9</t>
  </si>
  <si>
    <t>oto20248722.siswa@smkn12malang.sch.id</t>
  </si>
  <si>
    <t>RB4{}+Lv6EpT</t>
  </si>
  <si>
    <t>oto20248748.siswa@smkn12malang.sch.id</t>
  </si>
  <si>
    <t>Q{{v@Z/+!h6)</t>
  </si>
  <si>
    <t>oto20248759.siswa@smkn12malang.sch.id</t>
  </si>
  <si>
    <t>/Ds*A__ACu6C</t>
  </si>
  <si>
    <t>oto20248772.siswa@smkn12malang.sch.id</t>
  </si>
  <si>
    <t>h7Yc=aJ2&gt;[_H</t>
  </si>
  <si>
    <t>oto20248792.siswa@smkn12malang.sch.id</t>
  </si>
  <si>
    <t>YQ&amp;qV4Q^+C!)</t>
  </si>
  <si>
    <t>oto20248824.siswa@smkn12malang.sch.id</t>
  </si>
  <si>
    <t>[PGu22RxGjcR</t>
  </si>
  <si>
    <t>oto20248843.siswa@smkn12malang.sch.id</t>
  </si>
  <si>
    <t>DvgZ8a&amp;7fzvX</t>
  </si>
  <si>
    <t>oto20248864.siswa@smkn12malang.sch.id</t>
  </si>
  <si>
    <t>u4ga_N!NMZes</t>
  </si>
  <si>
    <t>oto20248880.siswa@smkn12malang.sch.id</t>
  </si>
  <si>
    <t>7ab93MA7dZ*(</t>
  </si>
  <si>
    <t>oto20248895.siswa@smkn12malang.sch.id</t>
  </si>
  <si>
    <t>}A$cczwxtp7&amp;</t>
  </si>
  <si>
    <t>oto20248935.siswa@smkn12malang.sch.id</t>
  </si>
  <si>
    <t>YSp3/gGxVkg&gt;</t>
  </si>
  <si>
    <t>oto20248944.siswa@smkn12malang.sch.id</t>
  </si>
  <si>
    <t>rfM&gt;4Qx=EY_5</t>
  </si>
  <si>
    <t>oto20248959.siswa@smkn12malang.sch.id</t>
  </si>
  <si>
    <t>AcM8r=kXr^!&gt;</t>
  </si>
  <si>
    <t>oto20248972.siswa@smkn12malang.sch.id</t>
  </si>
  <si>
    <t>{-x73*HnqyRb</t>
  </si>
  <si>
    <t>oto20248980.siswa@smkn12malang.sch.id</t>
  </si>
  <si>
    <t>D}LqJ@+_*4%{</t>
  </si>
  <si>
    <t>oto20248987.siswa@smkn12malang.sch.id</t>
  </si>
  <si>
    <t>x^z5dQJ^?&amp;v4</t>
  </si>
  <si>
    <t>oto20249018.siswa@smkn12malang.sch.id</t>
  </si>
  <si>
    <t>8TbEZm[zCRZ4</t>
  </si>
  <si>
    <t>oto20249027.siswa@smkn12malang.sch.id</t>
  </si>
  <si>
    <t>.X5w_=)FBc!D</t>
  </si>
  <si>
    <t>oto20249035.siswa@smkn12malang.sch.id</t>
  </si>
  <si>
    <t>3qRaGu*rpumj</t>
  </si>
  <si>
    <t>oto20249066.siswa@smkn12malang.sch.id</t>
  </si>
  <si>
    <t>BJy%2xqCdNH^</t>
  </si>
  <si>
    <t>oto20249091.siswa@smkn12malang.sch.id</t>
  </si>
  <si>
    <t>(k8mf4?$uaKb</t>
  </si>
  <si>
    <t>oto20249102.siswa@smkn12malang.sch.id</t>
  </si>
  <si>
    <t>@$xbbQF[45a9</t>
  </si>
  <si>
    <t>oto20249109.siswa@smkn12malang.sch.id</t>
  </si>
  <si>
    <t>%K*H*-*yS32C</t>
  </si>
  <si>
    <t>oto20249119.siswa@smkn12malang.sch.id</t>
  </si>
  <si>
    <t>M4GdkjrLPb__</t>
  </si>
  <si>
    <t>oto20249129.siswa@smkn12malang.sch.id</t>
  </si>
  <si>
    <t>[C+5Qg]!)Ft(</t>
  </si>
  <si>
    <t>oto20249152.siswa@smkn12malang.sch.id</t>
  </si>
  <si>
    <t>w%N6&amp;rm(bwpM</t>
  </si>
  <si>
    <t>oto20249166.siswa@smkn12malang.sch.id</t>
  </si>
  <si>
    <t>=+-8]?TEgZ&amp;bF</t>
  </si>
  <si>
    <t>oto20249200.siswa@smkn12malang.sch.id</t>
  </si>
  <si>
    <t>6CRc^-Qq)5!7</t>
  </si>
  <si>
    <t>oto20249226.siswa@smkn12malang.sch.id</t>
  </si>
  <si>
    <t>fd}4mt{.{SL2</t>
  </si>
  <si>
    <t>oto20249240.siswa@smkn12malang.sch.id</t>
  </si>
  <si>
    <t>s3enW8T}%vg&gt;</t>
  </si>
  <si>
    <t>oto20248646.siswa@smkn12malang.sch.id</t>
  </si>
  <si>
    <t>}Qm/{9[yB*wp</t>
  </si>
  <si>
    <t>oto20248655.siswa@smkn12malang.sch.id</t>
  </si>
  <si>
    <t>w@[vp7BenR^n</t>
  </si>
  <si>
    <t>oto20248664.siswa@smkn12malang.sch.id</t>
  </si>
  <si>
    <t>UK%&amp;RQHJ2*St</t>
  </si>
  <si>
    <t>oto20248672.siswa@smkn12malang.sch.id</t>
  </si>
  <si>
    <t>4PRq}]P5]Ea8</t>
  </si>
  <si>
    <t>oto20248682.siswa@smkn12malang.sch.id</t>
  </si>
  <si>
    <t>R.[54/@QueLZ</t>
  </si>
  <si>
    <t>oto20248686.siswa@smkn12malang.sch.id</t>
  </si>
  <si>
    <t>w$5tb%g@z/FG</t>
  </si>
  <si>
    <t>oto20248696.siswa@smkn12malang.sch.id</t>
  </si>
  <si>
    <t>ve-{dhM9z/_j</t>
  </si>
  <si>
    <t>oto20248703.siswa@smkn12malang.sch.id</t>
  </si>
  <si>
    <t>JB}gzD=4AD-7</t>
  </si>
  <si>
    <t>oto20248778.siswa@smkn12malang.sch.id</t>
  </si>
  <si>
    <t>Pm8A!WQs&amp;s(R</t>
  </si>
  <si>
    <t>oto20248835.siswa@smkn12malang.sch.id</t>
  </si>
  <si>
    <t>wNC7Rg)ec[F}</t>
  </si>
  <si>
    <t>oto20248844.siswa@smkn12malang.sch.id</t>
  </si>
  <si>
    <t>8BxPv/AF4a)S</t>
  </si>
  <si>
    <t>oto20248855.siswa@smkn12malang.sch.id</t>
  </si>
  <si>
    <t>Jk$_XhHs+Zb8</t>
  </si>
  <si>
    <t>oto20248865.siswa@smkn12malang.sch.id</t>
  </si>
  <si>
    <t>[yVz9s?@K}.X</t>
  </si>
  <si>
    <t>oto20248886.siswa@smkn12malang.sch.id</t>
  </si>
  <si>
    <t>{[4x@2&amp;]pH)v</t>
  </si>
  <si>
    <t>oto20248896.siswa@smkn12malang.sch.id</t>
  </si>
  <si>
    <t>3m3Hrt]76jT]</t>
  </si>
  <si>
    <t>oto20248940.siswa@smkn12malang.sch.id</t>
  </si>
  <si>
    <t>6KxrW/xwAgBG</t>
  </si>
  <si>
    <t>oto20248975.siswa@smkn12malang.sch.id</t>
  </si>
  <si>
    <t>eM-Y3sjjtw6p</t>
  </si>
  <si>
    <t>oto20248981.siswa@smkn12malang.sch.id</t>
  </si>
  <si>
    <t>d&gt;@EQ8nH]M[*</t>
  </si>
  <si>
    <t>oto20238376.siswa@smkn12malang.sch.id</t>
  </si>
  <si>
    <t>h&gt;Jm-d&amp;62D}Y</t>
  </si>
  <si>
    <t>oto20248989.siswa@smkn12malang.sch.id</t>
  </si>
  <si>
    <t>8M3J]&amp;G[fCyz</t>
  </si>
  <si>
    <t>oto20248994.siswa@smkn12malang.sch.id</t>
  </si>
  <si>
    <t>Eq_e3H(&amp;N[[5</t>
  </si>
  <si>
    <t>oto20249000.siswa@smkn12malang.sch.id</t>
  </si>
  <si>
    <t>EJ-7Xu.nEy.H</t>
  </si>
  <si>
    <t>oto20249003.siswa@smkn12malang.sch.id</t>
  </si>
  <si>
    <t>LNG%AsTGc(z4</t>
  </si>
  <si>
    <t>oto20249007.siswa@smkn12malang.sch.id</t>
  </si>
  <si>
    <t>PdAZYH?e5ceM</t>
  </si>
  <si>
    <t>oto20249010.siswa@smkn12malang.sch.id</t>
  </si>
  <si>
    <t>dByNTH3s_5d.</t>
  </si>
  <si>
    <t>oto20249015.siswa@smkn12malang.sch.id</t>
  </si>
  <si>
    <t>Y}F&gt;582X9(k-</t>
  </si>
  <si>
    <t>oto20249030.siswa@smkn12malang.sch.id</t>
  </si>
  <si>
    <t>DnEn/uj?J4r}</t>
  </si>
  <si>
    <t>oto20249115.siswa@smkn12malang.sch.id</t>
  </si>
  <si>
    <t>hrTfd4W2]vRg</t>
  </si>
  <si>
    <t>oto20249138.siswa@smkn12malang.sch.id</t>
  </si>
  <si>
    <t>R^6_+fFK(z{}</t>
  </si>
  <si>
    <t>oto20249143.siswa@smkn12malang.sch.id</t>
  </si>
  <si>
    <t>L*cBXKucHdf6</t>
  </si>
  <si>
    <t>oto20249150.siswa@smkn12malang.sch.id</t>
  </si>
  <si>
    <t>K/DR9YtNH=hy</t>
  </si>
  <si>
    <t>oto20249191.siswa@smkn12malang.sch.id</t>
  </si>
  <si>
    <t>3wa!_Z=Px%j_</t>
  </si>
  <si>
    <t>oto20249216.siswa@smkn12malang.sch.id</t>
  </si>
  <si>
    <t>MLB/62y^Gek.</t>
  </si>
  <si>
    <t>oto20248647.siswa@smkn12malang.sch.id</t>
  </si>
  <si>
    <t>q6bv2GVbK@[4</t>
  </si>
  <si>
    <t>oto20248663.siswa@smkn12malang.sch.id</t>
  </si>
  <si>
    <t>Yt?v&amp;4JGpPbY</t>
  </si>
  <si>
    <t>oto20248668.siswa@smkn12malang.sch.id</t>
  </si>
  <si>
    <t>.a7_ya)[Z}!7</t>
  </si>
  <si>
    <t>oto20248671.siswa@smkn12malang.sch.id</t>
  </si>
  <si>
    <t>?J2AWjj?&amp;C55</t>
  </si>
  <si>
    <t>oto20248680.siswa@smkn12malang.sch.id</t>
  </si>
  <si>
    <t>C}/m5(QGQ@!t</t>
  </si>
  <si>
    <t>oto20248684.siswa@smkn12malang.sch.id</t>
  </si>
  <si>
    <t>y/BaZd25DFGW</t>
  </si>
  <si>
    <t>oto20248691.siswa@smkn12malang.sch.id</t>
  </si>
  <si>
    <t>DsWbA!=tP3)U</t>
  </si>
  <si>
    <t>oto20248698.siswa@smkn12malang.sch.id</t>
  </si>
  <si>
    <t>!U3*HDr!ktGF</t>
  </si>
  <si>
    <t>oto20248764.siswa@smkn12malang.sch.id</t>
  </si>
  <si>
    <t>5BWx8fy8B_*)</t>
  </si>
  <si>
    <t>oto20248779.siswa@smkn12malang.sch.id</t>
  </si>
  <si>
    <t>w7Wb[{GEkECV</t>
  </si>
  <si>
    <t>oto20248829.siswa@smkn12malang.sch.id</t>
  </si>
  <si>
    <t>P%g6PfD}3(H[</t>
  </si>
  <si>
    <t>oto20248836.siswa@smkn12malang.sch.id</t>
  </si>
  <si>
    <t>4gDxZ^wWpnPb</t>
  </si>
  <si>
    <t>oto20248854.siswa@smkn12malang.sch.id</t>
  </si>
  <si>
    <t>juH!/{3%}97n</t>
  </si>
  <si>
    <t>oto20248858.siswa@smkn12malang.sch.id</t>
  </si>
  <si>
    <t>9sv^eur?YuXk</t>
  </si>
  <si>
    <t>oto20248885.siswa@smkn12malang.sch.id</t>
  </si>
  <si>
    <t>*4R(74qBt34a</t>
  </si>
  <si>
    <t>oto20248888.siswa@smkn12malang.sch.id</t>
  </si>
  <si>
    <t>5JS.6QTS!jED</t>
  </si>
  <si>
    <t>oto20248914.siswa@smkn12malang.sch.id</t>
  </si>
  <si>
    <t>gXsKY(.up4Wz</t>
  </si>
  <si>
    <t>oto20248973.siswa@smkn12malang.sch.id</t>
  </si>
  <si>
    <t>W&gt;PSJ.UZ}*3f</t>
  </si>
  <si>
    <t>oto20248979.siswa@smkn12malang.sch.id</t>
  </si>
  <si>
    <t>9JS@d[7^V!&gt;Q</t>
  </si>
  <si>
    <t>oto20248986.siswa@smkn12malang.sch.id</t>
  </si>
  <si>
    <t>2R^daETMwmWu</t>
  </si>
  <si>
    <t>oto20248991.siswa@smkn12malang.sch.id</t>
  </si>
  <si>
    <t>znv{Q5uG}jbr</t>
  </si>
  <si>
    <t>oto20248999.siswa@smkn12malang.sch.id</t>
  </si>
  <si>
    <t>m}=K2=a@fQNn</t>
  </si>
  <si>
    <t>oto20249002.siswa@smkn12malang.sch.id</t>
  </si>
  <si>
    <t>Y?Pw8=/2U3kK</t>
  </si>
  <si>
    <t>oto20249005.siswa@smkn12malang.sch.id</t>
  </si>
  <si>
    <t>-dU6N&amp;F$2kNW</t>
  </si>
  <si>
    <t>oto20249009.siswa@smkn12malang.sch.id</t>
  </si>
  <si>
    <t>&gt;9)M68YL(}Px</t>
  </si>
  <si>
    <t>oto20249014.siswa@smkn12malang.sch.id</t>
  </si>
  <si>
    <t>*&gt;whNU[+(=98</t>
  </si>
  <si>
    <t>oto20249029.siswa@smkn12malang.sch.id</t>
  </si>
  <si>
    <t>qpk^PbkjZ?5Q</t>
  </si>
  <si>
    <t>oto20249055.siswa@smkn12malang.sch.id</t>
  </si>
  <si>
    <t>Fkc8m9Xv/BYJ</t>
  </si>
  <si>
    <t>oto20249099.siswa@smkn12malang.sch.id</t>
  </si>
  <si>
    <t>k](R3!f$U8?N</t>
  </si>
  <si>
    <t>oto20249140.siswa@smkn12malang.sch.id</t>
  </si>
  <si>
    <t>s9Ptxk.&gt;qhx4</t>
  </si>
  <si>
    <t>oto20249145.siswa@smkn12malang.sch.id</t>
  </si>
  <si>
    <t>8&amp;M&gt;}e2gAC%y</t>
  </si>
  <si>
    <t>oto20249158.siswa@smkn12malang.sch.id</t>
  </si>
  <si>
    <t>g)a5H&gt;auw%$x</t>
  </si>
  <si>
    <t>oto20249208.siswa@smkn12malang.sch.id</t>
  </si>
  <si>
    <t>mmg$y*h2[%=D</t>
  </si>
  <si>
    <t>oto20249222.siswa@smkn12malang.sch.id</t>
  </si>
  <si>
    <t>ZJE^BkL6M&amp;J(</t>
  </si>
  <si>
    <t>oto20249233.siswa@smkn12malang.sch.id</t>
  </si>
  <si>
    <t>vk65uz[E+YAn</t>
  </si>
  <si>
    <t>9WkBZj#3</t>
  </si>
  <si>
    <t>PFL1</t>
  </si>
  <si>
    <t>Vcm7ueR)</t>
  </si>
  <si>
    <t>X5p5Tk@f</t>
  </si>
  <si>
    <t>_RSmgLk2</t>
  </si>
  <si>
    <t>Kx)PUv2H</t>
  </si>
  <si>
    <t>Y#7YjCHq</t>
  </si>
  <si>
    <t>PJ86H9t%</t>
  </si>
  <si>
    <t>@hgz8Smg</t>
  </si>
  <si>
    <t>Pzpk6y%b</t>
  </si>
  <si>
    <t>%[%!9nt&amp;__He</t>
  </si>
  <si>
    <t>v4jZ%ZyT</t>
  </si>
  <si>
    <t>6a6TQYm$</t>
  </si>
  <si>
    <t>JqA6$K3a</t>
  </si>
  <si>
    <t>nN#Z5fgc</t>
  </si>
  <si>
    <t>4M7Jmg#m</t>
  </si>
  <si>
    <t>9Hhb(hbf</t>
  </si>
  <si>
    <t>W_ptjrg9</t>
  </si>
  <si>
    <t>CjN@N6DD</t>
  </si>
  <si>
    <t>yuw%9GMx</t>
  </si>
  <si>
    <t>35zLe&amp;jE</t>
  </si>
  <si>
    <t>FcpfpX#6</t>
  </si>
  <si>
    <t>9ZUcdWs%</t>
  </si>
  <si>
    <t>gybuG7%e</t>
  </si>
  <si>
    <t>Gp8@YYTV</t>
  </si>
  <si>
    <t>Emj%7WAa</t>
  </si>
  <si>
    <t>GEDB5sR_</t>
  </si>
  <si>
    <t>f6Ss_LFD</t>
  </si>
  <si>
    <t>wv4R(67X</t>
  </si>
  <si>
    <t>z@UuMq7P</t>
  </si>
  <si>
    <t>eHMb3Nh)</t>
  </si>
  <si>
    <t>gRNky#5M</t>
  </si>
  <si>
    <t>62VgF)9y</t>
  </si>
  <si>
    <t>4W#kKYWp</t>
  </si>
  <si>
    <t>&amp;W6ekCEc</t>
  </si>
  <si>
    <t>%k2wJz7n</t>
  </si>
  <si>
    <t>&amp;rkkH4JU</t>
  </si>
  <si>
    <t>plg20248648.siswa@smkn12malang.sch.id</t>
  </si>
  <si>
    <t>[-!yr=K^T/9%</t>
  </si>
  <si>
    <t>plg20248689.siswa@smkn12malang.sch.id</t>
  </si>
  <si>
    <t>kf3Lw)4a&amp;E])</t>
  </si>
  <si>
    <t>plg20248697.siswa@smkn12malang.sch.id</t>
  </si>
  <si>
    <t>8^$q%J/.J4za</t>
  </si>
  <si>
    <t>plg20248723.siswa@smkn12malang.sch.id</t>
  </si>
  <si>
    <t>5{[PvW)&gt;e]%b</t>
  </si>
  <si>
    <t>plg20248742.siswa@smkn12malang.sch.id</t>
  </si>
  <si>
    <t>AC3SF9z6+J$k</t>
  </si>
  <si>
    <t>plg20248746.siswa@smkn12malang.sch.id</t>
  </si>
  <si>
    <t>naw^pk-/J8nr</t>
  </si>
  <si>
    <t>plg20248749.siswa@smkn12malang.sch.id</t>
  </si>
  <si>
    <t>y-PTDt7(r6WK</t>
  </si>
  <si>
    <t>plg20248758.siswa@smkn12malang.sch.id</t>
  </si>
  <si>
    <t>W-@2TyfR]F.{</t>
  </si>
  <si>
    <t>plg20248773.siswa@smkn12malang.sch.id</t>
  </si>
  <si>
    <t>7UFac7EwuW?[</t>
  </si>
  <si>
    <t>plg20248782.siswa@smkn12malang.sch.id</t>
  </si>
  <si>
    <t>-j$b@24X&amp;6GF</t>
  </si>
  <si>
    <t>plg20248825.siswa@smkn12malang.sch.id</t>
  </si>
  <si>
    <t>E&gt;e}q+87rN/?</t>
  </si>
  <si>
    <t>plg20248834.siswa@smkn12malang.sch.id</t>
  </si>
  <si>
    <t>zkwbsS+Fh3yT</t>
  </si>
  <si>
    <t>plg20248845.siswa@smkn12malang.sch.id</t>
  </si>
  <si>
    <t>PF2AUDucb!Nr</t>
  </si>
  <si>
    <t>plg20248874.siswa@smkn12malang.sch.id</t>
  </si>
  <si>
    <t>}f2hfLp+N6H9</t>
  </si>
  <si>
    <t>plg20248878.siswa@smkn12malang.sch.id</t>
  </si>
  <si>
    <t>wftLzkARUc4$</t>
  </si>
  <si>
    <t>plg20248881.siswa@smkn12malang.sch.id</t>
  </si>
  <si>
    <t>c@46wdbR)@Sa</t>
  </si>
  <si>
    <t>plg20248917.siswa@smkn12malang.sch.id</t>
  </si>
  <si>
    <t>)G_d-X2srW?!</t>
  </si>
  <si>
    <t>plg20248920.siswa@smkn12malang.sch.id</t>
  </si>
  <si>
    <t>RdFpY3?P.&amp;NM</t>
  </si>
  <si>
    <t>plg20248927.siswa@smkn12malang.sch.id</t>
  </si>
  <si>
    <t>/c(ktd7H}%kz</t>
  </si>
  <si>
    <t>plg20248956.siswa@smkn12malang.sch.id</t>
  </si>
  <si>
    <t>af2$+34qCkCd</t>
  </si>
  <si>
    <t>plg20248966.siswa@smkn12malang.sch.id</t>
  </si>
  <si>
    <t>{.?F7@Vb.EEB</t>
  </si>
  <si>
    <t>plg20248993.siswa@smkn12malang.sch.id</t>
  </si>
  <si>
    <t>%2%RYnXpqrRF</t>
  </si>
  <si>
    <t>plg20249012.siswa@smkn12malang.sch.id</t>
  </si>
  <si>
    <t>r]]Nyf8n?@+u</t>
  </si>
  <si>
    <t>plg20249025.siswa@smkn12malang.sch.id</t>
  </si>
  <si>
    <t>b{m[K8ksPAY+</t>
  </si>
  <si>
    <t>plg20249058.siswa@smkn12malang.sch.id</t>
  </si>
  <si>
    <t>G-rqXp*4eGvP</t>
  </si>
  <si>
    <t>plg20249079.siswa@smkn12malang.sch.id</t>
  </si>
  <si>
    <t>_jE*{4=cf_z7</t>
  </si>
  <si>
    <t>plg20249085.siswa@smkn12malang.sch.id</t>
  </si>
  <si>
    <t>3!GsF=@FjQTE</t>
  </si>
  <si>
    <t>plg20249111.siswa@smkn12malang.sch.id</t>
  </si>
  <si>
    <t>pkUqVd9]a-6q</t>
  </si>
  <si>
    <t>plg20249122.siswa@smkn12malang.sch.id</t>
  </si>
  <si>
    <t>[Rkn/%s&gt;6&gt;j&gt;</t>
  </si>
  <si>
    <t>bcf20249137.siswa@smkn12malang.sch.id</t>
  </si>
  <si>
    <t>t$KYB.N!w43*</t>
  </si>
  <si>
    <t>plg20249160.siswa@smkn12malang.sch.id</t>
  </si>
  <si>
    <t>y}K*9(+N$At?</t>
  </si>
  <si>
    <t>plg20249184.siswa@smkn12malang.sch.id</t>
  </si>
  <si>
    <t>$Rd[uZX&gt;{(?7</t>
  </si>
  <si>
    <t>plg20249207.siswa@smkn12malang.sch.id</t>
  </si>
  <si>
    <t>8DQ=M^5N3dRb</t>
  </si>
  <si>
    <t>plg20249212.siswa@smkn12malang.sch.id</t>
  </si>
  <si>
    <t>g7vbk$](pwS3</t>
  </si>
  <si>
    <t>plg20249223.siswa@smkn12malang.sch.id</t>
  </si>
  <si>
    <t>j-3K?&gt;3JZaH6</t>
  </si>
  <si>
    <t>plg20248677.siswa@smkn12malang.sch.id</t>
  </si>
  <si>
    <t>)N&gt;)F4cN$nnq</t>
  </si>
  <si>
    <t>plg20248695.siswa@smkn12malang.sch.id</t>
  </si>
  <si>
    <t>ua^{+2}QF%7Z</t>
  </si>
  <si>
    <t>plg20248702.siswa@smkn12malang.sch.id</t>
  </si>
  <si>
    <t>kSyrbXVS)4E4</t>
  </si>
  <si>
    <t>plg20248728.siswa@smkn12malang.sch.id</t>
  </si>
  <si>
    <t>c/dRH4E3k^Sn</t>
  </si>
  <si>
    <t>plg20248743.siswa@smkn12malang.sch.id</t>
  </si>
  <si>
    <t>Mu^Rr(ZT6/73</t>
  </si>
  <si>
    <t>plg20248747.siswa@smkn12malang.sch.id</t>
  </si>
  <si>
    <t>f&amp;dp?V-dX6=]</t>
  </si>
  <si>
    <t>plg20248753.siswa@smkn12malang.sch.id</t>
  </si>
  <si>
    <t>X)4}f/U&amp;3ZsP</t>
  </si>
  <si>
    <t>plg20248757.siswa@smkn12malang.sch.id</t>
  </si>
  <si>
    <t>4gA&amp;[?thL[m?</t>
  </si>
  <si>
    <t>plg20248762.siswa@smkn12malang.sch.id</t>
  </si>
  <si>
    <t>75F=j!Ag7&gt;b?</t>
  </si>
  <si>
    <t>plg20248777.siswa@smkn12malang.sch.id</t>
  </si>
  <si>
    <t>}bB5{LaZ*6g/</t>
  </si>
  <si>
    <t>plg20248805.siswa@smkn12malang.sch.id</t>
  </si>
  <si>
    <t>tuTZeVWW8)8F</t>
  </si>
  <si>
    <t>plg20248823.siswa@smkn12malang.sch.id</t>
  </si>
  <si>
    <t>U5xh(+Y[{{aa</t>
  </si>
  <si>
    <t>plg20248832.siswa@smkn12malang.sch.id</t>
  </si>
  <si>
    <t>9_YqX^!NK+N]</t>
  </si>
  <si>
    <t>plg20248841.siswa@smkn12malang.sch.id</t>
  </si>
  <si>
    <t>Z9B*F4(s*t&amp;S</t>
  </si>
  <si>
    <t>plg20248859.siswa@smkn12malang.sch.id</t>
  </si>
  <si>
    <t>4Ettz?4Z2NMu</t>
  </si>
  <si>
    <t>plg20248877.siswa@smkn12malang.sch.id</t>
  </si>
  <si>
    <t>)6nA92CsKL)K</t>
  </si>
  <si>
    <t>plg20248879.siswa@smkn12malang.sch.id</t>
  </si>
  <si>
    <t>?]BH4&amp;8&amp;wtS$</t>
  </si>
  <si>
    <t>plg20248910.siswa@smkn12malang.sch.id</t>
  </si>
  <si>
    <t>k}5(-$}RkrVZ</t>
  </si>
  <si>
    <t>plg20248919.siswa@smkn12malang.sch.id</t>
  </si>
  <si>
    <t>.9L}bszk_sw7</t>
  </si>
  <si>
    <t>plg20248925.siswa@smkn12malang.sch.id</t>
  </si>
  <si>
    <t>fUV%G5p/Md%D</t>
  </si>
  <si>
    <t>plg20248937.siswa@smkn12malang.sch.id</t>
  </si>
  <si>
    <t>cS}P=wRG4[.x</t>
  </si>
  <si>
    <t>plg20248963.siswa@smkn12malang.sch.id</t>
  </si>
  <si>
    <t>ZxxKjFZry?7+</t>
  </si>
  <si>
    <t>plg20248990.siswa@smkn12malang.sch.id</t>
  </si>
  <si>
    <t>*maG5a2g4Saf</t>
  </si>
  <si>
    <t>plg20248997.siswa@smkn12malang.sch.id</t>
  </si>
  <si>
    <t>?M6RTpHDbvqU</t>
  </si>
  <si>
    <t>plg20249013.siswa@smkn12malang.sch.id</t>
  </si>
  <si>
    <t>E(mGdV/2_pqF</t>
  </si>
  <si>
    <t>plg20249046.siswa@smkn12malang.sch.id</t>
  </si>
  <si>
    <t>BjJf{6h%y3tr</t>
  </si>
  <si>
    <t>plg20249078.siswa@smkn12malang.sch.id</t>
  </si>
  <si>
    <t>KQevKX-ZuR3n</t>
  </si>
  <si>
    <t>plg20249083.siswa@smkn12malang.sch.id</t>
  </si>
  <si>
    <t>zK7ec(kUjv2!</t>
  </si>
  <si>
    <t>plg20249108.siswa@smkn12malang.sch.id</t>
  </si>
  <si>
    <t>$9Aa5MNqC/[h</t>
  </si>
  <si>
    <t>plg20249113.siswa@smkn12malang.sch.id</t>
  </si>
  <si>
    <t>[PwVUT=[Bv3k</t>
  </si>
  <si>
    <t>plg20249149.siswa@smkn12malang.sch.id</t>
  </si>
  <si>
    <t>Ms@}=&gt;d&amp;6gg?</t>
  </si>
  <si>
    <t>plg20249177.siswa@smkn12malang.sch.id</t>
  </si>
  <si>
    <t>/gWXNWs9&amp;)b/</t>
  </si>
  <si>
    <t>plg20249187.siswa@smkn12malang.sch.id</t>
  </si>
  <si>
    <t>}G%X$jT4t5Ld</t>
  </si>
  <si>
    <t>plg20249221.siswa@smkn12malang.sch.id</t>
  </si>
  <si>
    <t>AHKvYw^A3J7X</t>
  </si>
  <si>
    <t>plg20249242.siswa@smkn12malang.sch.id</t>
  </si>
  <si>
    <t>&amp;3-[j%Aua!aJ</t>
  </si>
  <si>
    <t>f$7EcG5h</t>
  </si>
  <si>
    <t>RPL1</t>
  </si>
  <si>
    <t>dWc)GU5x</t>
  </si>
  <si>
    <t>uZQ9xs$m</t>
  </si>
  <si>
    <t>Ac5rQ&amp;z2</t>
  </si>
  <si>
    <t>Fy)82jYQ</t>
  </si>
  <si>
    <t>FVa6bj_d</t>
  </si>
  <si>
    <t>JrF#ga4N</t>
  </si>
  <si>
    <t>UKN_yE5G</t>
  </si>
  <si>
    <t>dSWmWc5(</t>
  </si>
  <si>
    <t>aK4$AFUt</t>
  </si>
  <si>
    <t>nWa7BB%E</t>
  </si>
  <si>
    <t>5g_JybYF</t>
  </si>
  <si>
    <t>eJJ&amp;8zZB</t>
  </si>
  <si>
    <t>mn8GL&amp;aM</t>
  </si>
  <si>
    <t>ndb&amp;U25j</t>
  </si>
  <si>
    <t>QbcC4UK_</t>
  </si>
  <si>
    <t>teT_8zvg</t>
  </si>
  <si>
    <t>m44LcUb(</t>
  </si>
  <si>
    <t>bmrC5%FV</t>
  </si>
  <si>
    <t>D#Tv9zKT</t>
  </si>
  <si>
    <t>fVJ@a7Sb</t>
  </si>
  <si>
    <t>t8xGby#F</t>
  </si>
  <si>
    <t>dDR)5Kgb</t>
  </si>
  <si>
    <t>Fb6V$eBH</t>
  </si>
  <si>
    <t>X@uYEpH4</t>
  </si>
  <si>
    <t>wERv76q)</t>
  </si>
  <si>
    <t>Ur53kF(5</t>
  </si>
  <si>
    <t>5eyk#PkF</t>
  </si>
  <si>
    <t>QpBn5ya_</t>
  </si>
  <si>
    <t>pC9pfqa$</t>
  </si>
  <si>
    <t>rC(7jZJu</t>
  </si>
  <si>
    <t>e$5xmZ8a</t>
  </si>
  <si>
    <t>h)2kQTmH</t>
  </si>
  <si>
    <t>y2yg&amp;jTL</t>
  </si>
  <si>
    <t>B_cag3kt</t>
  </si>
  <si>
    <t>C&amp;vbzs7P</t>
  </si>
  <si>
    <t>rzey8mV@</t>
  </si>
  <si>
    <t>RPL2</t>
  </si>
  <si>
    <t>JUf&amp;9gTY</t>
  </si>
  <si>
    <t>Ka8hjKr(</t>
  </si>
  <si>
    <t>PfP&amp;YuL2</t>
  </si>
  <si>
    <t>Pj3YT_SJ</t>
  </si>
  <si>
    <t>Tg)WfH6g</t>
  </si>
  <si>
    <t>jKf(A3Jb</t>
  </si>
  <si>
    <t>m3@trhWY</t>
  </si>
  <si>
    <t>gg3XFw&amp;h</t>
  </si>
  <si>
    <t>v5pGr#fQ</t>
  </si>
  <si>
    <t>CMjs9tT(</t>
  </si>
  <si>
    <t>PnX8Hd&amp;E</t>
  </si>
  <si>
    <t>7Yk@6Pp3</t>
  </si>
  <si>
    <t>hVXGpT#7</t>
  </si>
  <si>
    <t>8@xmsAnZ</t>
  </si>
  <si>
    <t>fX%bg7yu</t>
  </si>
  <si>
    <t>p%GpB3Yh</t>
  </si>
  <si>
    <t>fepu2gP&amp;</t>
  </si>
  <si>
    <t>VW(sE9wC</t>
  </si>
  <si>
    <t>Jct(3Snq</t>
  </si>
  <si>
    <t>XaMS2%Kd</t>
  </si>
  <si>
    <t>ucjq_F3K</t>
  </si>
  <si>
    <t>n$MMS6uu</t>
  </si>
  <si>
    <t>B7A$bF32</t>
  </si>
  <si>
    <t>FY$6EjZg</t>
  </si>
  <si>
    <t>tEg%m7ge</t>
  </si>
  <si>
    <t>tUz(8MbE</t>
  </si>
  <si>
    <t>9SxnYh%8</t>
  </si>
  <si>
    <t>Ru7Uth_y</t>
  </si>
  <si>
    <t>k&amp;C2nCv4</t>
  </si>
  <si>
    <t>DZKgX4%y</t>
  </si>
  <si>
    <t>z2xbxe(L</t>
  </si>
  <si>
    <t>M6snub(j</t>
  </si>
  <si>
    <t>)7YZqgEq</t>
  </si>
  <si>
    <t>PeeLt$93</t>
  </si>
  <si>
    <t>eqAr5%Yg</t>
  </si>
  <si>
    <t>eCa98s)a</t>
  </si>
  <si>
    <t>TKJ1</t>
  </si>
  <si>
    <t>(g7zPRWp</t>
  </si>
  <si>
    <t>Xpm_Q623</t>
  </si>
  <si>
    <t>b3GAk_BW</t>
  </si>
  <si>
    <t>vSDQ7@q7</t>
  </si>
  <si>
    <t>GBk5xz)f</t>
  </si>
  <si>
    <t>YNqS8$YV</t>
  </si>
  <si>
    <t>#R8RJuhE</t>
  </si>
  <si>
    <t>hhPqu_j4</t>
  </si>
  <si>
    <t>TLU3P)8b</t>
  </si>
  <si>
    <t>@Y7ek7kP</t>
  </si>
  <si>
    <t>)rQ9ud2J</t>
  </si>
  <si>
    <t>V%JE5TPx</t>
  </si>
  <si>
    <t>(5gdVndP</t>
  </si>
  <si>
    <t>54MmRj2)</t>
  </si>
  <si>
    <t>q%7puAUy</t>
  </si>
  <si>
    <t>un)YJbH7</t>
  </si>
  <si>
    <t>n4vrf&amp;RW</t>
  </si>
  <si>
    <t>e7f_cMdP</t>
  </si>
  <si>
    <t>2KJxm_jg</t>
  </si>
  <si>
    <t>w6By%Ay5</t>
  </si>
  <si>
    <t>v4v%AuqQ</t>
  </si>
  <si>
    <t>&amp;FEcn9uq</t>
  </si>
  <si>
    <t>uLkk6e&amp;m</t>
  </si>
  <si>
    <t>558@kEFK</t>
  </si>
  <si>
    <t>dnZ8r%jf</t>
  </si>
  <si>
    <t>rfux%b9H</t>
  </si>
  <si>
    <t>E&amp;768QbM</t>
  </si>
  <si>
    <t>6Gfr)ENj</t>
  </si>
  <si>
    <t>z&amp;95KEDH</t>
  </si>
  <si>
    <t>7g7uKH@B</t>
  </si>
  <si>
    <t>$XJbG6zV</t>
  </si>
  <si>
    <t>T_NdK3JH</t>
  </si>
  <si>
    <t>cD9qH&amp;jh</t>
  </si>
  <si>
    <t>a9w8d&amp;UM</t>
  </si>
  <si>
    <t>R6#mhCy3</t>
  </si>
  <si>
    <t>HNd8&amp;dwX</t>
  </si>
  <si>
    <t>TKJ2</t>
  </si>
  <si>
    <t>J(VGD8Pa</t>
  </si>
  <si>
    <t>7dv_mnLu</t>
  </si>
  <si>
    <t>mw6z6yJ%</t>
  </si>
  <si>
    <t>zMp&amp;Rkm8</t>
  </si>
  <si>
    <t>K3SAg$ds</t>
  </si>
  <si>
    <t>4U6E#e4V</t>
  </si>
  <si>
    <t>wV3V#PDP</t>
  </si>
  <si>
    <t>VD)EarC4</t>
  </si>
  <si>
    <t>kH9f_zDL</t>
  </si>
  <si>
    <t>E2cQb_49</t>
  </si>
  <si>
    <t>GWSMV%r3</t>
  </si>
  <si>
    <t>AVQX$H4j</t>
  </si>
  <si>
    <t>p7&amp;8ktWv</t>
  </si>
  <si>
    <t>MW_MZ6Zc</t>
  </si>
  <si>
    <t>B6@46r9h</t>
  </si>
  <si>
    <t>m&amp;ZXned3</t>
  </si>
  <si>
    <t>Zn2VA%EC</t>
  </si>
  <si>
    <t>N@7kjrJV</t>
  </si>
  <si>
    <t>kMV7FW#N</t>
  </si>
  <si>
    <t>@yPR3YMj</t>
  </si>
  <si>
    <t>T(djG2Rk</t>
  </si>
  <si>
    <t>qw9VbGN(</t>
  </si>
  <si>
    <t>dWwzN#3k</t>
  </si>
  <si>
    <t>saZ&amp;WY6j</t>
  </si>
  <si>
    <t>7_jgjHtH</t>
  </si>
  <si>
    <t>5bQPj#dv</t>
  </si>
  <si>
    <t>#t7dyHh5</t>
  </si>
  <si>
    <t>pK(z2ZcE</t>
  </si>
  <si>
    <t>kxG_93Xe</t>
  </si>
  <si>
    <t>r927@xAe</t>
  </si>
  <si>
    <t>W@tVvuR2</t>
  </si>
  <si>
    <t>ucWq7KS#</t>
  </si>
  <si>
    <t>Xmvz9K5_</t>
  </si>
  <si>
    <t>YQjV7J#7</t>
  </si>
  <si>
    <t>h4A(L6jB</t>
  </si>
  <si>
    <t>Ak%T6vD8</t>
  </si>
  <si>
    <t>TKR1</t>
  </si>
  <si>
    <t>mt3%zU86</t>
  </si>
  <si>
    <t>Fb9R$bvc</t>
  </si>
  <si>
    <t>3hd@Ah2q</t>
  </si>
  <si>
    <t>gW&amp;pArT8</t>
  </si>
  <si>
    <t>G_nVTN7v</t>
  </si>
  <si>
    <t>MbNs_P8G</t>
  </si>
  <si>
    <t>CA7Z@t8v</t>
  </si>
  <si>
    <t>3p%KCuyH</t>
  </si>
  <si>
    <t>3gZD$HgJ</t>
  </si>
  <si>
    <t>7Rp#u6fk</t>
  </si>
  <si>
    <t>5xzxwQ&amp;Q</t>
  </si>
  <si>
    <t>tuMGD6n#</t>
  </si>
  <si>
    <t>99Q_nK4m</t>
  </si>
  <si>
    <t>7wh9zYT&amp;</t>
  </si>
  <si>
    <t>4gaWur4$</t>
  </si>
  <si>
    <t>F#HwwUb3</t>
  </si>
  <si>
    <t>g8@meuNU</t>
  </si>
  <si>
    <t>pE2HU@3f</t>
  </si>
  <si>
    <t>C(4n2RBx</t>
  </si>
  <si>
    <t>7XkA_D9a</t>
  </si>
  <si>
    <t>jwQ@C2nM</t>
  </si>
  <si>
    <t>2Zp#ALqb</t>
  </si>
  <si>
    <t>zYp5g)At</t>
  </si>
  <si>
    <t>AJ2Qu@4F</t>
  </si>
  <si>
    <t>YLA5ru#c</t>
  </si>
  <si>
    <t>pHQ_us5Z</t>
  </si>
  <si>
    <t>MqDZ5_Ga</t>
  </si>
  <si>
    <t>BkjmKe)3</t>
  </si>
  <si>
    <t>6nFh9@5h</t>
  </si>
  <si>
    <t>CEw_h6JR</t>
  </si>
  <si>
    <t>un(2TFWM</t>
  </si>
  <si>
    <t>G5(GNwQm</t>
  </si>
  <si>
    <t>eSB)398Z</t>
  </si>
  <si>
    <t>t&amp;k4XLWg</t>
  </si>
  <si>
    <t>R@8vhQNm</t>
  </si>
  <si>
    <t>(shWB33G</t>
  </si>
  <si>
    <t>TKR2</t>
  </si>
  <si>
    <t>3L6fAy@5</t>
  </si>
  <si>
    <t>%dwjFZ4q</t>
  </si>
  <si>
    <t>J9KFMKm@</t>
  </si>
  <si>
    <t>8@bQq7Ja</t>
  </si>
  <si>
    <t>8hy(fMbg</t>
  </si>
  <si>
    <t>LA&amp;^MyBw3PgB</t>
  </si>
  <si>
    <t>2fLMQRR&amp;</t>
  </si>
  <si>
    <t>&amp;$=Lc_vB2fFs</t>
  </si>
  <si>
    <t>32y@rz4Y</t>
  </si>
  <si>
    <t>VX3(SMvD</t>
  </si>
  <si>
    <t>$YS6PVwr</t>
  </si>
  <si>
    <t>fzYX3Rx)</t>
  </si>
  <si>
    <t>3SC@3sNu</t>
  </si>
  <si>
    <t>TamJ#Yx4</t>
  </si>
  <si>
    <t>f)E4D3n8</t>
  </si>
  <si>
    <t>2EjPXJ(v</t>
  </si>
  <si>
    <t>3tTGkH)G</t>
  </si>
  <si>
    <t>N2JrhB$2</t>
  </si>
  <si>
    <t>3zCLq(Nd</t>
  </si>
  <si>
    <t>w7M7(TTv</t>
  </si>
  <si>
    <t>@dwbNhG7</t>
  </si>
  <si>
    <t>Xk&amp;VhF3e</t>
  </si>
  <si>
    <t>5spz9vR#</t>
  </si>
  <si>
    <t>6@22RpA6</t>
  </si>
  <si>
    <t>Xj6cu&amp;tY</t>
  </si>
  <si>
    <t>v_8rB6cT</t>
  </si>
  <si>
    <t>RY98$rFR</t>
  </si>
  <si>
    <t>WJ@z8YFQ</t>
  </si>
  <si>
    <t>fZ8wQME)</t>
  </si>
  <si>
    <t>S#Bz4Wmv</t>
  </si>
  <si>
    <t>TxuMe4_e</t>
  </si>
  <si>
    <t>JAT_m3jR</t>
  </si>
  <si>
    <t>HPK6v8J%</t>
  </si>
  <si>
    <t>@wV72uvm</t>
  </si>
  <si>
    <t>Wh@g4zhe</t>
  </si>
  <si>
    <t>g2z(ZjVU</t>
  </si>
  <si>
    <t>TKR3</t>
  </si>
  <si>
    <t>$Lrz2g58</t>
  </si>
  <si>
    <t>49eXP&amp;AD</t>
  </si>
  <si>
    <t>66kRB@4R</t>
  </si>
  <si>
    <t>VNBSJq#5</t>
  </si>
  <si>
    <t>r$VUb9Bh</t>
  </si>
  <si>
    <t>5B(LZ84w</t>
  </si>
  <si>
    <t>q6%9sGHZ</t>
  </si>
  <si>
    <t>JUV9dd&amp;8</t>
  </si>
  <si>
    <t>A6gC#WCk</t>
  </si>
  <si>
    <t>mDqE)9vJ</t>
  </si>
  <si>
    <t>B4m(A3Q3</t>
  </si>
  <si>
    <t>q9T_wPmf</t>
  </si>
  <si>
    <t>K2d(y8WG</t>
  </si>
  <si>
    <t>k6#gNz4T</t>
  </si>
  <si>
    <t>WxK%gNF7</t>
  </si>
  <si>
    <t>cvL2(kRm</t>
  </si>
  <si>
    <t>E@wkK5Np</t>
  </si>
  <si>
    <t>w4nf(8fV</t>
  </si>
  <si>
    <t>)keT87AM</t>
  </si>
  <si>
    <t>Wdv5$DUB</t>
  </si>
  <si>
    <t>T$Eh8CmH</t>
  </si>
  <si>
    <t>$QDbyLL8</t>
  </si>
  <si>
    <t>VvK9(Afy</t>
  </si>
  <si>
    <t>a24#5Vkv</t>
  </si>
  <si>
    <t>drtU4)CR</t>
  </si>
  <si>
    <t>#C5aUpDt</t>
  </si>
  <si>
    <t>$Ld4k3RL</t>
  </si>
  <si>
    <t>q9yubx(P</t>
  </si>
  <si>
    <t>MVCR)da4</t>
  </si>
  <si>
    <t>)q66CUYZ</t>
  </si>
  <si>
    <t>e7fH_FeY</t>
  </si>
  <si>
    <t>xw4Ss6F#</t>
  </si>
  <si>
    <t>Y&amp;gywT84</t>
  </si>
  <si>
    <t>fSf@Csc6</t>
  </si>
  <si>
    <t>9N$WhCqX</t>
  </si>
  <si>
    <t>(6kunJZ2</t>
  </si>
  <si>
    <t>TSM1</t>
  </si>
  <si>
    <t>5$vAffc9</t>
  </si>
  <si>
    <t>sv8n4L7)</t>
  </si>
  <si>
    <t>cPbZX$C3</t>
  </si>
  <si>
    <t>ZwqU8d$4</t>
  </si>
  <si>
    <t>66#ps7tP</t>
  </si>
  <si>
    <t>%xbH8KYE</t>
  </si>
  <si>
    <t>2LYn_Ywy</t>
  </si>
  <si>
    <t>URKk)Y5Y</t>
  </si>
  <si>
    <t>NnW%2sjN</t>
  </si>
  <si>
    <t>H7@8jQJN</t>
  </si>
  <si>
    <t>mwbFh@9N</t>
  </si>
  <si>
    <t>cExEGy6#</t>
  </si>
  <si>
    <t>2nZ3X%Ze</t>
  </si>
  <si>
    <t>DL$pXur4</t>
  </si>
  <si>
    <t>y82kfE&amp;K</t>
  </si>
  <si>
    <t>6JRZTc$W</t>
  </si>
  <si>
    <t>_ZEjaAK2</t>
  </si>
  <si>
    <t>2YT#CWBq</t>
  </si>
  <si>
    <t>yEaw7Zk(</t>
  </si>
  <si>
    <t>Yeh@nZA9</t>
  </si>
  <si>
    <t>Mz&amp;5ARFg</t>
  </si>
  <si>
    <t>@cYLx8YN</t>
  </si>
  <si>
    <t>LS_5rxUu</t>
  </si>
  <si>
    <t>fF5Mqw$4</t>
  </si>
  <si>
    <t>4V4LEGj%</t>
  </si>
  <si>
    <t>M2zZy(tQ</t>
  </si>
  <si>
    <t>3X)2Fdbb</t>
  </si>
  <si>
    <t>h#grc3FM</t>
  </si>
  <si>
    <t>RpQPS_28</t>
  </si>
  <si>
    <t>AY5mAy%u</t>
  </si>
  <si>
    <t>DhU2mZ(p</t>
  </si>
  <si>
    <t>sxF6q&amp;u2</t>
  </si>
  <si>
    <t>G4D#VZ5e</t>
  </si>
  <si>
    <t>(7G6keaF</t>
  </si>
  <si>
    <t>fJk8)aZ5</t>
  </si>
  <si>
    <t>3ScQEv@Z</t>
  </si>
  <si>
    <t>TSM2</t>
  </si>
  <si>
    <t>_2tTLLk9</t>
  </si>
  <si>
    <t>kbj3%Jrn</t>
  </si>
  <si>
    <t>q&amp;tZ2wPs</t>
  </si>
  <si>
    <t>tcFgf&amp;R9</t>
  </si>
  <si>
    <t>#5s3saeF</t>
  </si>
  <si>
    <t>z@72tvGX</t>
  </si>
  <si>
    <t>(9yarSXX</t>
  </si>
  <si>
    <t>mfz5Q)uL</t>
  </si>
  <si>
    <t>%D2gSaAN</t>
  </si>
  <si>
    <t>3y+KK$d?DTLb</t>
  </si>
  <si>
    <t>3M_kP7ZX</t>
  </si>
  <si>
    <t>Z8EZ)UnD</t>
  </si>
  <si>
    <t>(sYzRMZ4</t>
  </si>
  <si>
    <t>GEpFPF%3</t>
  </si>
  <si>
    <t>(G8DhxFC</t>
  </si>
  <si>
    <t>HnwgY%u2</t>
  </si>
  <si>
    <t>G5n_JR8z</t>
  </si>
  <si>
    <t>rGS8gUN)</t>
  </si>
  <si>
    <t>zXR8$dYd</t>
  </si>
  <si>
    <t>7&amp;PWeT2Y</t>
  </si>
  <si>
    <t>e_Fw6Srj</t>
  </si>
  <si>
    <t>&amp;8yWKkHp</t>
  </si>
  <si>
    <t>h3A#4KQr</t>
  </si>
  <si>
    <t>D3$mYtkT</t>
  </si>
  <si>
    <t>%Pp9Gwzx</t>
  </si>
  <si>
    <t>MCTX(vq9</t>
  </si>
  <si>
    <t>65Zn8S4_</t>
  </si>
  <si>
    <t>BCpNW5%r</t>
  </si>
  <si>
    <t>#duKA4W9</t>
  </si>
  <si>
    <t>8rUw4%wF</t>
  </si>
  <si>
    <t>D3#h7EpS</t>
  </si>
  <si>
    <t>@BdvRb5h</t>
  </si>
  <si>
    <t>8s9PE7#c</t>
  </si>
  <si>
    <t>YfH(eRY4</t>
  </si>
  <si>
    <t>yRg#qq9t</t>
  </si>
  <si>
    <t>akl20238032.siswa@smkn12malang.sch.id</t>
  </si>
  <si>
    <t>pGZgc)Pd=r3!</t>
  </si>
  <si>
    <t>akl20238051.siswa@smkn12malang.sch.id</t>
  </si>
  <si>
    <t>XLP._T9sH7T2</t>
  </si>
  <si>
    <t>akl20238071.siswa@smkn12malang.sch.id</t>
  </si>
  <si>
    <t>_ngw74RQCUpB</t>
  </si>
  <si>
    <t>akl20238081.siswa@smkn12malang.sch.id</t>
  </si>
  <si>
    <t>(F7k2!=Ue5X[</t>
  </si>
  <si>
    <t>akl20238091.siswa@smkn12malang.sch.id</t>
  </si>
  <si>
    <t>r)j6q?5Ewj..</t>
  </si>
  <si>
    <t>akl20238114.siswa@smkn12malang.sch.id</t>
  </si>
  <si>
    <t>xb%-4.rGFK-(</t>
  </si>
  <si>
    <t>akl20238134.siswa@smkn12malang.sch.id</t>
  </si>
  <si>
    <t>k&amp;G%Gp^y)4ve</t>
  </si>
  <si>
    <t>akl20238153.siswa@smkn12malang.sch.id</t>
  </si>
  <si>
    <t>bNsGa6/RL]Y.</t>
  </si>
  <si>
    <t>akl20238161.siswa@smkn12malang.sch.id</t>
  </si>
  <si>
    <t>9aeSNu/hJ[!U</t>
  </si>
  <si>
    <t>akl20238176.siswa@smkn12malang.sch.id</t>
  </si>
  <si>
    <t>PLW&amp;M@3(DbtM</t>
  </si>
  <si>
    <t>akl20238188.siswa@smkn12malang.sch.id</t>
  </si>
  <si>
    <t>A$WpW3Rzvrph</t>
  </si>
  <si>
    <t>akl20238207.siswa@smkn12malang.sch.id</t>
  </si>
  <si>
    <t>Z(Sg2w9BcaUA</t>
  </si>
  <si>
    <t>akl20238217.siswa@smkn12malang.sch.id</t>
  </si>
  <si>
    <t>{Q8DjT!_Qj3N</t>
  </si>
  <si>
    <t>akl20238247.siswa@smkn12malang.sch.id</t>
  </si>
  <si>
    <t>.PU^J^+nyqm9</t>
  </si>
  <si>
    <t>akl20238253.siswa@smkn12malang.sch.id</t>
  </si>
  <si>
    <t>ac8[DK*q]Rb/</t>
  </si>
  <si>
    <t>akl20238268.siswa@smkn12malang.sch.id</t>
  </si>
  <si>
    <t>xG[HAHh[a2{]</t>
  </si>
  <si>
    <t>akl20238287.siswa@smkn12malang.sch.id</t>
  </si>
  <si>
    <t>3}Bdx_yN?}WB</t>
  </si>
  <si>
    <t>akl20238299.siswa@smkn12malang.sch.id</t>
  </si>
  <si>
    <t>H6&gt;)v=G}Fw3.</t>
  </si>
  <si>
    <t>akl20238310.siswa@smkn12malang.sch.id</t>
  </si>
  <si>
    <t>Sb!.7m.qTX]M</t>
  </si>
  <si>
    <t>akl20238318.siswa@smkn12malang.sch.id</t>
  </si>
  <si>
    <t>Z!Pu=s8QM65W</t>
  </si>
  <si>
    <t>akl20238339.siswa@smkn12malang.sch.id</t>
  </si>
  <si>
    <t>]X4gXF)n&amp;RNf</t>
  </si>
  <si>
    <t>akl20238386.siswa@smkn12malang.sch.id</t>
  </si>
  <si>
    <t>$MMk/Cz5GTBT</t>
  </si>
  <si>
    <t>akl20238441.siswa@smkn12malang.sch.id</t>
  </si>
  <si>
    <t>5fK($[ujvVh(</t>
  </si>
  <si>
    <t>akl20238447.siswa@smkn12malang.sch.id</t>
  </si>
  <si>
    <t>fB*$}W/Cz4Jx</t>
  </si>
  <si>
    <t>akl20238454.siswa@smkn12malang.sch.id</t>
  </si>
  <si>
    <t>{*M!$L5f?(H{</t>
  </si>
  <si>
    <t>akl20238461.siswa@smkn12malang.sch.id</t>
  </si>
  <si>
    <t>B&gt;G2j}/ns8C$</t>
  </si>
  <si>
    <t>akl20238479.siswa@smkn12malang.sch.id</t>
  </si>
  <si>
    <t>[?YKGd$58dg*</t>
  </si>
  <si>
    <t>akl20238506.siswa@smkn12malang.sch.id</t>
  </si>
  <si>
    <t>Zj)z)UHq7%5V</t>
  </si>
  <si>
    <t>akl20238521.siswa@smkn12malang.sch.id</t>
  </si>
  <si>
    <t>}c6-]AzVt&gt;[B</t>
  </si>
  <si>
    <t>akl20238532.siswa@smkn12malang.sch.id</t>
  </si>
  <si>
    <t>h%q$qJ}v4ZSd</t>
  </si>
  <si>
    <t>akl20238550.siswa@smkn12malang.sch.id</t>
  </si>
  <si>
    <t>hm33M5ry*x/L</t>
  </si>
  <si>
    <t>akl20238553.siswa@smkn12malang.sch.id</t>
  </si>
  <si>
    <t>?3$KZus/!qHL</t>
  </si>
  <si>
    <t>akl20238564.siswa@smkn12malang.sch.id</t>
  </si>
  <si>
    <t>tD?zPC.c5$S.</t>
  </si>
  <si>
    <t>akl20238574.siswa@smkn12malang.sch.id</t>
  </si>
  <si>
    <t>2}%pzk!5YkUF</t>
  </si>
  <si>
    <t>akl20238590.siswa@smkn12malang.sch.id</t>
  </si>
  <si>
    <t>44k]]x4wYATZ</t>
  </si>
  <si>
    <t>akl20238616.siswa@smkn12malang.sch.id</t>
  </si>
  <si>
    <t>tSZF9^s%g@p^</t>
  </si>
  <si>
    <t>akl20238033.siswa@smkn12malang.sch.id</t>
  </si>
  <si>
    <t>F_/VA!x6kAJE</t>
  </si>
  <si>
    <t>akl20238076.siswa@smkn12malang.sch.id</t>
  </si>
  <si>
    <t>P!Lc)?B[ne3$</t>
  </si>
  <si>
    <t>akl20238082.siswa@smkn12malang.sch.id</t>
  </si>
  <si>
    <t>bG){Dv3TdR{t</t>
  </si>
  <si>
    <t>akl20238097.siswa@smkn12malang.sch.id</t>
  </si>
  <si>
    <t>YDMFnu4&gt;e!y{</t>
  </si>
  <si>
    <t>akl20238102.siswa@smkn12malang.sch.id</t>
  </si>
  <si>
    <t>Jcf{7cLGYM99</t>
  </si>
  <si>
    <t>akl20238120.siswa@smkn12malang.sch.id</t>
  </si>
  <si>
    <t>XD+BHcsH/mL8</t>
  </si>
  <si>
    <t>akl20238125.siswa@smkn12malang.sch.id</t>
  </si>
  <si>
    <t>z_(m^wp7(R!+</t>
  </si>
  <si>
    <t>akl20238128.siswa@smkn12malang.sch.id</t>
  </si>
  <si>
    <t>7jgL$CWH*uy4</t>
  </si>
  <si>
    <t>akl20238136.siswa@smkn12malang.sch.id</t>
  </si>
  <si>
    <t>ckT}p7K62J.u</t>
  </si>
  <si>
    <t>akl20238155.siswa@smkn12malang.sch.id</t>
  </si>
  <si>
    <t>wrXS8peB4?&gt;j</t>
  </si>
  <si>
    <t>akl20238162.siswa@smkn12malang.sch.id</t>
  </si>
  <si>
    <t>2$DXF$_zRh9z</t>
  </si>
  <si>
    <t>29 December 2007</t>
  </si>
  <si>
    <t>3573046912070007</t>
  </si>
  <si>
    <t>akl20238180.siswa@smkn12malang.sch.id</t>
  </si>
  <si>
    <t>z}v3[tAjv%.T</t>
  </si>
  <si>
    <t>akl20238196.siswa@smkn12malang.sch.id</t>
  </si>
  <si>
    <t>pQ$jDc3qK_-]</t>
  </si>
  <si>
    <t>4 February 2008</t>
  </si>
  <si>
    <t>3507234402080001</t>
  </si>
  <si>
    <t>akl20238210.siswa@smkn12malang.sch.id</t>
  </si>
  <si>
    <t>(.&amp;Hz5@-kxj&amp;</t>
  </si>
  <si>
    <t>akl20238224.siswa@smkn12malang.sch.id</t>
  </si>
  <si>
    <t>ZFYmnbX7D=hc</t>
  </si>
  <si>
    <t>akl20238249.siswa@smkn12malang.sch.id</t>
  </si>
  <si>
    <t>MQ{_z*f8@BQU</t>
  </si>
  <si>
    <t>25 February 2020</t>
  </si>
  <si>
    <t>3573014506080001</t>
  </si>
  <si>
    <t>akl20238258.siswa@smkn12malang.sch.id</t>
  </si>
  <si>
    <t>B2E^ZGN%z+@K</t>
  </si>
  <si>
    <t>akl20238269.siswa@smkn12malang.sch.id</t>
  </si>
  <si>
    <t>Y8b8B$C9jbmm</t>
  </si>
  <si>
    <t>akl20238290.siswa@smkn12malang.sch.id</t>
  </si>
  <si>
    <t>2Wc=r//T?[/w</t>
  </si>
  <si>
    <t>akl20238302.siswa@smkn12malang.sch.id</t>
  </si>
  <si>
    <t>ZB&gt;cr)c8qsV8</t>
  </si>
  <si>
    <t>akl20238311.siswa@smkn12malang.sch.id</t>
  </si>
  <si>
    <t>qt=adUM7^cph</t>
  </si>
  <si>
    <t>akl20238320.siswa@smkn12malang.sch.id</t>
  </si>
  <si>
    <t>dNSc&amp;[q!8d&gt;Y</t>
  </si>
  <si>
    <t>22 July 2008</t>
  </si>
  <si>
    <t>3573016207080002</t>
  </si>
  <si>
    <t>akl20238352.siswa@smkn12malang.sch.id</t>
  </si>
  <si>
    <t>g992NZ=j}3-E</t>
  </si>
  <si>
    <t>17 May 2008</t>
  </si>
  <si>
    <t>3507185705080001</t>
  </si>
  <si>
    <t>akl20238398.siswa@smkn12malang.sch.id</t>
  </si>
  <si>
    <t>T_L]T4Fx{Qze</t>
  </si>
  <si>
    <t>akl20238442.siswa@smkn12malang.sch.id</t>
  </si>
  <si>
    <t>H]SJg9=ra!/y</t>
  </si>
  <si>
    <t>akl20238448.siswa@smkn12malang.sch.id</t>
  </si>
  <si>
    <t>w*Mx&gt;J@]DX2q</t>
  </si>
  <si>
    <t>akl20238455.siswa@smkn12malang.sch.id</t>
  </si>
  <si>
    <t>&amp;3nz9P&amp;M%hyx</t>
  </si>
  <si>
    <t>akl20238463.siswa@smkn12malang.sch.id</t>
  </si>
  <si>
    <t>aj{mFN5D[r*.</t>
  </si>
  <si>
    <t>akl20238637.siswa@smkn12malang.sch.id</t>
  </si>
  <si>
    <t>5WTH}z+&amp;6[u]</t>
  </si>
  <si>
    <t>akl20238483.siswa@smkn12malang.sch.id</t>
  </si>
  <si>
    <t>V{u&amp;P+8f]{GP</t>
  </si>
  <si>
    <t>24 February 2008</t>
  </si>
  <si>
    <t>3507236402080002</t>
  </si>
  <si>
    <t>akl20238527.siswa@smkn12malang.sch.id</t>
  </si>
  <si>
    <t>FC^{9aSBQnX=</t>
  </si>
  <si>
    <t>akl20238536.siswa@smkn12malang.sch.id</t>
  </si>
  <si>
    <t>RS9zB)b^[LDd</t>
  </si>
  <si>
    <t>akl20238552.siswa@smkn12malang.sch.id</t>
  </si>
  <si>
    <t>{@S3Cg!]ee*p</t>
  </si>
  <si>
    <t>akl20238566.siswa@smkn12malang.sch.id</t>
  </si>
  <si>
    <t>[b!xPwkWV&amp;c4</t>
  </si>
  <si>
    <t>3 July 2007</t>
  </si>
  <si>
    <t>3507234307070002</t>
  </si>
  <si>
    <t>akl20238576.siswa@smkn12malang.sch.id</t>
  </si>
  <si>
    <t>Pn{Cyn3kx$M_</t>
  </si>
  <si>
    <t>akl20238593.siswa@smkn12malang.sch.id</t>
  </si>
  <si>
    <t>k4@dvh=X4pb)</t>
  </si>
  <si>
    <t>akl20238077.siswa@smkn12malang.sch.id</t>
  </si>
  <si>
    <t>2U!$4+w%!6x2</t>
  </si>
  <si>
    <t>3573054509080001</t>
  </si>
  <si>
    <t>akl20238083.siswa@smkn12malang.sch.id</t>
  </si>
  <si>
    <t>53VfM6RC{kWu</t>
  </si>
  <si>
    <t>6472055804080003</t>
  </si>
  <si>
    <t>akl20238098.siswa@smkn12malang.sch.id</t>
  </si>
  <si>
    <t>b@&gt;t82CT%F$m</t>
  </si>
  <si>
    <t>akl20238111.siswa@smkn12malang.sch.id</t>
  </si>
  <si>
    <t>x}^J/x%e+6J5</t>
  </si>
  <si>
    <t>akl20238121.siswa@smkn12malang.sch.id</t>
  </si>
  <si>
    <t>g{YuTpSm25zC</t>
  </si>
  <si>
    <t>akl20238126.siswa@smkn12malang.sch.id</t>
  </si>
  <si>
    <t>*!b!A%6}M-fX</t>
  </si>
  <si>
    <t>akl20238148.siswa@smkn12malang.sch.id</t>
  </si>
  <si>
    <t>$tjd8M%GSHs&gt;</t>
  </si>
  <si>
    <t>akl20238157.siswa@smkn12malang.sch.id</t>
  </si>
  <si>
    <t>sD7vMjs.maQg</t>
  </si>
  <si>
    <t>akl20238164.siswa@smkn12malang.sch.id</t>
  </si>
  <si>
    <t>R7LvBYe.cz+C</t>
  </si>
  <si>
    <t>akl20238185.siswa@smkn12malang.sch.id</t>
  </si>
  <si>
    <t>_Y?!Hu[5{]aV</t>
  </si>
  <si>
    <t>akl20238198.siswa@smkn12malang.sch.id</t>
  </si>
  <si>
    <t>2=!(DbKxkeN{</t>
  </si>
  <si>
    <t>akl20238636.siswa@smkn12malang.sch.id</t>
  </si>
  <si>
    <t>UTy?m5*y&amp;@nJ</t>
  </si>
  <si>
    <t>akl20238237.siswa@smkn12malang.sch.id</t>
  </si>
  <si>
    <t>7QN7y9GxjV_!</t>
  </si>
  <si>
    <t>akl20238251.siswa@smkn12malang.sch.id</t>
  </si>
  <si>
    <t>B.6ZUv(63K@v</t>
  </si>
  <si>
    <t>akl20238266.siswa@smkn12malang.sch.id</t>
  </si>
  <si>
    <t>ug.R@)M[F5=K</t>
  </si>
  <si>
    <t>akl20238278.siswa@smkn12malang.sch.id</t>
  </si>
  <si>
    <t>$}JzRG4c9$E8</t>
  </si>
  <si>
    <t>akl20238291.siswa@smkn12malang.sch.id</t>
  </si>
  <si>
    <t>uLGpv7@zK_fa</t>
  </si>
  <si>
    <t>akl20238304.siswa@smkn12malang.sch.id</t>
  </si>
  <si>
    <t>*_6{(CMr8N7D</t>
  </si>
  <si>
    <t>22 March 2008</t>
  </si>
  <si>
    <t>3507256203080001</t>
  </si>
  <si>
    <t>akl20238313.siswa@smkn12malang.sch.id</t>
  </si>
  <si>
    <t>3GJ6bFgr6{j(</t>
  </si>
  <si>
    <t>akl20238324.siswa@smkn12malang.sch.id</t>
  </si>
  <si>
    <t>fW+[=/!*B2Ub</t>
  </si>
  <si>
    <t>akl20238354.siswa@smkn12malang.sch.id</t>
  </si>
  <si>
    <t>.W[9sd5Q$!Gx</t>
  </si>
  <si>
    <t>akl20238439.siswa@smkn12malang.sch.id</t>
  </si>
  <si>
    <t>TewW.jC@%7r$</t>
  </si>
  <si>
    <t>akl20238443.siswa@smkn12malang.sch.id</t>
  </si>
  <si>
    <t>V-8w5}y_}PN7</t>
  </si>
  <si>
    <t>akl20238449.siswa@smkn12malang.sch.id</t>
  </si>
  <si>
    <t>5]?C/[T8)m4^</t>
  </si>
  <si>
    <t>akl20238456.siswa@smkn12malang.sch.id</t>
  </si>
  <si>
    <t>pzZAGz2K?ZQD</t>
  </si>
  <si>
    <t>akl20238472.siswa@smkn12malang.sch.id</t>
  </si>
  <si>
    <t>uj)Vn3%4$qx}</t>
  </si>
  <si>
    <t>akl20238487.siswa@smkn12malang.sch.id</t>
  </si>
  <si>
    <t>.e*?2n7&amp;[dY}</t>
  </si>
  <si>
    <t>akl20238515.siswa@smkn12malang.sch.id</t>
  </si>
  <si>
    <t>kV^vb@z5n}bm</t>
  </si>
  <si>
    <t>akl20238530.siswa@smkn12malang.sch.id</t>
  </si>
  <si>
    <t>B8(uG%E)%[t&gt;</t>
  </si>
  <si>
    <t>akl20238543.siswa@smkn12malang.sch.id</t>
  </si>
  <si>
    <t>DYdcKh2z+RB-</t>
  </si>
  <si>
    <t>akl20238557.siswa@smkn12malang.sch.id</t>
  </si>
  <si>
    <t>)HF/A3)Y(3-r</t>
  </si>
  <si>
    <t>akl20238568.siswa@smkn12malang.sch.id</t>
  </si>
  <si>
    <t>{bB6U9LT6mPE</t>
  </si>
  <si>
    <t>akl20238577.siswa@smkn12malang.sch.id</t>
  </si>
  <si>
    <t>^5!$+u4rX[sL</t>
  </si>
  <si>
    <t>akl20238597.siswa@smkn12malang.sch.id</t>
  </si>
  <si>
    <t>KnAVM27eX+.*</t>
  </si>
  <si>
    <t>akl20238620.siswa@smkn12malang.sch.id</t>
  </si>
  <si>
    <t>Nx-J8r&gt;7)m&amp;S</t>
  </si>
  <si>
    <t>akl20238623.siswa@smkn12malang.sch.id</t>
  </si>
  <si>
    <t>4EqQEVXbh/^y</t>
  </si>
  <si>
    <t>akl20238053.siswa@smkn12malang.sch.id</t>
  </si>
  <si>
    <t>}6uUx&amp;ZD4Xf@</t>
  </si>
  <si>
    <t>8 August 2007</t>
  </si>
  <si>
    <t>3507254808070001</t>
  </si>
  <si>
    <t>akl20238079.siswa@smkn12malang.sch.id</t>
  </si>
  <si>
    <t>?G*hS*Npr8Ar</t>
  </si>
  <si>
    <t>akl20238086.siswa@smkn12malang.sch.id</t>
  </si>
  <si>
    <t>pM57YC&gt;J.[_d</t>
  </si>
  <si>
    <t>17 February 2008</t>
  </si>
  <si>
    <t>3573015702080003</t>
  </si>
  <si>
    <t>akl20238099.siswa@smkn12malang.sch.id</t>
  </si>
  <si>
    <t>XSs!7e9JNu?y</t>
  </si>
  <si>
    <t>3507185711070008</t>
  </si>
  <si>
    <t>akl20238112.siswa@smkn12malang.sch.id</t>
  </si>
  <si>
    <t>eH=CJT4xha6M</t>
  </si>
  <si>
    <t>akl20238122.siswa@smkn12malang.sch.id</t>
  </si>
  <si>
    <t>r)U&gt;!qts6+zD</t>
  </si>
  <si>
    <t>23 February 2008</t>
  </si>
  <si>
    <t>3507246302080006</t>
  </si>
  <si>
    <t>akl20238123.siswa@smkn12malang.sch.id</t>
  </si>
  <si>
    <t>.Ym/[B3FuU=4</t>
  </si>
  <si>
    <t>31 July 2008</t>
  </si>
  <si>
    <t>3507086203870004</t>
  </si>
  <si>
    <t>akl20238150.siswa@smkn12malang.sch.id</t>
  </si>
  <si>
    <t>y/j(%{@x5?AT</t>
  </si>
  <si>
    <t>akl20238152.siswa@smkn12malang.sch.id</t>
  </si>
  <si>
    <t>b/5(%u{CymWU</t>
  </si>
  <si>
    <t>akl20238160.siswa@smkn12malang.sch.id</t>
  </si>
  <si>
    <t>5vmag]g^Brx@</t>
  </si>
  <si>
    <t>akl20238174.siswa@smkn12malang.sch.id</t>
  </si>
  <si>
    <t>wuF!8.nYj-E!</t>
  </si>
  <si>
    <t>25 August 2008</t>
  </si>
  <si>
    <t>3573016508080006</t>
  </si>
  <si>
    <t>akl20238187.siswa@smkn12malang.sch.id</t>
  </si>
  <si>
    <t>wRmK$%9zq@@/</t>
  </si>
  <si>
    <t>30 March 2007</t>
  </si>
  <si>
    <t>3573057003070007</t>
  </si>
  <si>
    <t>akl20238200.siswa@smkn12malang.sch.id</t>
  </si>
  <si>
    <t>m^$$8fBe5b5(</t>
  </si>
  <si>
    <t>akl20238213.siswa@smkn12malang.sch.id</t>
  </si>
  <si>
    <t>4-&amp;s!Et^hPeS</t>
  </si>
  <si>
    <t>akl20238239.siswa@smkn12malang.sch.id</t>
  </si>
  <si>
    <t>vU!}/{4]M-CQ</t>
  </si>
  <si>
    <t>akl20238252.siswa@smkn12malang.sch.id</t>
  </si>
  <si>
    <t>N=SfRLM(n9S9</t>
  </si>
  <si>
    <t>akl20238267.siswa@smkn12malang.sch.id</t>
  </si>
  <si>
    <t>ZDMBa{7rHZuN</t>
  </si>
  <si>
    <t>akl20238282.siswa@smkn12malang.sch.id</t>
  </si>
  <si>
    <t>=%dq=tX-2_UZ</t>
  </si>
  <si>
    <t>akl20238297.siswa@smkn12malang.sch.id</t>
  </si>
  <si>
    <t>EbX&gt;t$^wNC9t</t>
  </si>
  <si>
    <t>akl20238306.siswa@smkn12malang.sch.id</t>
  </si>
  <si>
    <t>*SX$4$pp-BKd</t>
  </si>
  <si>
    <t>akl20238315.siswa@smkn12malang.sch.id</t>
  </si>
  <si>
    <t>s56@zZ+)ps!/</t>
  </si>
  <si>
    <t>akl20238327.siswa@smkn12malang.sch.id</t>
  </si>
  <si>
    <t>d^8&amp;5V%VbUt.</t>
  </si>
  <si>
    <t>akl20238355.siswa@smkn12malang.sch.id</t>
  </si>
  <si>
    <t>9t8NA.3v4gG2</t>
  </si>
  <si>
    <t>3 January 2008</t>
  </si>
  <si>
    <t>3573054301080001</t>
  </si>
  <si>
    <t>akl20238440.siswa@smkn12malang.sch.id</t>
  </si>
  <si>
    <t>=Rt6{kqrWyWC</t>
  </si>
  <si>
    <t>22 January 2008</t>
  </si>
  <si>
    <t>3573056201080001</t>
  </si>
  <si>
    <t>akl20238446.siswa@smkn12malang.sch.id</t>
  </si>
  <si>
    <t>h(Y^crz5XXZK</t>
  </si>
  <si>
    <t>akl20238450.siswa@smkn12malang.sch.id</t>
  </si>
  <si>
    <t>&amp;=[e+n9ygEdr</t>
  </si>
  <si>
    <t>23 December 2007</t>
  </si>
  <si>
    <t>3507256312070001</t>
  </si>
  <si>
    <t>akl20238457.siswa@smkn12malang.sch.id</t>
  </si>
  <si>
    <t>cBG.8Qdxnxss</t>
  </si>
  <si>
    <t>3507245704080005</t>
  </si>
  <si>
    <t>akl20238505.siswa@smkn12malang.sch.id</t>
  </si>
  <si>
    <t>t-U-82YsJEdD</t>
  </si>
  <si>
    <t>10 October 2007</t>
  </si>
  <si>
    <t>3573015010070004</t>
  </si>
  <si>
    <t>akl20238520.siswa@smkn12malang.sch.id</t>
  </si>
  <si>
    <t>-hHJB7zv$!@p</t>
  </si>
  <si>
    <t>akl20238531.siswa@smkn12malang.sch.id</t>
  </si>
  <si>
    <t>QxJaAbJ?&amp;4Yu</t>
  </si>
  <si>
    <t>akl20238547.siswa@smkn12malang.sch.id</t>
  </si>
  <si>
    <t>JQs!R6d{}sCy</t>
  </si>
  <si>
    <t>akl20238562.siswa@smkn12malang.sch.id</t>
  </si>
  <si>
    <t>U/KPu3Zpk}Xg</t>
  </si>
  <si>
    <t>akl20238573.siswa@smkn12malang.sch.id</t>
  </si>
  <si>
    <t>-(rea8?}5cfM</t>
  </si>
  <si>
    <t>akl20238582.siswa@smkn12malang.sch.id</t>
  </si>
  <si>
    <t>kfD_dpbPP7Y!</t>
  </si>
  <si>
    <t>24 July 2007</t>
  </si>
  <si>
    <t>3507246407070005</t>
  </si>
  <si>
    <t>akl20238615.siswa@smkn12malang.sch.id</t>
  </si>
  <si>
    <t>m9F)PUP+pPDh</t>
  </si>
  <si>
    <t>20 January 2008</t>
  </si>
  <si>
    <t>3507176001080001</t>
  </si>
  <si>
    <t>akl20238632.siswa@smkn12malang.sch.id</t>
  </si>
  <si>
    <t>Mb*tz!KN}L2x</t>
  </si>
  <si>
    <t>bcf20238027.siswa@smkn12malang.sch.id</t>
  </si>
  <si>
    <t>v76m7r.=qVtm</t>
  </si>
  <si>
    <t>bcf20238055.siswa@smkn12malang.sch.id</t>
  </si>
  <si>
    <t>jt=uGes=74Jr</t>
  </si>
  <si>
    <t>bcf20238057.siswa@smkn12malang.sch.id</t>
  </si>
  <si>
    <t>Q(ttzr$.4WSd</t>
  </si>
  <si>
    <t>bcf20238075.siswa@smkn12malang.sch.id</t>
  </si>
  <si>
    <t>BB}gQBxZnt8+</t>
  </si>
  <si>
    <t>bcf20238101.siswa@smkn12malang.sch.id</t>
  </si>
  <si>
    <t>=+g.XWv6N8Zs?</t>
  </si>
  <si>
    <t>3520167004080003</t>
  </si>
  <si>
    <t>bcf20238129.siswa@smkn12malang.sch.id</t>
  </si>
  <si>
    <t>DuyR&amp;p4_V{Y/</t>
  </si>
  <si>
    <t>bcf20238144.siswa@smkn12malang.sch.id</t>
  </si>
  <si>
    <t>[mV?5(rq[H8/</t>
  </si>
  <si>
    <t>bcf20238149.siswa@smkn12malang.sch.id</t>
  </si>
  <si>
    <t>VsYv]!mY4S{d</t>
  </si>
  <si>
    <t>bcf20238197.siswa@smkn12malang.sch.id</t>
  </si>
  <si>
    <t>ejVE]Y-r9^=C</t>
  </si>
  <si>
    <t>bcf20238202.siswa@smkn12malang.sch.id</t>
  </si>
  <si>
    <t>Pan{g&gt;m7e@aS</t>
  </si>
  <si>
    <t>bcf20238219.siswa@smkn12malang.sch.id</t>
  </si>
  <si>
    <t>A%8[P68z@97_</t>
  </si>
  <si>
    <t>bcf20238223.siswa@smkn12malang.sch.id</t>
  </si>
  <si>
    <t>tnKCT2&gt;WB4)+</t>
  </si>
  <si>
    <t>bcf20238227.siswa@smkn12malang.sch.id</t>
  </si>
  <si>
    <t>EfuyjuEN=)2B</t>
  </si>
  <si>
    <t>bcf20238234.siswa@smkn12malang.sch.id</t>
  </si>
  <si>
    <t>-Y&amp;!$KvdfFT7</t>
  </si>
  <si>
    <t>bcf20238248.siswa@smkn12malang.sch.id</t>
  </si>
  <si>
    <t>=+p3{63C6([gS</t>
  </si>
  <si>
    <t>bcf20238286.siswa@smkn12malang.sch.id</t>
  </si>
  <si>
    <t>=+2/*(uWbTAz/</t>
  </si>
  <si>
    <t>bcf20238356.siswa@smkn12malang.sch.id</t>
  </si>
  <si>
    <t>D^R4t&amp;AJN&amp;SA</t>
  </si>
  <si>
    <t>bcf20238362.siswa@smkn12malang.sch.id</t>
  </si>
  <si>
    <t>meCVmQA3K*Ej</t>
  </si>
  <si>
    <t>bcf20238381.siswa@smkn12malang.sch.id</t>
  </si>
  <si>
    <t>=+7v$964F{4p]</t>
  </si>
  <si>
    <t>bcf20238413.siswa@smkn12malang.sch.id</t>
  </si>
  <si>
    <t>zFz&amp;F9&amp;jh][L</t>
  </si>
  <si>
    <t>bcf20238468.siswa@smkn12malang.sch.id</t>
  </si>
  <si>
    <t>sU6sAVdgX?vW</t>
  </si>
  <si>
    <t>bcf20238546.siswa@smkn12malang.sch.id</t>
  </si>
  <si>
    <t>q2tgb&amp;(t{@B&gt;</t>
  </si>
  <si>
    <t>bcf20238554.siswa@smkn12malang.sch.id</t>
  </si>
  <si>
    <t>.K2j}neqtm.A</t>
  </si>
  <si>
    <t>26 August 2005</t>
  </si>
  <si>
    <t>3507332608050001</t>
  </si>
  <si>
    <t>bcf20238560.siswa@smkn12malang.sch.id</t>
  </si>
  <si>
    <t>$?7gH2r/$V-Z</t>
  </si>
  <si>
    <t>bcf20238563.siswa@smkn12malang.sch.id</t>
  </si>
  <si>
    <t>j4ctq@6MDT.R</t>
  </si>
  <si>
    <t>bcf20238571.siswa@smkn12malang.sch.id</t>
  </si>
  <si>
    <t>-Jw}j7qFkH&gt;4</t>
  </si>
  <si>
    <t>bcf20238607.siswa@smkn12malang.sch.id</t>
  </si>
  <si>
    <t>@pHn2y}qD9/&amp;</t>
  </si>
  <si>
    <t>bcf20238625.siswa@smkn12malang.sch.id</t>
  </si>
  <si>
    <t>H&amp;Rb3&amp;KQZq%U</t>
  </si>
  <si>
    <t>bcf20238626.siswa@smkn12malang.sch.id</t>
  </si>
  <si>
    <t>m}mxhfrnYq8[</t>
  </si>
  <si>
    <t>bcf20238629.siswa@smkn12malang.sch.id</t>
  </si>
  <si>
    <t>JM8Q5}TP]emQ</t>
  </si>
  <si>
    <t>dkv20238024.siswa@smkn12malang.sch.id</t>
  </si>
  <si>
    <t>=gvYH}aw5wrM</t>
  </si>
  <si>
    <t>dkv20238043.siswa@smkn12malang.sch.id</t>
  </si>
  <si>
    <t>]mDVX=4(A!K{</t>
  </si>
  <si>
    <t>dkv20238052.siswa@smkn12malang.sch.id</t>
  </si>
  <si>
    <t>ksx6FpQA*V=*</t>
  </si>
  <si>
    <t>dkv20238073.siswa@smkn12malang.sch.id</t>
  </si>
  <si>
    <t>?5q)aG@yr9Qm</t>
  </si>
  <si>
    <t>dkv20238084.siswa@smkn12malang.sch.id</t>
  </si>
  <si>
    <t>p.eLRW8kxHs/</t>
  </si>
  <si>
    <t>dkv20238142.siswa@smkn12malang.sch.id</t>
  </si>
  <si>
    <t>v_+!gvjA9{MX</t>
  </si>
  <si>
    <t>dkv20238158.siswa@smkn12malang.sch.id</t>
  </si>
  <si>
    <t>Nh78&gt;.Sy*XEz</t>
  </si>
  <si>
    <t>dkv20238171.siswa@smkn12malang.sch.id</t>
  </si>
  <si>
    <t>DX4=n&amp;6s%AM]</t>
  </si>
  <si>
    <t>dkv20238209.siswa@smkn12malang.sch.id</t>
  </si>
  <si>
    <t>Yr]-g=8dq/Wj</t>
  </si>
  <si>
    <t>dkv20238216.siswa@smkn12malang.sch.id</t>
  </si>
  <si>
    <t>C[Kt82vcZFV[</t>
  </si>
  <si>
    <t>dkv20238229.siswa@smkn12malang.sch.id</t>
  </si>
  <si>
    <t>T]N.k.%S4)&amp;x</t>
  </si>
  <si>
    <t>dkv20238260.siswa@smkn12malang.sch.id</t>
  </si>
  <si>
    <t>D_NZv&amp;}2Bc+G</t>
  </si>
  <si>
    <t>dkv20238281.siswa@smkn12malang.sch.id</t>
  </si>
  <si>
    <t>fg)BY8gct/u[</t>
  </si>
  <si>
    <t>dkv20238284.siswa@smkn12malang.sch.id</t>
  </si>
  <si>
    <t>9KeXMA&gt;KqnwG</t>
  </si>
  <si>
    <t>dkv20238303.siswa@smkn12malang.sch.id</t>
  </si>
  <si>
    <t>-Wv%VZmNk2a$</t>
  </si>
  <si>
    <t>dkv20238314.siswa@smkn12malang.sch.id</t>
  </si>
  <si>
    <t>zU9)abJE!5MR</t>
  </si>
  <si>
    <t>dkv20238317.siswa@smkn12malang.sch.id</t>
  </si>
  <si>
    <t>p5Fm[3MZ-wT?</t>
  </si>
  <si>
    <t>dkv20238342.siswa@smkn12malang.sch.id</t>
  </si>
  <si>
    <t>M5%(.XUkgm6k</t>
  </si>
  <si>
    <t>dkv20238350.siswa@smkn12malang.sch.id</t>
  </si>
  <si>
    <t>Ef$5&amp;$p8fv?M</t>
  </si>
  <si>
    <t>dkv20238391.siswa@smkn12malang.sch.id</t>
  </si>
  <si>
    <t>w&gt;r-kDeUrmr2</t>
  </si>
  <si>
    <t>dkv20238409.siswa@smkn12malang.sch.id</t>
  </si>
  <si>
    <t>)Kgb._8m*]VY</t>
  </si>
  <si>
    <t>dkv20238419.siswa@smkn12malang.sch.id</t>
  </si>
  <si>
    <t>*K6kH+d9EPA-</t>
  </si>
  <si>
    <t>dkv20238445.siswa@smkn12malang.sch.id</t>
  </si>
  <si>
    <t>dJh6-}u.?sgY</t>
  </si>
  <si>
    <t>dkv20238452.siswa@smkn12malang.sch.id</t>
  </si>
  <si>
    <t>^dWZM?q9w}T2</t>
  </si>
  <si>
    <t>dkv20238471.siswa@smkn12malang.sch.id</t>
  </si>
  <si>
    <t>&amp;D4fy//tAhUw</t>
  </si>
  <si>
    <t>dkv20238481.siswa@smkn12malang.sch.id</t>
  </si>
  <si>
    <t>29**YV*LNqUR</t>
  </si>
  <si>
    <t>dkv20238511.siswa@smkn12malang.sch.id</t>
  </si>
  <si>
    <t>WH5ME3FmS?7p</t>
  </si>
  <si>
    <t>dkv20238512.siswa@smkn12malang.sch.id</t>
  </si>
  <si>
    <t>fA&amp;3y!k?u7&gt;_</t>
  </si>
  <si>
    <t>dkv20238561.siswa@smkn12malang.sch.id</t>
  </si>
  <si>
    <t>a?N@HYx8zTrg</t>
  </si>
  <si>
    <t>dkv20238579.siswa@smkn12malang.sch.id</t>
  </si>
  <si>
    <t>jsCcF$%4RQ!w</t>
  </si>
  <si>
    <t>dkv20238588.siswa@smkn12malang.sch.id</t>
  </si>
  <si>
    <t>b5N-k?_VN^sN</t>
  </si>
  <si>
    <t>dkv20238599.siswa@smkn12malang.sch.id</t>
  </si>
  <si>
    <t>zgQysV&amp;6qmvY</t>
  </si>
  <si>
    <t>dkv20238603.siswa@smkn12malang.sch.id</t>
  </si>
  <si>
    <t>eTCjn7%[ZMs%</t>
  </si>
  <si>
    <t>dkv20238617.siswa@smkn12malang.sch.id</t>
  </si>
  <si>
    <t>b6YtyDGc7E&gt;f</t>
  </si>
  <si>
    <t>dkv20238631.siswa@smkn12malang.sch.id</t>
  </si>
  <si>
    <t>%mHtFSn637&gt;y</t>
  </si>
  <si>
    <t>dkv20238036.siswa@smkn12malang.sch.id</t>
  </si>
  <si>
    <t>g&gt;7Py!!]A}my</t>
  </si>
  <si>
    <t>dkv20238041.siswa@smkn12malang.sch.id</t>
  </si>
  <si>
    <t>]PbK{9Ejx8&gt;e</t>
  </si>
  <si>
    <t>dkv20238054.siswa@smkn12malang.sch.id</t>
  </si>
  <si>
    <t>%FAZ+e4U5zX6</t>
  </si>
  <si>
    <t>dkv20238058.siswa@smkn12malang.sch.id</t>
  </si>
  <si>
    <t>dJ}ZxT8MgJC=</t>
  </si>
  <si>
    <t>dkv20238085.siswa@smkn12malang.sch.id</t>
  </si>
  <si>
    <t>xFr]X2u]Aw*t</t>
  </si>
  <si>
    <t>dkv20238141.siswa@smkn12malang.sch.id</t>
  </si>
  <si>
    <t>Xyk!E2WV]4XK</t>
  </si>
  <si>
    <t>dkv20238146.siswa@smkn12malang.sch.id</t>
  </si>
  <si>
    <t>H}37kx{b3Wn}</t>
  </si>
  <si>
    <t>dkv20238189.siswa@smkn12malang.sch.id</t>
  </si>
  <si>
    <t>ZjqXG!bV$h4n</t>
  </si>
  <si>
    <t>dkv20238204.siswa@smkn12malang.sch.id</t>
  </si>
  <si>
    <t>h7tcvH&gt;?xa@F</t>
  </si>
  <si>
    <t>dkv20238215.siswa@smkn12malang.sch.id</t>
  </si>
  <si>
    <t>bXtZp5[rpu42</t>
  </si>
  <si>
    <t>dkv20238244.siswa@smkn12malang.sch.id</t>
  </si>
  <si>
    <t>5}AZrskAdC=S</t>
  </si>
  <si>
    <t>dkv20238245.siswa@smkn12malang.sch.id</t>
  </si>
  <si>
    <t>L_c!BM/3aQWd</t>
  </si>
  <si>
    <t>dkv20238276.siswa@smkn12malang.sch.id</t>
  </si>
  <si>
    <t>.NfYD98H?FYC</t>
  </si>
  <si>
    <t>0084546198</t>
  </si>
  <si>
    <t>dkv20238298.siswa@smkn12malang.sch.id</t>
  </si>
  <si>
    <t>nFX{6aEud&amp;A9</t>
  </si>
  <si>
    <t>dkv20238308.siswa@smkn12malang.sch.id</t>
  </si>
  <si>
    <t>npdwez}+R5qJ</t>
  </si>
  <si>
    <t>dkv20238316.siswa@smkn12malang.sch.id</t>
  </si>
  <si>
    <t>uk(EMJU%4s_P</t>
  </si>
  <si>
    <t>dkv20238322.siswa@smkn12malang.sch.id</t>
  </si>
  <si>
    <t>[h@8/e/v]@L]</t>
  </si>
  <si>
    <t>dkv20238326.siswa@smkn12malang.sch.id</t>
  </si>
  <si>
    <t>(!/(x)9}qStc</t>
  </si>
  <si>
    <t>dkv20238343.siswa@smkn12malang.sch.id</t>
  </si>
  <si>
    <t>&gt;F765}JtAf4b</t>
  </si>
  <si>
    <t>dkv20238351.siswa@smkn12malang.sch.id</t>
  </si>
  <si>
    <t>/=k6F$e4mQwK</t>
  </si>
  <si>
    <t>dkv20238404.siswa@smkn12malang.sch.id</t>
  </si>
  <si>
    <t>?C]VHQ*z7Kkc</t>
  </si>
  <si>
    <t>dkv20238411.siswa@smkn12malang.sch.id</t>
  </si>
  <si>
    <t>hvVM{Z5e2hB}</t>
  </si>
  <si>
    <t>dkv20238422.siswa@smkn12malang.sch.id</t>
  </si>
  <si>
    <t>sWJy^hbQk9)x</t>
  </si>
  <si>
    <t>dkv20238437.siswa@smkn12malang.sch.id</t>
  </si>
  <si>
    <t>CR7{*/K!8&gt;w7</t>
  </si>
  <si>
    <t>dkv20238451.siswa@smkn12malang.sch.id</t>
  </si>
  <si>
    <t>[dXt[M?2s*gL</t>
  </si>
  <si>
    <t>dkv20238453.siswa@smkn12malang.sch.id</t>
  </si>
  <si>
    <t>69(H&gt;KAsUb.5</t>
  </si>
  <si>
    <t>dkv20238484.siswa@smkn12malang.sch.id</t>
  </si>
  <si>
    <t>&amp;W_7D&amp;}GRbep</t>
  </si>
  <si>
    <t>dkv20238510.siswa@smkn12malang.sch.id</t>
  </si>
  <si>
    <t>pcbw9u)%]DP[</t>
  </si>
  <si>
    <t>dkv20238514.siswa@smkn12malang.sch.id</t>
  </si>
  <si>
    <t>Q.3-VssUKcf%</t>
  </si>
  <si>
    <t>dkv20238544.siswa@smkn12malang.sch.id</t>
  </si>
  <si>
    <t>}96LqNvR75F$</t>
  </si>
  <si>
    <t>dkv20238575.siswa@smkn12malang.sch.id</t>
  </si>
  <si>
    <t>?NT7A8$]Ynrm</t>
  </si>
  <si>
    <t>dkv20238580.siswa@smkn12malang.sch.id</t>
  </si>
  <si>
    <t>*A7k^M$LVmWY</t>
  </si>
  <si>
    <t>dkv20238589.siswa@smkn12malang.sch.id</t>
  </si>
  <si>
    <t>bCRS?F4_qT}m</t>
  </si>
  <si>
    <t>dkv20238611.siswa@smkn12malang.sch.id</t>
  </si>
  <si>
    <t>n+mveDw*4.nf</t>
  </si>
  <si>
    <t>dkv20238614.siswa@smkn12malang.sch.id</t>
  </si>
  <si>
    <t>CrCu&gt;%w4DUbt</t>
  </si>
  <si>
    <t>dkv20238621.siswa@smkn12malang.sch.id</t>
  </si>
  <si>
    <t>)tE)GFtV[4B[</t>
  </si>
  <si>
    <t>jkt20238026.siswa@smkn12malang.sch.id</t>
  </si>
  <si>
    <t>?/9wxX5f4z.s</t>
  </si>
  <si>
    <t>jkt20238039.siswa@smkn12malang.sch.id</t>
  </si>
  <si>
    <t>r^{aHC4QLZp}</t>
  </si>
  <si>
    <t>jkt20238063.siswa@smkn12malang.sch.id</t>
  </si>
  <si>
    <t>URC-3V!xt!Ma</t>
  </si>
  <si>
    <t>jkt20238104.siswa@smkn12malang.sch.id</t>
  </si>
  <si>
    <t>9n)Psd[t!@YL</t>
  </si>
  <si>
    <t>jkt20238156.siswa@smkn12malang.sch.id</t>
  </si>
  <si>
    <t>=}Gj2VEYkX-b</t>
  </si>
  <si>
    <t>24 January 2008</t>
  </si>
  <si>
    <t>3507246401080003</t>
  </si>
  <si>
    <t>jkt20238170.siswa@smkn12malang.sch.id</t>
  </si>
  <si>
    <t>TGRNjcb-5)$z</t>
  </si>
  <si>
    <t>jkt20238177.siswa@smkn12malang.sch.id</t>
  </si>
  <si>
    <t>ktxn52.-r_Ng</t>
  </si>
  <si>
    <t>jkt20238190.siswa@smkn12malang.sch.id</t>
  </si>
  <si>
    <t>pumW{mU*Bmt9</t>
  </si>
  <si>
    <t>jkt20238211.siswa@smkn12malang.sch.id</t>
  </si>
  <si>
    <t>UW+f38udX&amp;SX</t>
  </si>
  <si>
    <t>jkt20238228.siswa@smkn12malang.sch.id</t>
  </si>
  <si>
    <t>G9/azSD2{5mb</t>
  </si>
  <si>
    <t>jkt20238257.siswa@smkn12malang.sch.id</t>
  </si>
  <si>
    <t>QW4v8b68YDx^</t>
  </si>
  <si>
    <t>15 March 2008</t>
  </si>
  <si>
    <t>3507241503080008</t>
  </si>
  <si>
    <t>jkt20238283.siswa@smkn12malang.sch.id</t>
  </si>
  <si>
    <t>&amp;&amp;7XnWFS5?]u</t>
  </si>
  <si>
    <t>jkt20238330.siswa@smkn12malang.sch.id</t>
  </si>
  <si>
    <t>FM%G]RP?6NaN</t>
  </si>
  <si>
    <t>jkt20238341.siswa@smkn12malang.sch.id</t>
  </si>
  <si>
    <t>e(kp3T$Z^c}x</t>
  </si>
  <si>
    <t>6401045009070002</t>
  </si>
  <si>
    <t>jkt20238359.siswa@smkn12malang.sch.id</t>
  </si>
  <si>
    <t>ar3u)WswvC-z</t>
  </si>
  <si>
    <t>jkt20238375.siswa@smkn12malang.sch.id</t>
  </si>
  <si>
    <t>!UZ47XvTR!7b</t>
  </si>
  <si>
    <t>jkt20238416.siswa@smkn12malang.sch.id</t>
  </si>
  <si>
    <t>yYTHcf6A}yf{</t>
  </si>
  <si>
    <t>8 March 2007</t>
  </si>
  <si>
    <t>3507180803070003</t>
  </si>
  <si>
    <t>jkt20238408.siswa@smkn12malang.sch.id</t>
  </si>
  <si>
    <t>N(X%N^4.H4$u</t>
  </si>
  <si>
    <t>jkt20238417.siswa@smkn12malang.sch.id</t>
  </si>
  <si>
    <t>j7P._rsu]b%f</t>
  </si>
  <si>
    <t>jkt20238418.siswa@smkn12malang.sch.id</t>
  </si>
  <si>
    <t>b7MJL?a7u=dS</t>
  </si>
  <si>
    <t>3507182201080002</t>
  </si>
  <si>
    <t>jkt20238337.siswa@smkn12malang.sch.id</t>
  </si>
  <si>
    <t>Ge+ZC4SHcU[3</t>
  </si>
  <si>
    <t>jkt20238428.siswa@smkn12malang.sch.id</t>
  </si>
  <si>
    <t>&gt;7T*V?AZ5fZ]</t>
  </si>
  <si>
    <t>15 May 2007</t>
  </si>
  <si>
    <t>3507251505070001</t>
  </si>
  <si>
    <t>jkt20238429.siswa@smkn12malang.sch.id</t>
  </si>
  <si>
    <t>5c(]E2^M+cK2</t>
  </si>
  <si>
    <t>jkt20238459.siswa@smkn12malang.sch.id</t>
  </si>
  <si>
    <t>$RKjn{$sz8z6</t>
  </si>
  <si>
    <t>jkt20238460.siswa@smkn12malang.sch.id</t>
  </si>
  <si>
    <t>7U.pU&gt;G3.{r6</t>
  </si>
  <si>
    <t>29 February 2008</t>
  </si>
  <si>
    <t>3573042902080003</t>
  </si>
  <si>
    <t>jkt20238480.siswa@smkn12malang.sch.id</t>
  </si>
  <si>
    <t>4x=n&amp;}JdVxPj</t>
  </si>
  <si>
    <t>jkt20238499.siswa@smkn12malang.sch.id</t>
  </si>
  <si>
    <t>Dt/BS]*D5Uev</t>
  </si>
  <si>
    <t>jkt20238539.siswa@smkn12malang.sch.id</t>
  </si>
  <si>
    <t>u4Nq&amp;4zv$4N6</t>
  </si>
  <si>
    <t>jkt20238540.siswa@smkn12malang.sch.id</t>
  </si>
  <si>
    <t>=+P}kGn$*f2UV</t>
  </si>
  <si>
    <t>jkt20238541.siswa@smkn12malang.sch.id</t>
  </si>
  <si>
    <t>)4xv$Dm.DS98</t>
  </si>
  <si>
    <t>3507246009070003</t>
  </si>
  <si>
    <t>jkt20238587.siswa@smkn12malang.sch.id</t>
  </si>
  <si>
    <t>[dq-FAbF3KV?</t>
  </si>
  <si>
    <t>jkt20238605.siswa@smkn12malang.sch.id</t>
  </si>
  <si>
    <t>nVA72g&amp;sN*cM</t>
  </si>
  <si>
    <t>jkt20238613.siswa@smkn12malang.sch.id</t>
  </si>
  <si>
    <t>C6+&gt;[Ee+$rVD</t>
  </si>
  <si>
    <t>jkt20238044.siswa@smkn12malang.sch.id</t>
  </si>
  <si>
    <t>c2-K6A/-LbH(</t>
  </si>
  <si>
    <t>jkt20238047.siswa@smkn12malang.sch.id</t>
  </si>
  <si>
    <t>[s9}p3mA]GNp</t>
  </si>
  <si>
    <t>21 June 2008</t>
  </si>
  <si>
    <t>3507252106080001</t>
  </si>
  <si>
    <t>jkt20238074.siswa@smkn12malang.sch.id</t>
  </si>
  <si>
    <t>NVB)ZpTZ5a2U</t>
  </si>
  <si>
    <t>3 October 2007</t>
  </si>
  <si>
    <t>3573030310070005</t>
  </si>
  <si>
    <t>jkt20238080.siswa@smkn12malang.sch.id</t>
  </si>
  <si>
    <t>huuX&gt;MmwU4&gt;6</t>
  </si>
  <si>
    <t>jkt20238089.siswa@smkn12malang.sch.id</t>
  </si>
  <si>
    <t>Jv?%5E]t&gt;XSX</t>
  </si>
  <si>
    <t>jkt20238103.siswa@smkn12malang.sch.id</t>
  </si>
  <si>
    <t>6xUWR5XcY+Xf</t>
  </si>
  <si>
    <t>8 January 2008</t>
  </si>
  <si>
    <t>3507240801080002</t>
  </si>
  <si>
    <t>jkt20238137.siswa@smkn12malang.sch.id</t>
  </si>
  <si>
    <t>N]H5wY[$e6)!</t>
  </si>
  <si>
    <t>12 May 2008</t>
  </si>
  <si>
    <t>3507185205080001</t>
  </si>
  <si>
    <t>jkt20238154.siswa@smkn12malang.sch.id</t>
  </si>
  <si>
    <t>pWzW}d7_}SUe</t>
  </si>
  <si>
    <t>jkt20238191.siswa@smkn12malang.sch.id</t>
  </si>
  <si>
    <t>?dJ]2B&amp;e7zE?</t>
  </si>
  <si>
    <t>28 July 2007</t>
  </si>
  <si>
    <t>3507242807070002</t>
  </si>
  <si>
    <t>jkt20238208.siswa@smkn12malang.sch.id</t>
  </si>
  <si>
    <t>/7)2!%mP+bv-</t>
  </si>
  <si>
    <t>3507255104080001</t>
  </si>
  <si>
    <t>jkt20238235.siswa@smkn12malang.sch.id</t>
  </si>
  <si>
    <t>mTES8*V-YT=8</t>
  </si>
  <si>
    <t>3507242302080001</t>
  </si>
  <si>
    <t>jkt20238238.siswa@smkn12malang.sch.id</t>
  </si>
  <si>
    <t>&amp;_qwS^tdhxn5</t>
  </si>
  <si>
    <t>12 February 2008</t>
  </si>
  <si>
    <t>3507245202080002</t>
  </si>
  <si>
    <t>jkt20238242.siswa@smkn12malang.sch.id</t>
  </si>
  <si>
    <t>mGUp.)t5UZjM</t>
  </si>
  <si>
    <t>jkt20238300.siswa@smkn12malang.sch.id</t>
  </si>
  <si>
    <t>L&amp;Nu+P8z_5mb</t>
  </si>
  <si>
    <t>16 October 2007</t>
  </si>
  <si>
    <t>3573011610070001</t>
  </si>
  <si>
    <t>jkt20238301.siswa@smkn12malang.sch.id</t>
  </si>
  <si>
    <t>TyedKj&amp;z6(-{</t>
  </si>
  <si>
    <t>jkt20238309.siswa@smkn12malang.sch.id</t>
  </si>
  <si>
    <t>%3Q/CSWb]q6D</t>
  </si>
  <si>
    <t>3509128902080005</t>
  </si>
  <si>
    <t>jkt20238319.siswa@smkn12malang.sch.id</t>
  </si>
  <si>
    <t>(yVF3g5cMm}N</t>
  </si>
  <si>
    <t>jkt20238329.siswa@smkn12malang.sch.id</t>
  </si>
  <si>
    <t>vTLWWX&amp;g]D8F</t>
  </si>
  <si>
    <t>jkt20238357.siswa@smkn12malang.sch.id</t>
  </si>
  <si>
    <t>q$A+m=H^n4PB</t>
  </si>
  <si>
    <t>2 October 2007</t>
  </si>
  <si>
    <t>jkt20238361.siswa@smkn12malang.sch.id</t>
  </si>
  <si>
    <t>)$j_p+C/q[7%</t>
  </si>
  <si>
    <t>3507240504080008</t>
  </si>
  <si>
    <t>jkt20238385.siswa@smkn12malang.sch.id</t>
  </si>
  <si>
    <t>ygQv$2k.2e^?</t>
  </si>
  <si>
    <t>3573012909070011</t>
  </si>
  <si>
    <t>jkt20238396.siswa@smkn12malang.sch.id</t>
  </si>
  <si>
    <t>%YUPhMd&gt;h+79</t>
  </si>
  <si>
    <t>3507252004070001</t>
  </si>
  <si>
    <t>jkt20238470.siswa@smkn12malang.sch.id</t>
  </si>
  <si>
    <t>!=Xg+s7zd2Ch</t>
  </si>
  <si>
    <t>29 June 2007</t>
  </si>
  <si>
    <t>3507186906070002</t>
  </si>
  <si>
    <t>jkt20238486.siswa@smkn12malang.sch.id</t>
  </si>
  <si>
    <t>.g3Qn-k.=b]-</t>
  </si>
  <si>
    <t>21 May 2007</t>
  </si>
  <si>
    <t>3507186105070002</t>
  </si>
  <si>
    <t>jkt20238494.siswa@smkn12malang.sch.id</t>
  </si>
  <si>
    <t>22&amp;G^?Ts-aus</t>
  </si>
  <si>
    <t>jkt20238500.siswa@smkn12malang.sch.id</t>
  </si>
  <si>
    <t>sv*uQG2srHZU</t>
  </si>
  <si>
    <t>17 December 2007</t>
  </si>
  <si>
    <t>jkt20238525.siswa@smkn12malang.sch.id</t>
  </si>
  <si>
    <t>@9eh!FWyLZNr</t>
  </si>
  <si>
    <t>1 June 2008</t>
  </si>
  <si>
    <t>3507254106080001</t>
  </si>
  <si>
    <t>jkt20238548.siswa@smkn12malang.sch.id</t>
  </si>
  <si>
    <t>JMX8RzH6a!BH</t>
  </si>
  <si>
    <t>8 May 2007</t>
  </si>
  <si>
    <t>3504100805070003</t>
  </si>
  <si>
    <t>jkt20238559.siswa@smkn12malang.sch.id</t>
  </si>
  <si>
    <t>=+&amp;+{h4C.5V?6</t>
  </si>
  <si>
    <t>jkt20238572.siswa@smkn12malang.sch.id</t>
  </si>
  <si>
    <t>)9%5Je4FFJyE</t>
  </si>
  <si>
    <t>3507255009070002</t>
  </si>
  <si>
    <t>jkt20238602.siswa@smkn12malang.sch.id</t>
  </si>
  <si>
    <t>7G?_)VP}Bkr/</t>
  </si>
  <si>
    <t>jkt20238604.siswa@smkn12malang.sch.id</t>
  </si>
  <si>
    <t>-&amp;$)}eu.4J=k</t>
  </si>
  <si>
    <t>3507186302080001</t>
  </si>
  <si>
    <t>jkt20238608.siswa@smkn12malang.sch.id</t>
  </si>
  <si>
    <t>nXj49.yz}=Zy</t>
  </si>
  <si>
    <t>25 January 2008</t>
  </si>
  <si>
    <t>3507246501080002</t>
  </si>
  <si>
    <t>jkt20238610.siswa@smkn12malang.sch.id</t>
  </si>
  <si>
    <t>rnNjv-Ged_-3</t>
  </si>
  <si>
    <t>jkt20238624.siswa@smkn12malang.sch.id</t>
  </si>
  <si>
    <t>AARSau3)!7WR</t>
  </si>
  <si>
    <t>klr20238040.siswa@smkn12malang.sch.id</t>
  </si>
  <si>
    <t>$EktH2_[QTj4</t>
  </si>
  <si>
    <t>klr20238068.siswa@smkn12malang.sch.id</t>
  </si>
  <si>
    <t>nv){*QM+J+5]</t>
  </si>
  <si>
    <t>klr20238095.siswa@smkn12malang.sch.id</t>
  </si>
  <si>
    <t>LZy-bnJ[$4ww</t>
  </si>
  <si>
    <t>klr20238124.siswa@smkn12malang.sch.id</t>
  </si>
  <si>
    <t>s-B7R-(/cmad</t>
  </si>
  <si>
    <t>klr20238163.siswa@smkn12malang.sch.id</t>
  </si>
  <si>
    <t>)aXSk&amp;YF6Z3!</t>
  </si>
  <si>
    <t>klr20238175.siswa@smkn12malang.sch.id</t>
  </si>
  <si>
    <t>bG?Vbc6Xtq28</t>
  </si>
  <si>
    <t>klr20238182.siswa@smkn12malang.sch.id</t>
  </si>
  <si>
    <t>/Q%Q2R+*4aqA</t>
  </si>
  <si>
    <t>klr20238193.siswa@smkn12malang.sch.id</t>
  </si>
  <si>
    <t>sN7[JS4}6@k&gt;</t>
  </si>
  <si>
    <t>klr20238203.siswa@smkn12malang.sch.id</t>
  </si>
  <si>
    <t>X{7vkRAxA-&gt;a</t>
  </si>
  <si>
    <t>klr20238220.siswa@smkn12malang.sch.id</t>
  </si>
  <si>
    <t>sKVBk&amp;cMMPB3</t>
  </si>
  <si>
    <t>klr20238243.siswa@smkn12malang.sch.id</t>
  </si>
  <si>
    <t>emH@%jw58=(n</t>
  </si>
  <si>
    <t>klr20238256.siswa@smkn12malang.sch.id</t>
  </si>
  <si>
    <t>8a[^ZY]A3BYV</t>
  </si>
  <si>
    <t>klr20238285.siswa@smkn12malang.sch.id</t>
  </si>
  <si>
    <t>9CKtR=%NFcUc</t>
  </si>
  <si>
    <t>klr20238292.siswa@smkn12malang.sch.id</t>
  </si>
  <si>
    <t>LxEbTz9&gt;=tY3</t>
  </si>
  <si>
    <t>klr20238307.siswa@smkn12malang.sch.id</t>
  </si>
  <si>
    <t>?)8.6j-t@aTY</t>
  </si>
  <si>
    <t>klr20238382.siswa@smkn12malang.sch.id</t>
  </si>
  <si>
    <t>VX!q}8SZ^j2r</t>
  </si>
  <si>
    <t>klr20238425.siswa@smkn12malang.sch.id</t>
  </si>
  <si>
    <t>c6_5.FeuDAE2</t>
  </si>
  <si>
    <t>klr20238438.siswa@smkn12malang.sch.id</t>
  </si>
  <si>
    <t>zRr{h/9K&gt;czY</t>
  </si>
  <si>
    <t>klr20238444.siswa@smkn12malang.sch.id</t>
  </si>
  <si>
    <t>?xv(x8J))p9(</t>
  </si>
  <si>
    <t>klr20238466.siswa@smkn12malang.sch.id</t>
  </si>
  <si>
    <t>SsbWNu/H9&amp;Qu</t>
  </si>
  <si>
    <t>klr20238485.siswa@smkn12malang.sch.id</t>
  </si>
  <si>
    <t>JG@8RBzD9x&gt;8</t>
  </si>
  <si>
    <t>klr20238497.siswa@smkn12malang.sch.id</t>
  </si>
  <si>
    <t>R8_+wcM}jYW%</t>
  </si>
  <si>
    <t>klr20238498.siswa@smkn12malang.sch.id</t>
  </si>
  <si>
    <t>?jKt(n2Y(t=)</t>
  </si>
  <si>
    <t>klr20238508.siswa@smkn12malang.sch.id</t>
  </si>
  <si>
    <t>BZZPkat-ZY5g</t>
  </si>
  <si>
    <t>klr20238513.siswa@smkn12malang.sch.id</t>
  </si>
  <si>
    <t>5F5{/*sQLM-L</t>
  </si>
  <si>
    <t>klr20238542.siswa@smkn12malang.sch.id</t>
  </si>
  <si>
    <t>?FH)y&amp;an4{/y</t>
  </si>
  <si>
    <t>klr20238549.siswa@smkn12malang.sch.id</t>
  </si>
  <si>
    <t>qC3zS3)gB7A{</t>
  </si>
  <si>
    <t>klr20238555.siswa@smkn12malang.sch.id</t>
  </si>
  <si>
    <t>pNJpv7?6Gp)N</t>
  </si>
  <si>
    <t>klr20238558.siswa@smkn12malang.sch.id</t>
  </si>
  <si>
    <t>4um4@6R&amp;rE^f</t>
  </si>
  <si>
    <t>klr20238565.siswa@smkn12malang.sch.id</t>
  </si>
  <si>
    <t>j)q.(&amp;Bcc8B7</t>
  </si>
  <si>
    <t>klr20238569.siswa@smkn12malang.sch.id</t>
  </si>
  <si>
    <t>_?2$TxBb.gw%</t>
  </si>
  <si>
    <t>klr20238594.siswa@smkn12malang.sch.id</t>
  </si>
  <si>
    <t>cP4J7N[p2@%b</t>
  </si>
  <si>
    <t>klr20238595.siswa@smkn12malang.sch.id</t>
  </si>
  <si>
    <t>AT9@EGNr]gRj</t>
  </si>
  <si>
    <t>klr20238612.siswa@smkn12malang.sch.id</t>
  </si>
  <si>
    <t>5TAY7RR5t{Cy</t>
  </si>
  <si>
    <t>klr20238627.siswa@smkn12malang.sch.id</t>
  </si>
  <si>
    <t>T^=tw{q{Lw2Y</t>
  </si>
  <si>
    <t>oto20238025.siswa@smkn12malang.sch.id</t>
  </si>
  <si>
    <t>*7D)up4PjzrU</t>
  </si>
  <si>
    <t>oto20238037.siswa@smkn12malang.sch.id</t>
  </si>
  <si>
    <t>fw({*K4$v.(Z</t>
  </si>
  <si>
    <t>oto20238059.siswa@smkn12malang.sch.id</t>
  </si>
  <si>
    <t>JkFC7L)gkdA!</t>
  </si>
  <si>
    <t>oto20238062.siswa@smkn12malang.sch.id</t>
  </si>
  <si>
    <t>uW9e{Qft2_Vg</t>
  </si>
  <si>
    <t>oto20238116.siswa@smkn12malang.sch.id</t>
  </si>
  <si>
    <t>Q4q^fZKwD!kT</t>
  </si>
  <si>
    <t>oto20238133.siswa@smkn12malang.sch.id</t>
  </si>
  <si>
    <t>A9}2E&gt;*6^9z^</t>
  </si>
  <si>
    <t>oto20238169.siswa@smkn12malang.sch.id</t>
  </si>
  <si>
    <t>FD^prf8$byH&gt;</t>
  </si>
  <si>
    <t>oto20238194.siswa@smkn12malang.sch.id</t>
  </si>
  <si>
    <t>RpU@KrLe]8Ad</t>
  </si>
  <si>
    <t>oto20238232.siswa@smkn12malang.sch.id</t>
  </si>
  <si>
    <t>A.pC.s6=AzAF</t>
  </si>
  <si>
    <t>oto20238254.siswa@smkn12malang.sch.id</t>
  </si>
  <si>
    <t>^kSxw3t)H3b}</t>
  </si>
  <si>
    <t>oto20238265.siswa@smkn12malang.sch.id</t>
  </si>
  <si>
    <t>Ed%am&gt;pq5QX*</t>
  </si>
  <si>
    <t>oto20238272.siswa@smkn12malang.sch.id</t>
  </si>
  <si>
    <t>3HMpM*8Xtvd(</t>
  </si>
  <si>
    <t>oto20238280.siswa@smkn12malang.sch.id</t>
  </si>
  <si>
    <t>CT3x(xzzBZB!</t>
  </si>
  <si>
    <t>oto20238293.siswa@smkn12malang.sch.id</t>
  </si>
  <si>
    <t>)7f4?.L[4XSB</t>
  </si>
  <si>
    <t>oto20238333.siswa@smkn12malang.sch.id</t>
  </si>
  <si>
    <t>TP2&amp;}g$FUC)8</t>
  </si>
  <si>
    <t>oto20238348.siswa@smkn12malang.sch.id</t>
  </si>
  <si>
    <t>KGX3G/(%Ywds</t>
  </si>
  <si>
    <t>oto20238365.siswa@smkn12malang.sch.id</t>
  </si>
  <si>
    <t>*/Y%[DktZVE8</t>
  </si>
  <si>
    <t>oto20238371.siswa@smkn12malang.sch.id</t>
  </si>
  <si>
    <t>-E]&gt;/Ru^]&amp;44</t>
  </si>
  <si>
    <t>oto20238380.siswa@smkn12malang.sch.id</t>
  </si>
  <si>
    <t>9836ApWW/&amp;_%</t>
  </si>
  <si>
    <t>oto20238392.siswa@smkn12malang.sch.id</t>
  </si>
  <si>
    <t>b8ES)VT.+7xE</t>
  </si>
  <si>
    <t>oto20238401.siswa@smkn12malang.sch.id</t>
  </si>
  <si>
    <t>@@vdCYqz-{6_</t>
  </si>
  <si>
    <t>oto20238405.siswa@smkn12malang.sch.id</t>
  </si>
  <si>
    <t>rys4&amp;N(w)4Q[</t>
  </si>
  <si>
    <t>oto20238414.siswa@smkn12malang.sch.id</t>
  </si>
  <si>
    <t>8H8!Bfajw3*/</t>
  </si>
  <si>
    <t>oto20238423.siswa@smkn12malang.sch.id</t>
  </si>
  <si>
    <t>2d3QQem=^(pZ</t>
  </si>
  <si>
    <t>oto20238434.siswa@smkn12malang.sch.id</t>
  </si>
  <si>
    <t>x=4E!YqnK+=k</t>
  </si>
  <si>
    <t>oto20238473.siswa@smkn12malang.sch.id</t>
  </si>
  <si>
    <t>EyRQ8$&gt;/gLe5</t>
  </si>
  <si>
    <t>oto20238478.siswa@smkn12malang.sch.id</t>
  </si>
  <si>
    <t>9PT?4rm]*[?r</t>
  </si>
  <si>
    <t>oto20238504.siswa@smkn12malang.sch.id</t>
  </si>
  <si>
    <t>^MD5ZJyD$WH/</t>
  </si>
  <si>
    <t>oto20238517.siswa@smkn12malang.sch.id</t>
  </si>
  <si>
    <t>w3%S*A%D!Np@</t>
  </si>
  <si>
    <t>oto20238537.siswa@smkn12malang.sch.id</t>
  </si>
  <si>
    <t>2VD(tf[t5jT$</t>
  </si>
  <si>
    <t>oto20238592.siswa@smkn12malang.sch.id</t>
  </si>
  <si>
    <t>xqnL6SFN9&amp;PY</t>
  </si>
  <si>
    <t>oto20238028.siswa@smkn12malang.sch.id</t>
  </si>
  <si>
    <t>kjaMW/4wjXx5</t>
  </si>
  <si>
    <t>3507180511070002</t>
  </si>
  <si>
    <t>oto20238042.siswa@smkn12malang.sch.id</t>
  </si>
  <si>
    <t>=+-n_]g2Es8h)</t>
  </si>
  <si>
    <t>oto20238050.siswa@smkn12malang.sch.id</t>
  </si>
  <si>
    <t>X8-t@]Us)-gZ</t>
  </si>
  <si>
    <t>oto20238065.siswa@smkn12malang.sch.id</t>
  </si>
  <si>
    <t>_j)Mr+8$baeN</t>
  </si>
  <si>
    <t>oto20238094.siswa@smkn12malang.sch.id</t>
  </si>
  <si>
    <t>TEZ^)Qvn2hSu</t>
  </si>
  <si>
    <t>oto20238110.siswa@smkn12malang.sch.id</t>
  </si>
  <si>
    <t>6@5jSkkE!R+Q</t>
  </si>
  <si>
    <t>oto20238118.siswa@smkn12malang.sch.id</t>
  </si>
  <si>
    <t>WCe@Z7d(tNPZ</t>
  </si>
  <si>
    <t>oto20238166.siswa@smkn12malang.sch.id</t>
  </si>
  <si>
    <t>8Tc6Vnj&amp;dY8{</t>
  </si>
  <si>
    <t>oto20238184.siswa@smkn12malang.sch.id</t>
  </si>
  <si>
    <t>t@u*w=Y3Tz3r</t>
  </si>
  <si>
    <t>oto20238218.siswa@smkn12malang.sch.id</t>
  </si>
  <si>
    <t>m-fa3hpD]&amp;p?</t>
  </si>
  <si>
    <t>oto20238233.siswa@smkn12malang.sch.id</t>
  </si>
  <si>
    <t>x5F*Dz(?{m94</t>
  </si>
  <si>
    <t>oto20238261.siswa@smkn12malang.sch.id</t>
  </si>
  <si>
    <t>R+W!bCz5d[B{</t>
  </si>
  <si>
    <t>oto20238270.siswa@smkn12malang.sch.id</t>
  </si>
  <si>
    <t>s_(M9E*2Hmw$</t>
  </si>
  <si>
    <t>oto20238274.siswa@smkn12malang.sch.id</t>
  </si>
  <si>
    <t>Su%gnjp4Jcug</t>
  </si>
  <si>
    <t>oto20238288.siswa@smkn12malang.sch.id</t>
  </si>
  <si>
    <t>?UVMHQpX_y@3</t>
  </si>
  <si>
    <t>oto20238328.siswa@smkn12malang.sch.id</t>
  </si>
  <si>
    <t>tU$3GPEVg^?B</t>
  </si>
  <si>
    <t>oto20238340.siswa@smkn12malang.sch.id</t>
  </si>
  <si>
    <t>pYxQc[.[&amp;Q8/</t>
  </si>
  <si>
    <t>oto20238360.siswa@smkn12malang.sch.id</t>
  </si>
  <si>
    <t>$$sVQcrK{Q53</t>
  </si>
  <si>
    <t>oto20238367.siswa@smkn12malang.sch.id</t>
  </si>
  <si>
    <t>?3BNzALKCfkA</t>
  </si>
  <si>
    <t>oto20238373.siswa@smkn12malang.sch.id</t>
  </si>
  <si>
    <t>Ze5BvpSr.PTE</t>
  </si>
  <si>
    <t>oto20238387.siswa@smkn12malang.sch.id</t>
  </si>
  <si>
    <t>6_djFqnpY.R8</t>
  </si>
  <si>
    <t>oto20238393.siswa@smkn12malang.sch.id</t>
  </si>
  <si>
    <t>m}te9yyEUJq9</t>
  </si>
  <si>
    <t>oto20238402.siswa@smkn12malang.sch.id</t>
  </si>
  <si>
    <t>@8-BnDJt8&gt;+=</t>
  </si>
  <si>
    <t>oto20238406.siswa@smkn12malang.sch.id</t>
  </si>
  <si>
    <t>TkA7FBE@).c.</t>
  </si>
  <si>
    <t>oto20238420.siswa@smkn12malang.sch.id</t>
  </si>
  <si>
    <t>m+%MD2dLssA{</t>
  </si>
  <si>
    <t>oto20238427.siswa@smkn12malang.sch.id</t>
  </si>
  <si>
    <t>4fC$XH9j-m^E</t>
  </si>
  <si>
    <t>oto20238435.siswa@smkn12malang.sch.id</t>
  </si>
  <si>
    <t>[FAgG9-(%j($</t>
  </si>
  <si>
    <t>oto20238465.siswa@smkn12malang.sch.id</t>
  </si>
  <si>
    <t>]hrL3Q?dGdL7</t>
  </si>
  <si>
    <t>oto20238475.siswa@smkn12malang.sch.id</t>
  </si>
  <si>
    <t>nT4ku8^5NGc-</t>
  </si>
  <si>
    <t>oto20238482.siswa@smkn12malang.sch.id</t>
  </si>
  <si>
    <t>r{%Q7YFSsa&gt;s</t>
  </si>
  <si>
    <t>oto20238496.siswa@smkn12malang.sch.id</t>
  </si>
  <si>
    <t>)9Q/uyj8jY=g</t>
  </si>
  <si>
    <t>oto20238507.siswa@smkn12malang.sch.id</t>
  </si>
  <si>
    <t>=*eU]R6C7RzK</t>
  </si>
  <si>
    <t>oto20238523.siswa@smkn12malang.sch.id</t>
  </si>
  <si>
    <t>wMQ3?[y8S2e{</t>
  </si>
  <si>
    <t>oto20238596.siswa@smkn12malang.sch.id</t>
  </si>
  <si>
    <t>XYUY5bML*!=X</t>
  </si>
  <si>
    <t>oto20238031.siswa@smkn12malang.sch.id</t>
  </si>
  <si>
    <t>z6]WrXetJLmd</t>
  </si>
  <si>
    <t>oto20238046.siswa@smkn12malang.sch.id</t>
  </si>
  <si>
    <t>q2?MucuzrekD</t>
  </si>
  <si>
    <t>oto20238061.siswa@smkn12malang.sch.id</t>
  </si>
  <si>
    <t>^$H*&gt;FP+Hv4n</t>
  </si>
  <si>
    <t>oto20238066.siswa@smkn12malang.sch.id</t>
  </si>
  <si>
    <t>w*=W{V[-=s[7</t>
  </si>
  <si>
    <t>oto20238107.siswa@smkn12malang.sch.id</t>
  </si>
  <si>
    <t>Uc5G(DveD*NY</t>
  </si>
  <si>
    <t>oto20238115.siswa@smkn12malang.sch.id</t>
  </si>
  <si>
    <t>p]KD(GLjpk4Z</t>
  </si>
  <si>
    <t>oto20238132.siswa@smkn12malang.sch.id</t>
  </si>
  <si>
    <t>?uk^b8wSp&gt;Bp</t>
  </si>
  <si>
    <t>oto20238138.siswa@smkn12malang.sch.id</t>
  </si>
  <si>
    <t>/A@4p}Kc=RRa</t>
  </si>
  <si>
    <t>oto20238168.siswa@smkn12malang.sch.id</t>
  </si>
  <si>
    <t>fR-eYW3&amp;37?B</t>
  </si>
  <si>
    <t>oto20238192.siswa@smkn12malang.sch.id</t>
  </si>
  <si>
    <t>su)aYh*LHxf7</t>
  </si>
  <si>
    <t>oto20238221.siswa@smkn12malang.sch.id</t>
  </si>
  <si>
    <t>?^tUa$L{3geu</t>
  </si>
  <si>
    <t>oto20238236.siswa@smkn12malang.sch.id</t>
  </si>
  <si>
    <t>d)LUSY5YH4vG</t>
  </si>
  <si>
    <t>oto20238263.siswa@smkn12malang.sch.id</t>
  </si>
  <si>
    <t>Kf4V*m.EAm6=</t>
  </si>
  <si>
    <t>oto20238271.siswa@smkn12malang.sch.id</t>
  </si>
  <si>
    <t>*nwBRgf6KDX&gt;</t>
  </si>
  <si>
    <t>oto20238289.siswa@smkn12malang.sch.id</t>
  </si>
  <si>
    <t>JF]UywxHS3{-</t>
  </si>
  <si>
    <t>oto20238331.siswa@smkn12malang.sch.id</t>
  </si>
  <si>
    <t>4=N2.ZN)Q&gt;rA</t>
  </si>
  <si>
    <t>oto20238345.siswa@smkn12malang.sch.id</t>
  </si>
  <si>
    <t>u8M!}MaLrT&gt;s</t>
  </si>
  <si>
    <t>oto20238364.siswa@smkn12malang.sch.id</t>
  </si>
  <si>
    <t>2*X/9u/5&gt;54B</t>
  </si>
  <si>
    <t>oto20238369.siswa@smkn12malang.sch.id</t>
  </si>
  <si>
    <t>QTv6Hpm^8@%b</t>
  </si>
  <si>
    <t>oto20238378.siswa@smkn12malang.sch.id</t>
  </si>
  <si>
    <t>*jFdCsK*b58D</t>
  </si>
  <si>
    <t>oto20238388.siswa@smkn12malang.sch.id</t>
  </si>
  <si>
    <t>q7)gC8dSY4A4</t>
  </si>
  <si>
    <t>oto20238397.siswa@smkn12malang.sch.id</t>
  </si>
  <si>
    <t>?bna(TA&gt;[j6f</t>
  </si>
  <si>
    <t>oto20238403.siswa@smkn12malang.sch.id</t>
  </si>
  <si>
    <t>P%kAZy]]8^a]</t>
  </si>
  <si>
    <t>oto20238407.siswa@smkn12malang.sch.id</t>
  </si>
  <si>
    <t>H^DjvdYSW2wc</t>
  </si>
  <si>
    <t>oto20238421.siswa@smkn12malang.sch.id</t>
  </si>
  <si>
    <t>%dMgyV9d/bFX</t>
  </si>
  <si>
    <t>oto20238430.siswa@smkn12malang.sch.id</t>
  </si>
  <si>
    <t>HA4*[jFp)wNR</t>
  </si>
  <si>
    <t>oto20238436.siswa@smkn12malang.sch.id</t>
  </si>
  <si>
    <t>F9%}.8Zvk3&amp;+</t>
  </si>
  <si>
    <t>oto20238467.siswa@smkn12malang.sch.id</t>
  </si>
  <si>
    <t>Lvf5mBQx&amp;zhk</t>
  </si>
  <si>
    <t>oto20238476.siswa@smkn12malang.sch.id</t>
  </si>
  <si>
    <t>eYnuVYJd[6=v</t>
  </si>
  <si>
    <t>oto20238488.siswa@smkn12malang.sch.id</t>
  </si>
  <si>
    <t>f@_7tkbLMVZ+</t>
  </si>
  <si>
    <t>oto20238502.siswa@smkn12malang.sch.id</t>
  </si>
  <si>
    <t>7!pqT.)*R9m.</t>
  </si>
  <si>
    <t>oto20238516.siswa@smkn12malang.sch.id</t>
  </si>
  <si>
    <t>(9p3Jt4zsmnN</t>
  </si>
  <si>
    <t>oto20238528.siswa@smkn12malang.sch.id</t>
  </si>
  <si>
    <t>y&gt;]46!!5qD)D</t>
  </si>
  <si>
    <t>oto20238584.siswa@smkn12malang.sch.id</t>
  </si>
  <si>
    <t>)R3DTsRz*-?W</t>
  </si>
  <si>
    <t>oto20238619.siswa@smkn12malang.sch.id</t>
  </si>
  <si>
    <t>6fpB&gt;VYQXeK(</t>
  </si>
  <si>
    <t>29 May 2008</t>
  </si>
  <si>
    <t>oto20238022.siswa@smkn12malang.sch.id</t>
  </si>
  <si>
    <t>&amp;8&amp;HV!Yqq/eD</t>
  </si>
  <si>
    <t>oto20238035.siswa@smkn12malang.sch.id</t>
  </si>
  <si>
    <t>b+L8K&amp;)h.rd-</t>
  </si>
  <si>
    <t>oto20238069.siswa@smkn12malang.sch.id</t>
  </si>
  <si>
    <t>_.$$HGv!{$9{</t>
  </si>
  <si>
    <t>oto20238087.siswa@smkn12malang.sch.id</t>
  </si>
  <si>
    <t>ge2E)UHMMY/W</t>
  </si>
  <si>
    <t>oto20238105.siswa@smkn12malang.sch.id</t>
  </si>
  <si>
    <t>a]!]8t4W&gt;c5Z</t>
  </si>
  <si>
    <t>oto20238113.siswa@smkn12malang.sch.id</t>
  </si>
  <si>
    <t>t!.{j4Pa8X({</t>
  </si>
  <si>
    <t>oto20238131.siswa@smkn12malang.sch.id</t>
  </si>
  <si>
    <t>G4b6unb3E_zK</t>
  </si>
  <si>
    <t>oto20238145.siswa@smkn12malang.sch.id</t>
  </si>
  <si>
    <t>cy/&gt;F9yx!7B?</t>
  </si>
  <si>
    <t>oto20238173.siswa@smkn12malang.sch.id</t>
  </si>
  <si>
    <t>=+xvrZ-+uDL9x</t>
  </si>
  <si>
    <t>oto20238179.siswa@smkn12malang.sch.id</t>
  </si>
  <si>
    <t>*2FZDPp__rCK</t>
  </si>
  <si>
    <t>oto20238201.siswa@smkn12malang.sch.id</t>
  </si>
  <si>
    <t>%v$3ruchTSN?</t>
  </si>
  <si>
    <t>oto20227592.siswa@smkn12malang.sch.id</t>
  </si>
  <si>
    <t>9FPae[C*h4Gk</t>
  </si>
  <si>
    <t>oto20238222.siswa@smkn12malang.sch.id</t>
  </si>
  <si>
    <t>hN2)Ba$P]2SN</t>
  </si>
  <si>
    <t>oto20238230.siswa@smkn12malang.sch.id</t>
  </si>
  <si>
    <t>y_.%m6}rSf!&gt;</t>
  </si>
  <si>
    <t>oto20238246.siswa@smkn12malang.sch.id</t>
  </si>
  <si>
    <t>%%LpLW8qUa%s</t>
  </si>
  <si>
    <t>oto20238275.siswa@smkn12malang.sch.id</t>
  </si>
  <si>
    <t>&amp;n7FJJ5RDug-</t>
  </si>
  <si>
    <t>oto20238325.siswa@smkn12malang.sch.id</t>
  </si>
  <si>
    <t>@N+[k7^tSy?%</t>
  </si>
  <si>
    <t>oto20238338.siswa@smkn12malang.sch.id</t>
  </si>
  <si>
    <t>x5)}bRg+ws5{</t>
  </si>
  <si>
    <t>oto20238366.siswa@smkn12malang.sch.id</t>
  </si>
  <si>
    <t>*(8JBBEDdunT</t>
  </si>
  <si>
    <t>oto20238370.siswa@smkn12malang.sch.id</t>
  </si>
  <si>
    <t>*JT+5]_Cr}48</t>
  </si>
  <si>
    <t>oto20238377.siswa@smkn12malang.sch.id</t>
  </si>
  <si>
    <t>%shdE&gt;-_m&gt;Q7</t>
  </si>
  <si>
    <t>oto20238383.siswa@smkn12malang.sch.id</t>
  </si>
  <si>
    <t>ET[Y[QvsGEv7</t>
  </si>
  <si>
    <t>oto20238389.siswa@smkn12malang.sch.id</t>
  </si>
  <si>
    <t>C^EANfdtnK[6</t>
  </si>
  <si>
    <t>oto20238390.siswa@smkn12malang.sch.id</t>
  </si>
  <si>
    <t>wzqjTEs!8^]k</t>
  </si>
  <si>
    <t>oto20238415.siswa@smkn12malang.sch.id</t>
  </si>
  <si>
    <t>yS2Pz.YJFVf$</t>
  </si>
  <si>
    <t>oto20238433.siswa@smkn12malang.sch.id</t>
  </si>
  <si>
    <t>2]UjUw@rXqKu</t>
  </si>
  <si>
    <t>oto20238489.siswa@smkn12malang.sch.id</t>
  </si>
  <si>
    <t>mtSQ*Z3a&amp;!X5</t>
  </si>
  <si>
    <t>oto20238495.siswa@smkn12malang.sch.id</t>
  </si>
  <si>
    <t>hJ_X)Tq&amp;5&gt;xL</t>
  </si>
  <si>
    <t>oto20238509.siswa@smkn12malang.sch.id</t>
  </si>
  <si>
    <t>3s$wrzRN=6NK</t>
  </si>
  <si>
    <t>oto20238526.siswa@smkn12malang.sch.id</t>
  </si>
  <si>
    <t>&gt;3]K&amp;DH}tNPH</t>
  </si>
  <si>
    <t>oto20238534.siswa@smkn12malang.sch.id</t>
  </si>
  <si>
    <t>^DCGJdw.WQ42</t>
  </si>
  <si>
    <t>oto20238545.siswa@smkn12malang.sch.id</t>
  </si>
  <si>
    <t>6s*3Thh$)Vam</t>
  </si>
  <si>
    <t>oto20238585.siswa@smkn12malang.sch.id</t>
  </si>
  <si>
    <t>bNb-xu%!T3BV</t>
  </si>
  <si>
    <t>oto20238601.siswa@smkn12malang.sch.id</t>
  </si>
  <si>
    <t>Fhu8a_b]zBL*</t>
  </si>
  <si>
    <t>oto20238049.siswa@smkn12malang.sch.id</t>
  </si>
  <si>
    <t>?68=*]!p{(dC</t>
  </si>
  <si>
    <t>oto20238064.siswa@smkn12malang.sch.id</t>
  </si>
  <si>
    <t>4@B%bRW8DRW^</t>
  </si>
  <si>
    <t>oto20238078.siswa@smkn12malang.sch.id</t>
  </si>
  <si>
    <t>B!UAr%ghFF?2</t>
  </si>
  <si>
    <t>oto20238092.siswa@smkn12malang.sch.id</t>
  </si>
  <si>
    <t>=+HN/^eMaqn?6</t>
  </si>
  <si>
    <t>oto20238106.siswa@smkn12malang.sch.id</t>
  </si>
  <si>
    <t>E9rQU@HHH8@z</t>
  </si>
  <si>
    <t>oto20238130.siswa@smkn12malang.sch.id</t>
  </si>
  <si>
    <t>K2wFh.Q_)jL4</t>
  </si>
  <si>
    <t>oto20238140.siswa@smkn12malang.sch.id</t>
  </si>
  <si>
    <t>5**cx(Y&gt;]fbu</t>
  </si>
  <si>
    <t>oto20238172.siswa@smkn12malang.sch.id</t>
  </si>
  <si>
    <t>!/=tj74WPV@^</t>
  </si>
  <si>
    <t>oto20238195.siswa@smkn12malang.sch.id</t>
  </si>
  <si>
    <t>-2Vy&amp;3EA-&amp;m*</t>
  </si>
  <si>
    <t>oto20238205.siswa@smkn12malang.sch.id</t>
  </si>
  <si>
    <t>94X.97e$xvC/</t>
  </si>
  <si>
    <t>oto20238241.siswa@smkn12malang.sch.id</t>
  </si>
  <si>
    <t>p(Ys=rBdB5ME</t>
  </si>
  <si>
    <t>oto20238264.siswa@smkn12malang.sch.id</t>
  </si>
  <si>
    <t>HK[W_Mmr?4Yc</t>
  </si>
  <si>
    <t>oto20238321.siswa@smkn12malang.sch.id</t>
  </si>
  <si>
    <t>.sNq9u$m7A2*</t>
  </si>
  <si>
    <t>oto20238334.siswa@smkn12malang.sch.id</t>
  </si>
  <si>
    <t>N&amp;*=KdHcT6FY</t>
  </si>
  <si>
    <t>oto20238368.siswa@smkn12malang.sch.id</t>
  </si>
  <si>
    <t>=LH_4H^/Ly}(</t>
  </si>
  <si>
    <t>oto20238379.siswa@smkn12malang.sch.id</t>
  </si>
  <si>
    <t>kU9bkA/wYdEF</t>
  </si>
  <si>
    <t>oto20238384.siswa@smkn12malang.sch.id</t>
  </si>
  <si>
    <t>9=ZK8b=vWG2E</t>
  </si>
  <si>
    <t>oto20238395.siswa@smkn12malang.sch.id</t>
  </si>
  <si>
    <t>PfH={pXEb.4e</t>
  </si>
  <si>
    <t>oto20238410.siswa@smkn12malang.sch.id</t>
  </si>
  <si>
    <t>)pJzyW6cu&amp;RN</t>
  </si>
  <si>
    <t>oto20238424.siswa@smkn12malang.sch.id</t>
  </si>
  <si>
    <t>kaPh!B9Sv*YS</t>
  </si>
  <si>
    <t>oto20238432.siswa@smkn12malang.sch.id</t>
  </si>
  <si>
    <t>^cv8Lu}]4})w</t>
  </si>
  <si>
    <t>oto20238458.siswa@smkn12malang.sch.id</t>
  </si>
  <si>
    <t>*!XA?&gt;c&gt;5V8(</t>
  </si>
  <si>
    <t>oto20238490.siswa@smkn12malang.sch.id</t>
  </si>
  <si>
    <t>sJy5bTe&amp;^&amp;gc</t>
  </si>
  <si>
    <t>oto20238503.siswa@smkn12malang.sch.id</t>
  </si>
  <si>
    <t>$Kep3{3ZCtqR</t>
  </si>
  <si>
    <t>oto20238518.siswa@smkn12malang.sch.id</t>
  </si>
  <si>
    <t>f7HUsA%y8r7D</t>
  </si>
  <si>
    <t>oto20238524.siswa@smkn12malang.sch.id</t>
  </si>
  <si>
    <t>}2BU{Whh2!f+</t>
  </si>
  <si>
    <t>oto20238529.siswa@smkn12malang.sch.id</t>
  </si>
  <si>
    <t>c^27&gt;){Hbsww</t>
  </si>
  <si>
    <t>oto20238535.siswa@smkn12malang.sch.id</t>
  </si>
  <si>
    <t>Pzs._uR65Z6M</t>
  </si>
  <si>
    <t>oto20238581.siswa@smkn12malang.sch.id</t>
  </si>
  <si>
    <t>SnC?CZQf9ah6</t>
  </si>
  <si>
    <t>oto20238600.siswa@smkn12malang.sch.id</t>
  </si>
  <si>
    <t>4MS[x_D%)8KA</t>
  </si>
  <si>
    <t>oto20238606.siswa@smkn12malang.sch.id</t>
  </si>
  <si>
    <t>}YcV]9N/j{qt</t>
  </si>
  <si>
    <t>oto20238630.siswa@smkn12malang.sch.id</t>
  </si>
  <si>
    <t>=7w&gt;8zz+AYux</t>
  </si>
  <si>
    <t>plg20238021.siswa@smkn12malang.sch.id</t>
  </si>
  <si>
    <t>asH5*h-PzrP?</t>
  </si>
  <si>
    <t>plg20238023.siswa@smkn12malang.sch.id</t>
  </si>
  <si>
    <t>6Tf{XQd@V@hR</t>
  </si>
  <si>
    <t>plg20238038.siswa@smkn12malang.sch.id</t>
  </si>
  <si>
    <t>nm{EGMbmbz2*</t>
  </si>
  <si>
    <t>plg20238048.siswa@smkn12malang.sch.id</t>
  </si>
  <si>
    <t>CTYLfKP5B%vV</t>
  </si>
  <si>
    <t>plg20238060.siswa@smkn12malang.sch.id</t>
  </si>
  <si>
    <t>gcvGR5-[!cs}</t>
  </si>
  <si>
    <t>plg20238088.siswa@smkn12malang.sch.id</t>
  </si>
  <si>
    <t>mwg*E98Bg2p=</t>
  </si>
  <si>
    <t>plg20238093.siswa@smkn12malang.sch.id</t>
  </si>
  <si>
    <t>G9SfYy]@Sdz5</t>
  </si>
  <si>
    <t>plg20238117.siswa@smkn12malang.sch.id</t>
  </si>
  <si>
    <t>QMez9-9Q@k(@</t>
  </si>
  <si>
    <t>plg20238119.siswa@smkn12malang.sch.id</t>
  </si>
  <si>
    <t>3EG-pquQJNdp</t>
  </si>
  <si>
    <t>plg20238151.siswa@smkn12malang.sch.id</t>
  </si>
  <si>
    <t>T_9zBS%z@+kP</t>
  </si>
  <si>
    <t>3507246904080005</t>
  </si>
  <si>
    <t>plg20238186.siswa@smkn12malang.sch.id</t>
  </si>
  <si>
    <t>]-Mu?Gd7S/z6</t>
  </si>
  <si>
    <t>plg20238214.siswa@smkn12malang.sch.id</t>
  </si>
  <si>
    <t>W2JNS^pS.L_3</t>
  </si>
  <si>
    <t>plg20238250.siswa@smkn12malang.sch.id</t>
  </si>
  <si>
    <t>YWj?&amp;)-Q6-wB</t>
  </si>
  <si>
    <t>plg20238259.siswa@smkn12malang.sch.id</t>
  </si>
  <si>
    <t>DucUp_7v}v55</t>
  </si>
  <si>
    <t>plg20238262.siswa@smkn12malang.sch.id</t>
  </si>
  <si>
    <t>{hEG7B-6ahbx</t>
  </si>
  <si>
    <t>plg20238279.siswa@smkn12malang.sch.id</t>
  </si>
  <si>
    <t>8S+53}/32w*.</t>
  </si>
  <si>
    <t>plg20238295.siswa@smkn12malang.sch.id</t>
  </si>
  <si>
    <t>y_Fu3ZC^2[aT</t>
  </si>
  <si>
    <t>plg20238296.siswa@smkn12malang.sch.id</t>
  </si>
  <si>
    <t>9]/Ksj96J=jt</t>
  </si>
  <si>
    <t>plg20238305.siswa@smkn12malang.sch.id</t>
  </si>
  <si>
    <t>Q&amp;]fD3[/]2Dg</t>
  </si>
  <si>
    <t>plg20238323.siswa@smkn12malang.sch.id</t>
  </si>
  <si>
    <t>_ZzD&gt;NR&amp;=6Ba</t>
  </si>
  <si>
    <t>plg20238335.siswa@smkn12malang.sch.id</t>
  </si>
  <si>
    <t>??3-e^kh?g[N</t>
  </si>
  <si>
    <t>plg20238336.siswa@smkn12malang.sch.id</t>
  </si>
  <si>
    <t>ABPY8y*Z=[AT</t>
  </si>
  <si>
    <t>plg20238358.siswa@smkn12malang.sch.id</t>
  </si>
  <si>
    <t>=+W3H7LBMfM&gt;W</t>
  </si>
  <si>
    <t>plg20238399.siswa@smkn12malang.sch.id</t>
  </si>
  <si>
    <t>WL89?utxpgDp</t>
  </si>
  <si>
    <t>plg20238400.siswa@smkn12malang.sch.id</t>
  </si>
  <si>
    <t>nX@S+3]_TSFF</t>
  </si>
  <si>
    <t>plg20238412.siswa@smkn12malang.sch.id</t>
  </si>
  <si>
    <t>U$pQy8}pYDEG</t>
  </si>
  <si>
    <t>plg20238431.siswa@smkn12malang.sch.id</t>
  </si>
  <si>
    <t>5e6Sp({f^pux</t>
  </si>
  <si>
    <t>plg20238474.siswa@smkn12malang.sch.id</t>
  </si>
  <si>
    <t>&gt;5u7yrjETa%D</t>
  </si>
  <si>
    <t>plg20238492.siswa@smkn12malang.sch.id</t>
  </si>
  <si>
    <t>QzuP]=%-@V7q</t>
  </si>
  <si>
    <t>plg20238493.siswa@smkn12malang.sch.id</t>
  </si>
  <si>
    <t>nZv?eb2SH5XS</t>
  </si>
  <si>
    <t>plg20238551.siswa@smkn12malang.sch.id</t>
  </si>
  <si>
    <t>Hz(Y5&amp;F-_*W)</t>
  </si>
  <si>
    <t>plg20238556.siswa@smkn12malang.sch.id</t>
  </si>
  <si>
    <t>7t*sX(WcR/s(</t>
  </si>
  <si>
    <t>plg20238618.siswa@smkn12malang.sch.id</t>
  </si>
  <si>
    <t>S^vKfwwk9VEF</t>
  </si>
  <si>
    <t>plg20238622.siswa@smkn12malang.sch.id</t>
  </si>
  <si>
    <t>E6N}vdXkNE4@</t>
  </si>
  <si>
    <t>plg20238628.siswa@smkn12malang.sch.id</t>
  </si>
  <si>
    <t>5umtVBF%AjG$</t>
  </si>
  <si>
    <t>plg20238029.siswa@smkn12malang.sch.id</t>
  </si>
  <si>
    <t>.})C$wt!2e[3</t>
  </si>
  <si>
    <t>plg20238034.siswa@smkn12malang.sch.id</t>
  </si>
  <si>
    <t>*[3UHb!mgezZ</t>
  </si>
  <si>
    <t>plg20238045.siswa@smkn12malang.sch.id</t>
  </si>
  <si>
    <t>mA_vXsrM5{QD</t>
  </si>
  <si>
    <t>plg20238067.siswa@smkn12malang.sch.id</t>
  </si>
  <si>
    <t>Fq9nQmRh6H=^</t>
  </si>
  <si>
    <t>plg20238070.siswa@smkn12malang.sch.id</t>
  </si>
  <si>
    <t>h*_9Lz{P[(9S</t>
  </si>
  <si>
    <t>plg20238072.siswa@smkn12malang.sch.id</t>
  </si>
  <si>
    <t>Vgs}{&amp;h5X[M.</t>
  </si>
  <si>
    <t>plg20238096.siswa@smkn12malang.sch.id</t>
  </si>
  <si>
    <t>^8fX%$e{Zc]h</t>
  </si>
  <si>
    <t>plg20238100.siswa@smkn12malang.sch.id</t>
  </si>
  <si>
    <t>m+K?YZ9Z&amp;M84</t>
  </si>
  <si>
    <t>plg20238139.siswa@smkn12malang.sch.id</t>
  </si>
  <si>
    <t>}}V/6J[sA8tE</t>
  </si>
  <si>
    <t>plg20238147.siswa@smkn12malang.sch.id</t>
  </si>
  <si>
    <t>mAEbjT^mk{}5</t>
  </si>
  <si>
    <t>plg20238165.siswa@smkn12malang.sch.id</t>
  </si>
  <si>
    <t>mF-U5Q3pN7Th</t>
  </si>
  <si>
    <t>plg20238183.siswa@smkn12malang.sch.id</t>
  </si>
  <si>
    <t>8ShnZ/U@SMMd</t>
  </si>
  <si>
    <t>plg20238206.siswa@smkn12malang.sch.id</t>
  </si>
  <si>
    <t>XDEwB4tQj%wE</t>
  </si>
  <si>
    <t>plg20238225.siswa@smkn12malang.sch.id</t>
  </si>
  <si>
    <t>=.UJS7$Y^jD_</t>
  </si>
  <si>
    <t>plg20238231.siswa@smkn12malang.sch.id</t>
  </si>
  <si>
    <t>Y{DQS-4!(bt&gt;</t>
  </si>
  <si>
    <t>plg20238240.siswa@smkn12malang.sch.id</t>
  </si>
  <si>
    <t>=R6Px@v(!nGT</t>
  </si>
  <si>
    <t>plg20238255.siswa@smkn12malang.sch.id</t>
  </si>
  <si>
    <t>rff7teQV$jNr</t>
  </si>
  <si>
    <t>plg20238273.siswa@smkn12malang.sch.id</t>
  </si>
  <si>
    <t>P9BC}T_eNH*}</t>
  </si>
  <si>
    <t>plg20238294.siswa@smkn12malang.sch.id</t>
  </si>
  <si>
    <t>bB&gt;{ef9.k5P*</t>
  </si>
  <si>
    <t>plg20238312.siswa@smkn12malang.sch.id</t>
  </si>
  <si>
    <t>ZepJ3hR7p%=n</t>
  </si>
  <si>
    <t>plg20238332.siswa@smkn12malang.sch.id</t>
  </si>
  <si>
    <t>qzDrB=%)^yh2</t>
  </si>
  <si>
    <t>plg20238346.siswa@smkn12malang.sch.id</t>
  </si>
  <si>
    <t>6Mdxy=D5B-)2</t>
  </si>
  <si>
    <t>plg20238363.siswa@smkn12malang.sch.id</t>
  </si>
  <si>
    <t>G)t8c%m*3!au</t>
  </si>
  <si>
    <t>plg20238372.siswa@smkn12malang.sch.id</t>
  </si>
  <si>
    <t>ad$(pS2&gt;fy]m</t>
  </si>
  <si>
    <t>plg20238374.siswa@smkn12malang.sch.id</t>
  </si>
  <si>
    <t>2HG}5mb)ZM&gt;a</t>
  </si>
  <si>
    <t>plg20238462.siswa@smkn12malang.sch.id</t>
  </si>
  <si>
    <t>E+m9M9pJXd]v</t>
  </si>
  <si>
    <t>plg20238469.siswa@smkn12malang.sch.id</t>
  </si>
  <si>
    <t>S*2sKQm}X27J</t>
  </si>
  <si>
    <t>plg20238477.siswa@smkn12malang.sch.id</t>
  </si>
  <si>
    <t>]n+kBX6+v./=</t>
  </si>
  <si>
    <t>plg20238501.siswa@smkn12malang.sch.id</t>
  </si>
  <si>
    <t>&gt;ed]8Wwf9&amp;w$</t>
  </si>
  <si>
    <t>plg20238522.siswa@smkn12malang.sch.id</t>
  </si>
  <si>
    <t>r8!VTb9Cw=tK</t>
  </si>
  <si>
    <t>plg20238533.siswa@smkn12malang.sch.id</t>
  </si>
  <si>
    <t>?@p7eku?DvKX</t>
  </si>
  <si>
    <t>plg20238567.siswa@smkn12malang.sch.id</t>
  </si>
  <si>
    <t>Z-hQ)Sd&amp;s6j]</t>
  </si>
  <si>
    <t>plg20238570.siswa@smkn12malang.sch.id</t>
  </si>
  <si>
    <t>8Wp=+QvJjmvQ</t>
  </si>
  <si>
    <t>plg20238583.siswa@smkn12malang.sch.id</t>
  </si>
  <si>
    <t>9!GVyGVmnPtz</t>
  </si>
  <si>
    <t>plg20238586.siswa@smkn12malang.sch.id</t>
  </si>
  <si>
    <t>4Ve(WKryS_U9</t>
  </si>
  <si>
    <t>plg20238591.siswa@smkn12malang.sch.id</t>
  </si>
  <si>
    <t>z7Ah?_dNU]pL</t>
  </si>
  <si>
    <t>PEMERINTAH PROVINSI JAWA TIMUR</t>
  </si>
  <si>
    <t>Jl. Pahlawan, Balearjosari, Blimbing, Kota Malang, Jawa Timur 65126</t>
  </si>
  <si>
    <t>Telepon (0341) 400884, Faksimile (0341) 400884</t>
  </si>
  <si>
    <t>Laman: https://smkn12malang.sch.id, Pos-el: surat@smkn12malang.sch.id</t>
  </si>
  <si>
    <t>DAFTAR AKUN DARING SISWA</t>
  </si>
  <si>
    <t>TAHUN PELAJARAN 2024/2025</t>
  </si>
  <si>
    <t>Wali Kelas:</t>
  </si>
  <si>
    <t>Kelas:</t>
  </si>
  <si>
    <t>XTKR2</t>
  </si>
  <si>
    <t>NO</t>
  </si>
  <si>
    <t>L/P</t>
  </si>
  <si>
    <t>Username</t>
  </si>
  <si>
    <t>Password</t>
  </si>
  <si>
    <t>KET</t>
  </si>
  <si>
    <t>Jumlah Siswa Laki-Laki :</t>
  </si>
  <si>
    <t>Jumlah Siswa Perempuan :</t>
  </si>
  <si>
    <t xml:space="preserve">Malang, </t>
  </si>
  <si>
    <t>Guru Pengasuh</t>
  </si>
  <si>
    <t xml:space="preserve">NIP. </t>
  </si>
  <si>
    <t>DAFTAR PESERTA DIDIK</t>
  </si>
  <si>
    <t>SEMESTER GASAL</t>
  </si>
  <si>
    <t>XIIAKL2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</si>
  <si>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</si>
  <si>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</si>
  <si>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</si>
  <si>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</si>
  <si>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</si>
  <si>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</si>
  <si>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</si>
  <si>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</si>
  <si>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</si>
  <si>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</si>
  <si>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Tugas</t>
  </si>
  <si>
    <t>Nama GTK</t>
  </si>
  <si>
    <t>XAKN1</t>
  </si>
  <si>
    <t>KARUNIA INDAYARTI, S.Pd</t>
  </si>
  <si>
    <t>XAKN2</t>
  </si>
  <si>
    <t>WAHYU SURYANDARI, S.Pd</t>
  </si>
  <si>
    <t>XAKN3</t>
  </si>
  <si>
    <t>LISSA'ADAH, S.Ag., M.Pd.I</t>
  </si>
  <si>
    <t>XAKN4</t>
  </si>
  <si>
    <t>FAJAR ROCHANI, S.Pd</t>
  </si>
  <si>
    <t>XDKV1</t>
  </si>
  <si>
    <t>YUNUS WARDANA, S.Kom</t>
  </si>
  <si>
    <t>XDKV2</t>
  </si>
  <si>
    <t>ISBANDRIYAWATI, S.Pd</t>
  </si>
  <si>
    <t>XIAKL1</t>
  </si>
  <si>
    <t>TATIK ARIFATUL KHOIRIYAH, S.Pd</t>
  </si>
  <si>
    <t>XIAKL2</t>
  </si>
  <si>
    <t>DITA SAVITRI, S.Pd, MM</t>
  </si>
  <si>
    <t>XIAKL3</t>
  </si>
  <si>
    <t>KAMALAT FIKA LIDINILLAH, S.Pd</t>
  </si>
  <si>
    <t>XIAKL4</t>
  </si>
  <si>
    <t>JULA DIAN FEBRUARINA, S.Pd</t>
  </si>
  <si>
    <t>XIBCF1</t>
  </si>
  <si>
    <t>SYAIFUL ANWAR DHARTAMUDA, M.Pd.I</t>
  </si>
  <si>
    <t>XIDKV1</t>
  </si>
  <si>
    <t>RIAN KUSUMASTUTIK</t>
  </si>
  <si>
    <t>XIDKV2</t>
  </si>
  <si>
    <t>CHRISTYANTO YUDHA PRATIDINA, S.Pd</t>
  </si>
  <si>
    <t>XIIAKL1</t>
  </si>
  <si>
    <t>AHMAD NUR KHOIR</t>
  </si>
  <si>
    <t>YENI INDAH KURNIAWATI, M.Pd</t>
  </si>
  <si>
    <t>XIIAKL3</t>
  </si>
  <si>
    <t>SUPARNO, M.Pd</t>
  </si>
  <si>
    <t>XIIAKL4</t>
  </si>
  <si>
    <t>NETY ISMAWATI, S.Pd</t>
  </si>
  <si>
    <t>XIIBCF1</t>
  </si>
  <si>
    <t>MOHAMAD JASIN, S.Kom</t>
  </si>
  <si>
    <t>XIIDKV1</t>
  </si>
  <si>
    <t>DITA AULIA, S.Pd</t>
  </si>
  <si>
    <t>XIIDKV2</t>
  </si>
  <si>
    <t>SITI AMINAH, S. Pd</t>
  </si>
  <si>
    <t>XIIJKT1</t>
  </si>
  <si>
    <t>BAGAS WIDYATMAKA, S.Pd, Gr</t>
  </si>
  <si>
    <t>XIIJKT2</t>
  </si>
  <si>
    <t>HARIMAWAN APRIANTO, S.Si</t>
  </si>
  <si>
    <t>XIIKLR1</t>
  </si>
  <si>
    <t>IWAN SYOFII, S.Pd</t>
  </si>
  <si>
    <t>XIIOTO1</t>
  </si>
  <si>
    <t>MARDHIAN NARWANTO PUTRO, S.Pd</t>
  </si>
  <si>
    <t>XIIOTO2</t>
  </si>
  <si>
    <t>SYAIFULLOH IRSYANDI, S.Pd</t>
  </si>
  <si>
    <t>XIIOTO3</t>
  </si>
  <si>
    <t>TUTUT WIMANITA, S.Pd</t>
  </si>
  <si>
    <t>XIIOTO4</t>
  </si>
  <si>
    <t>KARTIKA AJENG ANGGRAENI, S.Pd</t>
  </si>
  <si>
    <t>XIIOTO5</t>
  </si>
  <si>
    <t>NUR FUAD BASTOMI, S.Pd</t>
  </si>
  <si>
    <t>XIIPLG1</t>
  </si>
  <si>
    <t>HENDRO TRIO CAHYONO, S.T</t>
  </si>
  <si>
    <t>XIIPLG2</t>
  </si>
  <si>
    <t>ENOK RATNAYU, S.Pd</t>
  </si>
  <si>
    <t>XIJKT1</t>
  </si>
  <si>
    <t>ARIEFIANITA WIDJAYANTI, S.Pd</t>
  </si>
  <si>
    <t>XIJKT2</t>
  </si>
  <si>
    <t>DEDDY PRASETIYO, S.Pd</t>
  </si>
  <si>
    <t>XIKLR1</t>
  </si>
  <si>
    <t>LINDA PRASETIYOWATI, S.Pd, Gr.</t>
  </si>
  <si>
    <t>XIOTO1</t>
  </si>
  <si>
    <t>BINAR SEPTA KUMARA, S.Pd</t>
  </si>
  <si>
    <t>XIOTO2</t>
  </si>
  <si>
    <t>HENDRIK FAJAR TRISILA, S.Pd</t>
  </si>
  <si>
    <t>XIOTO3</t>
  </si>
  <si>
    <t>WIJI ERWANTO, S.Pd</t>
  </si>
  <si>
    <t>XIOTO4</t>
  </si>
  <si>
    <t>NURUL RIZKI RAHMAWATI S, S.Pd., Gr</t>
  </si>
  <si>
    <t>XIOTO5</t>
  </si>
  <si>
    <t>PUGUH ISWANTO, S.Pd</t>
  </si>
  <si>
    <t>XIPLG1</t>
  </si>
  <si>
    <t>BERDINA AMELIA WANDANSARI, S.Pd</t>
  </si>
  <si>
    <t>XIPLG2</t>
  </si>
  <si>
    <t>SITI MA'RIFAH, S.Pd</t>
  </si>
  <si>
    <t>XKLR1</t>
  </si>
  <si>
    <t>TJATUR SAMIASIH, S.Pd</t>
  </si>
  <si>
    <t>XPFL1</t>
  </si>
  <si>
    <t>SANDA KOBADARA ADEROF, S.Kom</t>
  </si>
  <si>
    <t>XRPL1</t>
  </si>
  <si>
    <t>FITRIA DWI ROSI, S.SI, S.Pd</t>
  </si>
  <si>
    <t>XRPL2</t>
  </si>
  <si>
    <t>DIYAH PUTRI NOVITANINGRUM, S.Pd</t>
  </si>
  <si>
    <t>XTKJ1</t>
  </si>
  <si>
    <t>FRANSISCA DARA AYU PERTIWI, S.Pd</t>
  </si>
  <si>
    <t>XTKJ2</t>
  </si>
  <si>
    <t>RISKA FIRDYAN LESTYOWATI, S.Pd</t>
  </si>
  <si>
    <t>XTKR1</t>
  </si>
  <si>
    <t>ISMALA RUSPRIYONO, S.Pd</t>
  </si>
  <si>
    <t>HADI PURWANTO, S.Pd</t>
  </si>
  <si>
    <t>XTKR3</t>
  </si>
  <si>
    <t>MOCHAMMAD IRFAN, S.Pd</t>
  </si>
  <si>
    <t>XTSM1</t>
  </si>
  <si>
    <t>OMEGA ABDI PANGLIPUR, S.Pd</t>
  </si>
  <si>
    <t>XTSM2</t>
  </si>
  <si>
    <t>ARIF KURNIA PUTRA, S.Pd</t>
  </si>
  <si>
    <t>DIYAN WAHYU ASTUTI, S.Kom</t>
  </si>
  <si>
    <t>A. ROSYIDATUS SAADAH, S.Pd</t>
  </si>
  <si>
    <t>AAN SUSANTO, S.Pd</t>
  </si>
  <si>
    <t>ACHMAD IMRON FANANIE, S.Pd</t>
  </si>
  <si>
    <t>ACHMAD KHOFIYULLOH, S.P</t>
  </si>
  <si>
    <t>ACHMAD SUPRAYITNO, S.Pd</t>
  </si>
  <si>
    <t>ANIS SETYOWATI, S.Pd</t>
  </si>
  <si>
    <t>ANISATU SOLIKHAH, S.Pd, Gr</t>
  </si>
  <si>
    <t>ANTON WIBOWO</t>
  </si>
  <si>
    <t>AYU PUSPARINI, S.Pd</t>
  </si>
  <si>
    <t>Drs. JOKO PRAMONO</t>
  </si>
  <si>
    <t>Drs. S. HADI ANSORI</t>
  </si>
  <si>
    <t>Drs. WAHYU HADIYANTO, M.Pd</t>
  </si>
  <si>
    <t>I MADE IBNU FAKHRI, S.Pd</t>
  </si>
  <si>
    <t>IKA KURNIAWATI, S.Si</t>
  </si>
  <si>
    <t>IMANDA ROBBIKI, S. Pd</t>
  </si>
  <si>
    <t>IRMA RISYANTI, S.Pd</t>
  </si>
  <si>
    <t>KHOIRUL UMA, S.Pd</t>
  </si>
  <si>
    <t>KHOLIFANI UTAMI, S.Pd</t>
  </si>
  <si>
    <t>LISTYANTI DEWI ASTUTI, S.Pd., M.Kom</t>
  </si>
  <si>
    <t>LULUK EMY YULIATI, S.Pd</t>
  </si>
  <si>
    <t>LUTFIATUL ROKHMAH, S.Pd</t>
  </si>
  <si>
    <t>MARISSA ZULVIA SOFFI, S.Pd</t>
  </si>
  <si>
    <t>MUHAMMAD DAMARIS WIDIGDYA, S.Pd, Gr.</t>
  </si>
  <si>
    <t>MUSLIMIN</t>
  </si>
  <si>
    <t>NUR ITA JANNAH, S.Pd</t>
  </si>
  <si>
    <t>RAMLI, S.Ag</t>
  </si>
  <si>
    <t>RATNA NOVITAYATI, S.Pd., M.Pd</t>
  </si>
  <si>
    <t>RENNIS SETYOWATI, M.Pd</t>
  </si>
  <si>
    <t>SUCI NURHAYATI, S.Pd</t>
  </si>
  <si>
    <t>SUNUMARTA PRADANA, S.Pd, Gr</t>
  </si>
  <si>
    <t>SUWITO, S.Pd</t>
  </si>
  <si>
    <t>ULYA BRILIAN, S.Pd</t>
  </si>
  <si>
    <t>YANI ZULKARNAIN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</si>
</sst>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3">
    <font>
      <sz val="12.0"/>
      <color rgb="FF000000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color rgb="FF000000"/>
      <name val="Calibri"/>
      <scheme val="minor"/>
    </font>
    <font>
      <color theme="1"/>
      <name val="Roboto"/>
    </font>
    <font>
      <b/>
      <color theme="1"/>
      <name val="Roboto"/>
    </font>
    <font/>
    <font>
      <sz val="12.0"/>
      <color theme="1"/>
      <name val="Roboto Mono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7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49" xfId="0" applyAlignment="1" applyBorder="1" applyFont="1" applyNumberForma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49" xfId="0" applyAlignment="1" applyBorder="1" applyFont="1" applyNumberFormat="1">
      <alignment shrinkToFit="0" vertical="bottom" wrapText="0"/>
    </xf>
    <xf borderId="1" fillId="0" fontId="2" numFmtId="49" xfId="0" applyBorder="1" applyFont="1" applyNumberFormat="1"/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49" xfId="0" applyAlignment="1" applyBorder="1" applyFont="1" applyNumberFormat="1">
      <alignment horizontal="center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49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horizontal="center" readingOrder="0" shrinkToFit="0" vertical="bottom" wrapText="0"/>
    </xf>
    <xf quotePrefix="1" borderId="1" fillId="0" fontId="5" numFmtId="49" xfId="0" applyAlignment="1" applyBorder="1" applyFont="1" applyNumberFormat="1">
      <alignment shrinkToFit="0" vertical="bottom" wrapText="0"/>
    </xf>
    <xf borderId="1" fillId="0" fontId="6" numFmtId="49" xfId="0" applyAlignment="1" applyBorder="1" applyFont="1" applyNumberFormat="1">
      <alignment shrinkToFit="0" vertical="bottom" wrapText="0"/>
    </xf>
    <xf borderId="1" fillId="0" fontId="2" numFmtId="0" xfId="0" applyBorder="1" applyFont="1"/>
    <xf borderId="0" fillId="0" fontId="5" numFmtId="49" xfId="0" applyAlignment="1" applyFont="1" applyNumberFormat="1">
      <alignment shrinkToFit="0" vertical="bottom" wrapText="0"/>
    </xf>
    <xf quotePrefix="1" borderId="1" fillId="0" fontId="2" numFmtId="49" xfId="0" applyBorder="1" applyFont="1" applyNumberFormat="1"/>
    <xf borderId="1" fillId="0" fontId="5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vertical="bottom"/>
    </xf>
    <xf borderId="1" fillId="0" fontId="7" numFmtId="0" xfId="0" applyAlignment="1" applyBorder="1" applyFont="1">
      <alignment horizontal="left"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quotePrefix="1" borderId="0" fillId="0" fontId="5" numFmtId="49" xfId="0" applyAlignment="1" applyFont="1" applyNumberForma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readingOrder="0"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top"/>
    </xf>
    <xf borderId="0" fillId="0" fontId="8" numFmtId="0" xfId="0" applyAlignment="1" applyFont="1">
      <alignment shrinkToFit="0" vertical="top" wrapText="1"/>
    </xf>
    <xf borderId="3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1" fillId="0" fontId="10" numFmtId="0" xfId="0" applyBorder="1" applyFont="1"/>
    <xf borderId="5" fillId="0" fontId="10" numFmtId="0" xfId="0" applyBorder="1" applyFont="1"/>
    <xf borderId="3" fillId="0" fontId="11" numFmtId="0" xfId="0" applyAlignment="1" applyBorder="1" applyFont="1">
      <alignment vertical="center"/>
    </xf>
    <xf borderId="3" fillId="0" fontId="11" numFmtId="0" xfId="0" applyAlignment="1" applyBorder="1" applyFont="1">
      <alignment horizontal="center" vertical="center"/>
    </xf>
    <xf borderId="3" fillId="0" fontId="11" numFmtId="49" xfId="0" applyAlignment="1" applyBorder="1" applyFont="1" applyNumberFormat="1">
      <alignment horizontal="center" vertical="center"/>
    </xf>
    <xf borderId="3" fillId="0" fontId="11" numFmtId="0" xfId="0" applyAlignment="1" applyBorder="1" applyFont="1">
      <alignment shrinkToFit="0" vertical="center" wrapText="1"/>
    </xf>
    <xf borderId="4" fillId="0" fontId="11" numFmtId="49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2" fillId="0" fontId="8" numFmtId="0" xfId="0" applyBorder="1" applyFont="1"/>
    <xf borderId="2" fillId="0" fontId="10" numFmtId="0" xfId="0" applyBorder="1" applyFont="1"/>
    <xf borderId="6" fillId="0" fontId="8" numFmtId="0" xfId="0" applyBorder="1" applyFont="1"/>
    <xf borderId="6" fillId="0" fontId="10" numFmtId="0" xfId="0" applyBorder="1" applyFont="1"/>
    <xf borderId="0" fillId="0" fontId="12" numFmtId="0" xfId="0" applyAlignment="1" applyFont="1">
      <alignment horizontal="center"/>
    </xf>
    <xf borderId="3" fillId="0" fontId="12" numFmtId="0" xfId="0" applyAlignment="1" applyBorder="1" applyFont="1">
      <alignment vertical="center"/>
    </xf>
    <xf borderId="3" fillId="0" fontId="12" numFmtId="0" xfId="0" applyAlignment="1" applyBorder="1" applyFont="1">
      <alignment horizontal="center" vertical="center"/>
    </xf>
    <xf borderId="3" fillId="0" fontId="1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47625</xdr:rowOff>
    </xdr:from>
    <xdr:ext cx="733425" cy="1019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504825</xdr:colOff>
      <xdr:row>0</xdr:row>
      <xdr:rowOff>104775</xdr:rowOff>
    </xdr:from>
    <xdr:ext cx="914400" cy="9144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47625</xdr:rowOff>
    </xdr:from>
    <xdr:ext cx="733425" cy="1019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0</xdr:row>
      <xdr:rowOff>104775</xdr:rowOff>
    </xdr:from>
    <xdr:ext cx="914400" cy="9144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xn4w.kn/bQV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33"/>
    <col customWidth="1" min="2" max="2" width="10.22"/>
    <col customWidth="1" min="3" max="3" width="5.56"/>
    <col customWidth="1" min="4" max="4" width="9.89"/>
    <col customWidth="1" min="5" max="5" width="36.11"/>
    <col customWidth="1" min="6" max="6" width="6.33"/>
    <col customWidth="1" min="7" max="7" width="12.56"/>
    <col customWidth="1" min="8" max="8" width="9.44"/>
    <col customWidth="1" min="9" max="9" width="9.56"/>
    <col customWidth="1" min="10" max="10" width="9.0"/>
    <col customWidth="1" min="11" max="11" width="35.4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idden="1">
      <c r="A2" s="3" t="str">
        <f t="shared" ref="A2:A2387" si="1">if(len(C2)=4,"OK","INVALID")</f>
        <v>OK</v>
      </c>
      <c r="B2" s="3" t="str">
        <f t="shared" ref="B2:B2387" si="2">if(len(D2)=10,"OK","INVALID")</f>
        <v>OK</v>
      </c>
      <c r="C2" s="3">
        <v>7412.0</v>
      </c>
      <c r="D2" s="4" t="s">
        <v>11</v>
      </c>
      <c r="E2" s="3" t="s">
        <v>12</v>
      </c>
      <c r="F2" s="3" t="s">
        <v>13</v>
      </c>
      <c r="G2" s="3" t="str">
        <f t="shared" ref="G2:G2387" si="3">I2&amp;H2</f>
        <v>PURNA2025-AKL1</v>
      </c>
      <c r="H2" s="3" t="str">
        <f>VLOOKUP($C2,Userpass!$A$2:$L$3001,12,FALSE)</f>
        <v>AKL1</v>
      </c>
      <c r="I2" s="5" t="s">
        <v>14</v>
      </c>
      <c r="J2" s="3">
        <v>2022.0</v>
      </c>
      <c r="K2" s="4" t="str">
        <f>VLOOKUP($C2,Userpass!$A$2:$R$3001,2,FALSE)</f>
        <v>akl20227412.alumni@smkn12malang.sch.id</v>
      </c>
    </row>
    <row r="3" hidden="1">
      <c r="A3" s="3" t="str">
        <f t="shared" si="1"/>
        <v>OK</v>
      </c>
      <c r="B3" s="3" t="str">
        <f t="shared" si="2"/>
        <v>OK</v>
      </c>
      <c r="C3" s="3">
        <v>7417.0</v>
      </c>
      <c r="D3" s="4" t="s">
        <v>15</v>
      </c>
      <c r="E3" s="3" t="s">
        <v>16</v>
      </c>
      <c r="F3" s="3" t="s">
        <v>17</v>
      </c>
      <c r="G3" s="3" t="str">
        <f t="shared" si="3"/>
        <v>PURNA2025-AKL1</v>
      </c>
      <c r="H3" s="3" t="str">
        <f>VLOOKUP($C3,Userpass!$A$2:$L$3001,12,FALSE)</f>
        <v>AKL1</v>
      </c>
      <c r="I3" s="5" t="s">
        <v>14</v>
      </c>
      <c r="J3" s="3">
        <v>2022.0</v>
      </c>
      <c r="K3" s="4" t="str">
        <f>VLOOKUP($C3,Userpass!$A$2:$R$3001,2,FALSE)</f>
        <v>akl20227417.alumni@smkn12malang.sch.id</v>
      </c>
    </row>
    <row r="4" hidden="1">
      <c r="A4" s="3" t="str">
        <f t="shared" si="1"/>
        <v>OK</v>
      </c>
      <c r="B4" s="3" t="str">
        <f t="shared" si="2"/>
        <v>OK</v>
      </c>
      <c r="C4" s="3">
        <v>7438.0</v>
      </c>
      <c r="D4" s="4" t="s">
        <v>18</v>
      </c>
      <c r="E4" s="3" t="s">
        <v>19</v>
      </c>
      <c r="F4" s="3" t="s">
        <v>13</v>
      </c>
      <c r="G4" s="3" t="str">
        <f t="shared" si="3"/>
        <v>PURNA2025-AKL1</v>
      </c>
      <c r="H4" s="3" t="str">
        <f>VLOOKUP($C4,Userpass!$A$2:$L$3001,12,FALSE)</f>
        <v>AKL1</v>
      </c>
      <c r="I4" s="5" t="s">
        <v>14</v>
      </c>
      <c r="J4" s="3">
        <v>2022.0</v>
      </c>
      <c r="K4" s="4" t="str">
        <f>VLOOKUP($C4,Userpass!$A$2:$R$3001,2,FALSE)</f>
        <v>akl20227438.alumni@smkn12malang.sch.id</v>
      </c>
    </row>
    <row r="5" hidden="1">
      <c r="A5" s="3" t="str">
        <f t="shared" si="1"/>
        <v>OK</v>
      </c>
      <c r="B5" s="3" t="str">
        <f t="shared" si="2"/>
        <v>OK</v>
      </c>
      <c r="C5" s="3">
        <v>7439.0</v>
      </c>
      <c r="D5" s="4" t="s">
        <v>20</v>
      </c>
      <c r="E5" s="3" t="s">
        <v>21</v>
      </c>
      <c r="F5" s="3" t="s">
        <v>13</v>
      </c>
      <c r="G5" s="3" t="str">
        <f t="shared" si="3"/>
        <v>PURNA2025-AKL1</v>
      </c>
      <c r="H5" s="3" t="str">
        <f>VLOOKUP($C5,Userpass!$A$2:$L$3001,12,FALSE)</f>
        <v>AKL1</v>
      </c>
      <c r="I5" s="5" t="s">
        <v>14</v>
      </c>
      <c r="J5" s="3">
        <v>2022.0</v>
      </c>
      <c r="K5" s="4" t="str">
        <f>VLOOKUP($C5,Userpass!$A$2:$R$3001,2,FALSE)</f>
        <v>akl20227439.alumni@smkn12malang.sch.id</v>
      </c>
    </row>
    <row r="6" hidden="1">
      <c r="A6" s="3" t="str">
        <f t="shared" si="1"/>
        <v>OK</v>
      </c>
      <c r="B6" s="3" t="str">
        <f t="shared" si="2"/>
        <v>OK</v>
      </c>
      <c r="C6" s="3">
        <v>7452.0</v>
      </c>
      <c r="D6" s="4" t="s">
        <v>22</v>
      </c>
      <c r="E6" s="3" t="s">
        <v>23</v>
      </c>
      <c r="F6" s="3" t="s">
        <v>13</v>
      </c>
      <c r="G6" s="3" t="str">
        <f t="shared" si="3"/>
        <v>PURNA2025-AKL1</v>
      </c>
      <c r="H6" s="3" t="str">
        <f>VLOOKUP($C6,Userpass!$A$2:$L$3001,12,FALSE)</f>
        <v>AKL1</v>
      </c>
      <c r="I6" s="5" t="s">
        <v>14</v>
      </c>
      <c r="J6" s="3">
        <v>2022.0</v>
      </c>
      <c r="K6" s="4" t="str">
        <f>VLOOKUP($C6,Userpass!$A$2:$R$3001,2,FALSE)</f>
        <v>akl20227452.alumni@smkn12malang.sch.id</v>
      </c>
    </row>
    <row r="7" hidden="1">
      <c r="A7" s="3" t="str">
        <f t="shared" si="1"/>
        <v>OK</v>
      </c>
      <c r="B7" s="3" t="str">
        <f t="shared" si="2"/>
        <v>OK</v>
      </c>
      <c r="C7" s="3">
        <v>7476.0</v>
      </c>
      <c r="D7" s="4" t="s">
        <v>24</v>
      </c>
      <c r="E7" s="3" t="s">
        <v>25</v>
      </c>
      <c r="F7" s="3" t="s">
        <v>13</v>
      </c>
      <c r="G7" s="3" t="str">
        <f t="shared" si="3"/>
        <v>PURNA2025-AKL1</v>
      </c>
      <c r="H7" s="3" t="str">
        <f>VLOOKUP($C7,Userpass!$A$2:$L$3001,12,FALSE)</f>
        <v>AKL1</v>
      </c>
      <c r="I7" s="5" t="s">
        <v>14</v>
      </c>
      <c r="J7" s="3">
        <v>2022.0</v>
      </c>
      <c r="K7" s="4" t="str">
        <f>VLOOKUP($C7,Userpass!$A$2:$R$3001,2,FALSE)</f>
        <v>akl20227476.alumni@smkn12malang.sch.id</v>
      </c>
    </row>
    <row r="8" hidden="1">
      <c r="A8" s="3" t="str">
        <f t="shared" si="1"/>
        <v>OK</v>
      </c>
      <c r="B8" s="3" t="str">
        <f t="shared" si="2"/>
        <v>OK</v>
      </c>
      <c r="C8" s="3">
        <v>7501.0</v>
      </c>
      <c r="D8" s="4" t="s">
        <v>26</v>
      </c>
      <c r="E8" s="3" t="s">
        <v>27</v>
      </c>
      <c r="F8" s="3" t="s">
        <v>13</v>
      </c>
      <c r="G8" s="3" t="str">
        <f t="shared" si="3"/>
        <v>PURNA2025-AKL1</v>
      </c>
      <c r="H8" s="3" t="str">
        <f>VLOOKUP($C8,Userpass!$A$2:$L$3001,12,FALSE)</f>
        <v>AKL1</v>
      </c>
      <c r="I8" s="5" t="s">
        <v>14</v>
      </c>
      <c r="J8" s="3">
        <v>2022.0</v>
      </c>
      <c r="K8" s="4" t="str">
        <f>VLOOKUP($C8,Userpass!$A$2:$R$3001,2,FALSE)</f>
        <v>akl20227501.alumni@smkn12malang.sch.id</v>
      </c>
    </row>
    <row r="9" hidden="1">
      <c r="A9" s="3" t="str">
        <f t="shared" si="1"/>
        <v>OK</v>
      </c>
      <c r="B9" s="3" t="str">
        <f t="shared" si="2"/>
        <v>OK</v>
      </c>
      <c r="C9" s="3">
        <v>7503.0</v>
      </c>
      <c r="D9" s="4" t="s">
        <v>28</v>
      </c>
      <c r="E9" s="3" t="s">
        <v>29</v>
      </c>
      <c r="F9" s="3" t="s">
        <v>13</v>
      </c>
      <c r="G9" s="3" t="str">
        <f t="shared" si="3"/>
        <v>PURNA2025-AKL1</v>
      </c>
      <c r="H9" s="3" t="str">
        <f>VLOOKUP($C9,Userpass!$A$2:$L$3001,12,FALSE)</f>
        <v>AKL1</v>
      </c>
      <c r="I9" s="5" t="s">
        <v>14</v>
      </c>
      <c r="J9" s="3">
        <v>2022.0</v>
      </c>
      <c r="K9" s="4" t="str">
        <f>VLOOKUP($C9,Userpass!$A$2:$R$3001,2,FALSE)</f>
        <v>akl20227503.alumni@smkn12malang.sch.id</v>
      </c>
    </row>
    <row r="10" hidden="1">
      <c r="A10" s="3" t="str">
        <f t="shared" si="1"/>
        <v>OK</v>
      </c>
      <c r="B10" s="3" t="str">
        <f t="shared" si="2"/>
        <v>OK</v>
      </c>
      <c r="C10" s="3">
        <v>7510.0</v>
      </c>
      <c r="D10" s="4" t="s">
        <v>30</v>
      </c>
      <c r="E10" s="3" t="s">
        <v>31</v>
      </c>
      <c r="F10" s="3" t="s">
        <v>13</v>
      </c>
      <c r="G10" s="3" t="str">
        <f t="shared" si="3"/>
        <v>PURNA2025-AKL1</v>
      </c>
      <c r="H10" s="3" t="str">
        <f>VLOOKUP($C10,Userpass!$A$2:$L$3001,12,FALSE)</f>
        <v>AKL1</v>
      </c>
      <c r="I10" s="5" t="s">
        <v>14</v>
      </c>
      <c r="J10" s="3">
        <v>2022.0</v>
      </c>
      <c r="K10" s="4" t="str">
        <f>VLOOKUP($C10,Userpass!$A$2:$R$3001,2,FALSE)</f>
        <v>akl20227510.alumni@smkn12malang.sch.id</v>
      </c>
    </row>
    <row r="11" hidden="1">
      <c r="A11" s="3" t="str">
        <f t="shared" si="1"/>
        <v>OK</v>
      </c>
      <c r="B11" s="3" t="str">
        <f t="shared" si="2"/>
        <v>OK</v>
      </c>
      <c r="C11" s="3">
        <v>7529.0</v>
      </c>
      <c r="D11" s="4" t="s">
        <v>32</v>
      </c>
      <c r="E11" s="3" t="s">
        <v>33</v>
      </c>
      <c r="F11" s="3" t="s">
        <v>13</v>
      </c>
      <c r="G11" s="3" t="str">
        <f t="shared" si="3"/>
        <v>PURNA2025-AKL1</v>
      </c>
      <c r="H11" s="3" t="str">
        <f>VLOOKUP($C11,Userpass!$A$2:$L$3001,12,FALSE)</f>
        <v>AKL1</v>
      </c>
      <c r="I11" s="5" t="s">
        <v>14</v>
      </c>
      <c r="J11" s="3">
        <v>2022.0</v>
      </c>
      <c r="K11" s="4" t="str">
        <f>VLOOKUP($C11,Userpass!$A$2:$R$3001,2,FALSE)</f>
        <v>akl20227529.alumni@smkn12malang.sch.id</v>
      </c>
    </row>
    <row r="12" hidden="1">
      <c r="A12" s="3" t="str">
        <f t="shared" si="1"/>
        <v>OK</v>
      </c>
      <c r="B12" s="3" t="str">
        <f t="shared" si="2"/>
        <v>OK</v>
      </c>
      <c r="C12" s="3">
        <v>7539.0</v>
      </c>
      <c r="D12" s="4" t="s">
        <v>34</v>
      </c>
      <c r="E12" s="3" t="s">
        <v>35</v>
      </c>
      <c r="F12" s="3" t="s">
        <v>13</v>
      </c>
      <c r="G12" s="3" t="str">
        <f t="shared" si="3"/>
        <v>PURNA2025-AKL1</v>
      </c>
      <c r="H12" s="3" t="str">
        <f>VLOOKUP($C12,Userpass!$A$2:$L$3001,12,FALSE)</f>
        <v>AKL1</v>
      </c>
      <c r="I12" s="5" t="s">
        <v>14</v>
      </c>
      <c r="J12" s="3">
        <v>2022.0</v>
      </c>
      <c r="K12" s="4" t="str">
        <f>VLOOKUP($C12,Userpass!$A$2:$R$3001,2,FALSE)</f>
        <v>akl20227539.alumni@smkn12malang.sch.id</v>
      </c>
    </row>
    <row r="13" hidden="1">
      <c r="A13" s="3" t="str">
        <f t="shared" si="1"/>
        <v>OK</v>
      </c>
      <c r="B13" s="3" t="str">
        <f t="shared" si="2"/>
        <v>OK</v>
      </c>
      <c r="C13" s="3">
        <v>7561.0</v>
      </c>
      <c r="D13" s="4" t="s">
        <v>36</v>
      </c>
      <c r="E13" s="3" t="s">
        <v>37</v>
      </c>
      <c r="F13" s="3" t="s">
        <v>13</v>
      </c>
      <c r="G13" s="3" t="str">
        <f t="shared" si="3"/>
        <v>PURNA2025-AKL1</v>
      </c>
      <c r="H13" s="3" t="str">
        <f>VLOOKUP($C13,Userpass!$A$2:$L$3001,12,FALSE)</f>
        <v>AKL1</v>
      </c>
      <c r="I13" s="5" t="s">
        <v>14</v>
      </c>
      <c r="J13" s="3">
        <v>2022.0</v>
      </c>
      <c r="K13" s="4" t="str">
        <f>VLOOKUP($C13,Userpass!$A$2:$R$3001,2,FALSE)</f>
        <v>akl20227561.alumni@smkn12malang.sch.id</v>
      </c>
    </row>
    <row r="14" hidden="1">
      <c r="A14" s="3" t="str">
        <f t="shared" si="1"/>
        <v>OK</v>
      </c>
      <c r="B14" s="3" t="str">
        <f t="shared" si="2"/>
        <v>OK</v>
      </c>
      <c r="C14" s="3">
        <v>7581.0</v>
      </c>
      <c r="D14" s="4" t="s">
        <v>38</v>
      </c>
      <c r="E14" s="3" t="s">
        <v>39</v>
      </c>
      <c r="F14" s="3" t="s">
        <v>13</v>
      </c>
      <c r="G14" s="3" t="str">
        <f t="shared" si="3"/>
        <v>PURNA2025-AKL1</v>
      </c>
      <c r="H14" s="3" t="str">
        <f>VLOOKUP($C14,Userpass!$A$2:$L$3001,12,FALSE)</f>
        <v>AKL1</v>
      </c>
      <c r="I14" s="5" t="s">
        <v>14</v>
      </c>
      <c r="J14" s="3">
        <v>2022.0</v>
      </c>
      <c r="K14" s="4" t="str">
        <f>VLOOKUP($C14,Userpass!$A$2:$R$3001,2,FALSE)</f>
        <v>akl20227581.alumni@smkn12malang.sch.id</v>
      </c>
    </row>
    <row r="15" hidden="1">
      <c r="A15" s="3" t="str">
        <f t="shared" si="1"/>
        <v>OK</v>
      </c>
      <c r="B15" s="3" t="str">
        <f t="shared" si="2"/>
        <v>OK</v>
      </c>
      <c r="C15" s="3">
        <v>7591.0</v>
      </c>
      <c r="D15" s="4" t="s">
        <v>40</v>
      </c>
      <c r="E15" s="3" t="s">
        <v>41</v>
      </c>
      <c r="F15" s="3" t="s">
        <v>13</v>
      </c>
      <c r="G15" s="3" t="str">
        <f t="shared" si="3"/>
        <v>PURNA2025-AKL1</v>
      </c>
      <c r="H15" s="3" t="str">
        <f>VLOOKUP($C15,Userpass!$A$2:$L$3001,12,FALSE)</f>
        <v>AKL1</v>
      </c>
      <c r="I15" s="5" t="s">
        <v>14</v>
      </c>
      <c r="J15" s="3">
        <v>2022.0</v>
      </c>
      <c r="K15" s="4" t="str">
        <f>VLOOKUP($C15,Userpass!$A$2:$R$3001,2,FALSE)</f>
        <v>akl20227591.alumni@smkn12malang.sch.id</v>
      </c>
    </row>
    <row r="16" hidden="1">
      <c r="A16" s="3" t="str">
        <f t="shared" si="1"/>
        <v>OK</v>
      </c>
      <c r="B16" s="3" t="str">
        <f t="shared" si="2"/>
        <v>OK</v>
      </c>
      <c r="C16" s="3">
        <v>7594.0</v>
      </c>
      <c r="D16" s="4" t="s">
        <v>42</v>
      </c>
      <c r="E16" s="3" t="s">
        <v>43</v>
      </c>
      <c r="F16" s="3" t="s">
        <v>13</v>
      </c>
      <c r="G16" s="3" t="str">
        <f t="shared" si="3"/>
        <v>PURNA2025-AKL1</v>
      </c>
      <c r="H16" s="3" t="str">
        <f>VLOOKUP($C16,Userpass!$A$2:$L$3001,12,FALSE)</f>
        <v>AKL1</v>
      </c>
      <c r="I16" s="5" t="s">
        <v>14</v>
      </c>
      <c r="J16" s="3">
        <v>2022.0</v>
      </c>
      <c r="K16" s="4" t="str">
        <f>VLOOKUP($C16,Userpass!$A$2:$R$3001,2,FALSE)</f>
        <v>akl20227594.alumni@smkn12malang.sch.id</v>
      </c>
    </row>
    <row r="17" hidden="1">
      <c r="A17" s="3" t="str">
        <f t="shared" si="1"/>
        <v>OK</v>
      </c>
      <c r="B17" s="3" t="str">
        <f t="shared" si="2"/>
        <v>OK</v>
      </c>
      <c r="C17" s="3">
        <v>7625.0</v>
      </c>
      <c r="D17" s="4" t="s">
        <v>44</v>
      </c>
      <c r="E17" s="3" t="s">
        <v>45</v>
      </c>
      <c r="F17" s="3" t="s">
        <v>13</v>
      </c>
      <c r="G17" s="3" t="str">
        <f t="shared" si="3"/>
        <v>PURNA2025-AKL1</v>
      </c>
      <c r="H17" s="3" t="str">
        <f>VLOOKUP($C17,Userpass!$A$2:$L$3001,12,FALSE)</f>
        <v>AKL1</v>
      </c>
      <c r="I17" s="5" t="s">
        <v>14</v>
      </c>
      <c r="J17" s="3">
        <v>2022.0</v>
      </c>
      <c r="K17" s="4" t="str">
        <f>VLOOKUP($C17,Userpass!$A$2:$R$3001,2,FALSE)</f>
        <v>akl20227625.alumni@smkn12malang.sch.id</v>
      </c>
    </row>
    <row r="18" hidden="1">
      <c r="A18" s="3" t="str">
        <f t="shared" si="1"/>
        <v>OK</v>
      </c>
      <c r="B18" s="3" t="str">
        <f t="shared" si="2"/>
        <v>OK</v>
      </c>
      <c r="C18" s="3">
        <v>7634.0</v>
      </c>
      <c r="D18" s="4" t="s">
        <v>46</v>
      </c>
      <c r="E18" s="3" t="s">
        <v>47</v>
      </c>
      <c r="F18" s="3" t="s">
        <v>13</v>
      </c>
      <c r="G18" s="3" t="str">
        <f t="shared" si="3"/>
        <v>PURNA2025-AKL1</v>
      </c>
      <c r="H18" s="3" t="str">
        <f>VLOOKUP($C18,Userpass!$A$2:$L$3001,12,FALSE)</f>
        <v>AKL1</v>
      </c>
      <c r="I18" s="5" t="s">
        <v>14</v>
      </c>
      <c r="J18" s="3">
        <v>2022.0</v>
      </c>
      <c r="K18" s="4" t="str">
        <f>VLOOKUP($C18,Userpass!$A$2:$R$3001,2,FALSE)</f>
        <v>akl20227634.alumni@smkn12malang.sch.id</v>
      </c>
    </row>
    <row r="19" hidden="1">
      <c r="A19" s="3" t="str">
        <f t="shared" si="1"/>
        <v>OK</v>
      </c>
      <c r="B19" s="3" t="str">
        <f t="shared" si="2"/>
        <v>OK</v>
      </c>
      <c r="C19" s="3">
        <v>7662.0</v>
      </c>
      <c r="D19" s="4" t="s">
        <v>48</v>
      </c>
      <c r="E19" s="3" t="s">
        <v>49</v>
      </c>
      <c r="F19" s="3" t="s">
        <v>13</v>
      </c>
      <c r="G19" s="3" t="str">
        <f t="shared" si="3"/>
        <v>PURNA2025-AKL1</v>
      </c>
      <c r="H19" s="3" t="str">
        <f>VLOOKUP($C19,Userpass!$A$2:$L$3001,12,FALSE)</f>
        <v>AKL1</v>
      </c>
      <c r="I19" s="5" t="s">
        <v>14</v>
      </c>
      <c r="J19" s="3">
        <v>2022.0</v>
      </c>
      <c r="K19" s="4" t="str">
        <f>VLOOKUP($C19,Userpass!$A$2:$R$3001,2,FALSE)</f>
        <v>akl20227662.alumni@smkn12malang.sch.id</v>
      </c>
    </row>
    <row r="20" hidden="1">
      <c r="A20" s="3" t="str">
        <f t="shared" si="1"/>
        <v>OK</v>
      </c>
      <c r="B20" s="3" t="str">
        <f t="shared" si="2"/>
        <v>OK</v>
      </c>
      <c r="C20" s="3">
        <v>7669.0</v>
      </c>
      <c r="D20" s="4" t="s">
        <v>50</v>
      </c>
      <c r="E20" s="3" t="s">
        <v>51</v>
      </c>
      <c r="F20" s="3" t="s">
        <v>13</v>
      </c>
      <c r="G20" s="3" t="str">
        <f t="shared" si="3"/>
        <v>PURNA2025-AKL1</v>
      </c>
      <c r="H20" s="3" t="str">
        <f>VLOOKUP($C20,Userpass!$A$2:$L$3001,12,FALSE)</f>
        <v>AKL1</v>
      </c>
      <c r="I20" s="5" t="s">
        <v>14</v>
      </c>
      <c r="J20" s="3">
        <v>2022.0</v>
      </c>
      <c r="K20" s="4" t="str">
        <f>VLOOKUP($C20,Userpass!$A$2:$R$3001,2,FALSE)</f>
        <v>akl20227669.alumni@smkn12malang.sch.id</v>
      </c>
    </row>
    <row r="21" hidden="1">
      <c r="A21" s="3" t="str">
        <f t="shared" si="1"/>
        <v>OK</v>
      </c>
      <c r="B21" s="3" t="str">
        <f t="shared" si="2"/>
        <v>OK</v>
      </c>
      <c r="C21" s="3">
        <v>7673.0</v>
      </c>
      <c r="D21" s="4" t="s">
        <v>52</v>
      </c>
      <c r="E21" s="3" t="s">
        <v>53</v>
      </c>
      <c r="F21" s="3" t="s">
        <v>13</v>
      </c>
      <c r="G21" s="3" t="str">
        <f t="shared" si="3"/>
        <v>PURNA2025-AKL1</v>
      </c>
      <c r="H21" s="3" t="str">
        <f>VLOOKUP($C21,Userpass!$A$2:$L$3001,12,FALSE)</f>
        <v>AKL1</v>
      </c>
      <c r="I21" s="5" t="s">
        <v>14</v>
      </c>
      <c r="J21" s="3">
        <v>2022.0</v>
      </c>
      <c r="K21" s="4" t="str">
        <f>VLOOKUP($C21,Userpass!$A$2:$R$3001,2,FALSE)</f>
        <v>akl20227673.alumni@smkn12malang.sch.id</v>
      </c>
    </row>
    <row r="22" hidden="1">
      <c r="A22" s="3" t="str">
        <f t="shared" si="1"/>
        <v>OK</v>
      </c>
      <c r="B22" s="3" t="str">
        <f t="shared" si="2"/>
        <v>OK</v>
      </c>
      <c r="C22" s="3">
        <v>7674.0</v>
      </c>
      <c r="D22" s="4" t="s">
        <v>54</v>
      </c>
      <c r="E22" s="3" t="s">
        <v>55</v>
      </c>
      <c r="F22" s="3" t="s">
        <v>17</v>
      </c>
      <c r="G22" s="3" t="str">
        <f t="shared" si="3"/>
        <v>PURNA2025-AKL1</v>
      </c>
      <c r="H22" s="3" t="str">
        <f>VLOOKUP($C22,Userpass!$A$2:$L$3001,12,FALSE)</f>
        <v>AKL1</v>
      </c>
      <c r="I22" s="5" t="s">
        <v>14</v>
      </c>
      <c r="J22" s="3">
        <v>2022.0</v>
      </c>
      <c r="K22" s="4" t="str">
        <f>VLOOKUP($C22,Userpass!$A$2:$R$3001,2,FALSE)</f>
        <v>akl20227674.alumni@smkn12malang.sch.id</v>
      </c>
    </row>
    <row r="23" hidden="1">
      <c r="A23" s="3" t="str">
        <f t="shared" si="1"/>
        <v>OK</v>
      </c>
      <c r="B23" s="3" t="str">
        <f t="shared" si="2"/>
        <v>OK</v>
      </c>
      <c r="C23" s="3">
        <v>7696.0</v>
      </c>
      <c r="D23" s="4" t="s">
        <v>56</v>
      </c>
      <c r="E23" s="3" t="s">
        <v>57</v>
      </c>
      <c r="F23" s="3" t="s">
        <v>13</v>
      </c>
      <c r="G23" s="3" t="str">
        <f t="shared" si="3"/>
        <v>PURNA2025-AKL1</v>
      </c>
      <c r="H23" s="3" t="str">
        <f>VLOOKUP($C23,Userpass!$A$2:$L$3001,12,FALSE)</f>
        <v>AKL1</v>
      </c>
      <c r="I23" s="5" t="s">
        <v>14</v>
      </c>
      <c r="J23" s="3">
        <v>2022.0</v>
      </c>
      <c r="K23" s="4" t="str">
        <f>VLOOKUP($C23,Userpass!$A$2:$R$3001,2,FALSE)</f>
        <v>akl20227696.alumni@smkn12malang.sch.id</v>
      </c>
    </row>
    <row r="24" hidden="1">
      <c r="A24" s="3" t="str">
        <f t="shared" si="1"/>
        <v>OK</v>
      </c>
      <c r="B24" s="3" t="str">
        <f t="shared" si="2"/>
        <v>OK</v>
      </c>
      <c r="C24" s="3">
        <v>7717.0</v>
      </c>
      <c r="D24" s="4" t="s">
        <v>58</v>
      </c>
      <c r="E24" s="3" t="s">
        <v>59</v>
      </c>
      <c r="F24" s="3" t="s">
        <v>13</v>
      </c>
      <c r="G24" s="3" t="str">
        <f t="shared" si="3"/>
        <v>PURNA2025-AKL1</v>
      </c>
      <c r="H24" s="3" t="str">
        <f>VLOOKUP($C24,Userpass!$A$2:$L$3001,12,FALSE)</f>
        <v>AKL1</v>
      </c>
      <c r="I24" s="5" t="s">
        <v>14</v>
      </c>
      <c r="J24" s="3">
        <v>2022.0</v>
      </c>
      <c r="K24" s="4" t="str">
        <f>VLOOKUP($C24,Userpass!$A$2:$R$3001,2,FALSE)</f>
        <v>akl20227717.alumni@smkn12malang.sch.id</v>
      </c>
    </row>
    <row r="25" hidden="1">
      <c r="A25" s="3" t="str">
        <f t="shared" si="1"/>
        <v>OK</v>
      </c>
      <c r="B25" s="3" t="str">
        <f t="shared" si="2"/>
        <v>OK</v>
      </c>
      <c r="C25" s="3">
        <v>7815.0</v>
      </c>
      <c r="D25" s="4" t="s">
        <v>60</v>
      </c>
      <c r="E25" s="3" t="s">
        <v>61</v>
      </c>
      <c r="F25" s="3" t="s">
        <v>13</v>
      </c>
      <c r="G25" s="3" t="str">
        <f t="shared" si="3"/>
        <v>PURNA2025-AKL1</v>
      </c>
      <c r="H25" s="3" t="str">
        <f>VLOOKUP($C25,Userpass!$A$2:$L$3001,12,FALSE)</f>
        <v>AKL1</v>
      </c>
      <c r="I25" s="5" t="s">
        <v>14</v>
      </c>
      <c r="J25" s="3">
        <v>2022.0</v>
      </c>
      <c r="K25" s="4" t="str">
        <f>VLOOKUP($C25,Userpass!$A$2:$R$3001,2,FALSE)</f>
        <v>akl20227815.alumni@smkn12malang.sch.id</v>
      </c>
    </row>
    <row r="26" hidden="1">
      <c r="A26" s="3" t="str">
        <f t="shared" si="1"/>
        <v>OK</v>
      </c>
      <c r="B26" s="3" t="str">
        <f t="shared" si="2"/>
        <v>OK</v>
      </c>
      <c r="C26" s="3">
        <v>7825.0</v>
      </c>
      <c r="D26" s="4" t="s">
        <v>62</v>
      </c>
      <c r="E26" s="3" t="s">
        <v>63</v>
      </c>
      <c r="F26" s="3" t="s">
        <v>13</v>
      </c>
      <c r="G26" s="3" t="str">
        <f t="shared" si="3"/>
        <v>PURNA2025-AKL1</v>
      </c>
      <c r="H26" s="3" t="str">
        <f>VLOOKUP($C26,Userpass!$A$2:$L$3001,12,FALSE)</f>
        <v>AKL1</v>
      </c>
      <c r="I26" s="5" t="s">
        <v>14</v>
      </c>
      <c r="J26" s="3">
        <v>2022.0</v>
      </c>
      <c r="K26" s="4" t="str">
        <f>VLOOKUP($C26,Userpass!$A$2:$R$3001,2,FALSE)</f>
        <v>akl20227825.alumni@smkn12malang.sch.id</v>
      </c>
    </row>
    <row r="27" hidden="1">
      <c r="A27" s="3" t="str">
        <f t="shared" si="1"/>
        <v>OK</v>
      </c>
      <c r="B27" s="3" t="str">
        <f t="shared" si="2"/>
        <v>OK</v>
      </c>
      <c r="C27" s="3">
        <v>7841.0</v>
      </c>
      <c r="D27" s="4" t="s">
        <v>64</v>
      </c>
      <c r="E27" s="3" t="s">
        <v>65</v>
      </c>
      <c r="F27" s="3" t="s">
        <v>13</v>
      </c>
      <c r="G27" s="3" t="str">
        <f t="shared" si="3"/>
        <v>PURNA2025-AKL1</v>
      </c>
      <c r="H27" s="3" t="str">
        <f>VLOOKUP($C27,Userpass!$A$2:$L$3001,12,FALSE)</f>
        <v>AKL1</v>
      </c>
      <c r="I27" s="5" t="s">
        <v>14</v>
      </c>
      <c r="J27" s="3">
        <v>2022.0</v>
      </c>
      <c r="K27" s="4" t="str">
        <f>VLOOKUP($C27,Userpass!$A$2:$R$3001,2,FALSE)</f>
        <v>akl20227841.alumni@smkn12malang.sch.id</v>
      </c>
    </row>
    <row r="28" hidden="1">
      <c r="A28" s="3" t="str">
        <f t="shared" si="1"/>
        <v>OK</v>
      </c>
      <c r="B28" s="3" t="str">
        <f t="shared" si="2"/>
        <v>OK</v>
      </c>
      <c r="C28" s="3">
        <v>7893.0</v>
      </c>
      <c r="D28" s="4" t="s">
        <v>66</v>
      </c>
      <c r="E28" s="3" t="s">
        <v>67</v>
      </c>
      <c r="F28" s="3" t="s">
        <v>13</v>
      </c>
      <c r="G28" s="3" t="str">
        <f t="shared" si="3"/>
        <v>PURNA2025-AKL1</v>
      </c>
      <c r="H28" s="3" t="str">
        <f>VLOOKUP($C28,Userpass!$A$2:$L$3001,12,FALSE)</f>
        <v>AKL1</v>
      </c>
      <c r="I28" s="5" t="s">
        <v>14</v>
      </c>
      <c r="J28" s="3">
        <v>2022.0</v>
      </c>
      <c r="K28" s="4" t="str">
        <f>VLOOKUP($C28,Userpass!$A$2:$R$3001,2,FALSE)</f>
        <v>akl20227893.alumni@smkn12malang.sch.id</v>
      </c>
    </row>
    <row r="29" hidden="1">
      <c r="A29" s="3" t="str">
        <f t="shared" si="1"/>
        <v>OK</v>
      </c>
      <c r="B29" s="3" t="str">
        <f t="shared" si="2"/>
        <v>OK</v>
      </c>
      <c r="C29" s="3">
        <v>7901.0</v>
      </c>
      <c r="D29" s="4" t="s">
        <v>68</v>
      </c>
      <c r="E29" s="3" t="s">
        <v>69</v>
      </c>
      <c r="F29" s="3" t="s">
        <v>13</v>
      </c>
      <c r="G29" s="3" t="str">
        <f t="shared" si="3"/>
        <v>PURNA2025-AKL1</v>
      </c>
      <c r="H29" s="3" t="str">
        <f>VLOOKUP($C29,Userpass!$A$2:$L$3001,12,FALSE)</f>
        <v>AKL1</v>
      </c>
      <c r="I29" s="5" t="s">
        <v>14</v>
      </c>
      <c r="J29" s="3">
        <v>2022.0</v>
      </c>
      <c r="K29" s="4" t="str">
        <f>VLOOKUP($C29,Userpass!$A$2:$R$3001,2,FALSE)</f>
        <v>akl20227901.alumni@smkn12malang.sch.id</v>
      </c>
    </row>
    <row r="30" hidden="1">
      <c r="A30" s="3" t="str">
        <f t="shared" si="1"/>
        <v>OK</v>
      </c>
      <c r="B30" s="3" t="str">
        <f t="shared" si="2"/>
        <v>OK</v>
      </c>
      <c r="C30" s="3">
        <v>7904.0</v>
      </c>
      <c r="D30" s="4" t="s">
        <v>70</v>
      </c>
      <c r="E30" s="3" t="s">
        <v>71</v>
      </c>
      <c r="F30" s="3" t="s">
        <v>13</v>
      </c>
      <c r="G30" s="3" t="str">
        <f t="shared" si="3"/>
        <v>PURNA2025-AKL1</v>
      </c>
      <c r="H30" s="3" t="str">
        <f>VLOOKUP($C30,Userpass!$A$2:$L$3001,12,FALSE)</f>
        <v>AKL1</v>
      </c>
      <c r="I30" s="5" t="s">
        <v>14</v>
      </c>
      <c r="J30" s="3">
        <v>2022.0</v>
      </c>
      <c r="K30" s="4" t="str">
        <f>VLOOKUP($C30,Userpass!$A$2:$R$3001,2,FALSE)</f>
        <v>akl20227904.alumni@smkn12malang.sch.id</v>
      </c>
    </row>
    <row r="31" hidden="1">
      <c r="A31" s="3" t="str">
        <f t="shared" si="1"/>
        <v>OK</v>
      </c>
      <c r="B31" s="3" t="str">
        <f t="shared" si="2"/>
        <v>OK</v>
      </c>
      <c r="C31" s="3">
        <v>7917.0</v>
      </c>
      <c r="D31" s="4" t="s">
        <v>72</v>
      </c>
      <c r="E31" s="3" t="s">
        <v>73</v>
      </c>
      <c r="F31" s="3" t="s">
        <v>13</v>
      </c>
      <c r="G31" s="3" t="str">
        <f t="shared" si="3"/>
        <v>PURNA2025-AKL1</v>
      </c>
      <c r="H31" s="3" t="str">
        <f>VLOOKUP($C31,Userpass!$A$2:$L$3001,12,FALSE)</f>
        <v>AKL1</v>
      </c>
      <c r="I31" s="5" t="s">
        <v>14</v>
      </c>
      <c r="J31" s="3">
        <v>2022.0</v>
      </c>
      <c r="K31" s="4" t="str">
        <f>VLOOKUP($C31,Userpass!$A$2:$R$3001,2,FALSE)</f>
        <v>akl20227917.alumni@smkn12malang.sch.id</v>
      </c>
    </row>
    <row r="32" hidden="1">
      <c r="A32" s="3" t="str">
        <f t="shared" si="1"/>
        <v>OK</v>
      </c>
      <c r="B32" s="3" t="str">
        <f t="shared" si="2"/>
        <v>OK</v>
      </c>
      <c r="C32" s="3">
        <v>7933.0</v>
      </c>
      <c r="D32" s="4" t="s">
        <v>74</v>
      </c>
      <c r="E32" s="3" t="s">
        <v>75</v>
      </c>
      <c r="F32" s="3" t="s">
        <v>13</v>
      </c>
      <c r="G32" s="3" t="str">
        <f t="shared" si="3"/>
        <v>PURNA2025-AKL1</v>
      </c>
      <c r="H32" s="3" t="str">
        <f>VLOOKUP($C32,Userpass!$A$2:$L$3001,12,FALSE)</f>
        <v>AKL1</v>
      </c>
      <c r="I32" s="5" t="s">
        <v>14</v>
      </c>
      <c r="J32" s="3">
        <v>2022.0</v>
      </c>
      <c r="K32" s="4" t="str">
        <f>VLOOKUP($C32,Userpass!$A$2:$R$3001,2,FALSE)</f>
        <v>akl20227933.alumni@smkn12malang.sch.id</v>
      </c>
    </row>
    <row r="33" hidden="1">
      <c r="A33" s="3" t="str">
        <f t="shared" si="1"/>
        <v>OK</v>
      </c>
      <c r="B33" s="3" t="str">
        <f t="shared" si="2"/>
        <v>OK</v>
      </c>
      <c r="C33" s="3">
        <v>7939.0</v>
      </c>
      <c r="D33" s="4" t="s">
        <v>76</v>
      </c>
      <c r="E33" s="3" t="s">
        <v>77</v>
      </c>
      <c r="F33" s="3" t="s">
        <v>13</v>
      </c>
      <c r="G33" s="3" t="str">
        <f t="shared" si="3"/>
        <v>PURNA2025-AKL1</v>
      </c>
      <c r="H33" s="3" t="str">
        <f>VLOOKUP($C33,Userpass!$A$2:$L$3001,12,FALSE)</f>
        <v>AKL1</v>
      </c>
      <c r="I33" s="5" t="s">
        <v>14</v>
      </c>
      <c r="J33" s="3">
        <v>2022.0</v>
      </c>
      <c r="K33" s="4" t="str">
        <f>VLOOKUP($C33,Userpass!$A$2:$R$3001,2,FALSE)</f>
        <v>akl20227939.alumni@smkn12malang.sch.id</v>
      </c>
    </row>
    <row r="34" hidden="1">
      <c r="A34" s="3" t="str">
        <f t="shared" si="1"/>
        <v>OK</v>
      </c>
      <c r="B34" s="3" t="str">
        <f t="shared" si="2"/>
        <v>OK</v>
      </c>
      <c r="C34" s="3">
        <v>7947.0</v>
      </c>
      <c r="D34" s="4" t="s">
        <v>78</v>
      </c>
      <c r="E34" s="3" t="s">
        <v>79</v>
      </c>
      <c r="F34" s="3" t="s">
        <v>13</v>
      </c>
      <c r="G34" s="3" t="str">
        <f t="shared" si="3"/>
        <v>PURNA2025-AKL1</v>
      </c>
      <c r="H34" s="3" t="str">
        <f>VLOOKUP($C34,Userpass!$A$2:$L$3001,12,FALSE)</f>
        <v>AKL1</v>
      </c>
      <c r="I34" s="5" t="s">
        <v>14</v>
      </c>
      <c r="J34" s="3">
        <v>2022.0</v>
      </c>
      <c r="K34" s="4" t="str">
        <f>VLOOKUP($C34,Userpass!$A$2:$R$3001,2,FALSE)</f>
        <v>akl20227947.alumni@smkn12malang.sch.id</v>
      </c>
    </row>
    <row r="35" hidden="1">
      <c r="A35" s="3" t="str">
        <f t="shared" si="1"/>
        <v>OK</v>
      </c>
      <c r="B35" s="3" t="str">
        <f t="shared" si="2"/>
        <v>OK</v>
      </c>
      <c r="C35" s="3">
        <v>7956.0</v>
      </c>
      <c r="D35" s="4" t="s">
        <v>80</v>
      </c>
      <c r="E35" s="3" t="s">
        <v>81</v>
      </c>
      <c r="F35" s="3" t="s">
        <v>13</v>
      </c>
      <c r="G35" s="3" t="str">
        <f t="shared" si="3"/>
        <v>PURNA2025-AKL1</v>
      </c>
      <c r="H35" s="3" t="str">
        <f>VLOOKUP($C35,Userpass!$A$2:$L$3001,12,FALSE)</f>
        <v>AKL1</v>
      </c>
      <c r="I35" s="5" t="s">
        <v>14</v>
      </c>
      <c r="J35" s="3">
        <v>2022.0</v>
      </c>
      <c r="K35" s="4" t="str">
        <f>VLOOKUP($C35,Userpass!$A$2:$R$3001,2,FALSE)</f>
        <v>akl20227956.alumni@smkn12malang.sch.id</v>
      </c>
    </row>
    <row r="36" hidden="1">
      <c r="A36" s="3" t="str">
        <f t="shared" si="1"/>
        <v>OK</v>
      </c>
      <c r="B36" s="3" t="str">
        <f t="shared" si="2"/>
        <v>OK</v>
      </c>
      <c r="C36" s="3">
        <v>7974.0</v>
      </c>
      <c r="D36" s="4" t="s">
        <v>82</v>
      </c>
      <c r="E36" s="3" t="s">
        <v>83</v>
      </c>
      <c r="F36" s="3" t="s">
        <v>13</v>
      </c>
      <c r="G36" s="3" t="str">
        <f t="shared" si="3"/>
        <v>PURNA2025-AKL1</v>
      </c>
      <c r="H36" s="3" t="str">
        <f>VLOOKUP($C36,Userpass!$A$2:$L$3001,12,FALSE)</f>
        <v>AKL1</v>
      </c>
      <c r="I36" s="5" t="s">
        <v>14</v>
      </c>
      <c r="J36" s="3">
        <v>2022.0</v>
      </c>
      <c r="K36" s="4" t="str">
        <f>VLOOKUP($C36,Userpass!$A$2:$R$3001,2,FALSE)</f>
        <v>akl20227974.alumni@smkn12malang.sch.id</v>
      </c>
    </row>
    <row r="37" hidden="1">
      <c r="A37" s="3" t="str">
        <f t="shared" si="1"/>
        <v>OK</v>
      </c>
      <c r="B37" s="3" t="str">
        <f t="shared" si="2"/>
        <v>OK</v>
      </c>
      <c r="C37" s="3">
        <v>8003.0</v>
      </c>
      <c r="D37" s="4" t="s">
        <v>84</v>
      </c>
      <c r="E37" s="3" t="s">
        <v>85</v>
      </c>
      <c r="F37" s="3" t="s">
        <v>13</v>
      </c>
      <c r="G37" s="3" t="str">
        <f t="shared" si="3"/>
        <v>PURNA2025-AKL1</v>
      </c>
      <c r="H37" s="3" t="str">
        <f>VLOOKUP($C37,Userpass!$A$2:$L$3001,12,FALSE)</f>
        <v>AKL1</v>
      </c>
      <c r="I37" s="5" t="s">
        <v>14</v>
      </c>
      <c r="J37" s="3">
        <v>2022.0</v>
      </c>
      <c r="K37" s="4" t="str">
        <f>VLOOKUP($C37,Userpass!$A$2:$R$3001,2,FALSE)</f>
        <v>akl20228003.alumni@smkn12malang.sch.id</v>
      </c>
    </row>
    <row r="38" hidden="1">
      <c r="A38" s="3" t="str">
        <f t="shared" si="1"/>
        <v>OK</v>
      </c>
      <c r="B38" s="3" t="str">
        <f t="shared" si="2"/>
        <v>OK</v>
      </c>
      <c r="C38" s="3">
        <v>7453.0</v>
      </c>
      <c r="D38" s="4" t="s">
        <v>86</v>
      </c>
      <c r="E38" s="3" t="s">
        <v>87</v>
      </c>
      <c r="F38" s="3" t="s">
        <v>13</v>
      </c>
      <c r="G38" s="3" t="str">
        <f t="shared" si="3"/>
        <v>PURNA2025-AKL2</v>
      </c>
      <c r="H38" s="3" t="str">
        <f>VLOOKUP($C38,Userpass!$A$2:$L$3001,12,FALSE)</f>
        <v>AKL2</v>
      </c>
      <c r="I38" s="5" t="s">
        <v>14</v>
      </c>
      <c r="J38" s="3">
        <v>2022.0</v>
      </c>
      <c r="K38" s="4" t="str">
        <f>VLOOKUP($C38,Userpass!$A$2:$R$3001,2,FALSE)</f>
        <v>akl20227453.alumni@smkn12malang.sch.id</v>
      </c>
    </row>
    <row r="39" hidden="1">
      <c r="A39" s="3" t="str">
        <f t="shared" si="1"/>
        <v>OK</v>
      </c>
      <c r="B39" s="3" t="str">
        <f t="shared" si="2"/>
        <v>OK</v>
      </c>
      <c r="C39" s="3">
        <v>7458.0</v>
      </c>
      <c r="D39" s="4" t="s">
        <v>88</v>
      </c>
      <c r="E39" s="3" t="s">
        <v>89</v>
      </c>
      <c r="F39" s="3" t="s">
        <v>13</v>
      </c>
      <c r="G39" s="3" t="str">
        <f t="shared" si="3"/>
        <v>PURNA2025-AKL2</v>
      </c>
      <c r="H39" s="3" t="str">
        <f>VLOOKUP($C39,Userpass!$A$2:$L$3001,12,FALSE)</f>
        <v>AKL2</v>
      </c>
      <c r="I39" s="5" t="s">
        <v>14</v>
      </c>
      <c r="J39" s="3">
        <v>2022.0</v>
      </c>
      <c r="K39" s="4" t="str">
        <f>VLOOKUP($C39,Userpass!$A$2:$R$3001,2,FALSE)</f>
        <v>akl20227458.alumni@smkn12malang.sch.id</v>
      </c>
    </row>
    <row r="40" hidden="1">
      <c r="A40" s="3" t="str">
        <f t="shared" si="1"/>
        <v>OK</v>
      </c>
      <c r="B40" s="3" t="str">
        <f t="shared" si="2"/>
        <v>OK</v>
      </c>
      <c r="C40" s="3">
        <v>7499.0</v>
      </c>
      <c r="D40" s="4" t="s">
        <v>90</v>
      </c>
      <c r="E40" s="3" t="s">
        <v>91</v>
      </c>
      <c r="F40" s="3" t="s">
        <v>13</v>
      </c>
      <c r="G40" s="3" t="str">
        <f t="shared" si="3"/>
        <v>PURNA2025-AKL2</v>
      </c>
      <c r="H40" s="3" t="str">
        <f>VLOOKUP($C40,Userpass!$A$2:$L$3001,12,FALSE)</f>
        <v>AKL2</v>
      </c>
      <c r="I40" s="5" t="s">
        <v>14</v>
      </c>
      <c r="J40" s="3">
        <v>2022.0</v>
      </c>
      <c r="K40" s="4" t="str">
        <f>VLOOKUP($C40,Userpass!$A$2:$R$3001,2,FALSE)</f>
        <v>akl20227499.alumni@smkn12malang.sch.id</v>
      </c>
    </row>
    <row r="41" hidden="1">
      <c r="A41" s="3" t="str">
        <f t="shared" si="1"/>
        <v>OK</v>
      </c>
      <c r="B41" s="3" t="str">
        <f t="shared" si="2"/>
        <v>OK</v>
      </c>
      <c r="C41" s="3">
        <v>7508.0</v>
      </c>
      <c r="D41" s="4" t="s">
        <v>92</v>
      </c>
      <c r="E41" s="3" t="s">
        <v>93</v>
      </c>
      <c r="F41" s="3" t="s">
        <v>13</v>
      </c>
      <c r="G41" s="3" t="str">
        <f t="shared" si="3"/>
        <v>PURNA2025-AKL2</v>
      </c>
      <c r="H41" s="3" t="str">
        <f>VLOOKUP($C41,Userpass!$A$2:$L$3001,12,FALSE)</f>
        <v>AKL2</v>
      </c>
      <c r="I41" s="5" t="s">
        <v>14</v>
      </c>
      <c r="J41" s="3">
        <v>2022.0</v>
      </c>
      <c r="K41" s="4" t="str">
        <f>VLOOKUP($C41,Userpass!$A$2:$R$3001,2,FALSE)</f>
        <v>akl20227508.alumni@smkn12malang.sch.id</v>
      </c>
    </row>
    <row r="42" hidden="1">
      <c r="A42" s="3" t="str">
        <f t="shared" si="1"/>
        <v>OK</v>
      </c>
      <c r="B42" s="3" t="str">
        <f t="shared" si="2"/>
        <v>OK</v>
      </c>
      <c r="C42" s="3">
        <v>7521.0</v>
      </c>
      <c r="D42" s="4" t="s">
        <v>94</v>
      </c>
      <c r="E42" s="3" t="s">
        <v>95</v>
      </c>
      <c r="F42" s="3" t="s">
        <v>13</v>
      </c>
      <c r="G42" s="3" t="str">
        <f t="shared" si="3"/>
        <v>PURNA2025-AKL2</v>
      </c>
      <c r="H42" s="3" t="str">
        <f>VLOOKUP($C42,Userpass!$A$2:$L$3001,12,FALSE)</f>
        <v>AKL2</v>
      </c>
      <c r="I42" s="5" t="s">
        <v>14</v>
      </c>
      <c r="J42" s="3">
        <v>2022.0</v>
      </c>
      <c r="K42" s="4" t="str">
        <f>VLOOKUP($C42,Userpass!$A$2:$R$3001,2,FALSE)</f>
        <v>akl20227521.alumni@smkn12malang.sch.id</v>
      </c>
    </row>
    <row r="43" hidden="1">
      <c r="A43" s="3" t="str">
        <f t="shared" si="1"/>
        <v>OK</v>
      </c>
      <c r="B43" s="3" t="str">
        <f t="shared" si="2"/>
        <v>OK</v>
      </c>
      <c r="C43" s="3">
        <v>7525.0</v>
      </c>
      <c r="D43" s="4" t="s">
        <v>96</v>
      </c>
      <c r="E43" s="3" t="s">
        <v>97</v>
      </c>
      <c r="F43" s="3" t="s">
        <v>13</v>
      </c>
      <c r="G43" s="3" t="str">
        <f t="shared" si="3"/>
        <v>PURNA2025-AKL2</v>
      </c>
      <c r="H43" s="3" t="str">
        <f>VLOOKUP($C43,Userpass!$A$2:$L$3001,12,FALSE)</f>
        <v>AKL2</v>
      </c>
      <c r="I43" s="5" t="s">
        <v>14</v>
      </c>
      <c r="J43" s="3">
        <v>2022.0</v>
      </c>
      <c r="K43" s="4" t="str">
        <f>VLOOKUP($C43,Userpass!$A$2:$R$3001,2,FALSE)</f>
        <v>akl20227525.alumni@smkn12malang.sch.id</v>
      </c>
    </row>
    <row r="44" hidden="1">
      <c r="A44" s="3" t="str">
        <f t="shared" si="1"/>
        <v>OK</v>
      </c>
      <c r="B44" s="3" t="str">
        <f t="shared" si="2"/>
        <v>OK</v>
      </c>
      <c r="C44" s="3">
        <v>7551.0</v>
      </c>
      <c r="D44" s="4" t="s">
        <v>98</v>
      </c>
      <c r="E44" s="3" t="s">
        <v>99</v>
      </c>
      <c r="F44" s="3" t="s">
        <v>13</v>
      </c>
      <c r="G44" s="3" t="str">
        <f t="shared" si="3"/>
        <v>PURNA2025-AKL2</v>
      </c>
      <c r="H44" s="3" t="str">
        <f>VLOOKUP($C44,Userpass!$A$2:$L$3001,12,FALSE)</f>
        <v>AKL2</v>
      </c>
      <c r="I44" s="5" t="s">
        <v>14</v>
      </c>
      <c r="J44" s="3">
        <v>2022.0</v>
      </c>
      <c r="K44" s="4" t="str">
        <f>VLOOKUP($C44,Userpass!$A$2:$R$3001,2,FALSE)</f>
        <v>akl20227551.alumni@smkn12malang.sch.id</v>
      </c>
    </row>
    <row r="45" hidden="1">
      <c r="A45" s="3" t="str">
        <f t="shared" si="1"/>
        <v>OK</v>
      </c>
      <c r="B45" s="3" t="str">
        <f t="shared" si="2"/>
        <v>OK</v>
      </c>
      <c r="C45" s="3">
        <v>7570.0</v>
      </c>
      <c r="D45" s="4" t="s">
        <v>100</v>
      </c>
      <c r="E45" s="3" t="s">
        <v>101</v>
      </c>
      <c r="F45" s="3" t="s">
        <v>13</v>
      </c>
      <c r="G45" s="3" t="str">
        <f t="shared" si="3"/>
        <v>PURNA2025-AKL2</v>
      </c>
      <c r="H45" s="3" t="str">
        <f>VLOOKUP($C45,Userpass!$A$2:$L$3001,12,FALSE)</f>
        <v>AKL2</v>
      </c>
      <c r="I45" s="5" t="s">
        <v>14</v>
      </c>
      <c r="J45" s="3">
        <v>2022.0</v>
      </c>
      <c r="K45" s="4" t="str">
        <f>VLOOKUP($C45,Userpass!$A$2:$R$3001,2,FALSE)</f>
        <v>akl20227570.alumni@smkn12malang.sch.id</v>
      </c>
    </row>
    <row r="46" hidden="1">
      <c r="A46" s="3" t="str">
        <f t="shared" si="1"/>
        <v>OK</v>
      </c>
      <c r="B46" s="3" t="str">
        <f t="shared" si="2"/>
        <v>OK</v>
      </c>
      <c r="C46" s="3">
        <v>7602.0</v>
      </c>
      <c r="D46" s="4" t="s">
        <v>102</v>
      </c>
      <c r="E46" s="3" t="s">
        <v>103</v>
      </c>
      <c r="F46" s="3" t="s">
        <v>13</v>
      </c>
      <c r="G46" s="3" t="str">
        <f t="shared" si="3"/>
        <v>PURNA2025-AKL2</v>
      </c>
      <c r="H46" s="3" t="str">
        <f>VLOOKUP($C46,Userpass!$A$2:$L$3001,12,FALSE)</f>
        <v>AKL2</v>
      </c>
      <c r="I46" s="5" t="s">
        <v>14</v>
      </c>
      <c r="J46" s="3">
        <v>2022.0</v>
      </c>
      <c r="K46" s="4" t="str">
        <f>VLOOKUP($C46,Userpass!$A$2:$R$3001,2,FALSE)</f>
        <v>akl20227602.alumni@smkn12malang.sch.id</v>
      </c>
    </row>
    <row r="47" hidden="1">
      <c r="A47" s="3" t="str">
        <f t="shared" si="1"/>
        <v>OK</v>
      </c>
      <c r="B47" s="3" t="str">
        <f t="shared" si="2"/>
        <v>OK</v>
      </c>
      <c r="C47" s="3">
        <v>7611.0</v>
      </c>
      <c r="D47" s="4" t="s">
        <v>104</v>
      </c>
      <c r="E47" s="3" t="s">
        <v>105</v>
      </c>
      <c r="F47" s="3" t="s">
        <v>13</v>
      </c>
      <c r="G47" s="3" t="str">
        <f t="shared" si="3"/>
        <v>PURNA2025-AKL2</v>
      </c>
      <c r="H47" s="3" t="str">
        <f>VLOOKUP($C47,Userpass!$A$2:$L$3001,12,FALSE)</f>
        <v>AKL2</v>
      </c>
      <c r="I47" s="5" t="s">
        <v>14</v>
      </c>
      <c r="J47" s="3">
        <v>2022.0</v>
      </c>
      <c r="K47" s="4" t="str">
        <f>VLOOKUP($C47,Userpass!$A$2:$R$3001,2,FALSE)</f>
        <v>akl20227611.alumni@smkn12malang.sch.id</v>
      </c>
    </row>
    <row r="48" hidden="1">
      <c r="A48" s="3" t="str">
        <f t="shared" si="1"/>
        <v>OK</v>
      </c>
      <c r="B48" s="3" t="str">
        <f t="shared" si="2"/>
        <v>OK</v>
      </c>
      <c r="C48" s="3">
        <v>7617.0</v>
      </c>
      <c r="D48" s="4" t="s">
        <v>106</v>
      </c>
      <c r="E48" s="3" t="s">
        <v>107</v>
      </c>
      <c r="F48" s="3" t="s">
        <v>13</v>
      </c>
      <c r="G48" s="3" t="str">
        <f t="shared" si="3"/>
        <v>PURNA2025-AKL2</v>
      </c>
      <c r="H48" s="3" t="str">
        <f>VLOOKUP($C48,Userpass!$A$2:$L$3001,12,FALSE)</f>
        <v>AKL2</v>
      </c>
      <c r="I48" s="5" t="s">
        <v>14</v>
      </c>
      <c r="J48" s="3">
        <v>2022.0</v>
      </c>
      <c r="K48" s="4" t="str">
        <f>VLOOKUP($C48,Userpass!$A$2:$R$3001,2,FALSE)</f>
        <v>akl20227617.alumni@smkn12malang.sch.id</v>
      </c>
    </row>
    <row r="49" hidden="1">
      <c r="A49" s="3" t="str">
        <f t="shared" si="1"/>
        <v>OK</v>
      </c>
      <c r="B49" s="3" t="str">
        <f t="shared" si="2"/>
        <v>OK</v>
      </c>
      <c r="C49" s="3">
        <v>7618.0</v>
      </c>
      <c r="D49" s="4" t="s">
        <v>108</v>
      </c>
      <c r="E49" s="3" t="s">
        <v>109</v>
      </c>
      <c r="F49" s="3" t="s">
        <v>13</v>
      </c>
      <c r="G49" s="3" t="str">
        <f t="shared" si="3"/>
        <v>PURNA2025-AKL2</v>
      </c>
      <c r="H49" s="3" t="str">
        <f>VLOOKUP($C49,Userpass!$A$2:$L$3001,12,FALSE)</f>
        <v>AKL2</v>
      </c>
      <c r="I49" s="5" t="s">
        <v>14</v>
      </c>
      <c r="J49" s="3">
        <v>2022.0</v>
      </c>
      <c r="K49" s="4" t="str">
        <f>VLOOKUP($C49,Userpass!$A$2:$R$3001,2,FALSE)</f>
        <v>akl20227618.alumni@smkn12malang.sch.id</v>
      </c>
    </row>
    <row r="50" hidden="1">
      <c r="A50" s="3" t="str">
        <f t="shared" si="1"/>
        <v>OK</v>
      </c>
      <c r="B50" s="3" t="str">
        <f t="shared" si="2"/>
        <v>OK</v>
      </c>
      <c r="C50" s="3">
        <v>7631.0</v>
      </c>
      <c r="D50" s="4" t="s">
        <v>110</v>
      </c>
      <c r="E50" s="3" t="s">
        <v>111</v>
      </c>
      <c r="F50" s="3" t="s">
        <v>13</v>
      </c>
      <c r="G50" s="3" t="str">
        <f t="shared" si="3"/>
        <v>PURNA2025-AKL2</v>
      </c>
      <c r="H50" s="3" t="str">
        <f>VLOOKUP($C50,Userpass!$A$2:$L$3001,12,FALSE)</f>
        <v>AKL2</v>
      </c>
      <c r="I50" s="5" t="s">
        <v>14</v>
      </c>
      <c r="J50" s="3">
        <v>2022.0</v>
      </c>
      <c r="K50" s="4" t="str">
        <f>VLOOKUP($C50,Userpass!$A$2:$R$3001,2,FALSE)</f>
        <v>akl20227631.alumni@smkn12malang.sch.id</v>
      </c>
    </row>
    <row r="51" hidden="1">
      <c r="A51" s="3" t="str">
        <f t="shared" si="1"/>
        <v>OK</v>
      </c>
      <c r="B51" s="3" t="str">
        <f t="shared" si="2"/>
        <v>OK</v>
      </c>
      <c r="C51" s="3">
        <v>7647.0</v>
      </c>
      <c r="D51" s="4" t="s">
        <v>112</v>
      </c>
      <c r="E51" s="3" t="s">
        <v>113</v>
      </c>
      <c r="F51" s="3" t="s">
        <v>13</v>
      </c>
      <c r="G51" s="3" t="str">
        <f t="shared" si="3"/>
        <v>PURNA2025-AKL2</v>
      </c>
      <c r="H51" s="3" t="str">
        <f>VLOOKUP($C51,Userpass!$A$2:$L$3001,12,FALSE)</f>
        <v>AKL2</v>
      </c>
      <c r="I51" s="5" t="s">
        <v>14</v>
      </c>
      <c r="J51" s="3">
        <v>2022.0</v>
      </c>
      <c r="K51" s="4" t="str">
        <f>VLOOKUP($C51,Userpass!$A$2:$R$3001,2,FALSE)</f>
        <v>akl20227647.alumni@smkn12malang.sch.id</v>
      </c>
    </row>
    <row r="52" hidden="1">
      <c r="A52" s="3" t="str">
        <f t="shared" si="1"/>
        <v>OK</v>
      </c>
      <c r="B52" s="3" t="str">
        <f t="shared" si="2"/>
        <v>OK</v>
      </c>
      <c r="C52" s="3">
        <v>7658.0</v>
      </c>
      <c r="D52" s="4" t="s">
        <v>114</v>
      </c>
      <c r="E52" s="3" t="s">
        <v>115</v>
      </c>
      <c r="F52" s="3" t="s">
        <v>17</v>
      </c>
      <c r="G52" s="3" t="str">
        <f t="shared" si="3"/>
        <v>PURNA2025-AKL2</v>
      </c>
      <c r="H52" s="3" t="str">
        <f>VLOOKUP($C52,Userpass!$A$2:$L$3001,12,FALSE)</f>
        <v>AKL2</v>
      </c>
      <c r="I52" s="5" t="s">
        <v>14</v>
      </c>
      <c r="J52" s="3">
        <v>2022.0</v>
      </c>
      <c r="K52" s="4" t="str">
        <f>VLOOKUP($C52,Userpass!$A$2:$R$3001,2,FALSE)</f>
        <v>akl20227658.alumni@smkn12malang.sch.id</v>
      </c>
    </row>
    <row r="53" hidden="1">
      <c r="A53" s="3" t="str">
        <f t="shared" si="1"/>
        <v>OK</v>
      </c>
      <c r="B53" s="3" t="str">
        <f t="shared" si="2"/>
        <v>OK</v>
      </c>
      <c r="C53" s="3">
        <v>7666.0</v>
      </c>
      <c r="D53" s="4" t="s">
        <v>116</v>
      </c>
      <c r="E53" s="3" t="s">
        <v>117</v>
      </c>
      <c r="F53" s="3" t="s">
        <v>13</v>
      </c>
      <c r="G53" s="3" t="str">
        <f t="shared" si="3"/>
        <v>PURNA2025-AKL2</v>
      </c>
      <c r="H53" s="3" t="str">
        <f>VLOOKUP($C53,Userpass!$A$2:$L$3001,12,FALSE)</f>
        <v>AKL2</v>
      </c>
      <c r="I53" s="5" t="s">
        <v>14</v>
      </c>
      <c r="J53" s="3">
        <v>2022.0</v>
      </c>
      <c r="K53" s="4" t="str">
        <f>VLOOKUP($C53,Userpass!$A$2:$R$3001,2,FALSE)</f>
        <v>akl20227666.alumni@smkn12malang.sch.id</v>
      </c>
    </row>
    <row r="54" hidden="1">
      <c r="A54" s="3" t="str">
        <f t="shared" si="1"/>
        <v>OK</v>
      </c>
      <c r="B54" s="3" t="str">
        <f t="shared" si="2"/>
        <v>OK</v>
      </c>
      <c r="C54" s="3">
        <v>7681.0</v>
      </c>
      <c r="D54" s="4" t="s">
        <v>118</v>
      </c>
      <c r="E54" s="3" t="s">
        <v>119</v>
      </c>
      <c r="F54" s="3" t="s">
        <v>13</v>
      </c>
      <c r="G54" s="3" t="str">
        <f t="shared" si="3"/>
        <v>PURNA2025-AKL2</v>
      </c>
      <c r="H54" s="3" t="str">
        <f>VLOOKUP($C54,Userpass!$A$2:$L$3001,12,FALSE)</f>
        <v>AKL2</v>
      </c>
      <c r="I54" s="5" t="s">
        <v>14</v>
      </c>
      <c r="J54" s="3">
        <v>2022.0</v>
      </c>
      <c r="K54" s="4" t="str">
        <f>VLOOKUP($C54,Userpass!$A$2:$R$3001,2,FALSE)</f>
        <v>akl20227681.alumni@smkn12malang.sch.id</v>
      </c>
    </row>
    <row r="55" hidden="1">
      <c r="A55" s="3" t="str">
        <f t="shared" si="1"/>
        <v>OK</v>
      </c>
      <c r="B55" s="3" t="str">
        <f t="shared" si="2"/>
        <v>OK</v>
      </c>
      <c r="C55" s="3">
        <v>7688.0</v>
      </c>
      <c r="D55" s="4" t="s">
        <v>120</v>
      </c>
      <c r="E55" s="3" t="s">
        <v>121</v>
      </c>
      <c r="F55" s="3" t="s">
        <v>13</v>
      </c>
      <c r="G55" s="3" t="str">
        <f t="shared" si="3"/>
        <v>PURNA2025-AKL2</v>
      </c>
      <c r="H55" s="3" t="str">
        <f>VLOOKUP($C55,Userpass!$A$2:$L$3001,12,FALSE)</f>
        <v>AKL2</v>
      </c>
      <c r="I55" s="5" t="s">
        <v>14</v>
      </c>
      <c r="J55" s="3">
        <v>2022.0</v>
      </c>
      <c r="K55" s="4" t="str">
        <f>VLOOKUP($C55,Userpass!$A$2:$R$3001,2,FALSE)</f>
        <v>akl20227688.alumni@smkn12malang.sch.id</v>
      </c>
    </row>
    <row r="56" hidden="1">
      <c r="A56" s="3" t="str">
        <f t="shared" si="1"/>
        <v>OK</v>
      </c>
      <c r="B56" s="3" t="str">
        <f t="shared" si="2"/>
        <v>OK</v>
      </c>
      <c r="C56" s="3">
        <v>7699.0</v>
      </c>
      <c r="D56" s="4" t="s">
        <v>122</v>
      </c>
      <c r="E56" s="3" t="s">
        <v>123</v>
      </c>
      <c r="F56" s="3" t="s">
        <v>13</v>
      </c>
      <c r="G56" s="3" t="str">
        <f t="shared" si="3"/>
        <v>PURNA2025-AKL2</v>
      </c>
      <c r="H56" s="3" t="str">
        <f>VLOOKUP($C56,Userpass!$A$2:$L$3001,12,FALSE)</f>
        <v>AKL2</v>
      </c>
      <c r="I56" s="5" t="s">
        <v>14</v>
      </c>
      <c r="J56" s="3">
        <v>2022.0</v>
      </c>
      <c r="K56" s="4" t="str">
        <f>VLOOKUP($C56,Userpass!$A$2:$R$3001,2,FALSE)</f>
        <v>akl20227699.alumni@smkn12malang.sch.id</v>
      </c>
    </row>
    <row r="57" hidden="1">
      <c r="A57" s="3" t="str">
        <f t="shared" si="1"/>
        <v>OK</v>
      </c>
      <c r="B57" s="3" t="str">
        <f t="shared" si="2"/>
        <v>OK</v>
      </c>
      <c r="C57" s="3">
        <v>7723.0</v>
      </c>
      <c r="D57" s="4" t="s">
        <v>124</v>
      </c>
      <c r="E57" s="3" t="s">
        <v>125</v>
      </c>
      <c r="F57" s="3" t="s">
        <v>13</v>
      </c>
      <c r="G57" s="3" t="str">
        <f t="shared" si="3"/>
        <v>PURNA2025-AKL2</v>
      </c>
      <c r="H57" s="3" t="str">
        <f>VLOOKUP($C57,Userpass!$A$2:$L$3001,12,FALSE)</f>
        <v>AKL2</v>
      </c>
      <c r="I57" s="5" t="s">
        <v>14</v>
      </c>
      <c r="J57" s="3">
        <v>2022.0</v>
      </c>
      <c r="K57" s="4" t="str">
        <f>VLOOKUP($C57,Userpass!$A$2:$R$3001,2,FALSE)</f>
        <v>akl20227723.alumni@smkn12malang.sch.id</v>
      </c>
    </row>
    <row r="58" hidden="1">
      <c r="A58" s="3" t="str">
        <f t="shared" si="1"/>
        <v>OK</v>
      </c>
      <c r="B58" s="3" t="str">
        <f t="shared" si="2"/>
        <v>OK</v>
      </c>
      <c r="C58" s="3">
        <v>7730.0</v>
      </c>
      <c r="D58" s="4" t="s">
        <v>126</v>
      </c>
      <c r="E58" s="3" t="s">
        <v>127</v>
      </c>
      <c r="F58" s="3" t="s">
        <v>13</v>
      </c>
      <c r="G58" s="3" t="str">
        <f t="shared" si="3"/>
        <v>PURNA2025-AKL2</v>
      </c>
      <c r="H58" s="3" t="str">
        <f>VLOOKUP($C58,Userpass!$A$2:$L$3001,12,FALSE)</f>
        <v>AKL2</v>
      </c>
      <c r="I58" s="5" t="s">
        <v>14</v>
      </c>
      <c r="J58" s="3">
        <v>2022.0</v>
      </c>
      <c r="K58" s="4" t="str">
        <f>VLOOKUP($C58,Userpass!$A$2:$R$3001,2,FALSE)</f>
        <v>akl20227730.alumni@smkn12malang.sch.id</v>
      </c>
    </row>
    <row r="59" hidden="1">
      <c r="A59" s="3" t="str">
        <f t="shared" si="1"/>
        <v>OK</v>
      </c>
      <c r="B59" s="3" t="str">
        <f t="shared" si="2"/>
        <v>OK</v>
      </c>
      <c r="C59" s="3">
        <v>7733.0</v>
      </c>
      <c r="D59" s="4" t="s">
        <v>128</v>
      </c>
      <c r="E59" s="3" t="s">
        <v>129</v>
      </c>
      <c r="F59" s="3" t="s">
        <v>13</v>
      </c>
      <c r="G59" s="3" t="str">
        <f t="shared" si="3"/>
        <v>PURNA2025-AKL2</v>
      </c>
      <c r="H59" s="3" t="str">
        <f>VLOOKUP($C59,Userpass!$A$2:$L$3001,12,FALSE)</f>
        <v>AKL2</v>
      </c>
      <c r="I59" s="5" t="s">
        <v>14</v>
      </c>
      <c r="J59" s="3">
        <v>2022.0</v>
      </c>
      <c r="K59" s="4" t="str">
        <f>VLOOKUP($C59,Userpass!$A$2:$R$3001,2,FALSE)</f>
        <v>akl20227733.alumni@smkn12malang.sch.id</v>
      </c>
    </row>
    <row r="60" hidden="1">
      <c r="A60" s="3" t="str">
        <f t="shared" si="1"/>
        <v>OK</v>
      </c>
      <c r="B60" s="3" t="str">
        <f t="shared" si="2"/>
        <v>OK</v>
      </c>
      <c r="C60" s="3">
        <v>7774.0</v>
      </c>
      <c r="D60" s="4" t="s">
        <v>130</v>
      </c>
      <c r="E60" s="3" t="s">
        <v>131</v>
      </c>
      <c r="F60" s="3" t="s">
        <v>17</v>
      </c>
      <c r="G60" s="3" t="str">
        <f t="shared" si="3"/>
        <v>PURNA2025-AKL2</v>
      </c>
      <c r="H60" s="3" t="str">
        <f>VLOOKUP($C60,Userpass!$A$2:$L$3001,12,FALSE)</f>
        <v>AKL2</v>
      </c>
      <c r="I60" s="5" t="s">
        <v>14</v>
      </c>
      <c r="J60" s="3">
        <v>2022.0</v>
      </c>
      <c r="K60" s="4" t="str">
        <f>VLOOKUP($C60,Userpass!$A$2:$R$3001,2,FALSE)</f>
        <v>akl20227774.alumni@smkn12malang.sch.id</v>
      </c>
    </row>
    <row r="61" hidden="1">
      <c r="A61" s="3" t="str">
        <f t="shared" si="1"/>
        <v>OK</v>
      </c>
      <c r="B61" s="3" t="str">
        <f t="shared" si="2"/>
        <v>OK</v>
      </c>
      <c r="C61" s="3">
        <v>7788.0</v>
      </c>
      <c r="D61" s="4" t="s">
        <v>132</v>
      </c>
      <c r="E61" s="3" t="s">
        <v>133</v>
      </c>
      <c r="F61" s="3" t="s">
        <v>17</v>
      </c>
      <c r="G61" s="3" t="str">
        <f t="shared" si="3"/>
        <v>PURNA2025-AKL2</v>
      </c>
      <c r="H61" s="3" t="str">
        <f>VLOOKUP($C61,Userpass!$A$2:$L$3001,12,FALSE)</f>
        <v>AKL2</v>
      </c>
      <c r="I61" s="5" t="s">
        <v>14</v>
      </c>
      <c r="J61" s="3">
        <v>2022.0</v>
      </c>
      <c r="K61" s="4" t="str">
        <f>VLOOKUP($C61,Userpass!$A$2:$R$3001,2,FALSE)</f>
        <v>akl20227788.alumni@smkn12malang.sch.id</v>
      </c>
    </row>
    <row r="62" hidden="1">
      <c r="A62" s="3" t="str">
        <f t="shared" si="1"/>
        <v>OK</v>
      </c>
      <c r="B62" s="3" t="str">
        <f t="shared" si="2"/>
        <v>OK</v>
      </c>
      <c r="C62" s="3">
        <v>7819.0</v>
      </c>
      <c r="D62" s="4" t="s">
        <v>134</v>
      </c>
      <c r="E62" s="3" t="s">
        <v>135</v>
      </c>
      <c r="F62" s="3" t="s">
        <v>13</v>
      </c>
      <c r="G62" s="3" t="str">
        <f t="shared" si="3"/>
        <v>PURNA2025-AKL2</v>
      </c>
      <c r="H62" s="3" t="str">
        <f>VLOOKUP($C62,Userpass!$A$2:$L$3001,12,FALSE)</f>
        <v>AKL2</v>
      </c>
      <c r="I62" s="5" t="s">
        <v>14</v>
      </c>
      <c r="J62" s="3">
        <v>2022.0</v>
      </c>
      <c r="K62" s="4" t="str">
        <f>VLOOKUP($C62,Userpass!$A$2:$R$3001,2,FALSE)</f>
        <v>akl20227819.alumni@smkn12malang.sch.id</v>
      </c>
    </row>
    <row r="63" hidden="1">
      <c r="A63" s="3" t="str">
        <f t="shared" si="1"/>
        <v>OK</v>
      </c>
      <c r="B63" s="3" t="str">
        <f t="shared" si="2"/>
        <v>OK</v>
      </c>
      <c r="C63" s="3">
        <v>7824.0</v>
      </c>
      <c r="D63" s="4" t="s">
        <v>136</v>
      </c>
      <c r="E63" s="3" t="s">
        <v>137</v>
      </c>
      <c r="F63" s="3" t="s">
        <v>13</v>
      </c>
      <c r="G63" s="3" t="str">
        <f t="shared" si="3"/>
        <v>PURNA2025-AKL2</v>
      </c>
      <c r="H63" s="3" t="str">
        <f>VLOOKUP($C63,Userpass!$A$2:$L$3001,12,FALSE)</f>
        <v>AKL2</v>
      </c>
      <c r="I63" s="5" t="s">
        <v>14</v>
      </c>
      <c r="J63" s="3">
        <v>2022.0</v>
      </c>
      <c r="K63" s="4" t="str">
        <f>VLOOKUP($C63,Userpass!$A$2:$R$3001,2,FALSE)</f>
        <v>akl20227824.alumni@smkn12malang.sch.id</v>
      </c>
    </row>
    <row r="64" hidden="1">
      <c r="A64" s="3" t="str">
        <f t="shared" si="1"/>
        <v>OK</v>
      </c>
      <c r="B64" s="3" t="str">
        <f t="shared" si="2"/>
        <v>OK</v>
      </c>
      <c r="C64" s="3">
        <v>7826.0</v>
      </c>
      <c r="D64" s="4" t="s">
        <v>138</v>
      </c>
      <c r="E64" s="3" t="s">
        <v>139</v>
      </c>
      <c r="F64" s="3" t="s">
        <v>13</v>
      </c>
      <c r="G64" s="3" t="str">
        <f t="shared" si="3"/>
        <v>PURNA2025-AKL2</v>
      </c>
      <c r="H64" s="3" t="str">
        <f>VLOOKUP($C64,Userpass!$A$2:$L$3001,12,FALSE)</f>
        <v>AKL2</v>
      </c>
      <c r="I64" s="5" t="s">
        <v>14</v>
      </c>
      <c r="J64" s="3">
        <v>2022.0</v>
      </c>
      <c r="K64" s="4" t="str">
        <f>VLOOKUP($C64,Userpass!$A$2:$R$3001,2,FALSE)</f>
        <v>akl20227826.alumni@smkn12malang.sch.id</v>
      </c>
    </row>
    <row r="65" hidden="1">
      <c r="A65" s="3" t="str">
        <f t="shared" si="1"/>
        <v>OK</v>
      </c>
      <c r="B65" s="3" t="str">
        <f t="shared" si="2"/>
        <v>OK</v>
      </c>
      <c r="C65" s="3">
        <v>7851.0</v>
      </c>
      <c r="D65" s="4" t="s">
        <v>140</v>
      </c>
      <c r="E65" s="3" t="s">
        <v>141</v>
      </c>
      <c r="F65" s="3" t="s">
        <v>13</v>
      </c>
      <c r="G65" s="3" t="str">
        <f t="shared" si="3"/>
        <v>PURNA2025-AKL2</v>
      </c>
      <c r="H65" s="3" t="str">
        <f>VLOOKUP($C65,Userpass!$A$2:$L$3001,12,FALSE)</f>
        <v>AKL2</v>
      </c>
      <c r="I65" s="5" t="s">
        <v>14</v>
      </c>
      <c r="J65" s="3">
        <v>2022.0</v>
      </c>
      <c r="K65" s="4" t="str">
        <f>VLOOKUP($C65,Userpass!$A$2:$R$3001,2,FALSE)</f>
        <v>akl20227851.alumni@smkn12malang.sch.id</v>
      </c>
    </row>
    <row r="66" hidden="1">
      <c r="A66" s="3" t="str">
        <f t="shared" si="1"/>
        <v>OK</v>
      </c>
      <c r="B66" s="3" t="str">
        <f t="shared" si="2"/>
        <v>OK</v>
      </c>
      <c r="C66" s="3">
        <v>7931.0</v>
      </c>
      <c r="D66" s="4" t="s">
        <v>142</v>
      </c>
      <c r="E66" s="3" t="s">
        <v>143</v>
      </c>
      <c r="F66" s="3" t="s">
        <v>17</v>
      </c>
      <c r="G66" s="3" t="str">
        <f t="shared" si="3"/>
        <v>PURNA2025-AKL2</v>
      </c>
      <c r="H66" s="3" t="str">
        <f>VLOOKUP($C66,Userpass!$A$2:$L$3001,12,FALSE)</f>
        <v>AKL2</v>
      </c>
      <c r="I66" s="5" t="s">
        <v>14</v>
      </c>
      <c r="J66" s="3">
        <v>2022.0</v>
      </c>
      <c r="K66" s="4" t="str">
        <f>VLOOKUP($C66,Userpass!$A$2:$R$3001,2,FALSE)</f>
        <v>akl20227931.alumni@smkn12malang.sch.id</v>
      </c>
    </row>
    <row r="67" hidden="1">
      <c r="A67" s="3" t="str">
        <f t="shared" si="1"/>
        <v>OK</v>
      </c>
      <c r="B67" s="3" t="str">
        <f t="shared" si="2"/>
        <v>OK</v>
      </c>
      <c r="C67" s="3">
        <v>7937.0</v>
      </c>
      <c r="D67" s="4" t="s">
        <v>144</v>
      </c>
      <c r="E67" s="3" t="s">
        <v>145</v>
      </c>
      <c r="F67" s="3" t="s">
        <v>13</v>
      </c>
      <c r="G67" s="3" t="str">
        <f t="shared" si="3"/>
        <v>PURNA2025-AKL2</v>
      </c>
      <c r="H67" s="3" t="str">
        <f>VLOOKUP($C67,Userpass!$A$2:$L$3001,12,FALSE)</f>
        <v>AKL2</v>
      </c>
      <c r="I67" s="5" t="s">
        <v>14</v>
      </c>
      <c r="J67" s="3">
        <v>2022.0</v>
      </c>
      <c r="K67" s="4" t="str">
        <f>VLOOKUP($C67,Userpass!$A$2:$R$3001,2,FALSE)</f>
        <v>akl20227937.alumni@smkn12malang.sch.id</v>
      </c>
    </row>
    <row r="68" hidden="1">
      <c r="A68" s="3" t="str">
        <f t="shared" si="1"/>
        <v>OK</v>
      </c>
      <c r="B68" s="3" t="str">
        <f t="shared" si="2"/>
        <v>OK</v>
      </c>
      <c r="C68" s="3">
        <v>7944.0</v>
      </c>
      <c r="D68" s="4" t="s">
        <v>146</v>
      </c>
      <c r="E68" s="3" t="s">
        <v>147</v>
      </c>
      <c r="F68" s="3" t="s">
        <v>13</v>
      </c>
      <c r="G68" s="3" t="str">
        <f t="shared" si="3"/>
        <v>PURNA2025-AKL2</v>
      </c>
      <c r="H68" s="3" t="str">
        <f>VLOOKUP($C68,Userpass!$A$2:$L$3001,12,FALSE)</f>
        <v>AKL2</v>
      </c>
      <c r="I68" s="5" t="s">
        <v>14</v>
      </c>
      <c r="J68" s="3">
        <v>2022.0</v>
      </c>
      <c r="K68" s="4" t="str">
        <f>VLOOKUP($C68,Userpass!$A$2:$R$3001,2,FALSE)</f>
        <v>akl20227944.alumni@smkn12malang.sch.id</v>
      </c>
    </row>
    <row r="69" hidden="1">
      <c r="A69" s="3" t="str">
        <f t="shared" si="1"/>
        <v>OK</v>
      </c>
      <c r="B69" s="3" t="str">
        <f t="shared" si="2"/>
        <v>OK</v>
      </c>
      <c r="C69" s="3">
        <v>7954.0</v>
      </c>
      <c r="D69" s="4" t="s">
        <v>148</v>
      </c>
      <c r="E69" s="3" t="s">
        <v>149</v>
      </c>
      <c r="F69" s="3" t="s">
        <v>13</v>
      </c>
      <c r="G69" s="3" t="str">
        <f t="shared" si="3"/>
        <v>PURNA2025-AKL2</v>
      </c>
      <c r="H69" s="3" t="str">
        <f>VLOOKUP($C69,Userpass!$A$2:$L$3001,12,FALSE)</f>
        <v>AKL2</v>
      </c>
      <c r="I69" s="5" t="s">
        <v>14</v>
      </c>
      <c r="J69" s="3">
        <v>2022.0</v>
      </c>
      <c r="K69" s="4" t="str">
        <f>VLOOKUP($C69,Userpass!$A$2:$R$3001,2,FALSE)</f>
        <v>akl20227954.alumni@smkn12malang.sch.id</v>
      </c>
    </row>
    <row r="70" hidden="1">
      <c r="A70" s="3" t="str">
        <f t="shared" si="1"/>
        <v>OK</v>
      </c>
      <c r="B70" s="3" t="str">
        <f t="shared" si="2"/>
        <v>OK</v>
      </c>
      <c r="C70" s="3">
        <v>7972.0</v>
      </c>
      <c r="D70" s="4" t="s">
        <v>150</v>
      </c>
      <c r="E70" s="3" t="s">
        <v>151</v>
      </c>
      <c r="F70" s="3" t="s">
        <v>13</v>
      </c>
      <c r="G70" s="3" t="str">
        <f t="shared" si="3"/>
        <v>PURNA2025-AKL2</v>
      </c>
      <c r="H70" s="3" t="str">
        <f>VLOOKUP($C70,Userpass!$A$2:$L$3001,12,FALSE)</f>
        <v>AKL2</v>
      </c>
      <c r="I70" s="5" t="s">
        <v>14</v>
      </c>
      <c r="J70" s="3">
        <v>2022.0</v>
      </c>
      <c r="K70" s="4" t="str">
        <f>VLOOKUP($C70,Userpass!$A$2:$R$3001,2,FALSE)</f>
        <v>akl20227972.alumni@smkn12malang.sch.id</v>
      </c>
    </row>
    <row r="71" hidden="1">
      <c r="A71" s="3" t="str">
        <f t="shared" si="1"/>
        <v>OK</v>
      </c>
      <c r="B71" s="3" t="str">
        <f t="shared" si="2"/>
        <v>OK</v>
      </c>
      <c r="C71" s="3">
        <v>7973.0</v>
      </c>
      <c r="D71" s="4" t="s">
        <v>152</v>
      </c>
      <c r="E71" s="3" t="s">
        <v>153</v>
      </c>
      <c r="F71" s="3" t="s">
        <v>13</v>
      </c>
      <c r="G71" s="3" t="str">
        <f t="shared" si="3"/>
        <v>PURNA2025-AKL2</v>
      </c>
      <c r="H71" s="3" t="str">
        <f>VLOOKUP($C71,Userpass!$A$2:$L$3001,12,FALSE)</f>
        <v>AKL2</v>
      </c>
      <c r="I71" s="5" t="s">
        <v>14</v>
      </c>
      <c r="J71" s="3">
        <v>2022.0</v>
      </c>
      <c r="K71" s="4" t="str">
        <f>VLOOKUP($C71,Userpass!$A$2:$R$3001,2,FALSE)</f>
        <v>akl20227973.alumni@smkn12malang.sch.id</v>
      </c>
    </row>
    <row r="72" hidden="1">
      <c r="A72" s="3" t="str">
        <f t="shared" si="1"/>
        <v>OK</v>
      </c>
      <c r="B72" s="3" t="str">
        <f t="shared" si="2"/>
        <v>OK</v>
      </c>
      <c r="C72" s="3">
        <v>7995.0</v>
      </c>
      <c r="D72" s="4" t="s">
        <v>154</v>
      </c>
      <c r="E72" s="3" t="s">
        <v>155</v>
      </c>
      <c r="F72" s="3" t="s">
        <v>13</v>
      </c>
      <c r="G72" s="3" t="str">
        <f t="shared" si="3"/>
        <v>PURNA2025-AKL2</v>
      </c>
      <c r="H72" s="3" t="str">
        <f>VLOOKUP($C72,Userpass!$A$2:$L$3001,12,FALSE)</f>
        <v>AKL2</v>
      </c>
      <c r="I72" s="5" t="s">
        <v>14</v>
      </c>
      <c r="J72" s="3">
        <v>2022.0</v>
      </c>
      <c r="K72" s="4" t="str">
        <f>VLOOKUP($C72,Userpass!$A$2:$R$3001,2,FALSE)</f>
        <v>akl20227995.alumni@smkn12malang.sch.id</v>
      </c>
    </row>
    <row r="73" hidden="1">
      <c r="A73" s="3" t="str">
        <f t="shared" si="1"/>
        <v>OK</v>
      </c>
      <c r="B73" s="3" t="str">
        <f t="shared" si="2"/>
        <v>OK</v>
      </c>
      <c r="C73" s="3">
        <v>8016.0</v>
      </c>
      <c r="D73" s="4" t="s">
        <v>156</v>
      </c>
      <c r="E73" s="3" t="s">
        <v>157</v>
      </c>
      <c r="F73" s="3" t="s">
        <v>13</v>
      </c>
      <c r="G73" s="3" t="str">
        <f t="shared" si="3"/>
        <v>PURNA2025-AKL2</v>
      </c>
      <c r="H73" s="3" t="str">
        <f>VLOOKUP($C73,Userpass!$A$2:$L$3001,12,FALSE)</f>
        <v>AKL2</v>
      </c>
      <c r="I73" s="5" t="s">
        <v>14</v>
      </c>
      <c r="J73" s="3">
        <v>2022.0</v>
      </c>
      <c r="K73" s="4" t="str">
        <f>VLOOKUP($C73,Userpass!$A$2:$R$3001,2,FALSE)</f>
        <v>akl20228016.alumni@smkn12malang.sch.id</v>
      </c>
    </row>
    <row r="74" hidden="1">
      <c r="A74" s="3" t="str">
        <f t="shared" si="1"/>
        <v>OK</v>
      </c>
      <c r="B74" s="3" t="str">
        <f t="shared" si="2"/>
        <v>OK</v>
      </c>
      <c r="C74" s="3">
        <v>7420.0</v>
      </c>
      <c r="D74" s="4" t="s">
        <v>158</v>
      </c>
      <c r="E74" s="3" t="s">
        <v>159</v>
      </c>
      <c r="F74" s="3" t="s">
        <v>13</v>
      </c>
      <c r="G74" s="3" t="str">
        <f t="shared" si="3"/>
        <v>PURNA2025-AKL3</v>
      </c>
      <c r="H74" s="3" t="str">
        <f>VLOOKUP($C74,Userpass!$A$2:$L$3001,12,FALSE)</f>
        <v>AKL3</v>
      </c>
      <c r="I74" s="5" t="s">
        <v>14</v>
      </c>
      <c r="J74" s="3">
        <v>2022.0</v>
      </c>
      <c r="K74" s="4" t="str">
        <f>VLOOKUP($C74,Userpass!$A$2:$R$3001,2,FALSE)</f>
        <v>akl20227420.alumni@smkn12malang.sch.id</v>
      </c>
    </row>
    <row r="75" hidden="1">
      <c r="A75" s="3" t="str">
        <f t="shared" si="1"/>
        <v>OK</v>
      </c>
      <c r="B75" s="3" t="str">
        <f t="shared" si="2"/>
        <v>OK</v>
      </c>
      <c r="C75" s="3">
        <v>7442.0</v>
      </c>
      <c r="D75" s="4" t="s">
        <v>160</v>
      </c>
      <c r="E75" s="3" t="s">
        <v>161</v>
      </c>
      <c r="F75" s="3" t="s">
        <v>17</v>
      </c>
      <c r="G75" s="3" t="str">
        <f t="shared" si="3"/>
        <v>PURNA2025-AKL3</v>
      </c>
      <c r="H75" s="3" t="str">
        <f>VLOOKUP($C75,Userpass!$A$2:$L$3001,12,FALSE)</f>
        <v>AKL3</v>
      </c>
      <c r="I75" s="5" t="s">
        <v>14</v>
      </c>
      <c r="J75" s="3">
        <v>2022.0</v>
      </c>
      <c r="K75" s="4" t="str">
        <f>VLOOKUP($C75,Userpass!$A$2:$R$3001,2,FALSE)</f>
        <v>akl20227442.alumni@smkn12malang.sch.id</v>
      </c>
    </row>
    <row r="76" hidden="1">
      <c r="A76" s="3" t="str">
        <f t="shared" si="1"/>
        <v>OK</v>
      </c>
      <c r="B76" s="3" t="str">
        <f t="shared" si="2"/>
        <v>OK</v>
      </c>
      <c r="C76" s="3">
        <v>7455.0</v>
      </c>
      <c r="D76" s="4" t="s">
        <v>162</v>
      </c>
      <c r="E76" s="3" t="s">
        <v>163</v>
      </c>
      <c r="F76" s="3" t="s">
        <v>13</v>
      </c>
      <c r="G76" s="3" t="str">
        <f t="shared" si="3"/>
        <v>PURNA2025-AKL3</v>
      </c>
      <c r="H76" s="3" t="str">
        <f>VLOOKUP($C76,Userpass!$A$2:$L$3001,12,FALSE)</f>
        <v>AKL3</v>
      </c>
      <c r="I76" s="5" t="s">
        <v>14</v>
      </c>
      <c r="J76" s="3">
        <v>2022.0</v>
      </c>
      <c r="K76" s="4" t="str">
        <f>VLOOKUP($C76,Userpass!$A$2:$R$3001,2,FALSE)</f>
        <v>akl20227455.alumni@smkn12malang.sch.id</v>
      </c>
    </row>
    <row r="77" hidden="1">
      <c r="A77" s="3" t="str">
        <f t="shared" si="1"/>
        <v>OK</v>
      </c>
      <c r="B77" s="3" t="str">
        <f t="shared" si="2"/>
        <v>OK</v>
      </c>
      <c r="C77" s="3">
        <v>7457.0</v>
      </c>
      <c r="D77" s="4" t="s">
        <v>164</v>
      </c>
      <c r="E77" s="3" t="s">
        <v>165</v>
      </c>
      <c r="F77" s="3" t="s">
        <v>13</v>
      </c>
      <c r="G77" s="3" t="str">
        <f t="shared" si="3"/>
        <v>PURNA2025-AKL3</v>
      </c>
      <c r="H77" s="3" t="str">
        <f>VLOOKUP($C77,Userpass!$A$2:$L$3001,12,FALSE)</f>
        <v>AKL3</v>
      </c>
      <c r="I77" s="5" t="s">
        <v>14</v>
      </c>
      <c r="J77" s="3">
        <v>2022.0</v>
      </c>
      <c r="K77" s="4" t="str">
        <f>VLOOKUP($C77,Userpass!$A$2:$R$3001,2,FALSE)</f>
        <v>akl20227457.alumni@smkn12malang.sch.id</v>
      </c>
    </row>
    <row r="78" hidden="1">
      <c r="A78" s="3" t="str">
        <f t="shared" si="1"/>
        <v>OK</v>
      </c>
      <c r="B78" s="3" t="str">
        <f t="shared" si="2"/>
        <v>OK</v>
      </c>
      <c r="C78" s="3">
        <v>7461.0</v>
      </c>
      <c r="D78" s="4" t="s">
        <v>166</v>
      </c>
      <c r="E78" s="3" t="s">
        <v>167</v>
      </c>
      <c r="F78" s="3" t="s">
        <v>13</v>
      </c>
      <c r="G78" s="3" t="str">
        <f t="shared" si="3"/>
        <v>PURNA2025-AKL3</v>
      </c>
      <c r="H78" s="3" t="str">
        <f>VLOOKUP($C78,Userpass!$A$2:$L$3001,12,FALSE)</f>
        <v>AKL3</v>
      </c>
      <c r="I78" s="5" t="s">
        <v>14</v>
      </c>
      <c r="J78" s="3">
        <v>2022.0</v>
      </c>
      <c r="K78" s="4" t="str">
        <f>VLOOKUP($C78,Userpass!$A$2:$R$3001,2,FALSE)</f>
        <v>akl20227461.alumni@smkn12malang.sch.id</v>
      </c>
    </row>
    <row r="79" hidden="1">
      <c r="A79" s="3" t="str">
        <f t="shared" si="1"/>
        <v>OK</v>
      </c>
      <c r="B79" s="3" t="str">
        <f t="shared" si="2"/>
        <v>OK</v>
      </c>
      <c r="C79" s="3">
        <v>7462.0</v>
      </c>
      <c r="D79" s="4" t="s">
        <v>168</v>
      </c>
      <c r="E79" s="3" t="s">
        <v>169</v>
      </c>
      <c r="F79" s="3" t="s">
        <v>13</v>
      </c>
      <c r="G79" s="3" t="str">
        <f t="shared" si="3"/>
        <v>PURNA2025-AKL3</v>
      </c>
      <c r="H79" s="3" t="str">
        <f>VLOOKUP($C79,Userpass!$A$2:$L$3001,12,FALSE)</f>
        <v>AKL3</v>
      </c>
      <c r="I79" s="5" t="s">
        <v>14</v>
      </c>
      <c r="J79" s="3">
        <v>2022.0</v>
      </c>
      <c r="K79" s="4" t="str">
        <f>VLOOKUP($C79,Userpass!$A$2:$R$3001,2,FALSE)</f>
        <v>akl20227462.alumni@smkn12malang.sch.id</v>
      </c>
    </row>
    <row r="80" hidden="1">
      <c r="A80" s="3" t="str">
        <f t="shared" si="1"/>
        <v>OK</v>
      </c>
      <c r="B80" s="3" t="str">
        <f t="shared" si="2"/>
        <v>OK</v>
      </c>
      <c r="C80" s="3">
        <v>7478.0</v>
      </c>
      <c r="D80" s="4" t="s">
        <v>170</v>
      </c>
      <c r="E80" s="3" t="s">
        <v>171</v>
      </c>
      <c r="F80" s="3" t="s">
        <v>13</v>
      </c>
      <c r="G80" s="3" t="str">
        <f t="shared" si="3"/>
        <v>PURNA2025-AKL3</v>
      </c>
      <c r="H80" s="3" t="str">
        <f>VLOOKUP($C80,Userpass!$A$2:$L$3001,12,FALSE)</f>
        <v>AKL3</v>
      </c>
      <c r="I80" s="5" t="s">
        <v>14</v>
      </c>
      <c r="J80" s="3">
        <v>2022.0</v>
      </c>
      <c r="K80" s="4" t="str">
        <f>VLOOKUP($C80,Userpass!$A$2:$R$3001,2,FALSE)</f>
        <v>akl20227478.alumni@smkn12malang.sch.id</v>
      </c>
    </row>
    <row r="81" hidden="1">
      <c r="A81" s="3" t="str">
        <f t="shared" si="1"/>
        <v>OK</v>
      </c>
      <c r="B81" s="3" t="str">
        <f t="shared" si="2"/>
        <v>OK</v>
      </c>
      <c r="C81" s="3">
        <v>7513.0</v>
      </c>
      <c r="D81" s="4" t="s">
        <v>172</v>
      </c>
      <c r="E81" s="3" t="s">
        <v>173</v>
      </c>
      <c r="F81" s="3" t="s">
        <v>13</v>
      </c>
      <c r="G81" s="3" t="str">
        <f t="shared" si="3"/>
        <v>PURNA2025-AKL3</v>
      </c>
      <c r="H81" s="3" t="str">
        <f>VLOOKUP($C81,Userpass!$A$2:$L$3001,12,FALSE)</f>
        <v>AKL3</v>
      </c>
      <c r="I81" s="5" t="s">
        <v>14</v>
      </c>
      <c r="J81" s="3">
        <v>2022.0</v>
      </c>
      <c r="K81" s="4" t="str">
        <f>VLOOKUP($C81,Userpass!$A$2:$R$3001,2,FALSE)</f>
        <v>akl20227513.alumni@smkn12malang.sch.id</v>
      </c>
    </row>
    <row r="82" hidden="1">
      <c r="A82" s="3" t="str">
        <f t="shared" si="1"/>
        <v>OK</v>
      </c>
      <c r="B82" s="3" t="str">
        <f t="shared" si="2"/>
        <v>OK</v>
      </c>
      <c r="C82" s="3">
        <v>7530.0</v>
      </c>
      <c r="D82" s="4" t="s">
        <v>174</v>
      </c>
      <c r="E82" s="3" t="s">
        <v>175</v>
      </c>
      <c r="F82" s="3" t="s">
        <v>13</v>
      </c>
      <c r="G82" s="3" t="str">
        <f t="shared" si="3"/>
        <v>PURNA2025-AKL3</v>
      </c>
      <c r="H82" s="3" t="str">
        <f>VLOOKUP($C82,Userpass!$A$2:$L$3001,12,FALSE)</f>
        <v>AKL3</v>
      </c>
      <c r="I82" s="5" t="s">
        <v>14</v>
      </c>
      <c r="J82" s="3">
        <v>2022.0</v>
      </c>
      <c r="K82" s="4" t="str">
        <f>VLOOKUP($C82,Userpass!$A$2:$R$3001,2,FALSE)</f>
        <v>akl20227530.alumni@smkn12malang.sch.id</v>
      </c>
    </row>
    <row r="83" hidden="1">
      <c r="A83" s="3" t="str">
        <f t="shared" si="1"/>
        <v>OK</v>
      </c>
      <c r="B83" s="3" t="str">
        <f t="shared" si="2"/>
        <v>OK</v>
      </c>
      <c r="C83" s="3">
        <v>7534.0</v>
      </c>
      <c r="D83" s="4" t="s">
        <v>176</v>
      </c>
      <c r="E83" s="3" t="s">
        <v>177</v>
      </c>
      <c r="F83" s="3" t="s">
        <v>13</v>
      </c>
      <c r="G83" s="3" t="str">
        <f t="shared" si="3"/>
        <v>PURNA2025-AKL3</v>
      </c>
      <c r="H83" s="3" t="str">
        <f>VLOOKUP($C83,Userpass!$A$2:$L$3001,12,FALSE)</f>
        <v>AKL3</v>
      </c>
      <c r="I83" s="5" t="s">
        <v>14</v>
      </c>
      <c r="J83" s="3">
        <v>2022.0</v>
      </c>
      <c r="K83" s="4" t="str">
        <f>VLOOKUP($C83,Userpass!$A$2:$R$3001,2,FALSE)</f>
        <v>akl20227534.alumni@smkn12malang.sch.id</v>
      </c>
    </row>
    <row r="84" hidden="1">
      <c r="A84" s="3" t="str">
        <f t="shared" si="1"/>
        <v>OK</v>
      </c>
      <c r="B84" s="3" t="str">
        <f t="shared" si="2"/>
        <v>OK</v>
      </c>
      <c r="C84" s="3">
        <v>7547.0</v>
      </c>
      <c r="D84" s="4" t="s">
        <v>178</v>
      </c>
      <c r="E84" s="3" t="s">
        <v>179</v>
      </c>
      <c r="F84" s="3" t="s">
        <v>13</v>
      </c>
      <c r="G84" s="3" t="str">
        <f t="shared" si="3"/>
        <v>PURNA2025-AKL3</v>
      </c>
      <c r="H84" s="3" t="str">
        <f>VLOOKUP($C84,Userpass!$A$2:$L$3001,12,FALSE)</f>
        <v>AKL3</v>
      </c>
      <c r="I84" s="5" t="s">
        <v>14</v>
      </c>
      <c r="J84" s="3">
        <v>2022.0</v>
      </c>
      <c r="K84" s="4" t="str">
        <f>VLOOKUP($C84,Userpass!$A$2:$R$3001,2,FALSE)</f>
        <v>akl20227547.alumni@smkn12malang.sch.id</v>
      </c>
    </row>
    <row r="85" hidden="1">
      <c r="A85" s="3" t="str">
        <f t="shared" si="1"/>
        <v>OK</v>
      </c>
      <c r="B85" s="3" t="str">
        <f t="shared" si="2"/>
        <v>OK</v>
      </c>
      <c r="C85" s="3">
        <v>7564.0</v>
      </c>
      <c r="D85" s="4" t="s">
        <v>180</v>
      </c>
      <c r="E85" s="3" t="s">
        <v>181</v>
      </c>
      <c r="F85" s="3" t="s">
        <v>13</v>
      </c>
      <c r="G85" s="3" t="str">
        <f t="shared" si="3"/>
        <v>PURNA2025-AKL3</v>
      </c>
      <c r="H85" s="3" t="str">
        <f>VLOOKUP($C85,Userpass!$A$2:$L$3001,12,FALSE)</f>
        <v>AKL3</v>
      </c>
      <c r="I85" s="5" t="s">
        <v>14</v>
      </c>
      <c r="J85" s="3">
        <v>2022.0</v>
      </c>
      <c r="K85" s="4" t="str">
        <f>VLOOKUP($C85,Userpass!$A$2:$R$3001,2,FALSE)</f>
        <v>akl20227564.alumni@smkn12malang.sch.id</v>
      </c>
    </row>
    <row r="86" hidden="1">
      <c r="A86" s="3" t="str">
        <f t="shared" si="1"/>
        <v>OK</v>
      </c>
      <c r="B86" s="3" t="str">
        <f t="shared" si="2"/>
        <v>OK</v>
      </c>
      <c r="C86" s="3">
        <v>7567.0</v>
      </c>
      <c r="D86" s="4" t="s">
        <v>182</v>
      </c>
      <c r="E86" s="3" t="s">
        <v>183</v>
      </c>
      <c r="F86" s="3" t="s">
        <v>13</v>
      </c>
      <c r="G86" s="3" t="str">
        <f t="shared" si="3"/>
        <v>PURNA2025-AKL3</v>
      </c>
      <c r="H86" s="3" t="str">
        <f>VLOOKUP($C86,Userpass!$A$2:$L$3001,12,FALSE)</f>
        <v>AKL3</v>
      </c>
      <c r="I86" s="5" t="s">
        <v>14</v>
      </c>
      <c r="J86" s="3">
        <v>2022.0</v>
      </c>
      <c r="K86" s="4" t="str">
        <f>VLOOKUP($C86,Userpass!$A$2:$R$3001,2,FALSE)</f>
        <v>akl20227567.alumni@smkn12malang.sch.id</v>
      </c>
    </row>
    <row r="87" hidden="1">
      <c r="A87" s="3" t="str">
        <f t="shared" si="1"/>
        <v>OK</v>
      </c>
      <c r="B87" s="3" t="str">
        <f t="shared" si="2"/>
        <v>OK</v>
      </c>
      <c r="C87" s="3">
        <v>7586.0</v>
      </c>
      <c r="D87" s="4" t="s">
        <v>184</v>
      </c>
      <c r="E87" s="3" t="s">
        <v>185</v>
      </c>
      <c r="F87" s="3" t="s">
        <v>13</v>
      </c>
      <c r="G87" s="3" t="str">
        <f t="shared" si="3"/>
        <v>PURNA2025-AKL3</v>
      </c>
      <c r="H87" s="3" t="str">
        <f>VLOOKUP($C87,Userpass!$A$2:$L$3001,12,FALSE)</f>
        <v>AKL3</v>
      </c>
      <c r="I87" s="5" t="s">
        <v>14</v>
      </c>
      <c r="J87" s="3">
        <v>2022.0</v>
      </c>
      <c r="K87" s="4" t="str">
        <f>VLOOKUP($C87,Userpass!$A$2:$R$3001,2,FALSE)</f>
        <v>akl20227586.alumni@smkn12malang.sch.id</v>
      </c>
    </row>
    <row r="88" hidden="1">
      <c r="A88" s="3" t="str">
        <f t="shared" si="1"/>
        <v>OK</v>
      </c>
      <c r="B88" s="3" t="str">
        <f t="shared" si="2"/>
        <v>OK</v>
      </c>
      <c r="C88" s="3">
        <v>7638.0</v>
      </c>
      <c r="D88" s="4" t="s">
        <v>186</v>
      </c>
      <c r="E88" s="3" t="s">
        <v>187</v>
      </c>
      <c r="F88" s="3" t="s">
        <v>13</v>
      </c>
      <c r="G88" s="3" t="str">
        <f t="shared" si="3"/>
        <v>PURNA2025-AKL3</v>
      </c>
      <c r="H88" s="3" t="str">
        <f>VLOOKUP($C88,Userpass!$A$2:$L$3001,12,FALSE)</f>
        <v>AKL3</v>
      </c>
      <c r="I88" s="5" t="s">
        <v>14</v>
      </c>
      <c r="J88" s="3">
        <v>2022.0</v>
      </c>
      <c r="K88" s="4" t="str">
        <f>VLOOKUP($C88,Userpass!$A$2:$R$3001,2,FALSE)</f>
        <v>akl20227638.alumni@smkn12malang.sch.id</v>
      </c>
    </row>
    <row r="89" hidden="1">
      <c r="A89" s="3" t="str">
        <f t="shared" si="1"/>
        <v>OK</v>
      </c>
      <c r="B89" s="3" t="str">
        <f t="shared" si="2"/>
        <v>OK</v>
      </c>
      <c r="C89" s="3">
        <v>7660.0</v>
      </c>
      <c r="D89" s="4" t="s">
        <v>188</v>
      </c>
      <c r="E89" s="3" t="s">
        <v>189</v>
      </c>
      <c r="F89" s="3" t="s">
        <v>13</v>
      </c>
      <c r="G89" s="3" t="str">
        <f t="shared" si="3"/>
        <v>PURNA2025-AKL3</v>
      </c>
      <c r="H89" s="3" t="str">
        <f>VLOOKUP($C89,Userpass!$A$2:$L$3001,12,FALSE)</f>
        <v>AKL3</v>
      </c>
      <c r="I89" s="5" t="s">
        <v>14</v>
      </c>
      <c r="J89" s="3">
        <v>2022.0</v>
      </c>
      <c r="K89" s="4" t="str">
        <f>VLOOKUP($C89,Userpass!$A$2:$R$3001,2,FALSE)</f>
        <v>akl20227660.alumni@smkn12malang.sch.id</v>
      </c>
    </row>
    <row r="90" hidden="1">
      <c r="A90" s="3" t="str">
        <f t="shared" si="1"/>
        <v>OK</v>
      </c>
      <c r="B90" s="3" t="str">
        <f t="shared" si="2"/>
        <v>OK</v>
      </c>
      <c r="C90" s="3">
        <v>7665.0</v>
      </c>
      <c r="D90" s="4" t="s">
        <v>190</v>
      </c>
      <c r="E90" s="3" t="s">
        <v>191</v>
      </c>
      <c r="F90" s="3" t="s">
        <v>13</v>
      </c>
      <c r="G90" s="3" t="str">
        <f t="shared" si="3"/>
        <v>PURNA2025-AKL3</v>
      </c>
      <c r="H90" s="3" t="str">
        <f>VLOOKUP($C90,Userpass!$A$2:$L$3001,12,FALSE)</f>
        <v>AKL3</v>
      </c>
      <c r="I90" s="5" t="s">
        <v>14</v>
      </c>
      <c r="J90" s="3">
        <v>2022.0</v>
      </c>
      <c r="K90" s="4" t="str">
        <f>VLOOKUP($C90,Userpass!$A$2:$R$3001,2,FALSE)</f>
        <v>akl20227665.alumni@smkn12malang.sch.id</v>
      </c>
    </row>
    <row r="91" hidden="1">
      <c r="A91" s="3" t="str">
        <f t="shared" si="1"/>
        <v>OK</v>
      </c>
      <c r="B91" s="3" t="str">
        <f t="shared" si="2"/>
        <v>OK</v>
      </c>
      <c r="C91" s="3">
        <v>7690.0</v>
      </c>
      <c r="D91" s="4" t="s">
        <v>192</v>
      </c>
      <c r="E91" s="3" t="s">
        <v>193</v>
      </c>
      <c r="F91" s="3" t="s">
        <v>13</v>
      </c>
      <c r="G91" s="3" t="str">
        <f t="shared" si="3"/>
        <v>PURNA2025-AKL3</v>
      </c>
      <c r="H91" s="3" t="str">
        <f>VLOOKUP($C91,Userpass!$A$2:$L$3001,12,FALSE)</f>
        <v>AKL3</v>
      </c>
      <c r="I91" s="5" t="s">
        <v>14</v>
      </c>
      <c r="J91" s="3">
        <v>2022.0</v>
      </c>
      <c r="K91" s="4" t="str">
        <f>VLOOKUP($C91,Userpass!$A$2:$R$3001,2,FALSE)</f>
        <v>akl20227690.alumni@smkn12malang.sch.id</v>
      </c>
    </row>
    <row r="92" hidden="1">
      <c r="A92" s="3" t="str">
        <f t="shared" si="1"/>
        <v>OK</v>
      </c>
      <c r="B92" s="3" t="str">
        <f t="shared" si="2"/>
        <v>OK</v>
      </c>
      <c r="C92" s="3">
        <v>7701.0</v>
      </c>
      <c r="D92" s="4" t="s">
        <v>194</v>
      </c>
      <c r="E92" s="3" t="s">
        <v>195</v>
      </c>
      <c r="F92" s="3" t="s">
        <v>13</v>
      </c>
      <c r="G92" s="3" t="str">
        <f t="shared" si="3"/>
        <v>PURNA2025-AKL3</v>
      </c>
      <c r="H92" s="3" t="str">
        <f>VLOOKUP($C92,Userpass!$A$2:$L$3001,12,FALSE)</f>
        <v>AKL3</v>
      </c>
      <c r="I92" s="5" t="s">
        <v>14</v>
      </c>
      <c r="J92" s="3">
        <v>2022.0</v>
      </c>
      <c r="K92" s="4" t="str">
        <f>VLOOKUP($C92,Userpass!$A$2:$R$3001,2,FALSE)</f>
        <v>akl20227701.alumni@smkn12malang.sch.id</v>
      </c>
    </row>
    <row r="93" hidden="1">
      <c r="A93" s="3" t="str">
        <f t="shared" si="1"/>
        <v>OK</v>
      </c>
      <c r="B93" s="3" t="str">
        <f t="shared" si="2"/>
        <v>OK</v>
      </c>
      <c r="C93" s="3">
        <v>7718.0</v>
      </c>
      <c r="D93" s="4" t="s">
        <v>196</v>
      </c>
      <c r="E93" s="3" t="s">
        <v>197</v>
      </c>
      <c r="F93" s="3" t="s">
        <v>13</v>
      </c>
      <c r="G93" s="3" t="str">
        <f t="shared" si="3"/>
        <v>PURNA2025-AKL3</v>
      </c>
      <c r="H93" s="3" t="str">
        <f>VLOOKUP($C93,Userpass!$A$2:$L$3001,12,FALSE)</f>
        <v>AKL3</v>
      </c>
      <c r="I93" s="5" t="s">
        <v>14</v>
      </c>
      <c r="J93" s="3">
        <v>2022.0</v>
      </c>
      <c r="K93" s="4" t="str">
        <f>VLOOKUP($C93,Userpass!$A$2:$R$3001,2,FALSE)</f>
        <v>akl20227718.alumni@smkn12malang.sch.id</v>
      </c>
    </row>
    <row r="94" hidden="1">
      <c r="A94" s="3" t="str">
        <f t="shared" si="1"/>
        <v>OK</v>
      </c>
      <c r="B94" s="3" t="str">
        <f t="shared" si="2"/>
        <v>OK</v>
      </c>
      <c r="C94" s="3">
        <v>7719.0</v>
      </c>
      <c r="D94" s="4" t="s">
        <v>198</v>
      </c>
      <c r="E94" s="3" t="s">
        <v>199</v>
      </c>
      <c r="F94" s="3" t="s">
        <v>13</v>
      </c>
      <c r="G94" s="3" t="str">
        <f t="shared" si="3"/>
        <v>PURNA2025-AKL3</v>
      </c>
      <c r="H94" s="3" t="str">
        <f>VLOOKUP($C94,Userpass!$A$2:$L$3001,12,FALSE)</f>
        <v>AKL3</v>
      </c>
      <c r="I94" s="5" t="s">
        <v>14</v>
      </c>
      <c r="J94" s="3">
        <v>2022.0</v>
      </c>
      <c r="K94" s="4" t="str">
        <f>VLOOKUP($C94,Userpass!$A$2:$R$3001,2,FALSE)</f>
        <v>akl20227719.alumni@smkn12malang.sch.id</v>
      </c>
    </row>
    <row r="95" hidden="1">
      <c r="A95" s="3" t="str">
        <f t="shared" si="1"/>
        <v>OK</v>
      </c>
      <c r="B95" s="3" t="str">
        <f t="shared" si="2"/>
        <v>OK</v>
      </c>
      <c r="C95" s="3">
        <v>7726.0</v>
      </c>
      <c r="D95" s="4" t="s">
        <v>200</v>
      </c>
      <c r="E95" s="3" t="s">
        <v>201</v>
      </c>
      <c r="F95" s="3" t="s">
        <v>13</v>
      </c>
      <c r="G95" s="3" t="str">
        <f t="shared" si="3"/>
        <v>PURNA2025-AKL3</v>
      </c>
      <c r="H95" s="3" t="str">
        <f>VLOOKUP($C95,Userpass!$A$2:$L$3001,12,FALSE)</f>
        <v>AKL3</v>
      </c>
      <c r="I95" s="5" t="s">
        <v>14</v>
      </c>
      <c r="J95" s="3">
        <v>2022.0</v>
      </c>
      <c r="K95" s="4" t="str">
        <f>VLOOKUP($C95,Userpass!$A$2:$R$3001,2,FALSE)</f>
        <v>akl20227726.alumni@smkn12malang.sch.id</v>
      </c>
    </row>
    <row r="96" hidden="1">
      <c r="A96" s="3" t="str">
        <f t="shared" si="1"/>
        <v>OK</v>
      </c>
      <c r="B96" s="3" t="str">
        <f t="shared" si="2"/>
        <v>OK</v>
      </c>
      <c r="C96" s="3">
        <v>7729.0</v>
      </c>
      <c r="D96" s="4" t="s">
        <v>202</v>
      </c>
      <c r="E96" s="3" t="s">
        <v>203</v>
      </c>
      <c r="F96" s="3" t="s">
        <v>13</v>
      </c>
      <c r="G96" s="3" t="str">
        <f t="shared" si="3"/>
        <v>PURNA2025-AKL3</v>
      </c>
      <c r="H96" s="3" t="str">
        <f>VLOOKUP($C96,Userpass!$A$2:$L$3001,12,FALSE)</f>
        <v>AKL3</v>
      </c>
      <c r="I96" s="5" t="s">
        <v>14</v>
      </c>
      <c r="J96" s="3">
        <v>2022.0</v>
      </c>
      <c r="K96" s="4" t="str">
        <f>VLOOKUP($C96,Userpass!$A$2:$R$3001,2,FALSE)</f>
        <v>akl20227729.alumni@smkn12malang.sch.id</v>
      </c>
    </row>
    <row r="97" hidden="1">
      <c r="A97" s="3" t="str">
        <f t="shared" si="1"/>
        <v>OK</v>
      </c>
      <c r="B97" s="3" t="str">
        <f t="shared" si="2"/>
        <v>OK</v>
      </c>
      <c r="C97" s="3">
        <v>7808.0</v>
      </c>
      <c r="D97" s="4" t="s">
        <v>204</v>
      </c>
      <c r="E97" s="3" t="s">
        <v>205</v>
      </c>
      <c r="F97" s="3" t="s">
        <v>17</v>
      </c>
      <c r="G97" s="3" t="str">
        <f t="shared" si="3"/>
        <v>PURNA2025-AKL3</v>
      </c>
      <c r="H97" s="3" t="str">
        <f>VLOOKUP($C97,Userpass!$A$2:$L$3001,12,FALSE)</f>
        <v>AKL3</v>
      </c>
      <c r="I97" s="5" t="s">
        <v>14</v>
      </c>
      <c r="J97" s="3">
        <v>2022.0</v>
      </c>
      <c r="K97" s="4" t="str">
        <f>VLOOKUP($C97,Userpass!$A$2:$R$3001,2,FALSE)</f>
        <v>akl20227808.alumni@smkn12malang.sch.id</v>
      </c>
    </row>
    <row r="98" hidden="1">
      <c r="A98" s="3" t="str">
        <f t="shared" si="1"/>
        <v>OK</v>
      </c>
      <c r="B98" s="3" t="str">
        <f t="shared" si="2"/>
        <v>OK</v>
      </c>
      <c r="C98" s="3">
        <v>7835.0</v>
      </c>
      <c r="D98" s="4" t="s">
        <v>206</v>
      </c>
      <c r="E98" s="3" t="s">
        <v>207</v>
      </c>
      <c r="F98" s="3" t="s">
        <v>13</v>
      </c>
      <c r="G98" s="3" t="str">
        <f t="shared" si="3"/>
        <v>PURNA2025-AKL3</v>
      </c>
      <c r="H98" s="3" t="str">
        <f>VLOOKUP($C98,Userpass!$A$2:$L$3001,12,FALSE)</f>
        <v>AKL3</v>
      </c>
      <c r="I98" s="5" t="s">
        <v>14</v>
      </c>
      <c r="J98" s="3">
        <v>2022.0</v>
      </c>
      <c r="K98" s="4" t="str">
        <f>VLOOKUP($C98,Userpass!$A$2:$R$3001,2,FALSE)</f>
        <v>akl20227835.alumni@smkn12malang.sch.id</v>
      </c>
    </row>
    <row r="99" hidden="1">
      <c r="A99" s="3" t="str">
        <f t="shared" si="1"/>
        <v>OK</v>
      </c>
      <c r="B99" s="3" t="str">
        <f t="shared" si="2"/>
        <v>OK</v>
      </c>
      <c r="C99" s="3">
        <v>7875.0</v>
      </c>
      <c r="D99" s="4" t="s">
        <v>208</v>
      </c>
      <c r="E99" s="3" t="s">
        <v>209</v>
      </c>
      <c r="F99" s="3" t="s">
        <v>13</v>
      </c>
      <c r="G99" s="3" t="str">
        <f t="shared" si="3"/>
        <v>PURNA2025-AKL3</v>
      </c>
      <c r="H99" s="3" t="str">
        <f>VLOOKUP($C99,Userpass!$A$2:$L$3001,12,FALSE)</f>
        <v>AKL3</v>
      </c>
      <c r="I99" s="5" t="s">
        <v>14</v>
      </c>
      <c r="J99" s="3">
        <v>2022.0</v>
      </c>
      <c r="K99" s="4" t="str">
        <f>VLOOKUP($C99,Userpass!$A$2:$R$3001,2,FALSE)</f>
        <v>akl20227875.alumni@smkn12malang.sch.id</v>
      </c>
    </row>
    <row r="100" hidden="1">
      <c r="A100" s="3" t="str">
        <f t="shared" si="1"/>
        <v>OK</v>
      </c>
      <c r="B100" s="3" t="str">
        <f t="shared" si="2"/>
        <v>OK</v>
      </c>
      <c r="C100" s="3">
        <v>7897.0</v>
      </c>
      <c r="D100" s="4" t="s">
        <v>210</v>
      </c>
      <c r="E100" s="3" t="s">
        <v>211</v>
      </c>
      <c r="F100" s="3" t="s">
        <v>13</v>
      </c>
      <c r="G100" s="3" t="str">
        <f t="shared" si="3"/>
        <v>PURNA2025-AKL3</v>
      </c>
      <c r="H100" s="3" t="str">
        <f>VLOOKUP($C100,Userpass!$A$2:$L$3001,12,FALSE)</f>
        <v>AKL3</v>
      </c>
      <c r="I100" s="5" t="s">
        <v>14</v>
      </c>
      <c r="J100" s="3">
        <v>2022.0</v>
      </c>
      <c r="K100" s="4" t="str">
        <f>VLOOKUP($C100,Userpass!$A$2:$R$3001,2,FALSE)</f>
        <v>akl20227897.alumni@smkn12malang.sch.id</v>
      </c>
    </row>
    <row r="101" hidden="1">
      <c r="A101" s="3" t="str">
        <f t="shared" si="1"/>
        <v>OK</v>
      </c>
      <c r="B101" s="3" t="str">
        <f t="shared" si="2"/>
        <v>OK</v>
      </c>
      <c r="C101" s="3">
        <v>7907.0</v>
      </c>
      <c r="D101" s="4" t="s">
        <v>212</v>
      </c>
      <c r="E101" s="3" t="s">
        <v>213</v>
      </c>
      <c r="F101" s="3" t="s">
        <v>13</v>
      </c>
      <c r="G101" s="3" t="str">
        <f t="shared" si="3"/>
        <v>PURNA2025-AKL3</v>
      </c>
      <c r="H101" s="3" t="str">
        <f>VLOOKUP($C101,Userpass!$A$2:$L$3001,12,FALSE)</f>
        <v>AKL3</v>
      </c>
      <c r="I101" s="5" t="s">
        <v>14</v>
      </c>
      <c r="J101" s="3">
        <v>2022.0</v>
      </c>
      <c r="K101" s="4" t="str">
        <f>VLOOKUP($C101,Userpass!$A$2:$R$3001,2,FALSE)</f>
        <v>akl20227907.alumni@smkn12malang.sch.id</v>
      </c>
    </row>
    <row r="102" hidden="1">
      <c r="A102" s="3" t="str">
        <f t="shared" si="1"/>
        <v>OK</v>
      </c>
      <c r="B102" s="3" t="str">
        <f t="shared" si="2"/>
        <v>OK</v>
      </c>
      <c r="C102" s="3">
        <v>7929.0</v>
      </c>
      <c r="D102" s="4" t="s">
        <v>214</v>
      </c>
      <c r="E102" s="3" t="s">
        <v>215</v>
      </c>
      <c r="F102" s="3" t="s">
        <v>13</v>
      </c>
      <c r="G102" s="3" t="str">
        <f t="shared" si="3"/>
        <v>PURNA2025-AKL3</v>
      </c>
      <c r="H102" s="3" t="str">
        <f>VLOOKUP($C102,Userpass!$A$2:$L$3001,12,FALSE)</f>
        <v>AKL3</v>
      </c>
      <c r="I102" s="5" t="s">
        <v>14</v>
      </c>
      <c r="J102" s="3">
        <v>2022.0</v>
      </c>
      <c r="K102" s="4" t="str">
        <f>VLOOKUP($C102,Userpass!$A$2:$R$3001,2,FALSE)</f>
        <v>akl20227929.alumni@smkn12malang.sch.id</v>
      </c>
    </row>
    <row r="103" hidden="1">
      <c r="A103" s="3" t="str">
        <f t="shared" si="1"/>
        <v>OK</v>
      </c>
      <c r="B103" s="3" t="str">
        <f t="shared" si="2"/>
        <v>OK</v>
      </c>
      <c r="C103" s="3">
        <v>7934.0</v>
      </c>
      <c r="D103" s="4" t="s">
        <v>216</v>
      </c>
      <c r="E103" s="3" t="s">
        <v>217</v>
      </c>
      <c r="F103" s="3" t="s">
        <v>13</v>
      </c>
      <c r="G103" s="3" t="str">
        <f t="shared" si="3"/>
        <v>PURNA2025-AKL3</v>
      </c>
      <c r="H103" s="3" t="str">
        <f>VLOOKUP($C103,Userpass!$A$2:$L$3001,12,FALSE)</f>
        <v>AKL3</v>
      </c>
      <c r="I103" s="5" t="s">
        <v>14</v>
      </c>
      <c r="J103" s="3">
        <v>2022.0</v>
      </c>
      <c r="K103" s="4" t="str">
        <f>VLOOKUP($C103,Userpass!$A$2:$R$3001,2,FALSE)</f>
        <v>akl20227934.alumni@smkn12malang.sch.id</v>
      </c>
    </row>
    <row r="104" hidden="1">
      <c r="A104" s="3" t="str">
        <f t="shared" si="1"/>
        <v>OK</v>
      </c>
      <c r="B104" s="3" t="str">
        <f t="shared" si="2"/>
        <v>OK</v>
      </c>
      <c r="C104" s="3">
        <v>7935.0</v>
      </c>
      <c r="D104" s="4" t="s">
        <v>218</v>
      </c>
      <c r="E104" s="3" t="s">
        <v>219</v>
      </c>
      <c r="F104" s="3" t="s">
        <v>13</v>
      </c>
      <c r="G104" s="3" t="str">
        <f t="shared" si="3"/>
        <v>PURNA2025-AKL3</v>
      </c>
      <c r="H104" s="3" t="str">
        <f>VLOOKUP($C104,Userpass!$A$2:$L$3001,12,FALSE)</f>
        <v>AKL3</v>
      </c>
      <c r="I104" s="5" t="s">
        <v>14</v>
      </c>
      <c r="J104" s="3">
        <v>2022.0</v>
      </c>
      <c r="K104" s="4" t="str">
        <f>VLOOKUP($C104,Userpass!$A$2:$R$3001,2,FALSE)</f>
        <v>akl20227935.alumni@smkn12malang.sch.id</v>
      </c>
    </row>
    <row r="105" hidden="1">
      <c r="A105" s="3" t="str">
        <f t="shared" si="1"/>
        <v>OK</v>
      </c>
      <c r="B105" s="3" t="str">
        <f t="shared" si="2"/>
        <v>OK</v>
      </c>
      <c r="C105" s="3">
        <v>7941.0</v>
      </c>
      <c r="D105" s="4" t="s">
        <v>220</v>
      </c>
      <c r="E105" s="3" t="s">
        <v>221</v>
      </c>
      <c r="F105" s="3" t="s">
        <v>13</v>
      </c>
      <c r="G105" s="3" t="str">
        <f t="shared" si="3"/>
        <v>PURNA2025-AKL3</v>
      </c>
      <c r="H105" s="3" t="str">
        <f>VLOOKUP($C105,Userpass!$A$2:$L$3001,12,FALSE)</f>
        <v>AKL3</v>
      </c>
      <c r="I105" s="5" t="s">
        <v>14</v>
      </c>
      <c r="J105" s="3">
        <v>2022.0</v>
      </c>
      <c r="K105" s="4" t="str">
        <f>VLOOKUP($C105,Userpass!$A$2:$R$3001,2,FALSE)</f>
        <v>akl20227941.alumni@smkn12malang.sch.id</v>
      </c>
    </row>
    <row r="106" hidden="1">
      <c r="A106" s="3" t="str">
        <f t="shared" si="1"/>
        <v>OK</v>
      </c>
      <c r="B106" s="3" t="str">
        <f t="shared" si="2"/>
        <v>OK</v>
      </c>
      <c r="C106" s="3">
        <v>7951.0</v>
      </c>
      <c r="D106" s="4" t="s">
        <v>222</v>
      </c>
      <c r="E106" s="3" t="s">
        <v>223</v>
      </c>
      <c r="F106" s="3" t="s">
        <v>13</v>
      </c>
      <c r="G106" s="3" t="str">
        <f t="shared" si="3"/>
        <v>PURNA2025-AKL3</v>
      </c>
      <c r="H106" s="3" t="str">
        <f>VLOOKUP($C106,Userpass!$A$2:$L$3001,12,FALSE)</f>
        <v>AKL3</v>
      </c>
      <c r="I106" s="5" t="s">
        <v>14</v>
      </c>
      <c r="J106" s="3">
        <v>2022.0</v>
      </c>
      <c r="K106" s="4" t="str">
        <f>VLOOKUP($C106,Userpass!$A$2:$R$3001,2,FALSE)</f>
        <v>akl20227951.alumni@smkn12malang.sch.id</v>
      </c>
    </row>
    <row r="107" hidden="1">
      <c r="A107" s="3" t="str">
        <f t="shared" si="1"/>
        <v>OK</v>
      </c>
      <c r="B107" s="3" t="str">
        <f t="shared" si="2"/>
        <v>OK</v>
      </c>
      <c r="C107" s="3">
        <v>7987.0</v>
      </c>
      <c r="D107" s="4" t="s">
        <v>224</v>
      </c>
      <c r="E107" s="3" t="s">
        <v>225</v>
      </c>
      <c r="F107" s="3" t="s">
        <v>13</v>
      </c>
      <c r="G107" s="3" t="str">
        <f t="shared" si="3"/>
        <v>PURNA2025-AKL3</v>
      </c>
      <c r="H107" s="3" t="str">
        <f>VLOOKUP($C107,Userpass!$A$2:$L$3001,12,FALSE)</f>
        <v>AKL3</v>
      </c>
      <c r="I107" s="5" t="s">
        <v>14</v>
      </c>
      <c r="J107" s="3">
        <v>2022.0</v>
      </c>
      <c r="K107" s="4" t="str">
        <f>VLOOKUP($C107,Userpass!$A$2:$R$3001,2,FALSE)</f>
        <v>akl20227987.alumni@smkn12malang.sch.id</v>
      </c>
    </row>
    <row r="108" hidden="1">
      <c r="A108" s="3" t="str">
        <f t="shared" si="1"/>
        <v>OK</v>
      </c>
      <c r="B108" s="3" t="str">
        <f t="shared" si="2"/>
        <v>OK</v>
      </c>
      <c r="C108" s="3">
        <v>8017.0</v>
      </c>
      <c r="D108" s="4" t="s">
        <v>226</v>
      </c>
      <c r="E108" s="3" t="s">
        <v>227</v>
      </c>
      <c r="F108" s="3" t="s">
        <v>13</v>
      </c>
      <c r="G108" s="3" t="str">
        <f t="shared" si="3"/>
        <v>PURNA2025-AKL3</v>
      </c>
      <c r="H108" s="3" t="str">
        <f>VLOOKUP($C108,Userpass!$A$2:$L$3001,12,FALSE)</f>
        <v>AKL3</v>
      </c>
      <c r="I108" s="5" t="s">
        <v>14</v>
      </c>
      <c r="J108" s="3">
        <v>2022.0</v>
      </c>
      <c r="K108" s="4" t="str">
        <f>VLOOKUP($C108,Userpass!$A$2:$R$3001,2,FALSE)</f>
        <v>akl20228017.alumni@smkn12malang.sch.id</v>
      </c>
    </row>
    <row r="109" hidden="1">
      <c r="A109" s="3" t="str">
        <f t="shared" si="1"/>
        <v>OK</v>
      </c>
      <c r="B109" s="3" t="str">
        <f t="shared" si="2"/>
        <v>OK</v>
      </c>
      <c r="C109" s="3">
        <v>7422.0</v>
      </c>
      <c r="D109" s="4" t="s">
        <v>228</v>
      </c>
      <c r="E109" s="3" t="s">
        <v>229</v>
      </c>
      <c r="F109" s="3" t="s">
        <v>13</v>
      </c>
      <c r="G109" s="3" t="str">
        <f t="shared" si="3"/>
        <v>PURNA2025-AKL4</v>
      </c>
      <c r="H109" s="3" t="str">
        <f>VLOOKUP($C109,Userpass!$A$2:$L$3001,12,FALSE)</f>
        <v>AKL4</v>
      </c>
      <c r="I109" s="5" t="s">
        <v>14</v>
      </c>
      <c r="J109" s="3">
        <v>2022.0</v>
      </c>
      <c r="K109" s="4" t="str">
        <f>VLOOKUP($C109,Userpass!$A$2:$R$3001,2,FALSE)</f>
        <v>akl20227422.alumni@smkn12malang.sch.id</v>
      </c>
    </row>
    <row r="110" hidden="1">
      <c r="A110" s="3" t="str">
        <f t="shared" si="1"/>
        <v>OK</v>
      </c>
      <c r="B110" s="3" t="str">
        <f t="shared" si="2"/>
        <v>OK</v>
      </c>
      <c r="C110" s="3">
        <v>7451.0</v>
      </c>
      <c r="D110" s="4" t="s">
        <v>230</v>
      </c>
      <c r="E110" s="3" t="s">
        <v>231</v>
      </c>
      <c r="F110" s="3" t="s">
        <v>13</v>
      </c>
      <c r="G110" s="3" t="str">
        <f t="shared" si="3"/>
        <v>PURNA2025-AKL4</v>
      </c>
      <c r="H110" s="3" t="str">
        <f>VLOOKUP($C110,Userpass!$A$2:$L$3001,12,FALSE)</f>
        <v>AKL4</v>
      </c>
      <c r="I110" s="5" t="s">
        <v>14</v>
      </c>
      <c r="J110" s="3">
        <v>2022.0</v>
      </c>
      <c r="K110" s="4" t="str">
        <f>VLOOKUP($C110,Userpass!$A$2:$R$3001,2,FALSE)</f>
        <v>akl20227451.alumni@smkn12malang.sch.id</v>
      </c>
    </row>
    <row r="111" hidden="1">
      <c r="A111" s="3" t="str">
        <f t="shared" si="1"/>
        <v>OK</v>
      </c>
      <c r="B111" s="3" t="str">
        <f t="shared" si="2"/>
        <v>OK</v>
      </c>
      <c r="C111" s="3">
        <v>7456.0</v>
      </c>
      <c r="D111" s="4" t="s">
        <v>232</v>
      </c>
      <c r="E111" s="3" t="s">
        <v>233</v>
      </c>
      <c r="F111" s="3" t="s">
        <v>13</v>
      </c>
      <c r="G111" s="3" t="str">
        <f t="shared" si="3"/>
        <v>PURNA2025-AKL4</v>
      </c>
      <c r="H111" s="3" t="str">
        <f>VLOOKUP($C111,Userpass!$A$2:$L$3001,12,FALSE)</f>
        <v>AKL4</v>
      </c>
      <c r="I111" s="5" t="s">
        <v>14</v>
      </c>
      <c r="J111" s="3">
        <v>2022.0</v>
      </c>
      <c r="K111" s="4" t="str">
        <f>VLOOKUP($C111,Userpass!$A$2:$R$3001,2,FALSE)</f>
        <v>akl20227456.alumni@smkn12malang.sch.id</v>
      </c>
    </row>
    <row r="112" hidden="1">
      <c r="A112" s="3" t="str">
        <f t="shared" si="1"/>
        <v>OK</v>
      </c>
      <c r="B112" s="3" t="str">
        <f t="shared" si="2"/>
        <v>OK</v>
      </c>
      <c r="C112" s="3">
        <v>7466.0</v>
      </c>
      <c r="D112" s="4" t="s">
        <v>234</v>
      </c>
      <c r="E112" s="3" t="s">
        <v>235</v>
      </c>
      <c r="F112" s="3" t="s">
        <v>13</v>
      </c>
      <c r="G112" s="3" t="str">
        <f t="shared" si="3"/>
        <v>PURNA2025-AKL4</v>
      </c>
      <c r="H112" s="3" t="str">
        <f>VLOOKUP($C112,Userpass!$A$2:$L$3001,12,FALSE)</f>
        <v>AKL4</v>
      </c>
      <c r="I112" s="5" t="s">
        <v>14</v>
      </c>
      <c r="J112" s="3">
        <v>2022.0</v>
      </c>
      <c r="K112" s="4" t="str">
        <f>VLOOKUP($C112,Userpass!$A$2:$R$3001,2,FALSE)</f>
        <v>akl20227466.alumni@smkn12malang.sch.id</v>
      </c>
    </row>
    <row r="113" hidden="1">
      <c r="A113" s="3" t="str">
        <f t="shared" si="1"/>
        <v>OK</v>
      </c>
      <c r="B113" s="3" t="str">
        <f t="shared" si="2"/>
        <v>OK</v>
      </c>
      <c r="C113" s="3">
        <v>7477.0</v>
      </c>
      <c r="D113" s="4" t="s">
        <v>236</v>
      </c>
      <c r="E113" s="3" t="s">
        <v>237</v>
      </c>
      <c r="F113" s="3" t="s">
        <v>13</v>
      </c>
      <c r="G113" s="3" t="str">
        <f t="shared" si="3"/>
        <v>PURNA2025-AKL4</v>
      </c>
      <c r="H113" s="3" t="str">
        <f>VLOOKUP($C113,Userpass!$A$2:$L$3001,12,FALSE)</f>
        <v>AKL4</v>
      </c>
      <c r="I113" s="5" t="s">
        <v>14</v>
      </c>
      <c r="J113" s="3">
        <v>2022.0</v>
      </c>
      <c r="K113" s="4" t="str">
        <f>VLOOKUP($C113,Userpass!$A$2:$R$3001,2,FALSE)</f>
        <v>akl20227477.alumni@smkn12malang.sch.id</v>
      </c>
    </row>
    <row r="114" hidden="1">
      <c r="A114" s="3" t="str">
        <f t="shared" si="1"/>
        <v>OK</v>
      </c>
      <c r="B114" s="3" t="str">
        <f t="shared" si="2"/>
        <v>OK</v>
      </c>
      <c r="C114" s="3">
        <v>7509.0</v>
      </c>
      <c r="D114" s="4" t="s">
        <v>238</v>
      </c>
      <c r="E114" s="3" t="s">
        <v>239</v>
      </c>
      <c r="F114" s="3" t="s">
        <v>13</v>
      </c>
      <c r="G114" s="3" t="str">
        <f t="shared" si="3"/>
        <v>PURNA2025-AKL4</v>
      </c>
      <c r="H114" s="3" t="str">
        <f>VLOOKUP($C114,Userpass!$A$2:$L$3001,12,FALSE)</f>
        <v>AKL4</v>
      </c>
      <c r="I114" s="5" t="s">
        <v>14</v>
      </c>
      <c r="J114" s="3">
        <v>2022.0</v>
      </c>
      <c r="K114" s="4" t="str">
        <f>VLOOKUP($C114,Userpass!$A$2:$R$3001,2,FALSE)</f>
        <v>akl20227509.alumni@smkn12malang.sch.id</v>
      </c>
    </row>
    <row r="115" hidden="1">
      <c r="A115" s="3" t="str">
        <f t="shared" si="1"/>
        <v>OK</v>
      </c>
      <c r="B115" s="3" t="str">
        <f t="shared" si="2"/>
        <v>OK</v>
      </c>
      <c r="C115" s="3">
        <v>7535.0</v>
      </c>
      <c r="D115" s="4" t="s">
        <v>240</v>
      </c>
      <c r="E115" s="3" t="s">
        <v>241</v>
      </c>
      <c r="F115" s="3" t="s">
        <v>13</v>
      </c>
      <c r="G115" s="3" t="str">
        <f t="shared" si="3"/>
        <v>PURNA2025-AKL4</v>
      </c>
      <c r="H115" s="3" t="str">
        <f>VLOOKUP($C115,Userpass!$A$2:$L$3001,12,FALSE)</f>
        <v>AKL4</v>
      </c>
      <c r="I115" s="5" t="s">
        <v>14</v>
      </c>
      <c r="J115" s="3">
        <v>2022.0</v>
      </c>
      <c r="K115" s="4" t="str">
        <f>VLOOKUP($C115,Userpass!$A$2:$R$3001,2,FALSE)</f>
        <v>akl20227535.alumni@smkn12malang.sch.id</v>
      </c>
    </row>
    <row r="116" hidden="1">
      <c r="A116" s="3" t="str">
        <f t="shared" si="1"/>
        <v>OK</v>
      </c>
      <c r="B116" s="3" t="str">
        <f t="shared" si="2"/>
        <v>OK</v>
      </c>
      <c r="C116" s="3">
        <v>7541.0</v>
      </c>
      <c r="D116" s="4" t="s">
        <v>242</v>
      </c>
      <c r="E116" s="3" t="s">
        <v>243</v>
      </c>
      <c r="F116" s="3" t="s">
        <v>13</v>
      </c>
      <c r="G116" s="3" t="str">
        <f t="shared" si="3"/>
        <v>PURNA2025-AKL4</v>
      </c>
      <c r="H116" s="3" t="str">
        <f>VLOOKUP($C116,Userpass!$A$2:$L$3001,12,FALSE)</f>
        <v>AKL4</v>
      </c>
      <c r="I116" s="5" t="s">
        <v>14</v>
      </c>
      <c r="J116" s="3">
        <v>2022.0</v>
      </c>
      <c r="K116" s="4" t="str">
        <f>VLOOKUP($C116,Userpass!$A$2:$R$3001,2,FALSE)</f>
        <v>akl20227541.alumni@smkn12malang.sch.id</v>
      </c>
    </row>
    <row r="117" hidden="1">
      <c r="A117" s="3" t="str">
        <f t="shared" si="1"/>
        <v>OK</v>
      </c>
      <c r="B117" s="3" t="str">
        <f t="shared" si="2"/>
        <v>OK</v>
      </c>
      <c r="C117" s="3">
        <v>7568.0</v>
      </c>
      <c r="D117" s="4" t="s">
        <v>244</v>
      </c>
      <c r="E117" s="3" t="s">
        <v>245</v>
      </c>
      <c r="F117" s="3" t="s">
        <v>13</v>
      </c>
      <c r="G117" s="3" t="str">
        <f t="shared" si="3"/>
        <v>PURNA2025-AKL4</v>
      </c>
      <c r="H117" s="3" t="str">
        <f>VLOOKUP($C117,Userpass!$A$2:$L$3001,12,FALSE)</f>
        <v>AKL4</v>
      </c>
      <c r="I117" s="5" t="s">
        <v>14</v>
      </c>
      <c r="J117" s="3">
        <v>2022.0</v>
      </c>
      <c r="K117" s="4" t="str">
        <f>VLOOKUP($C117,Userpass!$A$2:$R$3001,2,FALSE)</f>
        <v>akl20227568.alumni@smkn12malang.sch.id</v>
      </c>
    </row>
    <row r="118" hidden="1">
      <c r="A118" s="3" t="str">
        <f t="shared" si="1"/>
        <v>OK</v>
      </c>
      <c r="B118" s="3" t="str">
        <f t="shared" si="2"/>
        <v>OK</v>
      </c>
      <c r="C118" s="3">
        <v>7590.0</v>
      </c>
      <c r="D118" s="4" t="s">
        <v>246</v>
      </c>
      <c r="E118" s="3" t="s">
        <v>247</v>
      </c>
      <c r="F118" s="3" t="s">
        <v>13</v>
      </c>
      <c r="G118" s="3" t="str">
        <f t="shared" si="3"/>
        <v>PURNA2025-AKL4</v>
      </c>
      <c r="H118" s="3" t="str">
        <f>VLOOKUP($C118,Userpass!$A$2:$L$3001,12,FALSE)</f>
        <v>AKL4</v>
      </c>
      <c r="I118" s="5" t="s">
        <v>14</v>
      </c>
      <c r="J118" s="3">
        <v>2022.0</v>
      </c>
      <c r="K118" s="4" t="str">
        <f>VLOOKUP($C118,Userpass!$A$2:$R$3001,2,FALSE)</f>
        <v>akl20227590.alumni@smkn12malang.sch.id</v>
      </c>
    </row>
    <row r="119" hidden="1">
      <c r="A119" s="3" t="str">
        <f t="shared" si="1"/>
        <v>OK</v>
      </c>
      <c r="B119" s="3" t="str">
        <f t="shared" si="2"/>
        <v>OK</v>
      </c>
      <c r="C119" s="3">
        <v>7624.0</v>
      </c>
      <c r="D119" s="4" t="s">
        <v>248</v>
      </c>
      <c r="E119" s="3" t="s">
        <v>249</v>
      </c>
      <c r="F119" s="3" t="s">
        <v>13</v>
      </c>
      <c r="G119" s="3" t="str">
        <f t="shared" si="3"/>
        <v>PURNA2025-AKL4</v>
      </c>
      <c r="H119" s="3" t="str">
        <f>VLOOKUP($C119,Userpass!$A$2:$L$3001,12,FALSE)</f>
        <v>AKL4</v>
      </c>
      <c r="I119" s="5" t="s">
        <v>14</v>
      </c>
      <c r="J119" s="3">
        <v>2022.0</v>
      </c>
      <c r="K119" s="4" t="str">
        <f>VLOOKUP($C119,Userpass!$A$2:$R$3001,2,FALSE)</f>
        <v>akl20227624.alumni@smkn12malang.sch.id</v>
      </c>
    </row>
    <row r="120" hidden="1">
      <c r="A120" s="3" t="str">
        <f t="shared" si="1"/>
        <v>OK</v>
      </c>
      <c r="B120" s="3" t="str">
        <f t="shared" si="2"/>
        <v>OK</v>
      </c>
      <c r="C120" s="3">
        <v>7627.0</v>
      </c>
      <c r="D120" s="4" t="s">
        <v>250</v>
      </c>
      <c r="E120" s="3" t="s">
        <v>251</v>
      </c>
      <c r="F120" s="3" t="s">
        <v>13</v>
      </c>
      <c r="G120" s="3" t="str">
        <f t="shared" si="3"/>
        <v>PURNA2025-AKL4</v>
      </c>
      <c r="H120" s="3" t="str">
        <f>VLOOKUP($C120,Userpass!$A$2:$L$3001,12,FALSE)</f>
        <v>AKL4</v>
      </c>
      <c r="I120" s="5" t="s">
        <v>14</v>
      </c>
      <c r="J120" s="3">
        <v>2022.0</v>
      </c>
      <c r="K120" s="4" t="str">
        <f>VLOOKUP($C120,Userpass!$A$2:$R$3001,2,FALSE)</f>
        <v>akl20227627.alumni@smkn12malang.sch.id</v>
      </c>
    </row>
    <row r="121" hidden="1">
      <c r="A121" s="3" t="str">
        <f t="shared" si="1"/>
        <v>OK</v>
      </c>
      <c r="B121" s="3" t="str">
        <f t="shared" si="2"/>
        <v>OK</v>
      </c>
      <c r="C121" s="3">
        <v>7633.0</v>
      </c>
      <c r="D121" s="4" t="s">
        <v>252</v>
      </c>
      <c r="E121" s="3" t="s">
        <v>253</v>
      </c>
      <c r="F121" s="3" t="s">
        <v>13</v>
      </c>
      <c r="G121" s="3" t="str">
        <f t="shared" si="3"/>
        <v>PURNA2025-AKL4</v>
      </c>
      <c r="H121" s="3" t="str">
        <f>VLOOKUP($C121,Userpass!$A$2:$L$3001,12,FALSE)</f>
        <v>AKL4</v>
      </c>
      <c r="I121" s="5" t="s">
        <v>14</v>
      </c>
      <c r="J121" s="3">
        <v>2022.0</v>
      </c>
      <c r="K121" s="4" t="str">
        <f>VLOOKUP($C121,Userpass!$A$2:$R$3001,2,FALSE)</f>
        <v>akl20227633.alumni@smkn12malang.sch.id</v>
      </c>
    </row>
    <row r="122" hidden="1">
      <c r="A122" s="3" t="str">
        <f t="shared" si="1"/>
        <v>OK</v>
      </c>
      <c r="B122" s="3" t="str">
        <f t="shared" si="2"/>
        <v>OK</v>
      </c>
      <c r="C122" s="3">
        <v>7648.0</v>
      </c>
      <c r="D122" s="4" t="s">
        <v>254</v>
      </c>
      <c r="E122" s="3" t="s">
        <v>255</v>
      </c>
      <c r="F122" s="3" t="s">
        <v>13</v>
      </c>
      <c r="G122" s="3" t="str">
        <f t="shared" si="3"/>
        <v>PURNA2025-AKL4</v>
      </c>
      <c r="H122" s="3" t="str">
        <f>VLOOKUP($C122,Userpass!$A$2:$L$3001,12,FALSE)</f>
        <v>AKL4</v>
      </c>
      <c r="I122" s="5" t="s">
        <v>14</v>
      </c>
      <c r="J122" s="3">
        <v>2022.0</v>
      </c>
      <c r="K122" s="4" t="str">
        <f>VLOOKUP($C122,Userpass!$A$2:$R$3001,2,FALSE)</f>
        <v>akl20227648.alumni@smkn12malang.sch.id</v>
      </c>
    </row>
    <row r="123" hidden="1">
      <c r="A123" s="3" t="str">
        <f t="shared" si="1"/>
        <v>OK</v>
      </c>
      <c r="B123" s="3" t="str">
        <f t="shared" si="2"/>
        <v>OK</v>
      </c>
      <c r="C123" s="3">
        <v>7659.0</v>
      </c>
      <c r="D123" s="4" t="s">
        <v>256</v>
      </c>
      <c r="E123" s="3" t="s">
        <v>257</v>
      </c>
      <c r="F123" s="3" t="s">
        <v>13</v>
      </c>
      <c r="G123" s="3" t="str">
        <f t="shared" si="3"/>
        <v>PURNA2025-AKL4</v>
      </c>
      <c r="H123" s="3" t="str">
        <f>VLOOKUP($C123,Userpass!$A$2:$L$3001,12,FALSE)</f>
        <v>AKL4</v>
      </c>
      <c r="I123" s="5" t="s">
        <v>14</v>
      </c>
      <c r="J123" s="3">
        <v>2022.0</v>
      </c>
      <c r="K123" s="4" t="str">
        <f>VLOOKUP($C123,Userpass!$A$2:$R$3001,2,FALSE)</f>
        <v>akl20227659.alumni@smkn12malang.sch.id</v>
      </c>
    </row>
    <row r="124" hidden="1">
      <c r="A124" s="3" t="str">
        <f t="shared" si="1"/>
        <v>OK</v>
      </c>
      <c r="B124" s="3" t="str">
        <f t="shared" si="2"/>
        <v>OK</v>
      </c>
      <c r="C124" s="3">
        <v>7661.0</v>
      </c>
      <c r="D124" s="4" t="s">
        <v>258</v>
      </c>
      <c r="E124" s="3" t="s">
        <v>259</v>
      </c>
      <c r="F124" s="3" t="s">
        <v>13</v>
      </c>
      <c r="G124" s="3" t="str">
        <f t="shared" si="3"/>
        <v>PURNA2025-AKL4</v>
      </c>
      <c r="H124" s="3" t="str">
        <f>VLOOKUP($C124,Userpass!$A$2:$L$3001,12,FALSE)</f>
        <v>AKL4</v>
      </c>
      <c r="I124" s="5" t="s">
        <v>14</v>
      </c>
      <c r="J124" s="3">
        <v>2022.0</v>
      </c>
      <c r="K124" s="4" t="str">
        <f>VLOOKUP($C124,Userpass!$A$2:$R$3001,2,FALSE)</f>
        <v>akl20227661.alumni@smkn12malang.sch.id</v>
      </c>
    </row>
    <row r="125" hidden="1">
      <c r="A125" s="3" t="str">
        <f t="shared" si="1"/>
        <v>OK</v>
      </c>
      <c r="B125" s="3" t="str">
        <f t="shared" si="2"/>
        <v>OK</v>
      </c>
      <c r="C125" s="3">
        <v>7663.0</v>
      </c>
      <c r="D125" s="4" t="s">
        <v>260</v>
      </c>
      <c r="E125" s="3" t="s">
        <v>261</v>
      </c>
      <c r="F125" s="3" t="s">
        <v>13</v>
      </c>
      <c r="G125" s="3" t="str">
        <f t="shared" si="3"/>
        <v>PURNA2025-AKL4</v>
      </c>
      <c r="H125" s="3" t="str">
        <f>VLOOKUP($C125,Userpass!$A$2:$L$3001,12,FALSE)</f>
        <v>AKL4</v>
      </c>
      <c r="I125" s="5" t="s">
        <v>14</v>
      </c>
      <c r="J125" s="3">
        <v>2022.0</v>
      </c>
      <c r="K125" s="4" t="str">
        <f>VLOOKUP($C125,Userpass!$A$2:$R$3001,2,FALSE)</f>
        <v>akl20227663.alumni@smkn12malang.sch.id</v>
      </c>
    </row>
    <row r="126" hidden="1">
      <c r="A126" s="3" t="str">
        <f t="shared" si="1"/>
        <v>OK</v>
      </c>
      <c r="B126" s="3" t="str">
        <f t="shared" si="2"/>
        <v>OK</v>
      </c>
      <c r="C126" s="3">
        <v>7689.0</v>
      </c>
      <c r="D126" s="4" t="s">
        <v>262</v>
      </c>
      <c r="E126" s="3" t="s">
        <v>263</v>
      </c>
      <c r="F126" s="3" t="s">
        <v>13</v>
      </c>
      <c r="G126" s="3" t="str">
        <f t="shared" si="3"/>
        <v>PURNA2025-AKL4</v>
      </c>
      <c r="H126" s="3" t="str">
        <f>VLOOKUP($C126,Userpass!$A$2:$L$3001,12,FALSE)</f>
        <v>AKL4</v>
      </c>
      <c r="I126" s="5" t="s">
        <v>14</v>
      </c>
      <c r="J126" s="3">
        <v>2022.0</v>
      </c>
      <c r="K126" s="4" t="str">
        <f>VLOOKUP($C126,Userpass!$A$2:$R$3001,2,FALSE)</f>
        <v>akl20227689.alumni@smkn12malang.sch.id</v>
      </c>
    </row>
    <row r="127" hidden="1">
      <c r="A127" s="3" t="str">
        <f t="shared" si="1"/>
        <v>OK</v>
      </c>
      <c r="B127" s="3" t="str">
        <f t="shared" si="2"/>
        <v>OK</v>
      </c>
      <c r="C127" s="3">
        <v>7692.0</v>
      </c>
      <c r="D127" s="4" t="s">
        <v>264</v>
      </c>
      <c r="E127" s="3" t="s">
        <v>265</v>
      </c>
      <c r="F127" s="3" t="s">
        <v>13</v>
      </c>
      <c r="G127" s="3" t="str">
        <f t="shared" si="3"/>
        <v>PURNA2025-AKL4</v>
      </c>
      <c r="H127" s="3" t="str">
        <f>VLOOKUP($C127,Userpass!$A$2:$L$3001,12,FALSE)</f>
        <v>AKL4</v>
      </c>
      <c r="I127" s="5" t="s">
        <v>14</v>
      </c>
      <c r="J127" s="3">
        <v>2022.0</v>
      </c>
      <c r="K127" s="4" t="str">
        <f>VLOOKUP($C127,Userpass!$A$2:$R$3001,2,FALSE)</f>
        <v>akl20227692.alumni@smkn12malang.sch.id</v>
      </c>
    </row>
    <row r="128" hidden="1">
      <c r="A128" s="3" t="str">
        <f t="shared" si="1"/>
        <v>OK</v>
      </c>
      <c r="B128" s="3" t="str">
        <f t="shared" si="2"/>
        <v>OK</v>
      </c>
      <c r="C128" s="3">
        <v>7704.0</v>
      </c>
      <c r="D128" s="4" t="s">
        <v>266</v>
      </c>
      <c r="E128" s="3" t="s">
        <v>267</v>
      </c>
      <c r="F128" s="3" t="s">
        <v>13</v>
      </c>
      <c r="G128" s="3" t="str">
        <f t="shared" si="3"/>
        <v>PURNA2025-AKL4</v>
      </c>
      <c r="H128" s="3" t="str">
        <f>VLOOKUP($C128,Userpass!$A$2:$L$3001,12,FALSE)</f>
        <v>AKL4</v>
      </c>
      <c r="I128" s="5" t="s">
        <v>14</v>
      </c>
      <c r="J128" s="3">
        <v>2022.0</v>
      </c>
      <c r="K128" s="4" t="str">
        <f>VLOOKUP($C128,Userpass!$A$2:$R$3001,2,FALSE)</f>
        <v>akl20227704.alumni@smkn12malang.sch.id</v>
      </c>
    </row>
    <row r="129" hidden="1">
      <c r="A129" s="3" t="str">
        <f t="shared" si="1"/>
        <v>OK</v>
      </c>
      <c r="B129" s="3" t="str">
        <f t="shared" si="2"/>
        <v>OK</v>
      </c>
      <c r="C129" s="3">
        <v>7720.0</v>
      </c>
      <c r="D129" s="4" t="s">
        <v>268</v>
      </c>
      <c r="E129" s="3" t="s">
        <v>269</v>
      </c>
      <c r="F129" s="3" t="s">
        <v>13</v>
      </c>
      <c r="G129" s="3" t="str">
        <f t="shared" si="3"/>
        <v>PURNA2025-AKL4</v>
      </c>
      <c r="H129" s="3" t="str">
        <f>VLOOKUP($C129,Userpass!$A$2:$L$3001,12,FALSE)</f>
        <v>AKL4</v>
      </c>
      <c r="I129" s="5" t="s">
        <v>14</v>
      </c>
      <c r="J129" s="3">
        <v>2022.0</v>
      </c>
      <c r="K129" s="4" t="str">
        <f>VLOOKUP($C129,Userpass!$A$2:$R$3001,2,FALSE)</f>
        <v>akl20227720.alumni@smkn12malang.sch.id</v>
      </c>
    </row>
    <row r="130" hidden="1">
      <c r="A130" s="3" t="str">
        <f t="shared" si="1"/>
        <v>OK</v>
      </c>
      <c r="B130" s="3" t="str">
        <f t="shared" si="2"/>
        <v>OK</v>
      </c>
      <c r="C130" s="3">
        <v>7811.0</v>
      </c>
      <c r="D130" s="4" t="s">
        <v>270</v>
      </c>
      <c r="E130" s="3" t="s">
        <v>271</v>
      </c>
      <c r="F130" s="3" t="s">
        <v>13</v>
      </c>
      <c r="G130" s="3" t="str">
        <f t="shared" si="3"/>
        <v>PURNA2025-AKL4</v>
      </c>
      <c r="H130" s="3" t="str">
        <f>VLOOKUP($C130,Userpass!$A$2:$L$3001,12,FALSE)</f>
        <v>AKL4</v>
      </c>
      <c r="I130" s="5" t="s">
        <v>14</v>
      </c>
      <c r="J130" s="3">
        <v>2022.0</v>
      </c>
      <c r="K130" s="4" t="str">
        <f>VLOOKUP($C130,Userpass!$A$2:$R$3001,2,FALSE)</f>
        <v>akl20227811.alumni@smkn12malang.sch.id</v>
      </c>
    </row>
    <row r="131" hidden="1">
      <c r="A131" s="3" t="str">
        <f t="shared" si="1"/>
        <v>OK</v>
      </c>
      <c r="B131" s="3" t="str">
        <f t="shared" si="2"/>
        <v>OK</v>
      </c>
      <c r="C131" s="3">
        <v>7818.0</v>
      </c>
      <c r="D131" s="4" t="s">
        <v>272</v>
      </c>
      <c r="E131" s="3" t="s">
        <v>273</v>
      </c>
      <c r="F131" s="3" t="s">
        <v>13</v>
      </c>
      <c r="G131" s="3" t="str">
        <f t="shared" si="3"/>
        <v>PURNA2025-AKL4</v>
      </c>
      <c r="H131" s="3" t="str">
        <f>VLOOKUP($C131,Userpass!$A$2:$L$3001,12,FALSE)</f>
        <v>AKL4</v>
      </c>
      <c r="I131" s="5" t="s">
        <v>14</v>
      </c>
      <c r="J131" s="3">
        <v>2022.0</v>
      </c>
      <c r="K131" s="4" t="str">
        <f>VLOOKUP($C131,Userpass!$A$2:$R$3001,2,FALSE)</f>
        <v>akl20227818.alumni@smkn12malang.sch.id</v>
      </c>
    </row>
    <row r="132" hidden="1">
      <c r="A132" s="3" t="str">
        <f t="shared" si="1"/>
        <v>OK</v>
      </c>
      <c r="B132" s="3" t="str">
        <f t="shared" si="2"/>
        <v>OK</v>
      </c>
      <c r="C132" s="3">
        <v>7837.0</v>
      </c>
      <c r="D132" s="4" t="s">
        <v>274</v>
      </c>
      <c r="E132" s="3" t="s">
        <v>275</v>
      </c>
      <c r="F132" s="3" t="s">
        <v>13</v>
      </c>
      <c r="G132" s="3" t="str">
        <f t="shared" si="3"/>
        <v>PURNA2025-AKL4</v>
      </c>
      <c r="H132" s="3" t="str">
        <f>VLOOKUP($C132,Userpass!$A$2:$L$3001,12,FALSE)</f>
        <v>AKL4</v>
      </c>
      <c r="I132" s="5" t="s">
        <v>14</v>
      </c>
      <c r="J132" s="3">
        <v>2022.0</v>
      </c>
      <c r="K132" s="4" t="str">
        <f>VLOOKUP($C132,Userpass!$A$2:$R$3001,2,FALSE)</f>
        <v>akl20227837.alumni@smkn12malang.sch.id</v>
      </c>
    </row>
    <row r="133" hidden="1">
      <c r="A133" s="3" t="str">
        <f t="shared" si="1"/>
        <v>OK</v>
      </c>
      <c r="B133" s="3" t="str">
        <f t="shared" si="2"/>
        <v>OK</v>
      </c>
      <c r="C133" s="3">
        <v>7849.0</v>
      </c>
      <c r="D133" s="4" t="s">
        <v>276</v>
      </c>
      <c r="E133" s="3" t="s">
        <v>277</v>
      </c>
      <c r="F133" s="3" t="s">
        <v>13</v>
      </c>
      <c r="G133" s="3" t="str">
        <f t="shared" si="3"/>
        <v>PURNA2025-AKL4</v>
      </c>
      <c r="H133" s="3" t="str">
        <f>VLOOKUP($C133,Userpass!$A$2:$L$3001,12,FALSE)</f>
        <v>AKL4</v>
      </c>
      <c r="I133" s="5" t="s">
        <v>14</v>
      </c>
      <c r="J133" s="3">
        <v>2022.0</v>
      </c>
      <c r="K133" s="4" t="str">
        <f>VLOOKUP($C133,Userpass!$A$2:$R$3001,2,FALSE)</f>
        <v>akl20227849.alumni@smkn12malang.sch.id</v>
      </c>
    </row>
    <row r="134" hidden="1">
      <c r="A134" s="3" t="str">
        <f t="shared" si="1"/>
        <v>OK</v>
      </c>
      <c r="B134" s="3" t="str">
        <f t="shared" si="2"/>
        <v>OK</v>
      </c>
      <c r="C134" s="3">
        <v>7856.0</v>
      </c>
      <c r="D134" s="4" t="s">
        <v>278</v>
      </c>
      <c r="E134" s="3" t="s">
        <v>279</v>
      </c>
      <c r="F134" s="3" t="s">
        <v>13</v>
      </c>
      <c r="G134" s="3" t="str">
        <f t="shared" si="3"/>
        <v>PURNA2025-AKL4</v>
      </c>
      <c r="H134" s="3" t="str">
        <f>VLOOKUP($C134,Userpass!$A$2:$L$3001,12,FALSE)</f>
        <v>AKL4</v>
      </c>
      <c r="I134" s="5" t="s">
        <v>14</v>
      </c>
      <c r="J134" s="3">
        <v>2022.0</v>
      </c>
      <c r="K134" s="4" t="str">
        <f>VLOOKUP($C134,Userpass!$A$2:$R$3001,2,FALSE)</f>
        <v>akl20227856.alumni@smkn12malang.sch.id</v>
      </c>
    </row>
    <row r="135" hidden="1">
      <c r="A135" s="3" t="str">
        <f t="shared" si="1"/>
        <v>OK</v>
      </c>
      <c r="B135" s="3" t="str">
        <f t="shared" si="2"/>
        <v>OK</v>
      </c>
      <c r="C135" s="3">
        <v>7873.0</v>
      </c>
      <c r="D135" s="4" t="s">
        <v>280</v>
      </c>
      <c r="E135" s="3" t="s">
        <v>281</v>
      </c>
      <c r="F135" s="3" t="s">
        <v>13</v>
      </c>
      <c r="G135" s="3" t="str">
        <f t="shared" si="3"/>
        <v>PURNA2025-AKL4</v>
      </c>
      <c r="H135" s="3" t="str">
        <f>VLOOKUP($C135,Userpass!$A$2:$L$3001,12,FALSE)</f>
        <v>AKL4</v>
      </c>
      <c r="I135" s="5" t="s">
        <v>14</v>
      </c>
      <c r="J135" s="3">
        <v>2022.0</v>
      </c>
      <c r="K135" s="4" t="str">
        <f>VLOOKUP($C135,Userpass!$A$2:$R$3001,2,FALSE)</f>
        <v>akl20227873.alumni@smkn12malang.sch.id</v>
      </c>
    </row>
    <row r="136" hidden="1">
      <c r="A136" s="3" t="str">
        <f t="shared" si="1"/>
        <v>OK</v>
      </c>
      <c r="B136" s="3" t="str">
        <f t="shared" si="2"/>
        <v>OK</v>
      </c>
      <c r="C136" s="3">
        <v>7892.0</v>
      </c>
      <c r="D136" s="4" t="s">
        <v>282</v>
      </c>
      <c r="E136" s="3" t="s">
        <v>283</v>
      </c>
      <c r="F136" s="3" t="s">
        <v>13</v>
      </c>
      <c r="G136" s="3" t="str">
        <f t="shared" si="3"/>
        <v>PURNA2025-AKL4</v>
      </c>
      <c r="H136" s="3" t="str">
        <f>VLOOKUP($C136,Userpass!$A$2:$L$3001,12,FALSE)</f>
        <v>AKL4</v>
      </c>
      <c r="I136" s="5" t="s">
        <v>14</v>
      </c>
      <c r="J136" s="3">
        <v>2022.0</v>
      </c>
      <c r="K136" s="4" t="str">
        <f>VLOOKUP($C136,Userpass!$A$2:$R$3001,2,FALSE)</f>
        <v>akl20227892.alumni@smkn12malang.sch.id</v>
      </c>
    </row>
    <row r="137" hidden="1">
      <c r="A137" s="3" t="str">
        <f t="shared" si="1"/>
        <v>OK</v>
      </c>
      <c r="B137" s="3" t="str">
        <f t="shared" si="2"/>
        <v>OK</v>
      </c>
      <c r="C137" s="3">
        <v>7894.0</v>
      </c>
      <c r="D137" s="4" t="s">
        <v>284</v>
      </c>
      <c r="E137" s="3" t="s">
        <v>285</v>
      </c>
      <c r="F137" s="3" t="s">
        <v>13</v>
      </c>
      <c r="G137" s="3" t="str">
        <f t="shared" si="3"/>
        <v>PURNA2025-AKL4</v>
      </c>
      <c r="H137" s="3" t="str">
        <f>VLOOKUP($C137,Userpass!$A$2:$L$3001,12,FALSE)</f>
        <v>AKL4</v>
      </c>
      <c r="I137" s="5" t="s">
        <v>14</v>
      </c>
      <c r="J137" s="3">
        <v>2022.0</v>
      </c>
      <c r="K137" s="4" t="str">
        <f>VLOOKUP($C137,Userpass!$A$2:$R$3001,2,FALSE)</f>
        <v>akl20227894.alumni@smkn12malang.sch.id</v>
      </c>
    </row>
    <row r="138" hidden="1">
      <c r="A138" s="3" t="str">
        <f t="shared" si="1"/>
        <v>OK</v>
      </c>
      <c r="B138" s="3" t="str">
        <f t="shared" si="2"/>
        <v>OK</v>
      </c>
      <c r="C138" s="3">
        <v>7900.0</v>
      </c>
      <c r="D138" s="4" t="s">
        <v>286</v>
      </c>
      <c r="E138" s="3" t="s">
        <v>287</v>
      </c>
      <c r="F138" s="3" t="s">
        <v>13</v>
      </c>
      <c r="G138" s="3" t="str">
        <f t="shared" si="3"/>
        <v>PURNA2025-AKL4</v>
      </c>
      <c r="H138" s="3" t="str">
        <f>VLOOKUP($C138,Userpass!$A$2:$L$3001,12,FALSE)</f>
        <v>AKL4</v>
      </c>
      <c r="I138" s="5" t="s">
        <v>14</v>
      </c>
      <c r="J138" s="3">
        <v>2022.0</v>
      </c>
      <c r="K138" s="4" t="str">
        <f>VLOOKUP($C138,Userpass!$A$2:$R$3001,2,FALSE)</f>
        <v>akl20227900.alumni@smkn12malang.sch.id</v>
      </c>
    </row>
    <row r="139" hidden="1">
      <c r="A139" s="3" t="str">
        <f t="shared" si="1"/>
        <v>OK</v>
      </c>
      <c r="B139" s="3" t="str">
        <f t="shared" si="2"/>
        <v>OK</v>
      </c>
      <c r="C139" s="3">
        <v>7908.0</v>
      </c>
      <c r="D139" s="4" t="s">
        <v>288</v>
      </c>
      <c r="E139" s="3" t="s">
        <v>289</v>
      </c>
      <c r="F139" s="3" t="s">
        <v>13</v>
      </c>
      <c r="G139" s="3" t="str">
        <f t="shared" si="3"/>
        <v>PURNA2025-AKL4</v>
      </c>
      <c r="H139" s="3" t="str">
        <f>VLOOKUP($C139,Userpass!$A$2:$L$3001,12,FALSE)</f>
        <v>AKL4</v>
      </c>
      <c r="I139" s="5" t="s">
        <v>14</v>
      </c>
      <c r="J139" s="3">
        <v>2022.0</v>
      </c>
      <c r="K139" s="4" t="str">
        <f>VLOOKUP($C139,Userpass!$A$2:$R$3001,2,FALSE)</f>
        <v>akl20227908.alumni@smkn12malang.sch.id</v>
      </c>
    </row>
    <row r="140" hidden="1">
      <c r="A140" s="3" t="str">
        <f t="shared" si="1"/>
        <v>OK</v>
      </c>
      <c r="B140" s="3" t="str">
        <f t="shared" si="2"/>
        <v>OK</v>
      </c>
      <c r="C140" s="3">
        <v>7921.0</v>
      </c>
      <c r="D140" s="4" t="s">
        <v>290</v>
      </c>
      <c r="E140" s="3" t="s">
        <v>291</v>
      </c>
      <c r="F140" s="3" t="s">
        <v>13</v>
      </c>
      <c r="G140" s="3" t="str">
        <f t="shared" si="3"/>
        <v>PURNA2025-AKL4</v>
      </c>
      <c r="H140" s="3" t="str">
        <f>VLOOKUP($C140,Userpass!$A$2:$L$3001,12,FALSE)</f>
        <v>AKL4</v>
      </c>
      <c r="I140" s="5" t="s">
        <v>14</v>
      </c>
      <c r="J140" s="3">
        <v>2022.0</v>
      </c>
      <c r="K140" s="4" t="str">
        <f>VLOOKUP($C140,Userpass!$A$2:$R$3001,2,FALSE)</f>
        <v>akl20227921.alumni@smkn12malang.sch.id</v>
      </c>
    </row>
    <row r="141" hidden="1">
      <c r="A141" s="3" t="str">
        <f t="shared" si="1"/>
        <v>OK</v>
      </c>
      <c r="B141" s="3" t="str">
        <f t="shared" si="2"/>
        <v>OK</v>
      </c>
      <c r="C141" s="3">
        <v>7946.0</v>
      </c>
      <c r="D141" s="4" t="s">
        <v>292</v>
      </c>
      <c r="E141" s="3" t="s">
        <v>293</v>
      </c>
      <c r="F141" s="3" t="s">
        <v>13</v>
      </c>
      <c r="G141" s="3" t="str">
        <f t="shared" si="3"/>
        <v>PURNA2025-AKL4</v>
      </c>
      <c r="H141" s="3" t="str">
        <f>VLOOKUP($C141,Userpass!$A$2:$L$3001,12,FALSE)</f>
        <v>AKL4</v>
      </c>
      <c r="I141" s="5" t="s">
        <v>14</v>
      </c>
      <c r="J141" s="3">
        <v>2022.0</v>
      </c>
      <c r="K141" s="4" t="str">
        <f>VLOOKUP($C141,Userpass!$A$2:$R$3001,2,FALSE)</f>
        <v>akl20227946.alumni@smkn12malang.sch.id</v>
      </c>
    </row>
    <row r="142" hidden="1">
      <c r="A142" s="3" t="str">
        <f t="shared" si="1"/>
        <v>OK</v>
      </c>
      <c r="B142" s="3" t="str">
        <f t="shared" si="2"/>
        <v>OK</v>
      </c>
      <c r="C142" s="3">
        <v>7950.0</v>
      </c>
      <c r="D142" s="4" t="s">
        <v>294</v>
      </c>
      <c r="E142" s="3" t="s">
        <v>295</v>
      </c>
      <c r="F142" s="3" t="s">
        <v>13</v>
      </c>
      <c r="G142" s="3" t="str">
        <f t="shared" si="3"/>
        <v>PURNA2025-AKL4</v>
      </c>
      <c r="H142" s="3" t="str">
        <f>VLOOKUP($C142,Userpass!$A$2:$L$3001,12,FALSE)</f>
        <v>AKL4</v>
      </c>
      <c r="I142" s="5" t="s">
        <v>14</v>
      </c>
      <c r="J142" s="3">
        <v>2022.0</v>
      </c>
      <c r="K142" s="4" t="str">
        <f>VLOOKUP($C142,Userpass!$A$2:$R$3001,2,FALSE)</f>
        <v>akl20227950.alumni@smkn12malang.sch.id</v>
      </c>
    </row>
    <row r="143" hidden="1">
      <c r="A143" s="3" t="str">
        <f t="shared" si="1"/>
        <v>OK</v>
      </c>
      <c r="B143" s="3" t="str">
        <f t="shared" si="2"/>
        <v>OK</v>
      </c>
      <c r="C143" s="3">
        <v>7979.0</v>
      </c>
      <c r="D143" s="4" t="s">
        <v>296</v>
      </c>
      <c r="E143" s="3" t="s">
        <v>297</v>
      </c>
      <c r="F143" s="3" t="s">
        <v>13</v>
      </c>
      <c r="G143" s="3" t="str">
        <f t="shared" si="3"/>
        <v>PURNA2025-AKL4</v>
      </c>
      <c r="H143" s="3" t="str">
        <f>VLOOKUP($C143,Userpass!$A$2:$L$3001,12,FALSE)</f>
        <v>AKL4</v>
      </c>
      <c r="I143" s="5" t="s">
        <v>14</v>
      </c>
      <c r="J143" s="3">
        <v>2022.0</v>
      </c>
      <c r="K143" s="4" t="str">
        <f>VLOOKUP($C143,Userpass!$A$2:$R$3001,2,FALSE)</f>
        <v>akl20227979.alumni@smkn12malang.sch.id</v>
      </c>
    </row>
    <row r="144" hidden="1">
      <c r="A144" s="3" t="str">
        <f t="shared" si="1"/>
        <v>OK</v>
      </c>
      <c r="B144" s="3" t="str">
        <f t="shared" si="2"/>
        <v>OK</v>
      </c>
      <c r="C144" s="3">
        <v>8018.0</v>
      </c>
      <c r="D144" s="4" t="s">
        <v>298</v>
      </c>
      <c r="E144" s="3" t="s">
        <v>299</v>
      </c>
      <c r="F144" s="3" t="s">
        <v>17</v>
      </c>
      <c r="G144" s="3" t="str">
        <f t="shared" si="3"/>
        <v>PURNA2025-AKL4</v>
      </c>
      <c r="H144" s="3" t="str">
        <f>VLOOKUP($C144,Userpass!$A$2:$L$3001,12,FALSE)</f>
        <v>AKL4</v>
      </c>
      <c r="I144" s="5" t="s">
        <v>14</v>
      </c>
      <c r="J144" s="3">
        <v>2022.0</v>
      </c>
      <c r="K144" s="4" t="str">
        <f>VLOOKUP($C144,Userpass!$A$2:$R$3001,2,FALSE)</f>
        <v>akl20228018.alumni@smkn12malang.sch.id</v>
      </c>
    </row>
    <row r="145" hidden="1">
      <c r="A145" s="3" t="str">
        <f t="shared" si="1"/>
        <v>OK</v>
      </c>
      <c r="B145" s="3" t="str">
        <f t="shared" si="2"/>
        <v>OK</v>
      </c>
      <c r="C145" s="3">
        <v>7436.0</v>
      </c>
      <c r="D145" s="4" t="s">
        <v>300</v>
      </c>
      <c r="E145" s="3" t="s">
        <v>301</v>
      </c>
      <c r="F145" s="3" t="s">
        <v>17</v>
      </c>
      <c r="G145" s="3" t="str">
        <f t="shared" si="3"/>
        <v>PURNA2025-BCF1</v>
      </c>
      <c r="H145" s="3" t="str">
        <f>VLOOKUP($C145,Userpass!$A$2:$L$3001,12,FALSE)</f>
        <v>BCF1</v>
      </c>
      <c r="I145" s="5" t="s">
        <v>14</v>
      </c>
      <c r="J145" s="3">
        <v>2022.0</v>
      </c>
      <c r="K145" s="4" t="str">
        <f>VLOOKUP($C145,Userpass!$A$2:$R$3001,2,FALSE)</f>
        <v>bcf20227436.alumni@smkn12malang.sch.id</v>
      </c>
    </row>
    <row r="146" hidden="1">
      <c r="A146" s="3" t="str">
        <f t="shared" si="1"/>
        <v>OK</v>
      </c>
      <c r="B146" s="3" t="str">
        <f t="shared" si="2"/>
        <v>OK</v>
      </c>
      <c r="C146" s="3">
        <v>7470.0</v>
      </c>
      <c r="D146" s="4" t="s">
        <v>302</v>
      </c>
      <c r="E146" s="3" t="s">
        <v>303</v>
      </c>
      <c r="F146" s="3" t="s">
        <v>17</v>
      </c>
      <c r="G146" s="3" t="str">
        <f t="shared" si="3"/>
        <v>PURNA2025-BCF1</v>
      </c>
      <c r="H146" s="3" t="str">
        <f>VLOOKUP($C146,Userpass!$A$2:$L$3001,12,FALSE)</f>
        <v>BCF1</v>
      </c>
      <c r="I146" s="5" t="s">
        <v>14</v>
      </c>
      <c r="J146" s="3">
        <v>2022.0</v>
      </c>
      <c r="K146" s="4" t="str">
        <f>VLOOKUP($C146,Userpass!$A$2:$R$3001,2,FALSE)</f>
        <v>bcf20227470.alumni@smkn12malang.sch.id</v>
      </c>
    </row>
    <row r="147" hidden="1">
      <c r="A147" s="3" t="str">
        <f t="shared" si="1"/>
        <v>OK</v>
      </c>
      <c r="B147" s="3" t="str">
        <f t="shared" si="2"/>
        <v>OK</v>
      </c>
      <c r="C147" s="3">
        <v>7473.0</v>
      </c>
      <c r="D147" s="4" t="s">
        <v>304</v>
      </c>
      <c r="E147" s="3" t="s">
        <v>305</v>
      </c>
      <c r="F147" s="3" t="s">
        <v>13</v>
      </c>
      <c r="G147" s="3" t="str">
        <f t="shared" si="3"/>
        <v>PURNA2025-BCF1</v>
      </c>
      <c r="H147" s="3" t="str">
        <f>VLOOKUP($C147,Userpass!$A$2:$L$3001,12,FALSE)</f>
        <v>BCF1</v>
      </c>
      <c r="I147" s="5" t="s">
        <v>14</v>
      </c>
      <c r="J147" s="3">
        <v>2022.0</v>
      </c>
      <c r="K147" s="4" t="str">
        <f>VLOOKUP($C147,Userpass!$A$2:$R$3001,2,FALSE)</f>
        <v>bcf20227473.alumni@smkn12malang.sch.id</v>
      </c>
    </row>
    <row r="148" hidden="1">
      <c r="A148" s="3" t="str">
        <f t="shared" si="1"/>
        <v>OK</v>
      </c>
      <c r="B148" s="3" t="str">
        <f t="shared" si="2"/>
        <v>OK</v>
      </c>
      <c r="C148" s="3">
        <v>7482.0</v>
      </c>
      <c r="D148" s="4" t="s">
        <v>306</v>
      </c>
      <c r="E148" s="3" t="s">
        <v>307</v>
      </c>
      <c r="F148" s="3" t="s">
        <v>13</v>
      </c>
      <c r="G148" s="3" t="str">
        <f t="shared" si="3"/>
        <v>PURNA2025-BCF1</v>
      </c>
      <c r="H148" s="3" t="str">
        <f>VLOOKUP($C148,Userpass!$A$2:$L$3001,12,FALSE)</f>
        <v>BCF1</v>
      </c>
      <c r="I148" s="5" t="s">
        <v>14</v>
      </c>
      <c r="J148" s="3">
        <v>2022.0</v>
      </c>
      <c r="K148" s="4" t="str">
        <f>VLOOKUP($C148,Userpass!$A$2:$R$3001,2,FALSE)</f>
        <v>bcf20227482.alumni@smkn12malang.sch.id</v>
      </c>
    </row>
    <row r="149" hidden="1">
      <c r="A149" s="3" t="str">
        <f t="shared" si="1"/>
        <v>OK</v>
      </c>
      <c r="B149" s="3" t="str">
        <f t="shared" si="2"/>
        <v>OK</v>
      </c>
      <c r="C149" s="3">
        <v>7526.0</v>
      </c>
      <c r="D149" s="4" t="s">
        <v>308</v>
      </c>
      <c r="E149" s="3" t="s">
        <v>309</v>
      </c>
      <c r="F149" s="3" t="s">
        <v>17</v>
      </c>
      <c r="G149" s="3" t="str">
        <f t="shared" si="3"/>
        <v>PURNA2025-BCF1</v>
      </c>
      <c r="H149" s="3" t="str">
        <f>VLOOKUP($C149,Userpass!$A$2:$L$3001,12,FALSE)</f>
        <v>BCF1</v>
      </c>
      <c r="I149" s="5" t="s">
        <v>14</v>
      </c>
      <c r="J149" s="3">
        <v>2022.0</v>
      </c>
      <c r="K149" s="4" t="str">
        <f>VLOOKUP($C149,Userpass!$A$2:$R$3001,2,FALSE)</f>
        <v>bcf20227526.alumni@smkn12malang.sch.id</v>
      </c>
    </row>
    <row r="150" hidden="1">
      <c r="A150" s="3" t="str">
        <f t="shared" si="1"/>
        <v>OK</v>
      </c>
      <c r="B150" s="3" t="str">
        <f t="shared" si="2"/>
        <v>OK</v>
      </c>
      <c r="C150" s="3">
        <v>7528.0</v>
      </c>
      <c r="D150" s="4" t="s">
        <v>310</v>
      </c>
      <c r="E150" s="3" t="s">
        <v>311</v>
      </c>
      <c r="F150" s="3" t="s">
        <v>13</v>
      </c>
      <c r="G150" s="3" t="str">
        <f t="shared" si="3"/>
        <v>PURNA2025-BCF1</v>
      </c>
      <c r="H150" s="3" t="str">
        <f>VLOOKUP($C150,Userpass!$A$2:$L$3001,12,FALSE)</f>
        <v>BCF1</v>
      </c>
      <c r="I150" s="5" t="s">
        <v>14</v>
      </c>
      <c r="J150" s="3">
        <v>2022.0</v>
      </c>
      <c r="K150" s="4" t="str">
        <f>VLOOKUP($C150,Userpass!$A$2:$R$3001,2,FALSE)</f>
        <v>bcf20227528.alumni@smkn12malang.sch.id</v>
      </c>
    </row>
    <row r="151" hidden="1">
      <c r="A151" s="3" t="str">
        <f t="shared" si="1"/>
        <v>OK</v>
      </c>
      <c r="B151" s="3" t="str">
        <f t="shared" si="2"/>
        <v>OK</v>
      </c>
      <c r="C151" s="3">
        <v>7537.0</v>
      </c>
      <c r="D151" s="4" t="s">
        <v>312</v>
      </c>
      <c r="E151" s="3" t="s">
        <v>313</v>
      </c>
      <c r="F151" s="3" t="s">
        <v>13</v>
      </c>
      <c r="G151" s="3" t="str">
        <f t="shared" si="3"/>
        <v>PURNA2025-BCF1</v>
      </c>
      <c r="H151" s="3" t="str">
        <f>VLOOKUP($C151,Userpass!$A$2:$L$3001,12,FALSE)</f>
        <v>BCF1</v>
      </c>
      <c r="I151" s="5" t="s">
        <v>14</v>
      </c>
      <c r="J151" s="3">
        <v>2022.0</v>
      </c>
      <c r="K151" s="4" t="str">
        <f>VLOOKUP($C151,Userpass!$A$2:$R$3001,2,FALSE)</f>
        <v>bcf20227537.alumni@smkn12malang.sch.id</v>
      </c>
    </row>
    <row r="152" hidden="1">
      <c r="A152" s="3" t="str">
        <f t="shared" si="1"/>
        <v>OK</v>
      </c>
      <c r="B152" s="3" t="str">
        <f t="shared" si="2"/>
        <v>OK</v>
      </c>
      <c r="C152" s="3">
        <v>7538.0</v>
      </c>
      <c r="D152" s="4" t="s">
        <v>314</v>
      </c>
      <c r="E152" s="3" t="s">
        <v>315</v>
      </c>
      <c r="F152" s="3" t="s">
        <v>13</v>
      </c>
      <c r="G152" s="3" t="str">
        <f t="shared" si="3"/>
        <v>PURNA2025-BCF1</v>
      </c>
      <c r="H152" s="3" t="str">
        <f>VLOOKUP($C152,Userpass!$A$2:$L$3001,12,FALSE)</f>
        <v>BCF1</v>
      </c>
      <c r="I152" s="5" t="s">
        <v>14</v>
      </c>
      <c r="J152" s="3">
        <v>2022.0</v>
      </c>
      <c r="K152" s="4" t="str">
        <f>VLOOKUP($C152,Userpass!$A$2:$R$3001,2,FALSE)</f>
        <v>bcf20227538.alumni@smkn12malang.sch.id</v>
      </c>
    </row>
    <row r="153" hidden="1">
      <c r="A153" s="3" t="str">
        <f t="shared" si="1"/>
        <v>OK</v>
      </c>
      <c r="B153" s="3" t="str">
        <f t="shared" si="2"/>
        <v>OK</v>
      </c>
      <c r="C153" s="3">
        <v>7563.0</v>
      </c>
      <c r="D153" s="4" t="s">
        <v>316</v>
      </c>
      <c r="E153" s="3" t="s">
        <v>317</v>
      </c>
      <c r="F153" s="3" t="s">
        <v>17</v>
      </c>
      <c r="G153" s="3" t="str">
        <f t="shared" si="3"/>
        <v>PURNA2025-BCF1</v>
      </c>
      <c r="H153" s="3" t="str">
        <f>VLOOKUP($C153,Userpass!$A$2:$L$3001,12,FALSE)</f>
        <v>BCF1</v>
      </c>
      <c r="I153" s="5" t="s">
        <v>14</v>
      </c>
      <c r="J153" s="3">
        <v>2022.0</v>
      </c>
      <c r="K153" s="4" t="str">
        <f>VLOOKUP($C153,Userpass!$A$2:$R$3001,2,FALSE)</f>
        <v>bcf20227563.alumni@smkn12malang.sch.id</v>
      </c>
    </row>
    <row r="154" hidden="1">
      <c r="A154" s="3" t="str">
        <f t="shared" si="1"/>
        <v>OK</v>
      </c>
      <c r="B154" s="3" t="str">
        <f t="shared" si="2"/>
        <v>OK</v>
      </c>
      <c r="C154" s="3">
        <v>7574.0</v>
      </c>
      <c r="D154" s="4" t="s">
        <v>318</v>
      </c>
      <c r="E154" s="3" t="s">
        <v>319</v>
      </c>
      <c r="F154" s="3" t="s">
        <v>17</v>
      </c>
      <c r="G154" s="3" t="str">
        <f t="shared" si="3"/>
        <v>PURNA2025-BCF1</v>
      </c>
      <c r="H154" s="3" t="str">
        <f>VLOOKUP($C154,Userpass!$A$2:$L$3001,12,FALSE)</f>
        <v>BCF1</v>
      </c>
      <c r="I154" s="5" t="s">
        <v>14</v>
      </c>
      <c r="J154" s="3">
        <v>2022.0</v>
      </c>
      <c r="K154" s="4" t="str">
        <f>VLOOKUP($C154,Userpass!$A$2:$R$3001,2,FALSE)</f>
        <v>bcf20227574.alumni@smkn12malang.sch.id</v>
      </c>
    </row>
    <row r="155" hidden="1">
      <c r="A155" s="3" t="str">
        <f t="shared" si="1"/>
        <v>OK</v>
      </c>
      <c r="B155" s="3" t="str">
        <f t="shared" si="2"/>
        <v>OK</v>
      </c>
      <c r="C155" s="3">
        <v>7587.0</v>
      </c>
      <c r="D155" s="4" t="s">
        <v>320</v>
      </c>
      <c r="E155" s="3" t="s">
        <v>321</v>
      </c>
      <c r="F155" s="3" t="s">
        <v>13</v>
      </c>
      <c r="G155" s="3" t="str">
        <f t="shared" si="3"/>
        <v>PURNA2025-BCF1</v>
      </c>
      <c r="H155" s="3" t="str">
        <f>VLOOKUP($C155,Userpass!$A$2:$L$3001,12,FALSE)</f>
        <v>BCF1</v>
      </c>
      <c r="I155" s="5" t="s">
        <v>14</v>
      </c>
      <c r="J155" s="3">
        <v>2022.0</v>
      </c>
      <c r="K155" s="4" t="str">
        <f>VLOOKUP($C155,Userpass!$A$2:$R$3001,2,FALSE)</f>
        <v>bcf20227587.alumni@smkn12malang.sch.id</v>
      </c>
    </row>
    <row r="156" hidden="1">
      <c r="A156" s="3" t="str">
        <f t="shared" si="1"/>
        <v>OK</v>
      </c>
      <c r="B156" s="3" t="str">
        <f t="shared" si="2"/>
        <v>OK</v>
      </c>
      <c r="C156" s="3">
        <v>7604.0</v>
      </c>
      <c r="D156" s="4" t="s">
        <v>322</v>
      </c>
      <c r="E156" s="3" t="s">
        <v>323</v>
      </c>
      <c r="F156" s="3" t="s">
        <v>17</v>
      </c>
      <c r="G156" s="3" t="str">
        <f t="shared" si="3"/>
        <v>PURNA2025-BCF1</v>
      </c>
      <c r="H156" s="3" t="str">
        <f>VLOOKUP($C156,Userpass!$A$2:$L$3001,12,FALSE)</f>
        <v>BCF1</v>
      </c>
      <c r="I156" s="5" t="s">
        <v>14</v>
      </c>
      <c r="J156" s="3">
        <v>2022.0</v>
      </c>
      <c r="K156" s="4" t="str">
        <f>VLOOKUP($C156,Userpass!$A$2:$R$3001,2,FALSE)</f>
        <v>bcf20227604.alumni@smkn12malang.sch.id</v>
      </c>
    </row>
    <row r="157" hidden="1">
      <c r="A157" s="3" t="str">
        <f t="shared" si="1"/>
        <v>OK</v>
      </c>
      <c r="B157" s="3" t="str">
        <f t="shared" si="2"/>
        <v>OK</v>
      </c>
      <c r="C157" s="3">
        <v>7607.0</v>
      </c>
      <c r="D157" s="4" t="s">
        <v>324</v>
      </c>
      <c r="E157" s="3" t="s">
        <v>325</v>
      </c>
      <c r="F157" s="3" t="s">
        <v>17</v>
      </c>
      <c r="G157" s="3" t="str">
        <f t="shared" si="3"/>
        <v>PURNA2025-BCF1</v>
      </c>
      <c r="H157" s="3" t="str">
        <f>VLOOKUP($C157,Userpass!$A$2:$L$3001,12,FALSE)</f>
        <v>BCF1</v>
      </c>
      <c r="I157" s="5" t="s">
        <v>14</v>
      </c>
      <c r="J157" s="3">
        <v>2022.0</v>
      </c>
      <c r="K157" s="4" t="str">
        <f>VLOOKUP($C157,Userpass!$A$2:$R$3001,2,FALSE)</f>
        <v>bcf20227607.alumni@smkn12malang.sch.id</v>
      </c>
    </row>
    <row r="158" hidden="1">
      <c r="A158" s="3" t="str">
        <f t="shared" si="1"/>
        <v>OK</v>
      </c>
      <c r="B158" s="3" t="str">
        <f t="shared" si="2"/>
        <v>OK</v>
      </c>
      <c r="C158" s="3">
        <v>7630.0</v>
      </c>
      <c r="D158" s="4" t="s">
        <v>326</v>
      </c>
      <c r="E158" s="3" t="s">
        <v>327</v>
      </c>
      <c r="F158" s="3" t="s">
        <v>13</v>
      </c>
      <c r="G158" s="3" t="str">
        <f t="shared" si="3"/>
        <v>PURNA2025-BCF1</v>
      </c>
      <c r="H158" s="3" t="str">
        <f>VLOOKUP($C158,Userpass!$A$2:$L$3001,12,FALSE)</f>
        <v>BCF1</v>
      </c>
      <c r="I158" s="5" t="s">
        <v>14</v>
      </c>
      <c r="J158" s="3">
        <v>2022.0</v>
      </c>
      <c r="K158" s="4" t="str">
        <f>VLOOKUP($C158,Userpass!$A$2:$R$3001,2,FALSE)</f>
        <v>bcf20227630.alumni@smkn12malang.sch.id</v>
      </c>
    </row>
    <row r="159" hidden="1">
      <c r="A159" s="3" t="str">
        <f t="shared" si="1"/>
        <v>OK</v>
      </c>
      <c r="B159" s="3" t="str">
        <f t="shared" si="2"/>
        <v>OK</v>
      </c>
      <c r="C159" s="3">
        <v>7637.0</v>
      </c>
      <c r="D159" s="4" t="s">
        <v>328</v>
      </c>
      <c r="E159" s="3" t="s">
        <v>329</v>
      </c>
      <c r="F159" s="3" t="s">
        <v>17</v>
      </c>
      <c r="G159" s="3" t="str">
        <f t="shared" si="3"/>
        <v>PURNA2025-BCF1</v>
      </c>
      <c r="H159" s="3" t="str">
        <f>VLOOKUP($C159,Userpass!$A$2:$L$3001,12,FALSE)</f>
        <v>BCF1</v>
      </c>
      <c r="I159" s="5" t="s">
        <v>14</v>
      </c>
      <c r="J159" s="3">
        <v>2022.0</v>
      </c>
      <c r="K159" s="4" t="str">
        <f>VLOOKUP($C159,Userpass!$A$2:$R$3001,2,FALSE)</f>
        <v>bcf20227637.alumni@smkn12malang.sch.id</v>
      </c>
    </row>
    <row r="160" hidden="1">
      <c r="A160" s="3" t="str">
        <f t="shared" si="1"/>
        <v>OK</v>
      </c>
      <c r="B160" s="3" t="str">
        <f t="shared" si="2"/>
        <v>OK</v>
      </c>
      <c r="C160" s="3">
        <v>7644.0</v>
      </c>
      <c r="D160" s="4" t="s">
        <v>330</v>
      </c>
      <c r="E160" s="3" t="s">
        <v>331</v>
      </c>
      <c r="F160" s="3" t="s">
        <v>13</v>
      </c>
      <c r="G160" s="3" t="str">
        <f t="shared" si="3"/>
        <v>PURNA2025-BCF1</v>
      </c>
      <c r="H160" s="3" t="str">
        <f>VLOOKUP($C160,Userpass!$A$2:$L$3001,12,FALSE)</f>
        <v>BCF1</v>
      </c>
      <c r="I160" s="5" t="s">
        <v>14</v>
      </c>
      <c r="J160" s="3">
        <v>2022.0</v>
      </c>
      <c r="K160" s="4" t="str">
        <f>VLOOKUP($C160,Userpass!$A$2:$R$3001,2,FALSE)</f>
        <v>bcf20227644.alumni@smkn12malang.sch.id</v>
      </c>
    </row>
    <row r="161" hidden="1">
      <c r="A161" s="3" t="str">
        <f t="shared" si="1"/>
        <v>OK</v>
      </c>
      <c r="B161" s="3" t="str">
        <f t="shared" si="2"/>
        <v>OK</v>
      </c>
      <c r="C161" s="3">
        <v>7646.0</v>
      </c>
      <c r="D161" s="4" t="s">
        <v>332</v>
      </c>
      <c r="E161" s="3" t="s">
        <v>333</v>
      </c>
      <c r="F161" s="3" t="s">
        <v>13</v>
      </c>
      <c r="G161" s="3" t="str">
        <f t="shared" si="3"/>
        <v>PURNA2025-BCF1</v>
      </c>
      <c r="H161" s="3" t="str">
        <f>VLOOKUP($C161,Userpass!$A$2:$L$3001,12,FALSE)</f>
        <v>BCF1</v>
      </c>
      <c r="I161" s="5" t="s">
        <v>14</v>
      </c>
      <c r="J161" s="3">
        <v>2022.0</v>
      </c>
      <c r="K161" s="4" t="str">
        <f>VLOOKUP($C161,Userpass!$A$2:$R$3001,2,FALSE)</f>
        <v>bcf20227646.alumni@smkn12malang.sch.id</v>
      </c>
    </row>
    <row r="162" hidden="1">
      <c r="A162" s="3" t="str">
        <f t="shared" si="1"/>
        <v>OK</v>
      </c>
      <c r="B162" s="3" t="str">
        <f t="shared" si="2"/>
        <v>OK</v>
      </c>
      <c r="C162" s="3">
        <v>7683.0</v>
      </c>
      <c r="D162" s="4" t="s">
        <v>334</v>
      </c>
      <c r="E162" s="3" t="s">
        <v>335</v>
      </c>
      <c r="F162" s="3" t="s">
        <v>17</v>
      </c>
      <c r="G162" s="3" t="str">
        <f t="shared" si="3"/>
        <v>PURNA2025-BCF1</v>
      </c>
      <c r="H162" s="3" t="str">
        <f>VLOOKUP($C162,Userpass!$A$2:$L$3001,12,FALSE)</f>
        <v>BCF1</v>
      </c>
      <c r="I162" s="5" t="s">
        <v>14</v>
      </c>
      <c r="J162" s="3">
        <v>2022.0</v>
      </c>
      <c r="K162" s="4" t="str">
        <f>VLOOKUP($C162,Userpass!$A$2:$R$3001,2,FALSE)</f>
        <v>bcf20227683.alumni@smkn12malang.sch.id</v>
      </c>
    </row>
    <row r="163" hidden="1">
      <c r="A163" s="3" t="str">
        <f t="shared" si="1"/>
        <v>OK</v>
      </c>
      <c r="B163" s="3" t="str">
        <f t="shared" si="2"/>
        <v>OK</v>
      </c>
      <c r="C163" s="3">
        <v>7697.0</v>
      </c>
      <c r="D163" s="4" t="s">
        <v>336</v>
      </c>
      <c r="E163" s="3" t="s">
        <v>337</v>
      </c>
      <c r="F163" s="3" t="s">
        <v>13</v>
      </c>
      <c r="G163" s="3" t="str">
        <f t="shared" si="3"/>
        <v>PURNA2025-BCF1</v>
      </c>
      <c r="H163" s="3" t="str">
        <f>VLOOKUP($C163,Userpass!$A$2:$L$3001,12,FALSE)</f>
        <v>BCF1</v>
      </c>
      <c r="I163" s="5" t="s">
        <v>14</v>
      </c>
      <c r="J163" s="3">
        <v>2022.0</v>
      </c>
      <c r="K163" s="4" t="str">
        <f>VLOOKUP($C163,Userpass!$A$2:$R$3001,2,FALSE)</f>
        <v>bcf20227697.alumni@smkn12malang.sch.id</v>
      </c>
    </row>
    <row r="164" hidden="1">
      <c r="A164" s="3" t="str">
        <f t="shared" si="1"/>
        <v>OK</v>
      </c>
      <c r="B164" s="3" t="str">
        <f t="shared" si="2"/>
        <v>OK</v>
      </c>
      <c r="C164" s="3">
        <v>7716.0</v>
      </c>
      <c r="D164" s="4" t="s">
        <v>338</v>
      </c>
      <c r="E164" s="3" t="s">
        <v>339</v>
      </c>
      <c r="F164" s="3" t="s">
        <v>13</v>
      </c>
      <c r="G164" s="3" t="str">
        <f t="shared" si="3"/>
        <v>PURNA2025-BCF1</v>
      </c>
      <c r="H164" s="3" t="str">
        <f>VLOOKUP($C164,Userpass!$A$2:$L$3001,12,FALSE)</f>
        <v>BCF1</v>
      </c>
      <c r="I164" s="5" t="s">
        <v>14</v>
      </c>
      <c r="J164" s="3">
        <v>2022.0</v>
      </c>
      <c r="K164" s="4" t="str">
        <f>VLOOKUP($C164,Userpass!$A$2:$R$3001,2,FALSE)</f>
        <v>bcf20227716.alumni@smkn12malang.sch.id</v>
      </c>
    </row>
    <row r="165" hidden="1">
      <c r="A165" s="3" t="str">
        <f t="shared" si="1"/>
        <v>OK</v>
      </c>
      <c r="B165" s="3" t="str">
        <f t="shared" si="2"/>
        <v>OK</v>
      </c>
      <c r="C165" s="3">
        <v>7727.0</v>
      </c>
      <c r="D165" s="4" t="s">
        <v>340</v>
      </c>
      <c r="E165" s="3" t="s">
        <v>341</v>
      </c>
      <c r="F165" s="3" t="s">
        <v>13</v>
      </c>
      <c r="G165" s="3" t="str">
        <f t="shared" si="3"/>
        <v>PURNA2025-BCF1</v>
      </c>
      <c r="H165" s="3" t="str">
        <f>VLOOKUP($C165,Userpass!$A$2:$L$3001,12,FALSE)</f>
        <v>BCF1</v>
      </c>
      <c r="I165" s="5" t="s">
        <v>14</v>
      </c>
      <c r="J165" s="3">
        <v>2022.0</v>
      </c>
      <c r="K165" s="4" t="str">
        <f>VLOOKUP($C165,Userpass!$A$2:$R$3001,2,FALSE)</f>
        <v>bcf20227727.alumni@smkn12malang.sch.id</v>
      </c>
    </row>
    <row r="166" hidden="1">
      <c r="A166" s="3" t="str">
        <f t="shared" si="1"/>
        <v>OK</v>
      </c>
      <c r="B166" s="3" t="str">
        <f t="shared" si="2"/>
        <v>OK</v>
      </c>
      <c r="C166" s="3">
        <v>7736.0</v>
      </c>
      <c r="D166" s="4" t="s">
        <v>342</v>
      </c>
      <c r="E166" s="3" t="s">
        <v>343</v>
      </c>
      <c r="F166" s="3" t="s">
        <v>17</v>
      </c>
      <c r="G166" s="3" t="str">
        <f t="shared" si="3"/>
        <v>PURNA2025-BCF1</v>
      </c>
      <c r="H166" s="3" t="str">
        <f>VLOOKUP($C166,Userpass!$A$2:$L$3001,12,FALSE)</f>
        <v>BCF1</v>
      </c>
      <c r="I166" s="5" t="s">
        <v>14</v>
      </c>
      <c r="J166" s="3">
        <v>2022.0</v>
      </c>
      <c r="K166" s="4" t="str">
        <f>VLOOKUP($C166,Userpass!$A$2:$R$3001,2,FALSE)</f>
        <v>bcf20227736.alumni@smkn12malang.sch.id</v>
      </c>
    </row>
    <row r="167" hidden="1">
      <c r="A167" s="3" t="str">
        <f t="shared" si="1"/>
        <v>OK</v>
      </c>
      <c r="B167" s="3" t="str">
        <f t="shared" si="2"/>
        <v>OK</v>
      </c>
      <c r="C167" s="3">
        <v>7748.0</v>
      </c>
      <c r="D167" s="4" t="s">
        <v>344</v>
      </c>
      <c r="E167" s="3" t="s">
        <v>345</v>
      </c>
      <c r="F167" s="3" t="s">
        <v>17</v>
      </c>
      <c r="G167" s="3" t="str">
        <f t="shared" si="3"/>
        <v>PURNA2025-BCF1</v>
      </c>
      <c r="H167" s="3" t="str">
        <f>VLOOKUP($C167,Userpass!$A$2:$L$3001,12,FALSE)</f>
        <v>BCF1</v>
      </c>
      <c r="I167" s="5" t="s">
        <v>14</v>
      </c>
      <c r="J167" s="3">
        <v>2022.0</v>
      </c>
      <c r="K167" s="4" t="str">
        <f>VLOOKUP($C167,Userpass!$A$2:$R$3001,2,FALSE)</f>
        <v>bcf20227748.alumni@smkn12malang.sch.id</v>
      </c>
    </row>
    <row r="168" hidden="1">
      <c r="A168" s="3" t="str">
        <f t="shared" si="1"/>
        <v>OK</v>
      </c>
      <c r="B168" s="3" t="str">
        <f t="shared" si="2"/>
        <v>OK</v>
      </c>
      <c r="C168" s="3">
        <v>7828.0</v>
      </c>
      <c r="D168" s="4" t="s">
        <v>346</v>
      </c>
      <c r="E168" s="3" t="s">
        <v>347</v>
      </c>
      <c r="F168" s="3" t="s">
        <v>17</v>
      </c>
      <c r="G168" s="3" t="str">
        <f t="shared" si="3"/>
        <v>PURNA2025-BCF1</v>
      </c>
      <c r="H168" s="3" t="str">
        <f>VLOOKUP($C168,Userpass!$A$2:$L$3001,12,FALSE)</f>
        <v>BCF1</v>
      </c>
      <c r="I168" s="5" t="s">
        <v>14</v>
      </c>
      <c r="J168" s="3">
        <v>2022.0</v>
      </c>
      <c r="K168" s="4" t="str">
        <f>VLOOKUP($C168,Userpass!$A$2:$R$3001,2,FALSE)</f>
        <v>bcf20227828.alumni@smkn12malang.sch.id</v>
      </c>
    </row>
    <row r="169" hidden="1">
      <c r="A169" s="3" t="str">
        <f t="shared" si="1"/>
        <v>OK</v>
      </c>
      <c r="B169" s="3" t="str">
        <f t="shared" si="2"/>
        <v>OK</v>
      </c>
      <c r="C169" s="3">
        <v>7829.0</v>
      </c>
      <c r="D169" s="4" t="s">
        <v>348</v>
      </c>
      <c r="E169" s="3" t="s">
        <v>349</v>
      </c>
      <c r="F169" s="3" t="s">
        <v>13</v>
      </c>
      <c r="G169" s="3" t="str">
        <f t="shared" si="3"/>
        <v>PURNA2025-BCF1</v>
      </c>
      <c r="H169" s="3" t="str">
        <f>VLOOKUP($C169,Userpass!$A$2:$L$3001,12,FALSE)</f>
        <v>BCF1</v>
      </c>
      <c r="I169" s="5" t="s">
        <v>14</v>
      </c>
      <c r="J169" s="3">
        <v>2022.0</v>
      </c>
      <c r="K169" s="4" t="str">
        <f>VLOOKUP($C169,Userpass!$A$2:$R$3001,2,FALSE)</f>
        <v>bcf20227829.alumni@smkn12malang.sch.id</v>
      </c>
    </row>
    <row r="170" hidden="1">
      <c r="A170" s="3" t="str">
        <f t="shared" si="1"/>
        <v>OK</v>
      </c>
      <c r="B170" s="3" t="str">
        <f t="shared" si="2"/>
        <v>OK</v>
      </c>
      <c r="C170" s="3">
        <v>7844.0</v>
      </c>
      <c r="D170" s="4" t="s">
        <v>350</v>
      </c>
      <c r="E170" s="3" t="s">
        <v>351</v>
      </c>
      <c r="F170" s="3" t="s">
        <v>13</v>
      </c>
      <c r="G170" s="3" t="str">
        <f t="shared" si="3"/>
        <v>PURNA2025-BCF1</v>
      </c>
      <c r="H170" s="3" t="str">
        <f>VLOOKUP($C170,Userpass!$A$2:$L$3001,12,FALSE)</f>
        <v>BCF1</v>
      </c>
      <c r="I170" s="5" t="s">
        <v>14</v>
      </c>
      <c r="J170" s="3">
        <v>2022.0</v>
      </c>
      <c r="K170" s="4" t="str">
        <f>VLOOKUP($C170,Userpass!$A$2:$R$3001,2,FALSE)</f>
        <v>bcf20227844.alumni@smkn12malang.sch.id</v>
      </c>
    </row>
    <row r="171" hidden="1">
      <c r="A171" s="3" t="str">
        <f t="shared" si="1"/>
        <v>OK</v>
      </c>
      <c r="B171" s="3" t="str">
        <f t="shared" si="2"/>
        <v>OK</v>
      </c>
      <c r="C171" s="3">
        <v>7852.0</v>
      </c>
      <c r="D171" s="4" t="s">
        <v>352</v>
      </c>
      <c r="E171" s="3" t="s">
        <v>353</v>
      </c>
      <c r="F171" s="3" t="s">
        <v>13</v>
      </c>
      <c r="G171" s="3" t="str">
        <f t="shared" si="3"/>
        <v>PURNA2025-BCF1</v>
      </c>
      <c r="H171" s="3" t="str">
        <f>VLOOKUP($C171,Userpass!$A$2:$L$3001,12,FALSE)</f>
        <v>BCF1</v>
      </c>
      <c r="I171" s="5" t="s">
        <v>14</v>
      </c>
      <c r="J171" s="3">
        <v>2022.0</v>
      </c>
      <c r="K171" s="4" t="str">
        <f>VLOOKUP($C171,Userpass!$A$2:$R$3001,2,FALSE)</f>
        <v>bcf20227852.alumni@smkn12malang.sch.id</v>
      </c>
    </row>
    <row r="172" hidden="1">
      <c r="A172" s="3" t="str">
        <f t="shared" si="1"/>
        <v>OK</v>
      </c>
      <c r="B172" s="3" t="str">
        <f t="shared" si="2"/>
        <v>OK</v>
      </c>
      <c r="C172" s="3">
        <v>7863.0</v>
      </c>
      <c r="D172" s="4" t="s">
        <v>354</v>
      </c>
      <c r="E172" s="3" t="s">
        <v>355</v>
      </c>
      <c r="F172" s="3" t="s">
        <v>13</v>
      </c>
      <c r="G172" s="3" t="str">
        <f t="shared" si="3"/>
        <v>PURNA2025-BCF1</v>
      </c>
      <c r="H172" s="3" t="str">
        <f>VLOOKUP($C172,Userpass!$A$2:$L$3001,12,FALSE)</f>
        <v>BCF1</v>
      </c>
      <c r="I172" s="5" t="s">
        <v>14</v>
      </c>
      <c r="J172" s="3">
        <v>2022.0</v>
      </c>
      <c r="K172" s="4" t="str">
        <f>VLOOKUP($C172,Userpass!$A$2:$R$3001,2,FALSE)</f>
        <v>bcf20227863.alumni@smkn12malang.sch.id</v>
      </c>
    </row>
    <row r="173" hidden="1">
      <c r="A173" s="3" t="str">
        <f t="shared" si="1"/>
        <v>OK</v>
      </c>
      <c r="B173" s="3" t="str">
        <f t="shared" si="2"/>
        <v>OK</v>
      </c>
      <c r="C173" s="3">
        <v>7912.0</v>
      </c>
      <c r="D173" s="4" t="s">
        <v>356</v>
      </c>
      <c r="E173" s="3" t="s">
        <v>357</v>
      </c>
      <c r="F173" s="3" t="s">
        <v>17</v>
      </c>
      <c r="G173" s="3" t="str">
        <f t="shared" si="3"/>
        <v>PURNA2025-BCF1</v>
      </c>
      <c r="H173" s="3" t="str">
        <f>VLOOKUP($C173,Userpass!$A$2:$L$3001,12,FALSE)</f>
        <v>BCF1</v>
      </c>
      <c r="I173" s="5" t="s">
        <v>14</v>
      </c>
      <c r="J173" s="3">
        <v>2022.0</v>
      </c>
      <c r="K173" s="4" t="str">
        <f>VLOOKUP($C173,Userpass!$A$2:$R$3001,2,FALSE)</f>
        <v>bcf20227912.alumni@smkn12malang.sch.id</v>
      </c>
    </row>
    <row r="174" hidden="1">
      <c r="A174" s="3" t="str">
        <f t="shared" si="1"/>
        <v>OK</v>
      </c>
      <c r="B174" s="3" t="str">
        <f t="shared" si="2"/>
        <v>OK</v>
      </c>
      <c r="C174" s="3">
        <v>7927.0</v>
      </c>
      <c r="D174" s="4" t="s">
        <v>358</v>
      </c>
      <c r="E174" s="3" t="s">
        <v>359</v>
      </c>
      <c r="F174" s="3" t="s">
        <v>13</v>
      </c>
      <c r="G174" s="3" t="str">
        <f t="shared" si="3"/>
        <v>PURNA2025-BCF1</v>
      </c>
      <c r="H174" s="3" t="str">
        <f>VLOOKUP($C174,Userpass!$A$2:$L$3001,12,FALSE)</f>
        <v>BCF1</v>
      </c>
      <c r="I174" s="5" t="s">
        <v>14</v>
      </c>
      <c r="J174" s="3">
        <v>2022.0</v>
      </c>
      <c r="K174" s="4" t="str">
        <f>VLOOKUP($C174,Userpass!$A$2:$R$3001,2,FALSE)</f>
        <v>bcf20227927.alumni@smkn12malang.sch.id</v>
      </c>
    </row>
    <row r="175" hidden="1">
      <c r="A175" s="3" t="str">
        <f t="shared" si="1"/>
        <v>OK</v>
      </c>
      <c r="B175" s="3" t="str">
        <f t="shared" si="2"/>
        <v>OK</v>
      </c>
      <c r="C175" s="3">
        <v>7928.0</v>
      </c>
      <c r="D175" s="4" t="s">
        <v>360</v>
      </c>
      <c r="E175" s="3" t="s">
        <v>361</v>
      </c>
      <c r="F175" s="3" t="s">
        <v>17</v>
      </c>
      <c r="G175" s="3" t="str">
        <f t="shared" si="3"/>
        <v>PURNA2025-BCF1</v>
      </c>
      <c r="H175" s="3" t="str">
        <f>VLOOKUP($C175,Userpass!$A$2:$L$3001,12,FALSE)</f>
        <v>BCF1</v>
      </c>
      <c r="I175" s="5" t="s">
        <v>14</v>
      </c>
      <c r="J175" s="3">
        <v>2022.0</v>
      </c>
      <c r="K175" s="4" t="str">
        <f>VLOOKUP($C175,Userpass!$A$2:$R$3001,2,FALSE)</f>
        <v>bcf20227928.alumni@smkn12malang.sch.id</v>
      </c>
    </row>
    <row r="176" hidden="1">
      <c r="A176" s="3" t="str">
        <f t="shared" si="1"/>
        <v>OK</v>
      </c>
      <c r="B176" s="3" t="str">
        <f t="shared" si="2"/>
        <v>OK</v>
      </c>
      <c r="C176" s="3">
        <v>7930.0</v>
      </c>
      <c r="D176" s="4" t="s">
        <v>362</v>
      </c>
      <c r="E176" s="3" t="s">
        <v>363</v>
      </c>
      <c r="F176" s="3" t="s">
        <v>13</v>
      </c>
      <c r="G176" s="3" t="str">
        <f t="shared" si="3"/>
        <v>PURNA2025-BCF1</v>
      </c>
      <c r="H176" s="3" t="str">
        <f>VLOOKUP($C176,Userpass!$A$2:$L$3001,12,FALSE)</f>
        <v>BCF1</v>
      </c>
      <c r="I176" s="5" t="s">
        <v>14</v>
      </c>
      <c r="J176" s="3">
        <v>2022.0</v>
      </c>
      <c r="K176" s="4" t="str">
        <f>VLOOKUP($C176,Userpass!$A$2:$R$3001,2,FALSE)</f>
        <v>bcf20227930.alumni@smkn12malang.sch.id</v>
      </c>
    </row>
    <row r="177" hidden="1">
      <c r="A177" s="3" t="str">
        <f t="shared" si="1"/>
        <v>OK</v>
      </c>
      <c r="B177" s="3" t="str">
        <f t="shared" si="2"/>
        <v>OK</v>
      </c>
      <c r="C177" s="3">
        <v>7953.0</v>
      </c>
      <c r="D177" s="4" t="s">
        <v>364</v>
      </c>
      <c r="E177" s="3" t="s">
        <v>365</v>
      </c>
      <c r="F177" s="3" t="s">
        <v>13</v>
      </c>
      <c r="G177" s="3" t="str">
        <f t="shared" si="3"/>
        <v>PURNA2025-BCF1</v>
      </c>
      <c r="H177" s="3" t="str">
        <f>VLOOKUP($C177,Userpass!$A$2:$L$3001,12,FALSE)</f>
        <v>BCF1</v>
      </c>
      <c r="I177" s="5" t="s">
        <v>14</v>
      </c>
      <c r="J177" s="3">
        <v>2022.0</v>
      </c>
      <c r="K177" s="4" t="str">
        <f>VLOOKUP($C177,Userpass!$A$2:$R$3001,2,FALSE)</f>
        <v>bcf20227953.alumni@smkn12malang.sch.id</v>
      </c>
    </row>
    <row r="178" hidden="1">
      <c r="A178" s="3" t="str">
        <f t="shared" si="1"/>
        <v>OK</v>
      </c>
      <c r="B178" s="3" t="str">
        <f t="shared" si="2"/>
        <v>OK</v>
      </c>
      <c r="C178" s="3">
        <v>7955.0</v>
      </c>
      <c r="D178" s="4" t="s">
        <v>366</v>
      </c>
      <c r="E178" s="3" t="s">
        <v>367</v>
      </c>
      <c r="F178" s="3" t="s">
        <v>13</v>
      </c>
      <c r="G178" s="3" t="str">
        <f t="shared" si="3"/>
        <v>PURNA2025-BCF1</v>
      </c>
      <c r="H178" s="3" t="str">
        <f>VLOOKUP($C178,Userpass!$A$2:$L$3001,12,FALSE)</f>
        <v>BCF1</v>
      </c>
      <c r="I178" s="5" t="s">
        <v>14</v>
      </c>
      <c r="J178" s="3">
        <v>2022.0</v>
      </c>
      <c r="K178" s="4" t="str">
        <f>VLOOKUP($C178,Userpass!$A$2:$R$3001,2,FALSE)</f>
        <v>bcf20227955.alumni@smkn12malang.sch.id</v>
      </c>
    </row>
    <row r="179" hidden="1">
      <c r="A179" s="3" t="str">
        <f t="shared" si="1"/>
        <v>OK</v>
      </c>
      <c r="B179" s="3" t="str">
        <f t="shared" si="2"/>
        <v>OK</v>
      </c>
      <c r="C179" s="3">
        <v>7965.0</v>
      </c>
      <c r="D179" s="4" t="s">
        <v>368</v>
      </c>
      <c r="E179" s="3" t="s">
        <v>369</v>
      </c>
      <c r="F179" s="3" t="s">
        <v>13</v>
      </c>
      <c r="G179" s="3" t="str">
        <f t="shared" si="3"/>
        <v>PURNA2025-BCF1</v>
      </c>
      <c r="H179" s="3" t="str">
        <f>VLOOKUP($C179,Userpass!$A$2:$L$3001,12,FALSE)</f>
        <v>BCF1</v>
      </c>
      <c r="I179" s="5" t="s">
        <v>14</v>
      </c>
      <c r="J179" s="3">
        <v>2022.0</v>
      </c>
      <c r="K179" s="4" t="str">
        <f>VLOOKUP($C179,Userpass!$A$2:$R$3001,2,FALSE)</f>
        <v>bcf20227965.alumni@smkn12malang.sch.id</v>
      </c>
    </row>
    <row r="180" hidden="1">
      <c r="A180" s="3" t="str">
        <f t="shared" si="1"/>
        <v>OK</v>
      </c>
      <c r="B180" s="3" t="str">
        <f t="shared" si="2"/>
        <v>OK</v>
      </c>
      <c r="C180" s="3">
        <v>8019.0</v>
      </c>
      <c r="D180" s="4" t="s">
        <v>370</v>
      </c>
      <c r="E180" s="3" t="s">
        <v>371</v>
      </c>
      <c r="F180" s="3" t="s">
        <v>17</v>
      </c>
      <c r="G180" s="3" t="str">
        <f t="shared" si="3"/>
        <v>PURNA2025-BCF1</v>
      </c>
      <c r="H180" s="3" t="str">
        <f>VLOOKUP($C180,Userpass!$A$2:$L$3001,12,FALSE)</f>
        <v>BCF1</v>
      </c>
      <c r="I180" s="5" t="s">
        <v>14</v>
      </c>
      <c r="J180" s="3">
        <v>2022.0</v>
      </c>
      <c r="K180" s="4" t="str">
        <f>VLOOKUP($C180,Userpass!$A$2:$R$3001,2,FALSE)</f>
        <v>bcf20228019.alumni@smkn12malang.sch.id</v>
      </c>
    </row>
    <row r="181" hidden="1">
      <c r="A181" s="3" t="str">
        <f t="shared" si="1"/>
        <v>OK</v>
      </c>
      <c r="B181" s="3" t="str">
        <f t="shared" si="2"/>
        <v>OK</v>
      </c>
      <c r="C181" s="3">
        <v>7411.0</v>
      </c>
      <c r="D181" s="4" t="s">
        <v>372</v>
      </c>
      <c r="E181" s="3" t="s">
        <v>373</v>
      </c>
      <c r="F181" s="3" t="s">
        <v>13</v>
      </c>
      <c r="G181" s="3" t="str">
        <f t="shared" si="3"/>
        <v>PURNA2025-DKV1</v>
      </c>
      <c r="H181" s="3" t="str">
        <f>VLOOKUP($C181,Userpass!$A$2:$L$3001,12,FALSE)</f>
        <v>DKV1</v>
      </c>
      <c r="I181" s="5" t="s">
        <v>14</v>
      </c>
      <c r="J181" s="3">
        <v>2022.0</v>
      </c>
      <c r="K181" s="4" t="str">
        <f>VLOOKUP($C181,Userpass!$A$2:$R$3001,2,FALSE)</f>
        <v>dkv20227411.alumni@smkn12malang.sch.id</v>
      </c>
    </row>
    <row r="182" hidden="1">
      <c r="A182" s="3" t="str">
        <f t="shared" si="1"/>
        <v>OK</v>
      </c>
      <c r="B182" s="3" t="str">
        <f t="shared" si="2"/>
        <v>OK</v>
      </c>
      <c r="C182" s="3">
        <v>7425.0</v>
      </c>
      <c r="D182" s="4" t="s">
        <v>374</v>
      </c>
      <c r="E182" s="3" t="s">
        <v>375</v>
      </c>
      <c r="F182" s="3" t="s">
        <v>17</v>
      </c>
      <c r="G182" s="3" t="str">
        <f t="shared" si="3"/>
        <v>PURNA2025-DKV1</v>
      </c>
      <c r="H182" s="3" t="str">
        <f>VLOOKUP($C182,Userpass!$A$2:$L$3001,12,FALSE)</f>
        <v>DKV1</v>
      </c>
      <c r="I182" s="5" t="s">
        <v>14</v>
      </c>
      <c r="J182" s="3">
        <v>2022.0</v>
      </c>
      <c r="K182" s="4" t="str">
        <f>VLOOKUP($C182,Userpass!$A$2:$R$3001,2,FALSE)</f>
        <v>dkv20227425.alumni@smkn12malang.sch.id</v>
      </c>
    </row>
    <row r="183" hidden="1">
      <c r="A183" s="3" t="str">
        <f t="shared" si="1"/>
        <v>OK</v>
      </c>
      <c r="B183" s="3" t="str">
        <f t="shared" si="2"/>
        <v>OK</v>
      </c>
      <c r="C183" s="3">
        <v>7463.0</v>
      </c>
      <c r="D183" s="4" t="s">
        <v>376</v>
      </c>
      <c r="E183" s="3" t="s">
        <v>377</v>
      </c>
      <c r="F183" s="3" t="s">
        <v>17</v>
      </c>
      <c r="G183" s="3" t="str">
        <f t="shared" si="3"/>
        <v>PURNA2025-DKV1</v>
      </c>
      <c r="H183" s="3" t="str">
        <f>VLOOKUP($C183,Userpass!$A$2:$L$3001,12,FALSE)</f>
        <v>DKV1</v>
      </c>
      <c r="I183" s="5" t="s">
        <v>14</v>
      </c>
      <c r="J183" s="3">
        <v>2022.0</v>
      </c>
      <c r="K183" s="4" t="str">
        <f>VLOOKUP($C183,Userpass!$A$2:$R$3001,2,FALSE)</f>
        <v>dkv20227463.alumni@smkn12malang.sch.id</v>
      </c>
    </row>
    <row r="184" hidden="1">
      <c r="A184" s="3" t="str">
        <f t="shared" si="1"/>
        <v>OK</v>
      </c>
      <c r="B184" s="3" t="str">
        <f t="shared" si="2"/>
        <v>OK</v>
      </c>
      <c r="C184" s="3">
        <v>7494.0</v>
      </c>
      <c r="D184" s="4" t="s">
        <v>378</v>
      </c>
      <c r="E184" s="3" t="s">
        <v>379</v>
      </c>
      <c r="F184" s="3" t="s">
        <v>17</v>
      </c>
      <c r="G184" s="3" t="str">
        <f t="shared" si="3"/>
        <v>PURNA2025-DKV1</v>
      </c>
      <c r="H184" s="3" t="str">
        <f>VLOOKUP($C184,Userpass!$A$2:$L$3001,12,FALSE)</f>
        <v>DKV1</v>
      </c>
      <c r="I184" s="5" t="s">
        <v>14</v>
      </c>
      <c r="J184" s="3">
        <v>2022.0</v>
      </c>
      <c r="K184" s="4" t="str">
        <f>VLOOKUP($C184,Userpass!$A$2:$R$3001,2,FALSE)</f>
        <v>dkv20227494.alumni@smkn12malang.sch.id</v>
      </c>
    </row>
    <row r="185" hidden="1">
      <c r="A185" s="3" t="str">
        <f t="shared" si="1"/>
        <v>OK</v>
      </c>
      <c r="B185" s="3" t="str">
        <f t="shared" si="2"/>
        <v>OK</v>
      </c>
      <c r="C185" s="3">
        <v>7497.0</v>
      </c>
      <c r="D185" s="4" t="s">
        <v>380</v>
      </c>
      <c r="E185" s="3" t="s">
        <v>381</v>
      </c>
      <c r="F185" s="3" t="s">
        <v>13</v>
      </c>
      <c r="G185" s="3" t="str">
        <f t="shared" si="3"/>
        <v>PURNA2025-DKV1</v>
      </c>
      <c r="H185" s="3" t="str">
        <f>VLOOKUP($C185,Userpass!$A$2:$L$3001,12,FALSE)</f>
        <v>DKV1</v>
      </c>
      <c r="I185" s="5" t="s">
        <v>14</v>
      </c>
      <c r="J185" s="3">
        <v>2022.0</v>
      </c>
      <c r="K185" s="4" t="str">
        <f>VLOOKUP($C185,Userpass!$A$2:$R$3001,2,FALSE)</f>
        <v>dkv20227497.alumni@smkn12malang.sch.id</v>
      </c>
    </row>
    <row r="186" hidden="1">
      <c r="A186" s="3" t="str">
        <f t="shared" si="1"/>
        <v>OK</v>
      </c>
      <c r="B186" s="3" t="str">
        <f t="shared" si="2"/>
        <v>OK</v>
      </c>
      <c r="C186" s="3">
        <v>7505.0</v>
      </c>
      <c r="D186" s="4" t="s">
        <v>382</v>
      </c>
      <c r="E186" s="3" t="s">
        <v>383</v>
      </c>
      <c r="F186" s="3" t="s">
        <v>13</v>
      </c>
      <c r="G186" s="3" t="str">
        <f t="shared" si="3"/>
        <v>PURNA2025-DKV1</v>
      </c>
      <c r="H186" s="3" t="str">
        <f>VLOOKUP($C186,Userpass!$A$2:$L$3001,12,FALSE)</f>
        <v>DKV1</v>
      </c>
      <c r="I186" s="5" t="s">
        <v>14</v>
      </c>
      <c r="J186" s="3">
        <v>2022.0</v>
      </c>
      <c r="K186" s="4" t="str">
        <f>VLOOKUP($C186,Userpass!$A$2:$R$3001,2,FALSE)</f>
        <v>dkv20227505.alumni@smkn12malang.sch.id</v>
      </c>
    </row>
    <row r="187" hidden="1">
      <c r="A187" s="3" t="str">
        <f t="shared" si="1"/>
        <v>OK</v>
      </c>
      <c r="B187" s="3" t="str">
        <f t="shared" si="2"/>
        <v>OK</v>
      </c>
      <c r="C187" s="3">
        <v>7533.0</v>
      </c>
      <c r="D187" s="4" t="s">
        <v>384</v>
      </c>
      <c r="E187" s="3" t="s">
        <v>385</v>
      </c>
      <c r="F187" s="3" t="s">
        <v>13</v>
      </c>
      <c r="G187" s="3" t="str">
        <f t="shared" si="3"/>
        <v>PURNA2025-DKV1</v>
      </c>
      <c r="H187" s="3" t="str">
        <f>VLOOKUP($C187,Userpass!$A$2:$L$3001,12,FALSE)</f>
        <v>DKV1</v>
      </c>
      <c r="I187" s="5" t="s">
        <v>14</v>
      </c>
      <c r="J187" s="3">
        <v>2022.0</v>
      </c>
      <c r="K187" s="4" t="str">
        <f>VLOOKUP($C187,Userpass!$A$2:$R$3001,2,FALSE)</f>
        <v>dkv20227533.alumni@smkn12malang.sch.id</v>
      </c>
    </row>
    <row r="188" hidden="1">
      <c r="A188" s="3" t="str">
        <f t="shared" si="1"/>
        <v>OK</v>
      </c>
      <c r="B188" s="3" t="str">
        <f t="shared" si="2"/>
        <v>OK</v>
      </c>
      <c r="C188" s="3">
        <v>7557.0</v>
      </c>
      <c r="D188" s="4" t="s">
        <v>386</v>
      </c>
      <c r="E188" s="3" t="s">
        <v>387</v>
      </c>
      <c r="F188" s="3" t="s">
        <v>17</v>
      </c>
      <c r="G188" s="3" t="str">
        <f t="shared" si="3"/>
        <v>PURNA2025-DKV1</v>
      </c>
      <c r="H188" s="3" t="str">
        <f>VLOOKUP($C188,Userpass!$A$2:$L$3001,12,FALSE)</f>
        <v>DKV1</v>
      </c>
      <c r="I188" s="5" t="s">
        <v>14</v>
      </c>
      <c r="J188" s="3">
        <v>2022.0</v>
      </c>
      <c r="K188" s="4" t="str">
        <f>VLOOKUP($C188,Userpass!$A$2:$R$3001,2,FALSE)</f>
        <v>dkv20227557.alumni@smkn12malang.sch.id</v>
      </c>
    </row>
    <row r="189" hidden="1">
      <c r="A189" s="3" t="str">
        <f t="shared" si="1"/>
        <v>OK</v>
      </c>
      <c r="B189" s="3" t="str">
        <f t="shared" si="2"/>
        <v>OK</v>
      </c>
      <c r="C189" s="3">
        <v>7584.0</v>
      </c>
      <c r="D189" s="4" t="s">
        <v>388</v>
      </c>
      <c r="E189" s="3" t="s">
        <v>389</v>
      </c>
      <c r="F189" s="3" t="s">
        <v>13</v>
      </c>
      <c r="G189" s="3" t="str">
        <f t="shared" si="3"/>
        <v>PURNA2025-DKV1</v>
      </c>
      <c r="H189" s="3" t="str">
        <f>VLOOKUP($C189,Userpass!$A$2:$L$3001,12,FALSE)</f>
        <v>DKV1</v>
      </c>
      <c r="I189" s="5" t="s">
        <v>14</v>
      </c>
      <c r="J189" s="3">
        <v>2022.0</v>
      </c>
      <c r="K189" s="4" t="str">
        <f>VLOOKUP($C189,Userpass!$A$2:$R$3001,2,FALSE)</f>
        <v>dkv20227584.alumni@smkn12malang.sch.id</v>
      </c>
    </row>
    <row r="190" hidden="1">
      <c r="A190" s="3" t="str">
        <f t="shared" si="1"/>
        <v>OK</v>
      </c>
      <c r="B190" s="3" t="str">
        <f t="shared" si="2"/>
        <v>OK</v>
      </c>
      <c r="C190" s="3">
        <v>7596.0</v>
      </c>
      <c r="D190" s="4" t="s">
        <v>390</v>
      </c>
      <c r="E190" s="3" t="s">
        <v>391</v>
      </c>
      <c r="F190" s="3" t="s">
        <v>13</v>
      </c>
      <c r="G190" s="3" t="str">
        <f t="shared" si="3"/>
        <v>PURNA2025-DKV1</v>
      </c>
      <c r="H190" s="3" t="str">
        <f>VLOOKUP($C190,Userpass!$A$2:$L$3001,12,FALSE)</f>
        <v>DKV1</v>
      </c>
      <c r="I190" s="5" t="s">
        <v>14</v>
      </c>
      <c r="J190" s="3">
        <v>2022.0</v>
      </c>
      <c r="K190" s="4" t="str">
        <f>VLOOKUP($C190,Userpass!$A$2:$R$3001,2,FALSE)</f>
        <v>dkv20227596.alumni@smkn12malang.sch.id</v>
      </c>
    </row>
    <row r="191" hidden="1">
      <c r="A191" s="3" t="str">
        <f t="shared" si="1"/>
        <v>OK</v>
      </c>
      <c r="B191" s="3" t="str">
        <f t="shared" si="2"/>
        <v>OK</v>
      </c>
      <c r="C191" s="3">
        <v>7612.0</v>
      </c>
      <c r="D191" s="4" t="s">
        <v>392</v>
      </c>
      <c r="E191" s="3" t="s">
        <v>393</v>
      </c>
      <c r="F191" s="3" t="s">
        <v>13</v>
      </c>
      <c r="G191" s="3" t="str">
        <f t="shared" si="3"/>
        <v>PURNA2025-DKV1</v>
      </c>
      <c r="H191" s="3" t="str">
        <f>VLOOKUP($C191,Userpass!$A$2:$L$3001,12,FALSE)</f>
        <v>DKV1</v>
      </c>
      <c r="I191" s="5" t="s">
        <v>14</v>
      </c>
      <c r="J191" s="3">
        <v>2022.0</v>
      </c>
      <c r="K191" s="4" t="str">
        <f>VLOOKUP($C191,Userpass!$A$2:$R$3001,2,FALSE)</f>
        <v>dkv20227612.alumni@smkn12malang.sch.id</v>
      </c>
    </row>
    <row r="192" hidden="1">
      <c r="A192" s="3" t="str">
        <f t="shared" si="1"/>
        <v>OK</v>
      </c>
      <c r="B192" s="3" t="str">
        <f t="shared" si="2"/>
        <v>OK</v>
      </c>
      <c r="C192" s="3">
        <v>7619.0</v>
      </c>
      <c r="D192" s="4" t="s">
        <v>394</v>
      </c>
      <c r="E192" s="3" t="s">
        <v>395</v>
      </c>
      <c r="F192" s="3" t="s">
        <v>17</v>
      </c>
      <c r="G192" s="3" t="str">
        <f t="shared" si="3"/>
        <v>PURNA2025-DKV1</v>
      </c>
      <c r="H192" s="3" t="str">
        <f>VLOOKUP($C192,Userpass!$A$2:$L$3001,12,FALSE)</f>
        <v>DKV1</v>
      </c>
      <c r="I192" s="5" t="s">
        <v>14</v>
      </c>
      <c r="J192" s="3">
        <v>2022.0</v>
      </c>
      <c r="K192" s="4" t="str">
        <f>VLOOKUP($C192,Userpass!$A$2:$R$3001,2,FALSE)</f>
        <v>dkv20227619.alumni@smkn12malang.sch.id</v>
      </c>
    </row>
    <row r="193" hidden="1">
      <c r="A193" s="3" t="str">
        <f t="shared" si="1"/>
        <v>OK</v>
      </c>
      <c r="B193" s="3" t="str">
        <f t="shared" si="2"/>
        <v>OK</v>
      </c>
      <c r="C193" s="3">
        <v>7652.0</v>
      </c>
      <c r="D193" s="4" t="s">
        <v>396</v>
      </c>
      <c r="E193" s="3" t="s">
        <v>397</v>
      </c>
      <c r="F193" s="3" t="s">
        <v>17</v>
      </c>
      <c r="G193" s="3" t="str">
        <f t="shared" si="3"/>
        <v>PURNA2025-DKV1</v>
      </c>
      <c r="H193" s="3" t="str">
        <f>VLOOKUP($C193,Userpass!$A$2:$L$3001,12,FALSE)</f>
        <v>DKV1</v>
      </c>
      <c r="I193" s="5" t="s">
        <v>14</v>
      </c>
      <c r="J193" s="3">
        <v>2022.0</v>
      </c>
      <c r="K193" s="4" t="str">
        <f>VLOOKUP($C193,Userpass!$A$2:$R$3001,2,FALSE)</f>
        <v>dkv20227652.alumni@smkn12malang.sch.id</v>
      </c>
    </row>
    <row r="194" hidden="1">
      <c r="A194" s="3" t="str">
        <f t="shared" si="1"/>
        <v>OK</v>
      </c>
      <c r="B194" s="3" t="str">
        <f t="shared" si="2"/>
        <v>OK</v>
      </c>
      <c r="C194" s="3">
        <v>7672.0</v>
      </c>
      <c r="D194" s="4" t="s">
        <v>398</v>
      </c>
      <c r="E194" s="3" t="s">
        <v>399</v>
      </c>
      <c r="F194" s="3" t="s">
        <v>17</v>
      </c>
      <c r="G194" s="3" t="str">
        <f t="shared" si="3"/>
        <v>PURNA2025-DKV1</v>
      </c>
      <c r="H194" s="3" t="str">
        <f>VLOOKUP($C194,Userpass!$A$2:$L$3001,12,FALSE)</f>
        <v>DKV1</v>
      </c>
      <c r="I194" s="5" t="s">
        <v>14</v>
      </c>
      <c r="J194" s="3">
        <v>2022.0</v>
      </c>
      <c r="K194" s="4" t="str">
        <f>VLOOKUP($C194,Userpass!$A$2:$R$3001,2,FALSE)</f>
        <v>dkv20227672.alumni@smkn12malang.sch.id</v>
      </c>
    </row>
    <row r="195" hidden="1">
      <c r="A195" s="3" t="str">
        <f t="shared" si="1"/>
        <v>OK</v>
      </c>
      <c r="B195" s="3" t="str">
        <f t="shared" si="2"/>
        <v>OK</v>
      </c>
      <c r="C195" s="3">
        <v>7685.0</v>
      </c>
      <c r="D195" s="4" t="s">
        <v>400</v>
      </c>
      <c r="E195" s="3" t="s">
        <v>401</v>
      </c>
      <c r="F195" s="3" t="s">
        <v>17</v>
      </c>
      <c r="G195" s="3" t="str">
        <f t="shared" si="3"/>
        <v>PURNA2025-DKV1</v>
      </c>
      <c r="H195" s="3" t="str">
        <f>VLOOKUP($C195,Userpass!$A$2:$L$3001,12,FALSE)</f>
        <v>DKV1</v>
      </c>
      <c r="I195" s="5" t="s">
        <v>14</v>
      </c>
      <c r="J195" s="3">
        <v>2022.0</v>
      </c>
      <c r="K195" s="4" t="str">
        <f>VLOOKUP($C195,Userpass!$A$2:$R$3001,2,FALSE)</f>
        <v>dkv20227685.alumni@smkn12malang.sch.id</v>
      </c>
    </row>
    <row r="196" hidden="1">
      <c r="A196" s="3" t="str">
        <f t="shared" si="1"/>
        <v>OK</v>
      </c>
      <c r="B196" s="3" t="str">
        <f t="shared" si="2"/>
        <v>OK</v>
      </c>
      <c r="C196" s="3">
        <v>7703.0</v>
      </c>
      <c r="D196" s="4" t="s">
        <v>402</v>
      </c>
      <c r="E196" s="3" t="s">
        <v>403</v>
      </c>
      <c r="F196" s="3" t="s">
        <v>13</v>
      </c>
      <c r="G196" s="3" t="str">
        <f t="shared" si="3"/>
        <v>PURNA2025-DKV1</v>
      </c>
      <c r="H196" s="3" t="str">
        <f>VLOOKUP($C196,Userpass!$A$2:$L$3001,12,FALSE)</f>
        <v>DKV1</v>
      </c>
      <c r="I196" s="5" t="s">
        <v>14</v>
      </c>
      <c r="J196" s="3">
        <v>2022.0</v>
      </c>
      <c r="K196" s="4" t="str">
        <f>VLOOKUP($C196,Userpass!$A$2:$R$3001,2,FALSE)</f>
        <v>dkv20227703.alumni@smkn12malang.sch.id</v>
      </c>
    </row>
    <row r="197" hidden="1">
      <c r="A197" s="3" t="str">
        <f t="shared" si="1"/>
        <v>OK</v>
      </c>
      <c r="B197" s="3" t="str">
        <f t="shared" si="2"/>
        <v>OK</v>
      </c>
      <c r="C197" s="3">
        <v>7712.0</v>
      </c>
      <c r="D197" s="4" t="s">
        <v>404</v>
      </c>
      <c r="E197" s="3" t="s">
        <v>405</v>
      </c>
      <c r="F197" s="3" t="s">
        <v>13</v>
      </c>
      <c r="G197" s="3" t="str">
        <f t="shared" si="3"/>
        <v>PURNA2025-DKV1</v>
      </c>
      <c r="H197" s="3" t="str">
        <f>VLOOKUP($C197,Userpass!$A$2:$L$3001,12,FALSE)</f>
        <v>DKV1</v>
      </c>
      <c r="I197" s="5" t="s">
        <v>14</v>
      </c>
      <c r="J197" s="3">
        <v>2022.0</v>
      </c>
      <c r="K197" s="4" t="str">
        <f>VLOOKUP($C197,Userpass!$A$2:$R$3001,2,FALSE)</f>
        <v>dkv20227712.alumni@smkn12malang.sch.id</v>
      </c>
    </row>
    <row r="198" hidden="1">
      <c r="A198" s="3" t="str">
        <f t="shared" si="1"/>
        <v>OK</v>
      </c>
      <c r="B198" s="3" t="str">
        <f t="shared" si="2"/>
        <v>OK</v>
      </c>
      <c r="C198" s="3">
        <v>7731.0</v>
      </c>
      <c r="D198" s="4" t="s">
        <v>406</v>
      </c>
      <c r="E198" s="3" t="s">
        <v>407</v>
      </c>
      <c r="F198" s="3" t="s">
        <v>13</v>
      </c>
      <c r="G198" s="3" t="str">
        <f t="shared" si="3"/>
        <v>PURNA2025-DKV1</v>
      </c>
      <c r="H198" s="3" t="str">
        <f>VLOOKUP($C198,Userpass!$A$2:$L$3001,12,FALSE)</f>
        <v>DKV1</v>
      </c>
      <c r="I198" s="5" t="s">
        <v>14</v>
      </c>
      <c r="J198" s="3">
        <v>2022.0</v>
      </c>
      <c r="K198" s="4" t="str">
        <f>VLOOKUP($C198,Userpass!$A$2:$R$3001,2,FALSE)</f>
        <v>dkv20227731.alumni@smkn12malang.sch.id</v>
      </c>
    </row>
    <row r="199" hidden="1">
      <c r="A199" s="3" t="str">
        <f t="shared" si="1"/>
        <v>OK</v>
      </c>
      <c r="B199" s="3" t="str">
        <f t="shared" si="2"/>
        <v>OK</v>
      </c>
      <c r="C199" s="3">
        <v>7734.0</v>
      </c>
      <c r="D199" s="4" t="s">
        <v>408</v>
      </c>
      <c r="E199" s="3" t="s">
        <v>409</v>
      </c>
      <c r="F199" s="3" t="s">
        <v>13</v>
      </c>
      <c r="G199" s="3" t="str">
        <f t="shared" si="3"/>
        <v>PURNA2025-DKV1</v>
      </c>
      <c r="H199" s="3" t="str">
        <f>VLOOKUP($C199,Userpass!$A$2:$L$3001,12,FALSE)</f>
        <v>DKV1</v>
      </c>
      <c r="I199" s="5" t="s">
        <v>14</v>
      </c>
      <c r="J199" s="3">
        <v>2022.0</v>
      </c>
      <c r="K199" s="4" t="str">
        <f>VLOOKUP($C199,Userpass!$A$2:$R$3001,2,FALSE)</f>
        <v>dkv20227734.alumni@smkn12malang.sch.id</v>
      </c>
    </row>
    <row r="200" hidden="1">
      <c r="A200" s="3" t="str">
        <f t="shared" si="1"/>
        <v>OK</v>
      </c>
      <c r="B200" s="3" t="str">
        <f t="shared" si="2"/>
        <v>OK</v>
      </c>
      <c r="C200" s="3">
        <v>7780.0</v>
      </c>
      <c r="D200" s="4" t="s">
        <v>410</v>
      </c>
      <c r="E200" s="3" t="s">
        <v>411</v>
      </c>
      <c r="F200" s="3" t="s">
        <v>17</v>
      </c>
      <c r="G200" s="3" t="str">
        <f t="shared" si="3"/>
        <v>PURNA2025-DKV1</v>
      </c>
      <c r="H200" s="3" t="str">
        <f>VLOOKUP($C200,Userpass!$A$2:$L$3001,12,FALSE)</f>
        <v>DKV1</v>
      </c>
      <c r="I200" s="5" t="s">
        <v>14</v>
      </c>
      <c r="J200" s="3">
        <v>2022.0</v>
      </c>
      <c r="K200" s="4" t="str">
        <f>VLOOKUP($C200,Userpass!$A$2:$R$3001,2,FALSE)</f>
        <v>dkv20227780.alumni@smkn12malang.sch.id</v>
      </c>
    </row>
    <row r="201" hidden="1">
      <c r="A201" s="3" t="str">
        <f t="shared" si="1"/>
        <v>OK</v>
      </c>
      <c r="B201" s="3" t="str">
        <f t="shared" si="2"/>
        <v>OK</v>
      </c>
      <c r="C201" s="3">
        <v>7786.0</v>
      </c>
      <c r="D201" s="4" t="s">
        <v>412</v>
      </c>
      <c r="E201" s="3" t="s">
        <v>413</v>
      </c>
      <c r="F201" s="3" t="s">
        <v>17</v>
      </c>
      <c r="G201" s="3" t="str">
        <f t="shared" si="3"/>
        <v>PURNA2025-DKV1</v>
      </c>
      <c r="H201" s="3" t="str">
        <f>VLOOKUP($C201,Userpass!$A$2:$L$3001,12,FALSE)</f>
        <v>DKV1</v>
      </c>
      <c r="I201" s="5" t="s">
        <v>14</v>
      </c>
      <c r="J201" s="3">
        <v>2022.0</v>
      </c>
      <c r="K201" s="4" t="str">
        <f>VLOOKUP($C201,Userpass!$A$2:$R$3001,2,FALSE)</f>
        <v>dkv20227786.alumni@smkn12malang.sch.id</v>
      </c>
    </row>
    <row r="202" hidden="1">
      <c r="A202" s="3" t="str">
        <f t="shared" si="1"/>
        <v>OK</v>
      </c>
      <c r="B202" s="3" t="str">
        <f t="shared" si="2"/>
        <v>OK</v>
      </c>
      <c r="C202" s="3">
        <v>7798.0</v>
      </c>
      <c r="D202" s="4" t="s">
        <v>414</v>
      </c>
      <c r="E202" s="3" t="s">
        <v>415</v>
      </c>
      <c r="F202" s="3" t="s">
        <v>17</v>
      </c>
      <c r="G202" s="3" t="str">
        <f t="shared" si="3"/>
        <v>PURNA2025-DKV1</v>
      </c>
      <c r="H202" s="3" t="str">
        <f>VLOOKUP($C202,Userpass!$A$2:$L$3001,12,FALSE)</f>
        <v>DKV1</v>
      </c>
      <c r="I202" s="5" t="s">
        <v>14</v>
      </c>
      <c r="J202" s="3">
        <v>2022.0</v>
      </c>
      <c r="K202" s="4" t="str">
        <f>VLOOKUP($C202,Userpass!$A$2:$R$3001,2,FALSE)</f>
        <v>dkv20227798.alumni@smkn12malang.sch.id</v>
      </c>
    </row>
    <row r="203" hidden="1">
      <c r="A203" s="3" t="str">
        <f t="shared" si="1"/>
        <v>OK</v>
      </c>
      <c r="B203" s="3" t="str">
        <f t="shared" si="2"/>
        <v>OK</v>
      </c>
      <c r="C203" s="3">
        <v>7807.0</v>
      </c>
      <c r="D203" s="4" t="s">
        <v>416</v>
      </c>
      <c r="E203" s="3" t="s">
        <v>417</v>
      </c>
      <c r="F203" s="3" t="s">
        <v>13</v>
      </c>
      <c r="G203" s="3" t="str">
        <f t="shared" si="3"/>
        <v>PURNA2025-DKV1</v>
      </c>
      <c r="H203" s="3" t="str">
        <f>VLOOKUP($C203,Userpass!$A$2:$L$3001,12,FALSE)</f>
        <v>DKV1</v>
      </c>
      <c r="I203" s="5" t="s">
        <v>14</v>
      </c>
      <c r="J203" s="3">
        <v>2022.0</v>
      </c>
      <c r="K203" s="4" t="str">
        <f>VLOOKUP($C203,Userpass!$A$2:$R$3001,2,FALSE)</f>
        <v>dkv20227807.alumni@smkn12malang.sch.id</v>
      </c>
    </row>
    <row r="204" hidden="1">
      <c r="A204" s="3" t="str">
        <f t="shared" si="1"/>
        <v>OK</v>
      </c>
      <c r="B204" s="3" t="str">
        <f t="shared" si="2"/>
        <v>OK</v>
      </c>
      <c r="C204" s="3">
        <v>7816.0</v>
      </c>
      <c r="D204" s="4" t="s">
        <v>418</v>
      </c>
      <c r="E204" s="3" t="s">
        <v>419</v>
      </c>
      <c r="F204" s="3" t="s">
        <v>13</v>
      </c>
      <c r="G204" s="3" t="str">
        <f t="shared" si="3"/>
        <v>PURNA2025-DKV1</v>
      </c>
      <c r="H204" s="3" t="str">
        <f>VLOOKUP($C204,Userpass!$A$2:$L$3001,12,FALSE)</f>
        <v>DKV1</v>
      </c>
      <c r="I204" s="5" t="s">
        <v>14</v>
      </c>
      <c r="J204" s="3">
        <v>2022.0</v>
      </c>
      <c r="K204" s="4" t="str">
        <f>VLOOKUP($C204,Userpass!$A$2:$R$3001,2,FALSE)</f>
        <v>dkv20227816.alumni@smkn12malang.sch.id</v>
      </c>
    </row>
    <row r="205" hidden="1">
      <c r="A205" s="3" t="str">
        <f t="shared" si="1"/>
        <v>OK</v>
      </c>
      <c r="B205" s="3" t="str">
        <f t="shared" si="2"/>
        <v>OK</v>
      </c>
      <c r="C205" s="3">
        <v>7827.0</v>
      </c>
      <c r="D205" s="4" t="s">
        <v>420</v>
      </c>
      <c r="E205" s="3" t="s">
        <v>421</v>
      </c>
      <c r="F205" s="3" t="s">
        <v>17</v>
      </c>
      <c r="G205" s="3" t="str">
        <f t="shared" si="3"/>
        <v>PURNA2025-DKV1</v>
      </c>
      <c r="H205" s="3" t="str">
        <f>VLOOKUP($C205,Userpass!$A$2:$L$3001,12,FALSE)</f>
        <v>DKV1</v>
      </c>
      <c r="I205" s="5" t="s">
        <v>14</v>
      </c>
      <c r="J205" s="3">
        <v>2022.0</v>
      </c>
      <c r="K205" s="4" t="str">
        <f>VLOOKUP($C205,Userpass!$A$2:$R$3001,2,FALSE)</f>
        <v>dkv20227827.alumni@smkn12malang.sch.id</v>
      </c>
    </row>
    <row r="206" hidden="1">
      <c r="A206" s="3" t="str">
        <f t="shared" si="1"/>
        <v>OK</v>
      </c>
      <c r="B206" s="3" t="str">
        <f t="shared" si="2"/>
        <v>OK</v>
      </c>
      <c r="C206" s="3">
        <v>7846.0</v>
      </c>
      <c r="D206" s="4" t="s">
        <v>422</v>
      </c>
      <c r="E206" s="3" t="s">
        <v>423</v>
      </c>
      <c r="F206" s="3" t="s">
        <v>13</v>
      </c>
      <c r="G206" s="3" t="str">
        <f t="shared" si="3"/>
        <v>PURNA2025-DKV1</v>
      </c>
      <c r="H206" s="3" t="str">
        <f>VLOOKUP($C206,Userpass!$A$2:$L$3001,12,FALSE)</f>
        <v>DKV1</v>
      </c>
      <c r="I206" s="5" t="s">
        <v>14</v>
      </c>
      <c r="J206" s="3">
        <v>2022.0</v>
      </c>
      <c r="K206" s="4" t="str">
        <f>VLOOKUP($C206,Userpass!$A$2:$R$3001,2,FALSE)</f>
        <v>dkv20227846.alumni@smkn12malang.sch.id</v>
      </c>
    </row>
    <row r="207" hidden="1">
      <c r="A207" s="3" t="str">
        <f t="shared" si="1"/>
        <v>OK</v>
      </c>
      <c r="B207" s="3" t="str">
        <f t="shared" si="2"/>
        <v>OK</v>
      </c>
      <c r="C207" s="3">
        <v>7858.0</v>
      </c>
      <c r="D207" s="4" t="s">
        <v>424</v>
      </c>
      <c r="E207" s="3" t="s">
        <v>425</v>
      </c>
      <c r="F207" s="3" t="s">
        <v>13</v>
      </c>
      <c r="G207" s="3" t="str">
        <f t="shared" si="3"/>
        <v>PURNA2025-DKV1</v>
      </c>
      <c r="H207" s="3" t="str">
        <f>VLOOKUP($C207,Userpass!$A$2:$L$3001,12,FALSE)</f>
        <v>DKV1</v>
      </c>
      <c r="I207" s="5" t="s">
        <v>14</v>
      </c>
      <c r="J207" s="3">
        <v>2022.0</v>
      </c>
      <c r="K207" s="4" t="str">
        <f>VLOOKUP($C207,Userpass!$A$2:$R$3001,2,FALSE)</f>
        <v>dkv20227858.alumni@smkn12malang.sch.id</v>
      </c>
    </row>
    <row r="208" hidden="1">
      <c r="A208" s="3" t="str">
        <f t="shared" si="1"/>
        <v>OK</v>
      </c>
      <c r="B208" s="3" t="str">
        <f t="shared" si="2"/>
        <v>OK</v>
      </c>
      <c r="C208" s="3">
        <v>7881.0</v>
      </c>
      <c r="D208" s="4" t="s">
        <v>426</v>
      </c>
      <c r="E208" s="3" t="s">
        <v>427</v>
      </c>
      <c r="F208" s="3" t="s">
        <v>13</v>
      </c>
      <c r="G208" s="3" t="str">
        <f t="shared" si="3"/>
        <v>PURNA2025-DKV1</v>
      </c>
      <c r="H208" s="3" t="str">
        <f>VLOOKUP($C208,Userpass!$A$2:$L$3001,12,FALSE)</f>
        <v>DKV1</v>
      </c>
      <c r="I208" s="5" t="s">
        <v>14</v>
      </c>
      <c r="J208" s="3">
        <v>2022.0</v>
      </c>
      <c r="K208" s="4" t="str">
        <f>VLOOKUP($C208,Userpass!$A$2:$R$3001,2,FALSE)</f>
        <v>dkv20227881.alumni@smkn12malang.sch.id</v>
      </c>
    </row>
    <row r="209" hidden="1">
      <c r="A209" s="3" t="str">
        <f t="shared" si="1"/>
        <v>OK</v>
      </c>
      <c r="B209" s="3" t="str">
        <f t="shared" si="2"/>
        <v>OK</v>
      </c>
      <c r="C209" s="3">
        <v>7883.0</v>
      </c>
      <c r="D209" s="4" t="s">
        <v>428</v>
      </c>
      <c r="E209" s="3" t="s">
        <v>429</v>
      </c>
      <c r="F209" s="3" t="s">
        <v>13</v>
      </c>
      <c r="G209" s="3" t="str">
        <f t="shared" si="3"/>
        <v>PURNA2025-DKV1</v>
      </c>
      <c r="H209" s="3" t="str">
        <f>VLOOKUP($C209,Userpass!$A$2:$L$3001,12,FALSE)</f>
        <v>DKV1</v>
      </c>
      <c r="I209" s="5" t="s">
        <v>14</v>
      </c>
      <c r="J209" s="3">
        <v>2022.0</v>
      </c>
      <c r="K209" s="4" t="str">
        <f>VLOOKUP($C209,Userpass!$A$2:$R$3001,2,FALSE)</f>
        <v>dkv20227883.alumni@smkn12malang.sch.id</v>
      </c>
    </row>
    <row r="210" hidden="1">
      <c r="A210" s="3" t="str">
        <f t="shared" si="1"/>
        <v>OK</v>
      </c>
      <c r="B210" s="3" t="str">
        <f t="shared" si="2"/>
        <v>OK</v>
      </c>
      <c r="C210" s="3">
        <v>7887.0</v>
      </c>
      <c r="D210" s="4" t="s">
        <v>430</v>
      </c>
      <c r="E210" s="3" t="s">
        <v>431</v>
      </c>
      <c r="F210" s="3" t="s">
        <v>17</v>
      </c>
      <c r="G210" s="3" t="str">
        <f t="shared" si="3"/>
        <v>PURNA2025-DKV1</v>
      </c>
      <c r="H210" s="3" t="str">
        <f>VLOOKUP($C210,Userpass!$A$2:$L$3001,12,FALSE)</f>
        <v>DKV1</v>
      </c>
      <c r="I210" s="5" t="s">
        <v>14</v>
      </c>
      <c r="J210" s="3">
        <v>2022.0</v>
      </c>
      <c r="K210" s="4" t="str">
        <f>VLOOKUP($C210,Userpass!$A$2:$R$3001,2,FALSE)</f>
        <v>dkv20227887.alumni@smkn12malang.sch.id</v>
      </c>
    </row>
    <row r="211" hidden="1">
      <c r="A211" s="3" t="str">
        <f t="shared" si="1"/>
        <v>OK</v>
      </c>
      <c r="B211" s="3" t="str">
        <f t="shared" si="2"/>
        <v>OK</v>
      </c>
      <c r="C211" s="3">
        <v>7891.0</v>
      </c>
      <c r="D211" s="4" t="s">
        <v>432</v>
      </c>
      <c r="E211" s="3" t="s">
        <v>433</v>
      </c>
      <c r="F211" s="3" t="s">
        <v>13</v>
      </c>
      <c r="G211" s="3" t="str">
        <f t="shared" si="3"/>
        <v>PURNA2025-DKV1</v>
      </c>
      <c r="H211" s="3" t="str">
        <f>VLOOKUP($C211,Userpass!$A$2:$L$3001,12,FALSE)</f>
        <v>DKV1</v>
      </c>
      <c r="I211" s="5" t="s">
        <v>14</v>
      </c>
      <c r="J211" s="3">
        <v>2022.0</v>
      </c>
      <c r="K211" s="4" t="str">
        <f>VLOOKUP($C211,Userpass!$A$2:$R$3001,2,FALSE)</f>
        <v>dkv20227891.alumni@smkn12malang.sch.id</v>
      </c>
    </row>
    <row r="212" hidden="1">
      <c r="A212" s="3" t="str">
        <f t="shared" si="1"/>
        <v>OK</v>
      </c>
      <c r="B212" s="3" t="str">
        <f t="shared" si="2"/>
        <v>OK</v>
      </c>
      <c r="C212" s="3">
        <v>7899.0</v>
      </c>
      <c r="D212" s="4" t="s">
        <v>434</v>
      </c>
      <c r="E212" s="3" t="s">
        <v>435</v>
      </c>
      <c r="F212" s="3" t="s">
        <v>17</v>
      </c>
      <c r="G212" s="3" t="str">
        <f t="shared" si="3"/>
        <v>PURNA2025-DKV1</v>
      </c>
      <c r="H212" s="3" t="str">
        <f>VLOOKUP($C212,Userpass!$A$2:$L$3001,12,FALSE)</f>
        <v>DKV1</v>
      </c>
      <c r="I212" s="5" t="s">
        <v>14</v>
      </c>
      <c r="J212" s="3">
        <v>2022.0</v>
      </c>
      <c r="K212" s="4" t="str">
        <f>VLOOKUP($C212,Userpass!$A$2:$R$3001,2,FALSE)</f>
        <v>dkv20227899.alumni@smkn12malang.sch.id</v>
      </c>
    </row>
    <row r="213" hidden="1">
      <c r="A213" s="3" t="str">
        <f t="shared" si="1"/>
        <v>OK</v>
      </c>
      <c r="B213" s="3" t="str">
        <f t="shared" si="2"/>
        <v>OK</v>
      </c>
      <c r="C213" s="3">
        <v>7922.0</v>
      </c>
      <c r="D213" s="4" t="s">
        <v>436</v>
      </c>
      <c r="E213" s="3" t="s">
        <v>437</v>
      </c>
      <c r="F213" s="3" t="s">
        <v>17</v>
      </c>
      <c r="G213" s="3" t="str">
        <f t="shared" si="3"/>
        <v>PURNA2025-DKV1</v>
      </c>
      <c r="H213" s="3" t="str">
        <f>VLOOKUP($C213,Userpass!$A$2:$L$3001,12,FALSE)</f>
        <v>DKV1</v>
      </c>
      <c r="I213" s="5" t="s">
        <v>14</v>
      </c>
      <c r="J213" s="3">
        <v>2022.0</v>
      </c>
      <c r="K213" s="4" t="str">
        <f>VLOOKUP($C213,Userpass!$A$2:$R$3001,2,FALSE)</f>
        <v>dkv20227922.alumni@smkn12malang.sch.id</v>
      </c>
    </row>
    <row r="214" hidden="1">
      <c r="A214" s="3" t="str">
        <f t="shared" si="1"/>
        <v>OK</v>
      </c>
      <c r="B214" s="3" t="str">
        <f t="shared" si="2"/>
        <v>OK</v>
      </c>
      <c r="C214" s="3">
        <v>7971.0</v>
      </c>
      <c r="D214" s="4" t="s">
        <v>438</v>
      </c>
      <c r="E214" s="3" t="s">
        <v>439</v>
      </c>
      <c r="F214" s="3" t="s">
        <v>13</v>
      </c>
      <c r="G214" s="3" t="str">
        <f t="shared" si="3"/>
        <v>PURNA2025-DKV1</v>
      </c>
      <c r="H214" s="3" t="str">
        <f>VLOOKUP($C214,Userpass!$A$2:$L$3001,12,FALSE)</f>
        <v>DKV1</v>
      </c>
      <c r="I214" s="5" t="s">
        <v>14</v>
      </c>
      <c r="J214" s="3">
        <v>2022.0</v>
      </c>
      <c r="K214" s="4" t="str">
        <f>VLOOKUP($C214,Userpass!$A$2:$R$3001,2,FALSE)</f>
        <v>dkv20227971.alumni@smkn12malang.sch.id</v>
      </c>
    </row>
    <row r="215" hidden="1">
      <c r="A215" s="3" t="str">
        <f t="shared" si="1"/>
        <v>OK</v>
      </c>
      <c r="B215" s="3" t="str">
        <f t="shared" si="2"/>
        <v>OK</v>
      </c>
      <c r="C215" s="3">
        <v>7984.0</v>
      </c>
      <c r="D215" s="4" t="s">
        <v>440</v>
      </c>
      <c r="E215" s="3" t="s">
        <v>441</v>
      </c>
      <c r="F215" s="3" t="s">
        <v>17</v>
      </c>
      <c r="G215" s="3" t="str">
        <f t="shared" si="3"/>
        <v>PURNA2025-DKV1</v>
      </c>
      <c r="H215" s="3" t="str">
        <f>VLOOKUP($C215,Userpass!$A$2:$L$3001,12,FALSE)</f>
        <v>DKV1</v>
      </c>
      <c r="I215" s="5" t="s">
        <v>14</v>
      </c>
      <c r="J215" s="3">
        <v>2022.0</v>
      </c>
      <c r="K215" s="4" t="str">
        <f>VLOOKUP($C215,Userpass!$A$2:$R$3001,2,FALSE)</f>
        <v>dkv20227984.alumni@smkn12malang.sch.id</v>
      </c>
    </row>
    <row r="216" hidden="1">
      <c r="A216" s="3" t="str">
        <f t="shared" si="1"/>
        <v>OK</v>
      </c>
      <c r="B216" s="3" t="str">
        <f t="shared" si="2"/>
        <v>OK</v>
      </c>
      <c r="C216" s="3">
        <v>8012.0</v>
      </c>
      <c r="D216" s="4" t="s">
        <v>442</v>
      </c>
      <c r="E216" s="3" t="s">
        <v>443</v>
      </c>
      <c r="F216" s="3" t="s">
        <v>17</v>
      </c>
      <c r="G216" s="3" t="str">
        <f t="shared" si="3"/>
        <v>PURNA2025-DKV1</v>
      </c>
      <c r="H216" s="3" t="str">
        <f>VLOOKUP($C216,Userpass!$A$2:$L$3001,12,FALSE)</f>
        <v>DKV1</v>
      </c>
      <c r="I216" s="5" t="s">
        <v>14</v>
      </c>
      <c r="J216" s="3">
        <v>2022.0</v>
      </c>
      <c r="K216" s="4" t="str">
        <f>VLOOKUP($C216,Userpass!$A$2:$R$3001,2,FALSE)</f>
        <v>dkv20228012.alumni@smkn12malang.sch.id</v>
      </c>
    </row>
    <row r="217" hidden="1">
      <c r="A217" s="3" t="str">
        <f t="shared" si="1"/>
        <v>OK</v>
      </c>
      <c r="B217" s="3" t="str">
        <f t="shared" si="2"/>
        <v>OK</v>
      </c>
      <c r="C217" s="3">
        <v>7413.0</v>
      </c>
      <c r="D217" s="4" t="s">
        <v>444</v>
      </c>
      <c r="E217" s="3" t="s">
        <v>445</v>
      </c>
      <c r="F217" s="3" t="s">
        <v>13</v>
      </c>
      <c r="G217" s="3" t="str">
        <f t="shared" si="3"/>
        <v>PURNA2025-DKV2</v>
      </c>
      <c r="H217" s="3" t="str">
        <f>VLOOKUP($C217,Userpass!$A$2:$L$3001,12,FALSE)</f>
        <v>DKV2</v>
      </c>
      <c r="I217" s="5" t="s">
        <v>14</v>
      </c>
      <c r="J217" s="3">
        <v>2022.0</v>
      </c>
      <c r="K217" s="4" t="str">
        <f>VLOOKUP($C217,Userpass!$A$2:$R$3001,2,FALSE)</f>
        <v>dkv20227413.alumni@smkn12malang.sch.id</v>
      </c>
    </row>
    <row r="218" hidden="1">
      <c r="A218" s="3" t="str">
        <f t="shared" si="1"/>
        <v>OK</v>
      </c>
      <c r="B218" s="3" t="str">
        <f t="shared" si="2"/>
        <v>OK</v>
      </c>
      <c r="C218" s="3">
        <v>7486.0</v>
      </c>
      <c r="D218" s="4" t="s">
        <v>446</v>
      </c>
      <c r="E218" s="3" t="s">
        <v>447</v>
      </c>
      <c r="F218" s="3" t="s">
        <v>17</v>
      </c>
      <c r="G218" s="3" t="str">
        <f t="shared" si="3"/>
        <v>PURNA2025-DKV2</v>
      </c>
      <c r="H218" s="3" t="str">
        <f>VLOOKUP($C218,Userpass!$A$2:$L$3001,12,FALSE)</f>
        <v>DKV2</v>
      </c>
      <c r="I218" s="5" t="s">
        <v>14</v>
      </c>
      <c r="J218" s="3">
        <v>2022.0</v>
      </c>
      <c r="K218" s="4" t="str">
        <f>VLOOKUP($C218,Userpass!$A$2:$R$3001,2,FALSE)</f>
        <v>dkv20227486.alumni@smkn12malang.sch.id</v>
      </c>
    </row>
    <row r="219" hidden="1">
      <c r="A219" s="3" t="str">
        <f t="shared" si="1"/>
        <v>OK</v>
      </c>
      <c r="B219" s="3" t="str">
        <f t="shared" si="2"/>
        <v>OK</v>
      </c>
      <c r="C219" s="3">
        <v>7496.0</v>
      </c>
      <c r="D219" s="4" t="s">
        <v>448</v>
      </c>
      <c r="E219" s="3" t="s">
        <v>449</v>
      </c>
      <c r="F219" s="3" t="s">
        <v>17</v>
      </c>
      <c r="G219" s="3" t="str">
        <f t="shared" si="3"/>
        <v>PURNA2025-DKV2</v>
      </c>
      <c r="H219" s="3" t="str">
        <f>VLOOKUP($C219,Userpass!$A$2:$L$3001,12,FALSE)</f>
        <v>DKV2</v>
      </c>
      <c r="I219" s="5" t="s">
        <v>14</v>
      </c>
      <c r="J219" s="3">
        <v>2022.0</v>
      </c>
      <c r="K219" s="4" t="str">
        <f>VLOOKUP($C219,Userpass!$A$2:$R$3001,2,FALSE)</f>
        <v>dkv20227496.alumni@smkn12malang.sch.id</v>
      </c>
    </row>
    <row r="220" hidden="1">
      <c r="A220" s="3" t="str">
        <f t="shared" si="1"/>
        <v>OK</v>
      </c>
      <c r="B220" s="3" t="str">
        <f t="shared" si="2"/>
        <v>OK</v>
      </c>
      <c r="C220" s="3">
        <v>7504.0</v>
      </c>
      <c r="D220" s="4" t="s">
        <v>450</v>
      </c>
      <c r="E220" s="3" t="s">
        <v>451</v>
      </c>
      <c r="F220" s="3" t="s">
        <v>13</v>
      </c>
      <c r="G220" s="3" t="str">
        <f t="shared" si="3"/>
        <v>PURNA2025-DKV2</v>
      </c>
      <c r="H220" s="3" t="str">
        <f>VLOOKUP($C220,Userpass!$A$2:$L$3001,12,FALSE)</f>
        <v>DKV2</v>
      </c>
      <c r="I220" s="5" t="s">
        <v>14</v>
      </c>
      <c r="J220" s="3">
        <v>2022.0</v>
      </c>
      <c r="K220" s="4" t="str">
        <f>VLOOKUP($C220,Userpass!$A$2:$R$3001,2,FALSE)</f>
        <v>dkv20227504.alumni@smkn12malang.sch.id</v>
      </c>
    </row>
    <row r="221" hidden="1">
      <c r="A221" s="3" t="str">
        <f t="shared" si="1"/>
        <v>OK</v>
      </c>
      <c r="B221" s="3" t="str">
        <f t="shared" si="2"/>
        <v>OK</v>
      </c>
      <c r="C221" s="3">
        <v>7523.0</v>
      </c>
      <c r="D221" s="4" t="s">
        <v>452</v>
      </c>
      <c r="E221" s="3" t="s">
        <v>453</v>
      </c>
      <c r="F221" s="3" t="s">
        <v>13</v>
      </c>
      <c r="G221" s="3" t="str">
        <f t="shared" si="3"/>
        <v>PURNA2025-DKV2</v>
      </c>
      <c r="H221" s="3" t="str">
        <f>VLOOKUP($C221,Userpass!$A$2:$L$3001,12,FALSE)</f>
        <v>DKV2</v>
      </c>
      <c r="I221" s="5" t="s">
        <v>14</v>
      </c>
      <c r="J221" s="3">
        <v>2022.0</v>
      </c>
      <c r="K221" s="4" t="str">
        <f>VLOOKUP($C221,Userpass!$A$2:$R$3001,2,FALSE)</f>
        <v>dkv20227523.alumni@smkn12malang.sch.id</v>
      </c>
    </row>
    <row r="222" hidden="1">
      <c r="A222" s="3" t="str">
        <f t="shared" si="1"/>
        <v>OK</v>
      </c>
      <c r="B222" s="3" t="str">
        <f t="shared" si="2"/>
        <v>OK</v>
      </c>
      <c r="C222" s="3">
        <v>7555.0</v>
      </c>
      <c r="D222" s="4" t="s">
        <v>454</v>
      </c>
      <c r="E222" s="3" t="s">
        <v>455</v>
      </c>
      <c r="F222" s="3" t="s">
        <v>13</v>
      </c>
      <c r="G222" s="3" t="str">
        <f t="shared" si="3"/>
        <v>PURNA2025-DKV2</v>
      </c>
      <c r="H222" s="3" t="str">
        <f>VLOOKUP($C222,Userpass!$A$2:$L$3001,12,FALSE)</f>
        <v>DKV2</v>
      </c>
      <c r="I222" s="5" t="s">
        <v>14</v>
      </c>
      <c r="J222" s="3">
        <v>2022.0</v>
      </c>
      <c r="K222" s="4" t="str">
        <f>VLOOKUP($C222,Userpass!$A$2:$R$3001,2,FALSE)</f>
        <v>dkv20227555.alumni@smkn12malang.sch.id</v>
      </c>
    </row>
    <row r="223" hidden="1">
      <c r="A223" s="3" t="str">
        <f t="shared" si="1"/>
        <v>OK</v>
      </c>
      <c r="B223" s="3" t="str">
        <f t="shared" si="2"/>
        <v>OK</v>
      </c>
      <c r="C223" s="3">
        <v>7560.0</v>
      </c>
      <c r="D223" s="4" t="s">
        <v>456</v>
      </c>
      <c r="E223" s="3" t="s">
        <v>457</v>
      </c>
      <c r="F223" s="3" t="s">
        <v>13</v>
      </c>
      <c r="G223" s="3" t="str">
        <f t="shared" si="3"/>
        <v>PURNA2025-DKV2</v>
      </c>
      <c r="H223" s="3" t="str">
        <f>VLOOKUP($C223,Userpass!$A$2:$L$3001,12,FALSE)</f>
        <v>DKV2</v>
      </c>
      <c r="I223" s="5" t="s">
        <v>14</v>
      </c>
      <c r="J223" s="3">
        <v>2022.0</v>
      </c>
      <c r="K223" s="4" t="str">
        <f>VLOOKUP($C223,Userpass!$A$2:$R$3001,2,FALSE)</f>
        <v>dkv20227560.alumni@smkn12malang.sch.id</v>
      </c>
    </row>
    <row r="224" hidden="1">
      <c r="A224" s="3" t="str">
        <f t="shared" si="1"/>
        <v>OK</v>
      </c>
      <c r="B224" s="3" t="str">
        <f t="shared" si="2"/>
        <v>INVALID</v>
      </c>
      <c r="C224" s="3">
        <v>7583.0</v>
      </c>
      <c r="D224" s="4"/>
      <c r="E224" s="3" t="s">
        <v>458</v>
      </c>
      <c r="F224" s="3" t="s">
        <v>17</v>
      </c>
      <c r="G224" s="3" t="str">
        <f t="shared" si="3"/>
        <v>PURNA2025-DKV2</v>
      </c>
      <c r="H224" s="3" t="str">
        <f>VLOOKUP($C224,Userpass!$A$2:$L$3001,12,FALSE)</f>
        <v>DKV2</v>
      </c>
      <c r="I224" s="5" t="s">
        <v>14</v>
      </c>
      <c r="J224" s="3">
        <v>2022.0</v>
      </c>
      <c r="K224" s="4" t="str">
        <f>VLOOKUP($C224,Userpass!$A$2:$R$3001,2,FALSE)</f>
        <v>dkv20227583.alumni@smkn12malang.sch.id</v>
      </c>
    </row>
    <row r="225" hidden="1">
      <c r="A225" s="3" t="str">
        <f t="shared" si="1"/>
        <v>OK</v>
      </c>
      <c r="B225" s="3" t="str">
        <f t="shared" si="2"/>
        <v>OK</v>
      </c>
      <c r="C225" s="3">
        <v>7585.0</v>
      </c>
      <c r="D225" s="4" t="s">
        <v>459</v>
      </c>
      <c r="E225" s="3" t="s">
        <v>460</v>
      </c>
      <c r="F225" s="3" t="s">
        <v>17</v>
      </c>
      <c r="G225" s="3" t="str">
        <f t="shared" si="3"/>
        <v>PURNA2025-DKV2</v>
      </c>
      <c r="H225" s="3" t="str">
        <f>VLOOKUP($C225,Userpass!$A$2:$L$3001,12,FALSE)</f>
        <v>DKV2</v>
      </c>
      <c r="I225" s="5" t="s">
        <v>14</v>
      </c>
      <c r="J225" s="3">
        <v>2022.0</v>
      </c>
      <c r="K225" s="4" t="str">
        <f>VLOOKUP($C225,Userpass!$A$2:$R$3001,2,FALSE)</f>
        <v>dkv20227585.alumni@smkn12malang.sch.id</v>
      </c>
    </row>
    <row r="226" hidden="1">
      <c r="A226" s="3" t="str">
        <f t="shared" si="1"/>
        <v>OK</v>
      </c>
      <c r="B226" s="3" t="str">
        <f t="shared" si="2"/>
        <v>OK</v>
      </c>
      <c r="C226" s="3">
        <v>7598.0</v>
      </c>
      <c r="D226" s="4" t="s">
        <v>461</v>
      </c>
      <c r="E226" s="3" t="s">
        <v>462</v>
      </c>
      <c r="F226" s="3" t="s">
        <v>13</v>
      </c>
      <c r="G226" s="3" t="str">
        <f t="shared" si="3"/>
        <v>PURNA2025-DKV2</v>
      </c>
      <c r="H226" s="3" t="str">
        <f>VLOOKUP($C226,Userpass!$A$2:$L$3001,12,FALSE)</f>
        <v>DKV2</v>
      </c>
      <c r="I226" s="5" t="s">
        <v>14</v>
      </c>
      <c r="J226" s="3">
        <v>2022.0</v>
      </c>
      <c r="K226" s="4" t="str">
        <f>VLOOKUP($C226,Userpass!$A$2:$R$3001,2,FALSE)</f>
        <v>dkv20227598.alumni@smkn12malang.sch.id</v>
      </c>
    </row>
    <row r="227" hidden="1">
      <c r="A227" s="3" t="str">
        <f t="shared" si="1"/>
        <v>OK</v>
      </c>
      <c r="B227" s="3" t="str">
        <f t="shared" si="2"/>
        <v>OK</v>
      </c>
      <c r="C227" s="3">
        <v>7613.0</v>
      </c>
      <c r="D227" s="4" t="s">
        <v>463</v>
      </c>
      <c r="E227" s="3" t="s">
        <v>464</v>
      </c>
      <c r="F227" s="3" t="s">
        <v>17</v>
      </c>
      <c r="G227" s="3" t="str">
        <f t="shared" si="3"/>
        <v>PURNA2025-DKV2</v>
      </c>
      <c r="H227" s="3" t="str">
        <f>VLOOKUP($C227,Userpass!$A$2:$L$3001,12,FALSE)</f>
        <v>DKV2</v>
      </c>
      <c r="I227" s="5" t="s">
        <v>14</v>
      </c>
      <c r="J227" s="3">
        <v>2022.0</v>
      </c>
      <c r="K227" s="4" t="str">
        <f>VLOOKUP($C227,Userpass!$A$2:$R$3001,2,FALSE)</f>
        <v>dkv20227613.alumni@smkn12malang.sch.id</v>
      </c>
    </row>
    <row r="228" hidden="1">
      <c r="A228" s="3" t="str">
        <f t="shared" si="1"/>
        <v>OK</v>
      </c>
      <c r="B228" s="3" t="str">
        <f t="shared" si="2"/>
        <v>OK</v>
      </c>
      <c r="C228" s="3">
        <v>7636.0</v>
      </c>
      <c r="D228" s="4" t="s">
        <v>465</v>
      </c>
      <c r="E228" s="3" t="s">
        <v>466</v>
      </c>
      <c r="F228" s="3" t="s">
        <v>13</v>
      </c>
      <c r="G228" s="3" t="str">
        <f t="shared" si="3"/>
        <v>PURNA2025-DKV2</v>
      </c>
      <c r="H228" s="3" t="str">
        <f>VLOOKUP($C228,Userpass!$A$2:$L$3001,12,FALSE)</f>
        <v>DKV2</v>
      </c>
      <c r="I228" s="5" t="s">
        <v>14</v>
      </c>
      <c r="J228" s="3">
        <v>2022.0</v>
      </c>
      <c r="K228" s="4" t="str">
        <f>VLOOKUP($C228,Userpass!$A$2:$R$3001,2,FALSE)</f>
        <v>dkv20227636.alumni@smkn12malang.sch.id</v>
      </c>
    </row>
    <row r="229" hidden="1">
      <c r="A229" s="3" t="str">
        <f t="shared" si="1"/>
        <v>OK</v>
      </c>
      <c r="B229" s="3" t="str">
        <f t="shared" si="2"/>
        <v>OK</v>
      </c>
      <c r="C229" s="3">
        <v>7664.0</v>
      </c>
      <c r="D229" s="4" t="s">
        <v>467</v>
      </c>
      <c r="E229" s="3" t="s">
        <v>468</v>
      </c>
      <c r="F229" s="3" t="s">
        <v>13</v>
      </c>
      <c r="G229" s="3" t="str">
        <f t="shared" si="3"/>
        <v>PURNA2025-DKV2</v>
      </c>
      <c r="H229" s="3" t="str">
        <f>VLOOKUP($C229,Userpass!$A$2:$L$3001,12,FALSE)</f>
        <v>DKV2</v>
      </c>
      <c r="I229" s="5" t="s">
        <v>14</v>
      </c>
      <c r="J229" s="3">
        <v>2022.0</v>
      </c>
      <c r="K229" s="4" t="str">
        <f>VLOOKUP($C229,Userpass!$A$2:$R$3001,2,FALSE)</f>
        <v>dkv20227664.alumni@smkn12malang.sch.id</v>
      </c>
    </row>
    <row r="230" hidden="1">
      <c r="A230" s="3" t="str">
        <f t="shared" si="1"/>
        <v>OK</v>
      </c>
      <c r="B230" s="3" t="str">
        <f t="shared" si="2"/>
        <v>OK</v>
      </c>
      <c r="C230" s="3">
        <v>7676.0</v>
      </c>
      <c r="D230" s="4" t="s">
        <v>469</v>
      </c>
      <c r="E230" s="3" t="s">
        <v>470</v>
      </c>
      <c r="F230" s="3" t="s">
        <v>13</v>
      </c>
      <c r="G230" s="3" t="str">
        <f t="shared" si="3"/>
        <v>PURNA2025-DKV2</v>
      </c>
      <c r="H230" s="3" t="str">
        <f>VLOOKUP($C230,Userpass!$A$2:$L$3001,12,FALSE)</f>
        <v>DKV2</v>
      </c>
      <c r="I230" s="5" t="s">
        <v>14</v>
      </c>
      <c r="J230" s="3">
        <v>2022.0</v>
      </c>
      <c r="K230" s="4" t="str">
        <f>VLOOKUP($C230,Userpass!$A$2:$R$3001,2,FALSE)</f>
        <v>dkv20227676.alumni@smkn12malang.sch.id</v>
      </c>
    </row>
    <row r="231" hidden="1">
      <c r="A231" s="3" t="str">
        <f t="shared" si="1"/>
        <v>OK</v>
      </c>
      <c r="B231" s="3" t="str">
        <f t="shared" si="2"/>
        <v>OK</v>
      </c>
      <c r="C231" s="3">
        <v>7700.0</v>
      </c>
      <c r="D231" s="4" t="s">
        <v>471</v>
      </c>
      <c r="E231" s="3" t="s">
        <v>472</v>
      </c>
      <c r="F231" s="3" t="s">
        <v>13</v>
      </c>
      <c r="G231" s="3" t="str">
        <f t="shared" si="3"/>
        <v>PURNA2025-DKV2</v>
      </c>
      <c r="H231" s="3" t="str">
        <f>VLOOKUP($C231,Userpass!$A$2:$L$3001,12,FALSE)</f>
        <v>DKV2</v>
      </c>
      <c r="I231" s="5" t="s">
        <v>14</v>
      </c>
      <c r="J231" s="3">
        <v>2022.0</v>
      </c>
      <c r="K231" s="4" t="str">
        <f>VLOOKUP($C231,Userpass!$A$2:$R$3001,2,FALSE)</f>
        <v>dkv20227700.alumni@smkn12malang.sch.id</v>
      </c>
    </row>
    <row r="232" hidden="1">
      <c r="A232" s="3" t="str">
        <f t="shared" si="1"/>
        <v>OK</v>
      </c>
      <c r="B232" s="3" t="str">
        <f t="shared" si="2"/>
        <v>OK</v>
      </c>
      <c r="C232" s="3">
        <v>7707.0</v>
      </c>
      <c r="D232" s="4" t="s">
        <v>473</v>
      </c>
      <c r="E232" s="3" t="s">
        <v>474</v>
      </c>
      <c r="F232" s="3" t="s">
        <v>17</v>
      </c>
      <c r="G232" s="3" t="str">
        <f t="shared" si="3"/>
        <v>PURNA2025-DKV2</v>
      </c>
      <c r="H232" s="3" t="str">
        <f>VLOOKUP($C232,Userpass!$A$2:$L$3001,12,FALSE)</f>
        <v>DKV2</v>
      </c>
      <c r="I232" s="5" t="s">
        <v>14</v>
      </c>
      <c r="J232" s="3">
        <v>2022.0</v>
      </c>
      <c r="K232" s="4" t="str">
        <f>VLOOKUP($C232,Userpass!$A$2:$R$3001,2,FALSE)</f>
        <v>dkv20227707.alumni@smkn12malang.sch.id</v>
      </c>
    </row>
    <row r="233" hidden="1">
      <c r="A233" s="3" t="str">
        <f t="shared" si="1"/>
        <v>OK</v>
      </c>
      <c r="B233" s="3" t="str">
        <f t="shared" si="2"/>
        <v>OK</v>
      </c>
      <c r="C233" s="3">
        <v>7714.0</v>
      </c>
      <c r="D233" s="4" t="s">
        <v>475</v>
      </c>
      <c r="E233" s="3" t="s">
        <v>476</v>
      </c>
      <c r="F233" s="3" t="s">
        <v>13</v>
      </c>
      <c r="G233" s="3" t="str">
        <f t="shared" si="3"/>
        <v>PURNA2025-DKV2</v>
      </c>
      <c r="H233" s="3" t="str">
        <f>VLOOKUP($C233,Userpass!$A$2:$L$3001,12,FALSE)</f>
        <v>DKV2</v>
      </c>
      <c r="I233" s="5" t="s">
        <v>14</v>
      </c>
      <c r="J233" s="3">
        <v>2022.0</v>
      </c>
      <c r="K233" s="4" t="str">
        <f>VLOOKUP($C233,Userpass!$A$2:$R$3001,2,FALSE)</f>
        <v>dkv20227714.alumni@smkn12malang.sch.id</v>
      </c>
    </row>
    <row r="234" hidden="1">
      <c r="A234" s="3" t="str">
        <f t="shared" si="1"/>
        <v>OK</v>
      </c>
      <c r="B234" s="3" t="str">
        <f t="shared" si="2"/>
        <v>OK</v>
      </c>
      <c r="C234" s="3">
        <v>7724.0</v>
      </c>
      <c r="D234" s="4" t="s">
        <v>477</v>
      </c>
      <c r="E234" s="3" t="s">
        <v>478</v>
      </c>
      <c r="F234" s="3" t="s">
        <v>13</v>
      </c>
      <c r="G234" s="3" t="str">
        <f t="shared" si="3"/>
        <v>PURNA2025-DKV2</v>
      </c>
      <c r="H234" s="3" t="str">
        <f>VLOOKUP($C234,Userpass!$A$2:$L$3001,12,FALSE)</f>
        <v>DKV2</v>
      </c>
      <c r="I234" s="5" t="s">
        <v>14</v>
      </c>
      <c r="J234" s="3">
        <v>2022.0</v>
      </c>
      <c r="K234" s="4" t="str">
        <f>VLOOKUP($C234,Userpass!$A$2:$R$3001,2,FALSE)</f>
        <v>dkv20227724.alumni@smkn12malang.sch.id</v>
      </c>
    </row>
    <row r="235" hidden="1">
      <c r="A235" s="3" t="str">
        <f t="shared" si="1"/>
        <v>OK</v>
      </c>
      <c r="B235" s="3" t="str">
        <f t="shared" si="2"/>
        <v>OK</v>
      </c>
      <c r="C235" s="3">
        <v>7751.0</v>
      </c>
      <c r="D235" s="4" t="s">
        <v>479</v>
      </c>
      <c r="E235" s="3" t="s">
        <v>480</v>
      </c>
      <c r="F235" s="3" t="s">
        <v>17</v>
      </c>
      <c r="G235" s="3" t="str">
        <f t="shared" si="3"/>
        <v>PURNA2025-DKV2</v>
      </c>
      <c r="H235" s="3" t="str">
        <f>VLOOKUP($C235,Userpass!$A$2:$L$3001,12,FALSE)</f>
        <v>DKV2</v>
      </c>
      <c r="I235" s="5" t="s">
        <v>14</v>
      </c>
      <c r="J235" s="3">
        <v>2022.0</v>
      </c>
      <c r="K235" s="4" t="str">
        <f>VLOOKUP($C235,Userpass!$A$2:$R$3001,2,FALSE)</f>
        <v>dkv20227751.alumni@smkn12malang.sch.id</v>
      </c>
    </row>
    <row r="236" hidden="1">
      <c r="A236" s="3" t="str">
        <f t="shared" si="1"/>
        <v>OK</v>
      </c>
      <c r="B236" s="3" t="str">
        <f t="shared" si="2"/>
        <v>OK</v>
      </c>
      <c r="C236" s="3">
        <v>7785.0</v>
      </c>
      <c r="D236" s="4" t="s">
        <v>481</v>
      </c>
      <c r="E236" s="3" t="s">
        <v>482</v>
      </c>
      <c r="F236" s="3" t="s">
        <v>17</v>
      </c>
      <c r="G236" s="3" t="str">
        <f t="shared" si="3"/>
        <v>PURNA2025-DKV2</v>
      </c>
      <c r="H236" s="3" t="str">
        <f>VLOOKUP($C236,Userpass!$A$2:$L$3001,12,FALSE)</f>
        <v>DKV2</v>
      </c>
      <c r="I236" s="5" t="s">
        <v>14</v>
      </c>
      <c r="J236" s="3">
        <v>2022.0</v>
      </c>
      <c r="K236" s="4" t="str">
        <f>VLOOKUP($C236,Userpass!$A$2:$R$3001,2,FALSE)</f>
        <v>dkv20227785.alumni@smkn12malang.sch.id</v>
      </c>
    </row>
    <row r="237" hidden="1">
      <c r="A237" s="3" t="str">
        <f t="shared" si="1"/>
        <v>OK</v>
      </c>
      <c r="B237" s="3" t="str">
        <f t="shared" si="2"/>
        <v>OK</v>
      </c>
      <c r="C237" s="3">
        <v>7787.0</v>
      </c>
      <c r="D237" s="4" t="s">
        <v>483</v>
      </c>
      <c r="E237" s="3" t="s">
        <v>484</v>
      </c>
      <c r="F237" s="3" t="s">
        <v>17</v>
      </c>
      <c r="G237" s="3" t="str">
        <f t="shared" si="3"/>
        <v>PURNA2025-DKV2</v>
      </c>
      <c r="H237" s="3" t="str">
        <f>VLOOKUP($C237,Userpass!$A$2:$L$3001,12,FALSE)</f>
        <v>DKV2</v>
      </c>
      <c r="I237" s="5" t="s">
        <v>14</v>
      </c>
      <c r="J237" s="3">
        <v>2022.0</v>
      </c>
      <c r="K237" s="4" t="str">
        <f>VLOOKUP($C237,Userpass!$A$2:$R$3001,2,FALSE)</f>
        <v>dkv20227787.alumni@smkn12malang.sch.id</v>
      </c>
    </row>
    <row r="238" hidden="1">
      <c r="A238" s="3" t="str">
        <f t="shared" si="1"/>
        <v>OK</v>
      </c>
      <c r="B238" s="3" t="str">
        <f t="shared" si="2"/>
        <v>OK</v>
      </c>
      <c r="C238" s="3">
        <v>7804.0</v>
      </c>
      <c r="D238" s="4" t="s">
        <v>485</v>
      </c>
      <c r="E238" s="3" t="s">
        <v>486</v>
      </c>
      <c r="F238" s="3" t="s">
        <v>17</v>
      </c>
      <c r="G238" s="3" t="str">
        <f t="shared" si="3"/>
        <v>PURNA2025-DKV2</v>
      </c>
      <c r="H238" s="3" t="str">
        <f>VLOOKUP($C238,Userpass!$A$2:$L$3001,12,FALSE)</f>
        <v>DKV2</v>
      </c>
      <c r="I238" s="5" t="s">
        <v>14</v>
      </c>
      <c r="J238" s="3">
        <v>2022.0</v>
      </c>
      <c r="K238" s="4" t="str">
        <f>VLOOKUP($C238,Userpass!$A$2:$R$3001,2,FALSE)</f>
        <v>dkv20227804.alumni@smkn12malang.sch.id</v>
      </c>
    </row>
    <row r="239" hidden="1">
      <c r="A239" s="3" t="str">
        <f t="shared" si="1"/>
        <v>OK</v>
      </c>
      <c r="B239" s="3" t="str">
        <f t="shared" si="2"/>
        <v>OK</v>
      </c>
      <c r="C239" s="3">
        <v>7809.0</v>
      </c>
      <c r="D239" s="4" t="s">
        <v>487</v>
      </c>
      <c r="E239" s="3" t="s">
        <v>488</v>
      </c>
      <c r="F239" s="3" t="s">
        <v>13</v>
      </c>
      <c r="G239" s="3" t="str">
        <f t="shared" si="3"/>
        <v>PURNA2025-DKV2</v>
      </c>
      <c r="H239" s="3" t="str">
        <f>VLOOKUP($C239,Userpass!$A$2:$L$3001,12,FALSE)</f>
        <v>DKV2</v>
      </c>
      <c r="I239" s="5" t="s">
        <v>14</v>
      </c>
      <c r="J239" s="3">
        <v>2022.0</v>
      </c>
      <c r="K239" s="4" t="str">
        <f>VLOOKUP($C239,Userpass!$A$2:$R$3001,2,FALSE)</f>
        <v>dkv20227809.alumni@smkn12malang.sch.id</v>
      </c>
    </row>
    <row r="240" hidden="1">
      <c r="A240" s="3" t="str">
        <f t="shared" si="1"/>
        <v>OK</v>
      </c>
      <c r="B240" s="3" t="str">
        <f t="shared" si="2"/>
        <v>OK</v>
      </c>
      <c r="C240" s="3">
        <v>7820.0</v>
      </c>
      <c r="D240" s="4" t="s">
        <v>489</v>
      </c>
      <c r="E240" s="3" t="s">
        <v>490</v>
      </c>
      <c r="F240" s="3" t="s">
        <v>17</v>
      </c>
      <c r="G240" s="3" t="str">
        <f t="shared" si="3"/>
        <v>PURNA2025-DKV2</v>
      </c>
      <c r="H240" s="3" t="str">
        <f>VLOOKUP($C240,Userpass!$A$2:$L$3001,12,FALSE)</f>
        <v>DKV2</v>
      </c>
      <c r="I240" s="5" t="s">
        <v>14</v>
      </c>
      <c r="J240" s="3">
        <v>2022.0</v>
      </c>
      <c r="K240" s="4" t="str">
        <f>VLOOKUP($C240,Userpass!$A$2:$R$3001,2,FALSE)</f>
        <v>dkv20227820.alumni@smkn12malang.sch.id</v>
      </c>
    </row>
    <row r="241" hidden="1">
      <c r="A241" s="3" t="str">
        <f t="shared" si="1"/>
        <v>OK</v>
      </c>
      <c r="B241" s="3" t="str">
        <f t="shared" si="2"/>
        <v>OK</v>
      </c>
      <c r="C241" s="3">
        <v>7838.0</v>
      </c>
      <c r="D241" s="4" t="s">
        <v>491</v>
      </c>
      <c r="E241" s="3" t="s">
        <v>492</v>
      </c>
      <c r="F241" s="3" t="s">
        <v>13</v>
      </c>
      <c r="G241" s="3" t="str">
        <f t="shared" si="3"/>
        <v>PURNA2025-DKV2</v>
      </c>
      <c r="H241" s="3" t="str">
        <f>VLOOKUP($C241,Userpass!$A$2:$L$3001,12,FALSE)</f>
        <v>DKV2</v>
      </c>
      <c r="I241" s="5" t="s">
        <v>14</v>
      </c>
      <c r="J241" s="3">
        <v>2022.0</v>
      </c>
      <c r="K241" s="4" t="str">
        <f>VLOOKUP($C241,Userpass!$A$2:$R$3001,2,FALSE)</f>
        <v>dkv20227838.alumni@smkn12malang.sch.id</v>
      </c>
    </row>
    <row r="242" hidden="1">
      <c r="A242" s="3" t="str">
        <f t="shared" si="1"/>
        <v>OK</v>
      </c>
      <c r="B242" s="3" t="str">
        <f t="shared" si="2"/>
        <v>OK</v>
      </c>
      <c r="C242" s="3">
        <v>7854.0</v>
      </c>
      <c r="D242" s="4" t="s">
        <v>493</v>
      </c>
      <c r="E242" s="3" t="s">
        <v>494</v>
      </c>
      <c r="F242" s="3" t="s">
        <v>17</v>
      </c>
      <c r="G242" s="3" t="str">
        <f t="shared" si="3"/>
        <v>PURNA2025-DKV2</v>
      </c>
      <c r="H242" s="3" t="str">
        <f>VLOOKUP($C242,Userpass!$A$2:$L$3001,12,FALSE)</f>
        <v>DKV2</v>
      </c>
      <c r="I242" s="5" t="s">
        <v>14</v>
      </c>
      <c r="J242" s="3">
        <v>2022.0</v>
      </c>
      <c r="K242" s="4" t="str">
        <f>VLOOKUP($C242,Userpass!$A$2:$R$3001,2,FALSE)</f>
        <v>dkv20227854.alumni@smkn12malang.sch.id</v>
      </c>
    </row>
    <row r="243" hidden="1">
      <c r="A243" s="3" t="str">
        <f t="shared" si="1"/>
        <v>OK</v>
      </c>
      <c r="B243" s="3" t="str">
        <f t="shared" si="2"/>
        <v>OK</v>
      </c>
      <c r="C243" s="3">
        <v>7877.0</v>
      </c>
      <c r="D243" s="4" t="s">
        <v>495</v>
      </c>
      <c r="E243" s="3" t="s">
        <v>496</v>
      </c>
      <c r="F243" s="3" t="s">
        <v>17</v>
      </c>
      <c r="G243" s="3" t="str">
        <f t="shared" si="3"/>
        <v>PURNA2025-DKV2</v>
      </c>
      <c r="H243" s="3" t="str">
        <f>VLOOKUP($C243,Userpass!$A$2:$L$3001,12,FALSE)</f>
        <v>DKV2</v>
      </c>
      <c r="I243" s="5" t="s">
        <v>14</v>
      </c>
      <c r="J243" s="3">
        <v>2022.0</v>
      </c>
      <c r="K243" s="4" t="str">
        <f>VLOOKUP($C243,Userpass!$A$2:$R$3001,2,FALSE)</f>
        <v>dkv20227877.alumni@smkn12malang.sch.id</v>
      </c>
    </row>
    <row r="244" hidden="1">
      <c r="A244" s="3" t="str">
        <f t="shared" si="1"/>
        <v>OK</v>
      </c>
      <c r="B244" s="3" t="str">
        <f t="shared" si="2"/>
        <v>OK</v>
      </c>
      <c r="C244" s="3">
        <v>7882.0</v>
      </c>
      <c r="D244" s="4" t="s">
        <v>497</v>
      </c>
      <c r="E244" s="3" t="s">
        <v>498</v>
      </c>
      <c r="F244" s="3" t="s">
        <v>13</v>
      </c>
      <c r="G244" s="3" t="str">
        <f t="shared" si="3"/>
        <v>PURNA2025-DKV2</v>
      </c>
      <c r="H244" s="3" t="str">
        <f>VLOOKUP($C244,Userpass!$A$2:$L$3001,12,FALSE)</f>
        <v>DKV2</v>
      </c>
      <c r="I244" s="5" t="s">
        <v>14</v>
      </c>
      <c r="J244" s="3">
        <v>2022.0</v>
      </c>
      <c r="K244" s="4" t="str">
        <f>VLOOKUP($C244,Userpass!$A$2:$R$3001,2,FALSE)</f>
        <v>dkv20227882.alumni@smkn12malang.sch.id</v>
      </c>
    </row>
    <row r="245" hidden="1">
      <c r="A245" s="3" t="str">
        <f t="shared" si="1"/>
        <v>OK</v>
      </c>
      <c r="B245" s="3" t="str">
        <f t="shared" si="2"/>
        <v>OK</v>
      </c>
      <c r="C245" s="3">
        <v>7885.0</v>
      </c>
      <c r="D245" s="4" t="s">
        <v>499</v>
      </c>
      <c r="E245" s="3" t="s">
        <v>500</v>
      </c>
      <c r="F245" s="3" t="s">
        <v>13</v>
      </c>
      <c r="G245" s="3" t="str">
        <f t="shared" si="3"/>
        <v>PURNA2025-DKV2</v>
      </c>
      <c r="H245" s="3" t="str">
        <f>VLOOKUP($C245,Userpass!$A$2:$L$3001,12,FALSE)</f>
        <v>DKV2</v>
      </c>
      <c r="I245" s="5" t="s">
        <v>14</v>
      </c>
      <c r="J245" s="3">
        <v>2022.0</v>
      </c>
      <c r="K245" s="4" t="str">
        <f>VLOOKUP($C245,Userpass!$A$2:$R$3001,2,FALSE)</f>
        <v>dkv20227885.alumni@smkn12malang.sch.id</v>
      </c>
    </row>
    <row r="246" hidden="1">
      <c r="A246" s="3" t="str">
        <f t="shared" si="1"/>
        <v>OK</v>
      </c>
      <c r="B246" s="3" t="str">
        <f t="shared" si="2"/>
        <v>OK</v>
      </c>
      <c r="C246" s="3">
        <v>7889.0</v>
      </c>
      <c r="D246" s="4" t="s">
        <v>501</v>
      </c>
      <c r="E246" s="3" t="s">
        <v>502</v>
      </c>
      <c r="F246" s="3" t="s">
        <v>13</v>
      </c>
      <c r="G246" s="3" t="str">
        <f t="shared" si="3"/>
        <v>PURNA2025-DKV2</v>
      </c>
      <c r="H246" s="3" t="str">
        <f>VLOOKUP($C246,Userpass!$A$2:$L$3001,12,FALSE)</f>
        <v>DKV2</v>
      </c>
      <c r="I246" s="5" t="s">
        <v>14</v>
      </c>
      <c r="J246" s="3">
        <v>2022.0</v>
      </c>
      <c r="K246" s="4" t="str">
        <f>VLOOKUP($C246,Userpass!$A$2:$R$3001,2,FALSE)</f>
        <v>dkv20227889.alumni@smkn12malang.sch.id</v>
      </c>
    </row>
    <row r="247" hidden="1">
      <c r="A247" s="3" t="str">
        <f t="shared" si="1"/>
        <v>OK</v>
      </c>
      <c r="B247" s="3" t="str">
        <f t="shared" si="2"/>
        <v>OK</v>
      </c>
      <c r="C247" s="3">
        <v>7896.0</v>
      </c>
      <c r="D247" s="4" t="s">
        <v>503</v>
      </c>
      <c r="E247" s="3" t="s">
        <v>504</v>
      </c>
      <c r="F247" s="3" t="s">
        <v>17</v>
      </c>
      <c r="G247" s="3" t="str">
        <f t="shared" si="3"/>
        <v>PURNA2025-DKV2</v>
      </c>
      <c r="H247" s="3" t="str">
        <f>VLOOKUP($C247,Userpass!$A$2:$L$3001,12,FALSE)</f>
        <v>DKV2</v>
      </c>
      <c r="I247" s="5" t="s">
        <v>14</v>
      </c>
      <c r="J247" s="3">
        <v>2022.0</v>
      </c>
      <c r="K247" s="4" t="str">
        <f>VLOOKUP($C247,Userpass!$A$2:$R$3001,2,FALSE)</f>
        <v>dkv20227896.alumni@smkn12malang.sch.id</v>
      </c>
    </row>
    <row r="248" hidden="1">
      <c r="A248" s="3" t="str">
        <f t="shared" si="1"/>
        <v>OK</v>
      </c>
      <c r="B248" s="3" t="str">
        <f t="shared" si="2"/>
        <v>OK</v>
      </c>
      <c r="C248" s="3">
        <v>7916.0</v>
      </c>
      <c r="D248" s="4" t="s">
        <v>505</v>
      </c>
      <c r="E248" s="3" t="s">
        <v>506</v>
      </c>
      <c r="F248" s="3" t="s">
        <v>13</v>
      </c>
      <c r="G248" s="3" t="str">
        <f t="shared" si="3"/>
        <v>PURNA2025-DKV2</v>
      </c>
      <c r="H248" s="3" t="str">
        <f>VLOOKUP($C248,Userpass!$A$2:$L$3001,12,FALSE)</f>
        <v>DKV2</v>
      </c>
      <c r="I248" s="5" t="s">
        <v>14</v>
      </c>
      <c r="J248" s="3">
        <v>2022.0</v>
      </c>
      <c r="K248" s="4" t="str">
        <f>VLOOKUP($C248,Userpass!$A$2:$R$3001,2,FALSE)</f>
        <v>dkv20227916.alumni@smkn12malang.sch.id</v>
      </c>
    </row>
    <row r="249" hidden="1">
      <c r="A249" s="3" t="str">
        <f t="shared" si="1"/>
        <v>OK</v>
      </c>
      <c r="B249" s="3" t="str">
        <f t="shared" si="2"/>
        <v>OK</v>
      </c>
      <c r="C249" s="3">
        <v>7966.0</v>
      </c>
      <c r="D249" s="4" t="s">
        <v>507</v>
      </c>
      <c r="E249" s="3" t="s">
        <v>508</v>
      </c>
      <c r="F249" s="3" t="s">
        <v>13</v>
      </c>
      <c r="G249" s="3" t="str">
        <f t="shared" si="3"/>
        <v>PURNA2025-DKV2</v>
      </c>
      <c r="H249" s="3" t="str">
        <f>VLOOKUP($C249,Userpass!$A$2:$L$3001,12,FALSE)</f>
        <v>DKV2</v>
      </c>
      <c r="I249" s="5" t="s">
        <v>14</v>
      </c>
      <c r="J249" s="3">
        <v>2022.0</v>
      </c>
      <c r="K249" s="4" t="str">
        <f>VLOOKUP($C249,Userpass!$A$2:$R$3001,2,FALSE)</f>
        <v>dkv20227966.alumni@smkn12malang.sch.id</v>
      </c>
    </row>
    <row r="250" hidden="1">
      <c r="A250" s="3" t="str">
        <f t="shared" si="1"/>
        <v>OK</v>
      </c>
      <c r="B250" s="3" t="str">
        <f t="shared" si="2"/>
        <v>OK</v>
      </c>
      <c r="C250" s="3">
        <v>7977.0</v>
      </c>
      <c r="D250" s="4" t="s">
        <v>509</v>
      </c>
      <c r="E250" s="3" t="s">
        <v>510</v>
      </c>
      <c r="F250" s="3" t="s">
        <v>13</v>
      </c>
      <c r="G250" s="3" t="str">
        <f t="shared" si="3"/>
        <v>PURNA2025-DKV2</v>
      </c>
      <c r="H250" s="3" t="str">
        <f>VLOOKUP($C250,Userpass!$A$2:$L$3001,12,FALSE)</f>
        <v>DKV2</v>
      </c>
      <c r="I250" s="5" t="s">
        <v>14</v>
      </c>
      <c r="J250" s="3">
        <v>2022.0</v>
      </c>
      <c r="K250" s="4" t="str">
        <f>VLOOKUP($C250,Userpass!$A$2:$R$3001,2,FALSE)</f>
        <v>dkv20227977.alumni@smkn12malang.sch.id</v>
      </c>
    </row>
    <row r="251" hidden="1">
      <c r="A251" s="3" t="str">
        <f t="shared" si="1"/>
        <v>OK</v>
      </c>
      <c r="B251" s="3" t="str">
        <f t="shared" si="2"/>
        <v>OK</v>
      </c>
      <c r="C251" s="3">
        <v>8000.0</v>
      </c>
      <c r="D251" s="4" t="s">
        <v>511</v>
      </c>
      <c r="E251" s="3" t="s">
        <v>512</v>
      </c>
      <c r="F251" s="3" t="s">
        <v>17</v>
      </c>
      <c r="G251" s="3" t="str">
        <f t="shared" si="3"/>
        <v>PURNA2025-DKV2</v>
      </c>
      <c r="H251" s="3" t="str">
        <f>VLOOKUP($C251,Userpass!$A$2:$L$3001,12,FALSE)</f>
        <v>DKV2</v>
      </c>
      <c r="I251" s="5" t="s">
        <v>14</v>
      </c>
      <c r="J251" s="3">
        <v>2022.0</v>
      </c>
      <c r="K251" s="4" t="str">
        <f>VLOOKUP($C251,Userpass!$A$2:$R$3001,2,FALSE)</f>
        <v>dkv20228000.alumni@smkn12malang.sch.id</v>
      </c>
    </row>
    <row r="252" hidden="1">
      <c r="A252" s="3" t="str">
        <f t="shared" si="1"/>
        <v>OK</v>
      </c>
      <c r="B252" s="3" t="str">
        <f t="shared" si="2"/>
        <v>OK</v>
      </c>
      <c r="C252" s="3">
        <v>8014.0</v>
      </c>
      <c r="D252" s="4" t="s">
        <v>513</v>
      </c>
      <c r="E252" s="3" t="s">
        <v>514</v>
      </c>
      <c r="F252" s="3" t="s">
        <v>17</v>
      </c>
      <c r="G252" s="3" t="str">
        <f t="shared" si="3"/>
        <v>PURNA2025-DKV2</v>
      </c>
      <c r="H252" s="3" t="str">
        <f>VLOOKUP($C252,Userpass!$A$2:$L$3001,12,FALSE)</f>
        <v>DKV2</v>
      </c>
      <c r="I252" s="5" t="s">
        <v>14</v>
      </c>
      <c r="J252" s="3">
        <v>2022.0</v>
      </c>
      <c r="K252" s="4" t="str">
        <f>VLOOKUP($C252,Userpass!$A$2:$R$3001,2,FALSE)</f>
        <v>dkv20228014.alumni@smkn12malang.sch.id</v>
      </c>
    </row>
    <row r="253" hidden="1">
      <c r="A253" s="3" t="str">
        <f t="shared" si="1"/>
        <v>OK</v>
      </c>
      <c r="B253" s="3" t="str">
        <f t="shared" si="2"/>
        <v>OK</v>
      </c>
      <c r="C253" s="3">
        <v>7440.0</v>
      </c>
      <c r="D253" s="4" t="s">
        <v>515</v>
      </c>
      <c r="E253" s="3" t="s">
        <v>516</v>
      </c>
      <c r="F253" s="3" t="s">
        <v>13</v>
      </c>
      <c r="G253" s="3" t="str">
        <f t="shared" si="3"/>
        <v>PURNA2025-JKT1</v>
      </c>
      <c r="H253" s="3" t="str">
        <f>VLOOKUP($C253,Userpass!$A$2:$L$3001,12,FALSE)</f>
        <v>JKT1</v>
      </c>
      <c r="I253" s="5" t="s">
        <v>14</v>
      </c>
      <c r="J253" s="3">
        <v>2022.0</v>
      </c>
      <c r="K253" s="4" t="str">
        <f>VLOOKUP($C253,Userpass!$A$2:$R$3001,2,FALSE)</f>
        <v>jkt20227440.alumni@smkn12malang.sch.id</v>
      </c>
    </row>
    <row r="254" hidden="1">
      <c r="A254" s="3" t="str">
        <f t="shared" si="1"/>
        <v>OK</v>
      </c>
      <c r="B254" s="3" t="str">
        <f t="shared" si="2"/>
        <v>OK</v>
      </c>
      <c r="C254" s="3">
        <v>7443.0</v>
      </c>
      <c r="D254" s="4" t="s">
        <v>517</v>
      </c>
      <c r="E254" s="3" t="s">
        <v>518</v>
      </c>
      <c r="F254" s="3" t="s">
        <v>17</v>
      </c>
      <c r="G254" s="3" t="str">
        <f t="shared" si="3"/>
        <v>PURNA2025-JKT1</v>
      </c>
      <c r="H254" s="3" t="str">
        <f>VLOOKUP($C254,Userpass!$A$2:$L$3001,12,FALSE)</f>
        <v>JKT1</v>
      </c>
      <c r="I254" s="5" t="s">
        <v>14</v>
      </c>
      <c r="J254" s="3">
        <v>2022.0</v>
      </c>
      <c r="K254" s="4" t="str">
        <f>VLOOKUP($C254,Userpass!$A$2:$R$3001,2,FALSE)</f>
        <v>jkt20227443.alumni@smkn12malang.sch.id</v>
      </c>
    </row>
    <row r="255" hidden="1">
      <c r="A255" s="3" t="str">
        <f t="shared" si="1"/>
        <v>OK</v>
      </c>
      <c r="B255" s="3" t="str">
        <f t="shared" si="2"/>
        <v>OK</v>
      </c>
      <c r="C255" s="3">
        <v>7450.0</v>
      </c>
      <c r="D255" s="4" t="s">
        <v>519</v>
      </c>
      <c r="E255" s="3" t="s">
        <v>520</v>
      </c>
      <c r="F255" s="3" t="s">
        <v>13</v>
      </c>
      <c r="G255" s="3" t="str">
        <f t="shared" si="3"/>
        <v>PURNA2025-JKT1</v>
      </c>
      <c r="H255" s="3" t="str">
        <f>VLOOKUP($C255,Userpass!$A$2:$L$3001,12,FALSE)</f>
        <v>JKT1</v>
      </c>
      <c r="I255" s="5" t="s">
        <v>14</v>
      </c>
      <c r="J255" s="3">
        <v>2022.0</v>
      </c>
      <c r="K255" s="4" t="str">
        <f>VLOOKUP($C255,Userpass!$A$2:$R$3001,2,FALSE)</f>
        <v>jkt20227450.alumni@smkn12malang.sch.id</v>
      </c>
    </row>
    <row r="256" hidden="1">
      <c r="A256" s="3" t="str">
        <f t="shared" si="1"/>
        <v>OK</v>
      </c>
      <c r="B256" s="3" t="str">
        <f t="shared" si="2"/>
        <v>OK</v>
      </c>
      <c r="C256" s="3">
        <v>7468.0</v>
      </c>
      <c r="D256" s="4" t="s">
        <v>521</v>
      </c>
      <c r="E256" s="3" t="s">
        <v>522</v>
      </c>
      <c r="F256" s="3" t="s">
        <v>17</v>
      </c>
      <c r="G256" s="3" t="str">
        <f t="shared" si="3"/>
        <v>PURNA2025-JKT1</v>
      </c>
      <c r="H256" s="3" t="str">
        <f>VLOOKUP($C256,Userpass!$A$2:$L$3001,12,FALSE)</f>
        <v>JKT1</v>
      </c>
      <c r="I256" s="5" t="s">
        <v>14</v>
      </c>
      <c r="J256" s="3">
        <v>2022.0</v>
      </c>
      <c r="K256" s="4" t="str">
        <f>VLOOKUP($C256,Userpass!$A$2:$R$3001,2,FALSE)</f>
        <v>jkt20227468.alumni@smkn12malang.sch.id</v>
      </c>
    </row>
    <row r="257" hidden="1">
      <c r="A257" s="3" t="str">
        <f t="shared" si="1"/>
        <v>OK</v>
      </c>
      <c r="B257" s="3" t="str">
        <f t="shared" si="2"/>
        <v>OK</v>
      </c>
      <c r="C257" s="3">
        <v>7490.0</v>
      </c>
      <c r="D257" s="4" t="s">
        <v>523</v>
      </c>
      <c r="E257" s="3" t="s">
        <v>524</v>
      </c>
      <c r="F257" s="3" t="s">
        <v>13</v>
      </c>
      <c r="G257" s="3" t="str">
        <f t="shared" si="3"/>
        <v>PURNA2025-JKT1</v>
      </c>
      <c r="H257" s="3" t="str">
        <f>VLOOKUP($C257,Userpass!$A$2:$L$3001,12,FALSE)</f>
        <v>JKT1</v>
      </c>
      <c r="I257" s="5" t="s">
        <v>14</v>
      </c>
      <c r="J257" s="3">
        <v>2022.0</v>
      </c>
      <c r="K257" s="4" t="str">
        <f>VLOOKUP($C257,Userpass!$A$2:$R$3001,2,FALSE)</f>
        <v>jkt20227490.alumni@smkn12malang.sch.id</v>
      </c>
    </row>
    <row r="258" hidden="1">
      <c r="A258" s="3" t="str">
        <f t="shared" si="1"/>
        <v>OK</v>
      </c>
      <c r="B258" s="3" t="str">
        <f t="shared" si="2"/>
        <v>OK</v>
      </c>
      <c r="C258" s="3">
        <v>7495.0</v>
      </c>
      <c r="D258" s="4" t="s">
        <v>525</v>
      </c>
      <c r="E258" s="3" t="s">
        <v>526</v>
      </c>
      <c r="F258" s="3" t="s">
        <v>17</v>
      </c>
      <c r="G258" s="3" t="str">
        <f t="shared" si="3"/>
        <v>PURNA2025-JKT1</v>
      </c>
      <c r="H258" s="3" t="str">
        <f>VLOOKUP($C258,Userpass!$A$2:$L$3001,12,FALSE)</f>
        <v>JKT1</v>
      </c>
      <c r="I258" s="5" t="s">
        <v>14</v>
      </c>
      <c r="J258" s="3">
        <v>2022.0</v>
      </c>
      <c r="K258" s="4" t="str">
        <f>VLOOKUP($C258,Userpass!$A$2:$R$3001,2,FALSE)</f>
        <v>jkt20227495.alumni@smkn12malang.sch.id</v>
      </c>
    </row>
    <row r="259" hidden="1">
      <c r="A259" s="3" t="str">
        <f t="shared" si="1"/>
        <v>OK</v>
      </c>
      <c r="B259" s="3" t="str">
        <f t="shared" si="2"/>
        <v>OK</v>
      </c>
      <c r="C259" s="3">
        <v>7520.0</v>
      </c>
      <c r="D259" s="4" t="s">
        <v>527</v>
      </c>
      <c r="E259" s="3" t="s">
        <v>528</v>
      </c>
      <c r="F259" s="3" t="s">
        <v>13</v>
      </c>
      <c r="G259" s="3" t="str">
        <f t="shared" si="3"/>
        <v>PURNA2025-JKT1</v>
      </c>
      <c r="H259" s="3" t="str">
        <f>VLOOKUP($C259,Userpass!$A$2:$L$3001,12,FALSE)</f>
        <v>JKT1</v>
      </c>
      <c r="I259" s="5" t="s">
        <v>14</v>
      </c>
      <c r="J259" s="3">
        <v>2022.0</v>
      </c>
      <c r="K259" s="4" t="str">
        <f>VLOOKUP($C259,Userpass!$A$2:$R$3001,2,FALSE)</f>
        <v>jkt20227520.alumni@smkn12malang.sch.id</v>
      </c>
    </row>
    <row r="260" hidden="1">
      <c r="A260" s="3" t="str">
        <f t="shared" si="1"/>
        <v>OK</v>
      </c>
      <c r="B260" s="3" t="str">
        <f t="shared" si="2"/>
        <v>OK</v>
      </c>
      <c r="C260" s="3">
        <v>7544.0</v>
      </c>
      <c r="D260" s="4" t="s">
        <v>529</v>
      </c>
      <c r="E260" s="3" t="s">
        <v>530</v>
      </c>
      <c r="F260" s="3" t="s">
        <v>17</v>
      </c>
      <c r="G260" s="3" t="str">
        <f t="shared" si="3"/>
        <v>PURNA2025-JKT1</v>
      </c>
      <c r="H260" s="3" t="str">
        <f>VLOOKUP($C260,Userpass!$A$2:$L$3001,12,FALSE)</f>
        <v>JKT1</v>
      </c>
      <c r="I260" s="5" t="s">
        <v>14</v>
      </c>
      <c r="J260" s="3">
        <v>2022.0</v>
      </c>
      <c r="K260" s="4" t="str">
        <f>VLOOKUP($C260,Userpass!$A$2:$R$3001,2,FALSE)</f>
        <v>jkt20227544.alumni@smkn12malang.sch.id</v>
      </c>
    </row>
    <row r="261" hidden="1">
      <c r="A261" s="3" t="str">
        <f t="shared" si="1"/>
        <v>OK</v>
      </c>
      <c r="B261" s="3" t="str">
        <f t="shared" si="2"/>
        <v>OK</v>
      </c>
      <c r="C261" s="3">
        <v>7562.0</v>
      </c>
      <c r="D261" s="4" t="s">
        <v>531</v>
      </c>
      <c r="E261" s="3" t="s">
        <v>532</v>
      </c>
      <c r="F261" s="3" t="s">
        <v>17</v>
      </c>
      <c r="G261" s="3" t="str">
        <f t="shared" si="3"/>
        <v>PURNA2025-JKT1</v>
      </c>
      <c r="H261" s="3" t="str">
        <f>VLOOKUP($C261,Userpass!$A$2:$L$3001,12,FALSE)</f>
        <v>JKT1</v>
      </c>
      <c r="I261" s="5" t="s">
        <v>14</v>
      </c>
      <c r="J261" s="3">
        <v>2022.0</v>
      </c>
      <c r="K261" s="4" t="str">
        <f>VLOOKUP($C261,Userpass!$A$2:$R$3001,2,FALSE)</f>
        <v>jkt20227562.alumni@smkn12malang.sch.id</v>
      </c>
    </row>
    <row r="262" hidden="1">
      <c r="A262" s="3" t="str">
        <f t="shared" si="1"/>
        <v>OK</v>
      </c>
      <c r="B262" s="3" t="str">
        <f t="shared" si="2"/>
        <v>OK</v>
      </c>
      <c r="C262" s="3">
        <v>7579.0</v>
      </c>
      <c r="D262" s="4" t="s">
        <v>533</v>
      </c>
      <c r="E262" s="3" t="s">
        <v>534</v>
      </c>
      <c r="F262" s="3" t="s">
        <v>17</v>
      </c>
      <c r="G262" s="3" t="str">
        <f t="shared" si="3"/>
        <v>PURNA2025-JKT1</v>
      </c>
      <c r="H262" s="3" t="str">
        <f>VLOOKUP($C262,Userpass!$A$2:$L$3001,12,FALSE)</f>
        <v>JKT1</v>
      </c>
      <c r="I262" s="5" t="s">
        <v>14</v>
      </c>
      <c r="J262" s="3">
        <v>2022.0</v>
      </c>
      <c r="K262" s="4" t="str">
        <f>VLOOKUP($C262,Userpass!$A$2:$R$3001,2,FALSE)</f>
        <v>jkt20227579.alumni@smkn12malang.sch.id</v>
      </c>
    </row>
    <row r="263" hidden="1">
      <c r="A263" s="3" t="str">
        <f t="shared" si="1"/>
        <v>OK</v>
      </c>
      <c r="B263" s="3" t="str">
        <f t="shared" si="2"/>
        <v>OK</v>
      </c>
      <c r="C263" s="3">
        <v>7605.0</v>
      </c>
      <c r="D263" s="4" t="s">
        <v>535</v>
      </c>
      <c r="E263" s="3" t="s">
        <v>536</v>
      </c>
      <c r="F263" s="3" t="s">
        <v>17</v>
      </c>
      <c r="G263" s="3" t="str">
        <f t="shared" si="3"/>
        <v>PURNA2025-JKT1</v>
      </c>
      <c r="H263" s="3" t="str">
        <f>VLOOKUP($C263,Userpass!$A$2:$L$3001,12,FALSE)</f>
        <v>JKT1</v>
      </c>
      <c r="I263" s="5" t="s">
        <v>14</v>
      </c>
      <c r="J263" s="3">
        <v>2022.0</v>
      </c>
      <c r="K263" s="4" t="str">
        <f>VLOOKUP($C263,Userpass!$A$2:$R$3001,2,FALSE)</f>
        <v>jkt20227605.alumni@smkn12malang.sch.id</v>
      </c>
    </row>
    <row r="264" hidden="1">
      <c r="A264" s="3" t="str">
        <f t="shared" si="1"/>
        <v>OK</v>
      </c>
      <c r="B264" s="3" t="str">
        <f t="shared" si="2"/>
        <v>OK</v>
      </c>
      <c r="C264" s="3">
        <v>7609.0</v>
      </c>
      <c r="D264" s="4" t="s">
        <v>537</v>
      </c>
      <c r="E264" s="3" t="s">
        <v>538</v>
      </c>
      <c r="F264" s="3" t="s">
        <v>17</v>
      </c>
      <c r="G264" s="3" t="str">
        <f t="shared" si="3"/>
        <v>PURNA2025-JKT1</v>
      </c>
      <c r="H264" s="3" t="str">
        <f>VLOOKUP($C264,Userpass!$A$2:$L$3001,12,FALSE)</f>
        <v>JKT1</v>
      </c>
      <c r="I264" s="5" t="s">
        <v>14</v>
      </c>
      <c r="J264" s="3">
        <v>2022.0</v>
      </c>
      <c r="K264" s="4" t="str">
        <f>VLOOKUP($C264,Userpass!$A$2:$R$3001,2,FALSE)</f>
        <v>jkt20227609.alumni@smkn12malang.sch.id</v>
      </c>
    </row>
    <row r="265" hidden="1">
      <c r="A265" s="3" t="str">
        <f t="shared" si="1"/>
        <v>OK</v>
      </c>
      <c r="B265" s="3" t="str">
        <f t="shared" si="2"/>
        <v>OK</v>
      </c>
      <c r="C265" s="3">
        <v>7623.0</v>
      </c>
      <c r="D265" s="4" t="s">
        <v>539</v>
      </c>
      <c r="E265" s="3" t="s">
        <v>540</v>
      </c>
      <c r="F265" s="3" t="s">
        <v>17</v>
      </c>
      <c r="G265" s="3" t="str">
        <f t="shared" si="3"/>
        <v>PURNA2025-JKT1</v>
      </c>
      <c r="H265" s="3" t="str">
        <f>VLOOKUP($C265,Userpass!$A$2:$L$3001,12,FALSE)</f>
        <v>JKT1</v>
      </c>
      <c r="I265" s="5" t="s">
        <v>14</v>
      </c>
      <c r="J265" s="3">
        <v>2022.0</v>
      </c>
      <c r="K265" s="4" t="str">
        <f>VLOOKUP($C265,Userpass!$A$2:$R$3001,2,FALSE)</f>
        <v>jkt20227623.alumni@smkn12malang.sch.id</v>
      </c>
    </row>
    <row r="266" hidden="1">
      <c r="A266" s="3" t="str">
        <f t="shared" si="1"/>
        <v>OK</v>
      </c>
      <c r="B266" s="3" t="str">
        <f t="shared" si="2"/>
        <v>OK</v>
      </c>
      <c r="C266" s="3">
        <v>7639.0</v>
      </c>
      <c r="D266" s="4" t="s">
        <v>541</v>
      </c>
      <c r="E266" s="3" t="s">
        <v>542</v>
      </c>
      <c r="F266" s="3" t="s">
        <v>13</v>
      </c>
      <c r="G266" s="3" t="str">
        <f t="shared" si="3"/>
        <v>PURNA2025-JKT1</v>
      </c>
      <c r="H266" s="3" t="str">
        <f>VLOOKUP($C266,Userpass!$A$2:$L$3001,12,FALSE)</f>
        <v>JKT1</v>
      </c>
      <c r="I266" s="5" t="s">
        <v>14</v>
      </c>
      <c r="J266" s="3">
        <v>2022.0</v>
      </c>
      <c r="K266" s="4" t="str">
        <f>VLOOKUP($C266,Userpass!$A$2:$R$3001,2,FALSE)</f>
        <v>jkt20227639.alumni@smkn12malang.sch.id</v>
      </c>
    </row>
    <row r="267" hidden="1">
      <c r="A267" s="3" t="str">
        <f t="shared" si="1"/>
        <v>OK</v>
      </c>
      <c r="B267" s="3" t="str">
        <f t="shared" si="2"/>
        <v>OK</v>
      </c>
      <c r="C267" s="3">
        <v>7651.0</v>
      </c>
      <c r="D267" s="4" t="s">
        <v>543</v>
      </c>
      <c r="E267" s="3" t="s">
        <v>544</v>
      </c>
      <c r="F267" s="3" t="s">
        <v>17</v>
      </c>
      <c r="G267" s="3" t="str">
        <f t="shared" si="3"/>
        <v>PURNA2025-JKT1</v>
      </c>
      <c r="H267" s="3" t="str">
        <f>VLOOKUP($C267,Userpass!$A$2:$L$3001,12,FALSE)</f>
        <v>JKT1</v>
      </c>
      <c r="I267" s="5" t="s">
        <v>14</v>
      </c>
      <c r="J267" s="3">
        <v>2022.0</v>
      </c>
      <c r="K267" s="4" t="str">
        <f>VLOOKUP($C267,Userpass!$A$2:$R$3001,2,FALSE)</f>
        <v>jkt20227651.alumni@smkn12malang.sch.id</v>
      </c>
    </row>
    <row r="268" hidden="1">
      <c r="A268" s="3" t="str">
        <f t="shared" si="1"/>
        <v>OK</v>
      </c>
      <c r="B268" s="3" t="str">
        <f t="shared" si="2"/>
        <v>OK</v>
      </c>
      <c r="C268" s="3">
        <v>7675.0</v>
      </c>
      <c r="D268" s="4" t="s">
        <v>545</v>
      </c>
      <c r="E268" s="3" t="s">
        <v>546</v>
      </c>
      <c r="F268" s="3" t="s">
        <v>17</v>
      </c>
      <c r="G268" s="3" t="str">
        <f t="shared" si="3"/>
        <v>PURNA2025-JKT1</v>
      </c>
      <c r="H268" s="3" t="str">
        <f>VLOOKUP($C268,Userpass!$A$2:$L$3001,12,FALSE)</f>
        <v>JKT1</v>
      </c>
      <c r="I268" s="5" t="s">
        <v>14</v>
      </c>
      <c r="J268" s="3">
        <v>2022.0</v>
      </c>
      <c r="K268" s="4" t="str">
        <f>VLOOKUP($C268,Userpass!$A$2:$R$3001,2,FALSE)</f>
        <v>jkt20227675.alumni@smkn12malang.sch.id</v>
      </c>
    </row>
    <row r="269" hidden="1">
      <c r="A269" s="3" t="str">
        <f t="shared" si="1"/>
        <v>OK</v>
      </c>
      <c r="B269" s="3" t="str">
        <f t="shared" si="2"/>
        <v>OK</v>
      </c>
      <c r="C269" s="3">
        <v>7698.0</v>
      </c>
      <c r="D269" s="4" t="s">
        <v>547</v>
      </c>
      <c r="E269" s="3" t="s">
        <v>548</v>
      </c>
      <c r="F269" s="3" t="s">
        <v>17</v>
      </c>
      <c r="G269" s="3" t="str">
        <f t="shared" si="3"/>
        <v>PURNA2025-JKT1</v>
      </c>
      <c r="H269" s="3" t="str">
        <f>VLOOKUP($C269,Userpass!$A$2:$L$3001,12,FALSE)</f>
        <v>JKT1</v>
      </c>
      <c r="I269" s="5" t="s">
        <v>14</v>
      </c>
      <c r="J269" s="3">
        <v>2022.0</v>
      </c>
      <c r="K269" s="4" t="str">
        <f>VLOOKUP($C269,Userpass!$A$2:$R$3001,2,FALSE)</f>
        <v>jkt20227698.alumni@smkn12malang.sch.id</v>
      </c>
    </row>
    <row r="270" hidden="1">
      <c r="A270" s="3" t="str">
        <f t="shared" si="1"/>
        <v>OK</v>
      </c>
      <c r="B270" s="3" t="str">
        <f t="shared" si="2"/>
        <v>OK</v>
      </c>
      <c r="C270" s="3">
        <v>7722.0</v>
      </c>
      <c r="D270" s="4" t="s">
        <v>549</v>
      </c>
      <c r="E270" s="3" t="s">
        <v>550</v>
      </c>
      <c r="F270" s="3" t="s">
        <v>13</v>
      </c>
      <c r="G270" s="3" t="str">
        <f t="shared" si="3"/>
        <v>PURNA2025-JKT1</v>
      </c>
      <c r="H270" s="3" t="str">
        <f>VLOOKUP($C270,Userpass!$A$2:$L$3001,12,FALSE)</f>
        <v>JKT1</v>
      </c>
      <c r="I270" s="5" t="s">
        <v>14</v>
      </c>
      <c r="J270" s="3">
        <v>2022.0</v>
      </c>
      <c r="K270" s="4" t="str">
        <f>VLOOKUP($C270,Userpass!$A$2:$R$3001,2,FALSE)</f>
        <v>jkt20227722.alumni@smkn12malang.sch.id</v>
      </c>
    </row>
    <row r="271" hidden="1">
      <c r="A271" s="3" t="str">
        <f t="shared" si="1"/>
        <v>OK</v>
      </c>
      <c r="B271" s="3" t="str">
        <f t="shared" si="2"/>
        <v>OK</v>
      </c>
      <c r="C271" s="3">
        <v>7740.0</v>
      </c>
      <c r="D271" s="4" t="s">
        <v>551</v>
      </c>
      <c r="E271" s="3" t="s">
        <v>552</v>
      </c>
      <c r="F271" s="3" t="s">
        <v>17</v>
      </c>
      <c r="G271" s="3" t="str">
        <f t="shared" si="3"/>
        <v>PURNA2025-JKT1</v>
      </c>
      <c r="H271" s="3" t="str">
        <f>VLOOKUP($C271,Userpass!$A$2:$L$3001,12,FALSE)</f>
        <v>JKT1</v>
      </c>
      <c r="I271" s="5" t="s">
        <v>14</v>
      </c>
      <c r="J271" s="3">
        <v>2022.0</v>
      </c>
      <c r="K271" s="4" t="str">
        <f>VLOOKUP($C271,Userpass!$A$2:$R$3001,2,FALSE)</f>
        <v>jkt20227740.alumni@smkn12malang.sch.id</v>
      </c>
    </row>
    <row r="272" hidden="1">
      <c r="A272" s="3" t="str">
        <f t="shared" si="1"/>
        <v>OK</v>
      </c>
      <c r="B272" s="3" t="str">
        <f t="shared" si="2"/>
        <v>OK</v>
      </c>
      <c r="C272" s="3">
        <v>7745.0</v>
      </c>
      <c r="D272" s="4" t="s">
        <v>553</v>
      </c>
      <c r="E272" s="3" t="s">
        <v>554</v>
      </c>
      <c r="F272" s="3" t="s">
        <v>17</v>
      </c>
      <c r="G272" s="3" t="str">
        <f t="shared" si="3"/>
        <v>PURNA2025-JKT1</v>
      </c>
      <c r="H272" s="3" t="str">
        <f>VLOOKUP($C272,Userpass!$A$2:$L$3001,12,FALSE)</f>
        <v>JKT1</v>
      </c>
      <c r="I272" s="5" t="s">
        <v>14</v>
      </c>
      <c r="J272" s="3">
        <v>2022.0</v>
      </c>
      <c r="K272" s="4" t="str">
        <f>VLOOKUP($C272,Userpass!$A$2:$R$3001,2,FALSE)</f>
        <v>jkt20227745.alumni@smkn12malang.sch.id</v>
      </c>
    </row>
    <row r="273" hidden="1">
      <c r="A273" s="3" t="str">
        <f t="shared" si="1"/>
        <v>OK</v>
      </c>
      <c r="B273" s="3" t="str">
        <f t="shared" si="2"/>
        <v>OK</v>
      </c>
      <c r="C273" s="3">
        <v>7755.0</v>
      </c>
      <c r="D273" s="4" t="s">
        <v>555</v>
      </c>
      <c r="E273" s="3" t="s">
        <v>556</v>
      </c>
      <c r="F273" s="3" t="s">
        <v>17</v>
      </c>
      <c r="G273" s="3" t="str">
        <f t="shared" si="3"/>
        <v>PURNA2025-JKT1</v>
      </c>
      <c r="H273" s="3" t="str">
        <f>VLOOKUP($C273,Userpass!$A$2:$L$3001,12,FALSE)</f>
        <v>JKT1</v>
      </c>
      <c r="I273" s="5" t="s">
        <v>14</v>
      </c>
      <c r="J273" s="3">
        <v>2022.0</v>
      </c>
      <c r="K273" s="4" t="str">
        <f>VLOOKUP($C273,Userpass!$A$2:$R$3001,2,FALSE)</f>
        <v>jkt20227755.alumni@smkn12malang.sch.id</v>
      </c>
    </row>
    <row r="274" hidden="1">
      <c r="A274" s="3" t="str">
        <f t="shared" si="1"/>
        <v>OK</v>
      </c>
      <c r="B274" s="3" t="str">
        <f t="shared" si="2"/>
        <v>OK</v>
      </c>
      <c r="C274" s="3">
        <v>7769.0</v>
      </c>
      <c r="D274" s="4" t="s">
        <v>557</v>
      </c>
      <c r="E274" s="3" t="s">
        <v>558</v>
      </c>
      <c r="F274" s="3" t="s">
        <v>17</v>
      </c>
      <c r="G274" s="3" t="str">
        <f t="shared" si="3"/>
        <v>PURNA2025-JKT1</v>
      </c>
      <c r="H274" s="3" t="str">
        <f>VLOOKUP($C274,Userpass!$A$2:$L$3001,12,FALSE)</f>
        <v>JKT1</v>
      </c>
      <c r="I274" s="5" t="s">
        <v>14</v>
      </c>
      <c r="J274" s="3">
        <v>2022.0</v>
      </c>
      <c r="K274" s="4" t="str">
        <f>VLOOKUP($C274,Userpass!$A$2:$R$3001,2,FALSE)</f>
        <v>jkt20227769.alumni@smkn12malang.sch.id</v>
      </c>
    </row>
    <row r="275" hidden="1">
      <c r="A275" s="3" t="str">
        <f t="shared" si="1"/>
        <v>OK</v>
      </c>
      <c r="B275" s="3" t="str">
        <f t="shared" si="2"/>
        <v>OK</v>
      </c>
      <c r="C275" s="3">
        <v>7793.0</v>
      </c>
      <c r="D275" s="4" t="s">
        <v>559</v>
      </c>
      <c r="E275" s="3" t="s">
        <v>560</v>
      </c>
      <c r="F275" s="3" t="s">
        <v>17</v>
      </c>
      <c r="G275" s="3" t="str">
        <f t="shared" si="3"/>
        <v>PURNA2025-JKT1</v>
      </c>
      <c r="H275" s="3" t="str">
        <f>VLOOKUP($C275,Userpass!$A$2:$L$3001,12,FALSE)</f>
        <v>JKT1</v>
      </c>
      <c r="I275" s="5" t="s">
        <v>14</v>
      </c>
      <c r="J275" s="3">
        <v>2022.0</v>
      </c>
      <c r="K275" s="4" t="str">
        <f>VLOOKUP($C275,Userpass!$A$2:$R$3001,2,FALSE)</f>
        <v>jkt20227793.alumni@smkn12malang.sch.id</v>
      </c>
    </row>
    <row r="276" hidden="1">
      <c r="A276" s="3" t="str">
        <f t="shared" si="1"/>
        <v>OK</v>
      </c>
      <c r="B276" s="3" t="str">
        <f t="shared" si="2"/>
        <v>OK</v>
      </c>
      <c r="C276" s="3">
        <v>7805.0</v>
      </c>
      <c r="D276" s="4" t="s">
        <v>561</v>
      </c>
      <c r="E276" s="3" t="s">
        <v>562</v>
      </c>
      <c r="F276" s="3" t="s">
        <v>17</v>
      </c>
      <c r="G276" s="3" t="str">
        <f t="shared" si="3"/>
        <v>PURNA2025-JKT1</v>
      </c>
      <c r="H276" s="3" t="str">
        <f>VLOOKUP($C276,Userpass!$A$2:$L$3001,12,FALSE)</f>
        <v>JKT1</v>
      </c>
      <c r="I276" s="5" t="s">
        <v>14</v>
      </c>
      <c r="J276" s="3">
        <v>2022.0</v>
      </c>
      <c r="K276" s="4" t="str">
        <f>VLOOKUP($C276,Userpass!$A$2:$R$3001,2,FALSE)</f>
        <v>jkt20227805.alumni@smkn12malang.sch.id</v>
      </c>
    </row>
    <row r="277" hidden="1">
      <c r="A277" s="3" t="str">
        <f t="shared" si="1"/>
        <v>OK</v>
      </c>
      <c r="B277" s="3" t="str">
        <f t="shared" si="2"/>
        <v>OK</v>
      </c>
      <c r="C277" s="3">
        <v>7814.0</v>
      </c>
      <c r="D277" s="4" t="s">
        <v>563</v>
      </c>
      <c r="E277" s="3" t="s">
        <v>564</v>
      </c>
      <c r="F277" s="3" t="s">
        <v>13</v>
      </c>
      <c r="G277" s="3" t="str">
        <f t="shared" si="3"/>
        <v>PURNA2025-JKT1</v>
      </c>
      <c r="H277" s="3" t="str">
        <f>VLOOKUP($C277,Userpass!$A$2:$L$3001,12,FALSE)</f>
        <v>JKT1</v>
      </c>
      <c r="I277" s="5" t="s">
        <v>14</v>
      </c>
      <c r="J277" s="3">
        <v>2022.0</v>
      </c>
      <c r="K277" s="4" t="str">
        <f>VLOOKUP($C277,Userpass!$A$2:$R$3001,2,FALSE)</f>
        <v>jkt20227814.alumni@smkn12malang.sch.id</v>
      </c>
    </row>
    <row r="278" hidden="1">
      <c r="A278" s="3" t="str">
        <f t="shared" si="1"/>
        <v>OK</v>
      </c>
      <c r="B278" s="3" t="str">
        <f t="shared" si="2"/>
        <v>OK</v>
      </c>
      <c r="C278" s="3">
        <v>7822.0</v>
      </c>
      <c r="D278" s="4" t="s">
        <v>565</v>
      </c>
      <c r="E278" s="3" t="s">
        <v>566</v>
      </c>
      <c r="F278" s="3" t="s">
        <v>13</v>
      </c>
      <c r="G278" s="3" t="str">
        <f t="shared" si="3"/>
        <v>PURNA2025-JKT1</v>
      </c>
      <c r="H278" s="3" t="str">
        <f>VLOOKUP($C278,Userpass!$A$2:$L$3001,12,FALSE)</f>
        <v>JKT1</v>
      </c>
      <c r="I278" s="5" t="s">
        <v>14</v>
      </c>
      <c r="J278" s="3">
        <v>2022.0</v>
      </c>
      <c r="K278" s="4" t="str">
        <f>VLOOKUP($C278,Userpass!$A$2:$R$3001,2,FALSE)</f>
        <v>jkt20227822.alumni@smkn12malang.sch.id</v>
      </c>
    </row>
    <row r="279" hidden="1">
      <c r="A279" s="3" t="str">
        <f t="shared" si="1"/>
        <v>OK</v>
      </c>
      <c r="B279" s="3" t="str">
        <f t="shared" si="2"/>
        <v>OK</v>
      </c>
      <c r="C279" s="3">
        <v>7843.0</v>
      </c>
      <c r="D279" s="4" t="s">
        <v>567</v>
      </c>
      <c r="E279" s="3" t="s">
        <v>568</v>
      </c>
      <c r="F279" s="3" t="s">
        <v>13</v>
      </c>
      <c r="G279" s="3" t="str">
        <f t="shared" si="3"/>
        <v>PURNA2025-JKT1</v>
      </c>
      <c r="H279" s="3" t="str">
        <f>VLOOKUP($C279,Userpass!$A$2:$L$3001,12,FALSE)</f>
        <v>JKT1</v>
      </c>
      <c r="I279" s="5" t="s">
        <v>14</v>
      </c>
      <c r="J279" s="3">
        <v>2022.0</v>
      </c>
      <c r="K279" s="4" t="str">
        <f>VLOOKUP($C279,Userpass!$A$2:$R$3001,2,FALSE)</f>
        <v>jkt20227843.alumni@smkn12malang.sch.id</v>
      </c>
    </row>
    <row r="280" hidden="1">
      <c r="A280" s="3" t="str">
        <f t="shared" si="1"/>
        <v>OK</v>
      </c>
      <c r="B280" s="3" t="str">
        <f t="shared" si="2"/>
        <v>OK</v>
      </c>
      <c r="C280" s="3">
        <v>7864.0</v>
      </c>
      <c r="D280" s="4" t="s">
        <v>569</v>
      </c>
      <c r="E280" s="3" t="s">
        <v>570</v>
      </c>
      <c r="F280" s="3" t="s">
        <v>13</v>
      </c>
      <c r="G280" s="3" t="str">
        <f t="shared" si="3"/>
        <v>PURNA2025-JKT1</v>
      </c>
      <c r="H280" s="3" t="str">
        <f>VLOOKUP($C280,Userpass!$A$2:$L$3001,12,FALSE)</f>
        <v>JKT1</v>
      </c>
      <c r="I280" s="5" t="s">
        <v>14</v>
      </c>
      <c r="J280" s="3">
        <v>2022.0</v>
      </c>
      <c r="K280" s="4" t="str">
        <f>VLOOKUP($C280,Userpass!$A$2:$R$3001,2,FALSE)</f>
        <v>jkt20227864.alumni@smkn12malang.sch.id</v>
      </c>
    </row>
    <row r="281" hidden="1">
      <c r="A281" s="3" t="str">
        <f t="shared" si="1"/>
        <v>OK</v>
      </c>
      <c r="B281" s="3" t="str">
        <f t="shared" si="2"/>
        <v>OK</v>
      </c>
      <c r="C281" s="3">
        <v>7878.0</v>
      </c>
      <c r="D281" s="4" t="s">
        <v>571</v>
      </c>
      <c r="E281" s="3" t="s">
        <v>572</v>
      </c>
      <c r="F281" s="3" t="s">
        <v>17</v>
      </c>
      <c r="G281" s="3" t="str">
        <f t="shared" si="3"/>
        <v>PURNA2025-JKT1</v>
      </c>
      <c r="H281" s="3" t="str">
        <f>VLOOKUP($C281,Userpass!$A$2:$L$3001,12,FALSE)</f>
        <v>JKT1</v>
      </c>
      <c r="I281" s="5" t="s">
        <v>14</v>
      </c>
      <c r="J281" s="3">
        <v>2022.0</v>
      </c>
      <c r="K281" s="4" t="str">
        <f>VLOOKUP($C281,Userpass!$A$2:$R$3001,2,FALSE)</f>
        <v>jkt20227878.alumni@smkn12malang.sch.id</v>
      </c>
    </row>
    <row r="282" hidden="1">
      <c r="A282" s="3" t="str">
        <f t="shared" si="1"/>
        <v>OK</v>
      </c>
      <c r="B282" s="3" t="str">
        <f t="shared" si="2"/>
        <v>OK</v>
      </c>
      <c r="C282" s="3">
        <v>7919.0</v>
      </c>
      <c r="D282" s="4" t="s">
        <v>573</v>
      </c>
      <c r="E282" s="3" t="s">
        <v>574</v>
      </c>
      <c r="F282" s="3" t="s">
        <v>13</v>
      </c>
      <c r="G282" s="3" t="str">
        <f t="shared" si="3"/>
        <v>PURNA2025-JKT1</v>
      </c>
      <c r="H282" s="3" t="str">
        <f>VLOOKUP($C282,Userpass!$A$2:$L$3001,12,FALSE)</f>
        <v>JKT1</v>
      </c>
      <c r="I282" s="5" t="s">
        <v>14</v>
      </c>
      <c r="J282" s="3">
        <v>2022.0</v>
      </c>
      <c r="K282" s="4" t="str">
        <f>VLOOKUP($C282,Userpass!$A$2:$R$3001,2,FALSE)</f>
        <v>jkt20227919.alumni@smkn12malang.sch.id</v>
      </c>
    </row>
    <row r="283" hidden="1">
      <c r="A283" s="3" t="str">
        <f t="shared" si="1"/>
        <v>OK</v>
      </c>
      <c r="B283" s="3" t="str">
        <f t="shared" si="2"/>
        <v>OK</v>
      </c>
      <c r="C283" s="3">
        <v>7925.0</v>
      </c>
      <c r="D283" s="4" t="s">
        <v>575</v>
      </c>
      <c r="E283" s="3" t="s">
        <v>576</v>
      </c>
      <c r="F283" s="3" t="s">
        <v>13</v>
      </c>
      <c r="G283" s="3" t="str">
        <f t="shared" si="3"/>
        <v>PURNA2025-JKT1</v>
      </c>
      <c r="H283" s="3" t="str">
        <f>VLOOKUP($C283,Userpass!$A$2:$L$3001,12,FALSE)</f>
        <v>JKT1</v>
      </c>
      <c r="I283" s="5" t="s">
        <v>14</v>
      </c>
      <c r="J283" s="3">
        <v>2022.0</v>
      </c>
      <c r="K283" s="4" t="str">
        <f>VLOOKUP($C283,Userpass!$A$2:$R$3001,2,FALSE)</f>
        <v>jkt20227925.alumni@smkn12malang.sch.id</v>
      </c>
    </row>
    <row r="284" hidden="1">
      <c r="A284" s="3" t="str">
        <f t="shared" si="1"/>
        <v>OK</v>
      </c>
      <c r="B284" s="3" t="str">
        <f t="shared" si="2"/>
        <v>OK</v>
      </c>
      <c r="C284" s="3">
        <v>7942.0</v>
      </c>
      <c r="D284" s="4" t="s">
        <v>577</v>
      </c>
      <c r="E284" s="3" t="s">
        <v>578</v>
      </c>
      <c r="F284" s="3" t="s">
        <v>13</v>
      </c>
      <c r="G284" s="3" t="str">
        <f t="shared" si="3"/>
        <v>PURNA2025-JKT1</v>
      </c>
      <c r="H284" s="3" t="str">
        <f>VLOOKUP($C284,Userpass!$A$2:$L$3001,12,FALSE)</f>
        <v>JKT1</v>
      </c>
      <c r="I284" s="5" t="s">
        <v>14</v>
      </c>
      <c r="J284" s="3">
        <v>2022.0</v>
      </c>
      <c r="K284" s="4" t="str">
        <f>VLOOKUP($C284,Userpass!$A$2:$R$3001,2,FALSE)</f>
        <v>jkt20227942.alumni@smkn12malang.sch.id</v>
      </c>
    </row>
    <row r="285" hidden="1">
      <c r="A285" s="3" t="str">
        <f t="shared" si="1"/>
        <v>OK</v>
      </c>
      <c r="B285" s="3" t="str">
        <f t="shared" si="2"/>
        <v>OK</v>
      </c>
      <c r="C285" s="3">
        <v>7959.0</v>
      </c>
      <c r="D285" s="4" t="s">
        <v>579</v>
      </c>
      <c r="E285" s="3" t="s">
        <v>580</v>
      </c>
      <c r="F285" s="3" t="s">
        <v>17</v>
      </c>
      <c r="G285" s="3" t="str">
        <f t="shared" si="3"/>
        <v>PURNA2025-JKT1</v>
      </c>
      <c r="H285" s="3" t="str">
        <f>VLOOKUP($C285,Userpass!$A$2:$L$3001,12,FALSE)</f>
        <v>JKT1</v>
      </c>
      <c r="I285" s="5" t="s">
        <v>14</v>
      </c>
      <c r="J285" s="3">
        <v>2022.0</v>
      </c>
      <c r="K285" s="4" t="str">
        <f>VLOOKUP($C285,Userpass!$A$2:$R$3001,2,FALSE)</f>
        <v>jkt20227959.alumni@smkn12malang.sch.id</v>
      </c>
    </row>
    <row r="286" hidden="1">
      <c r="A286" s="3" t="str">
        <f t="shared" si="1"/>
        <v>OK</v>
      </c>
      <c r="B286" s="3" t="str">
        <f t="shared" si="2"/>
        <v>OK</v>
      </c>
      <c r="C286" s="3">
        <v>7967.0</v>
      </c>
      <c r="D286" s="4" t="s">
        <v>581</v>
      </c>
      <c r="E286" s="3" t="s">
        <v>582</v>
      </c>
      <c r="F286" s="3" t="s">
        <v>17</v>
      </c>
      <c r="G286" s="3" t="str">
        <f t="shared" si="3"/>
        <v>PURNA2025-JKT1</v>
      </c>
      <c r="H286" s="3" t="str">
        <f>VLOOKUP($C286,Userpass!$A$2:$L$3001,12,FALSE)</f>
        <v>JKT1</v>
      </c>
      <c r="I286" s="5" t="s">
        <v>14</v>
      </c>
      <c r="J286" s="3">
        <v>2022.0</v>
      </c>
      <c r="K286" s="4" t="str">
        <f>VLOOKUP($C286,Userpass!$A$2:$R$3001,2,FALSE)</f>
        <v>jkt20227967.alumni@smkn12malang.sch.id</v>
      </c>
    </row>
    <row r="287" hidden="1">
      <c r="A287" s="3" t="str">
        <f t="shared" si="1"/>
        <v>OK</v>
      </c>
      <c r="B287" s="3" t="str">
        <f t="shared" si="2"/>
        <v>OK</v>
      </c>
      <c r="C287" s="3">
        <v>7990.0</v>
      </c>
      <c r="D287" s="4" t="s">
        <v>583</v>
      </c>
      <c r="E287" s="3" t="s">
        <v>584</v>
      </c>
      <c r="F287" s="3" t="s">
        <v>13</v>
      </c>
      <c r="G287" s="3" t="str">
        <f t="shared" si="3"/>
        <v>PURNA2025-JKT1</v>
      </c>
      <c r="H287" s="3" t="str">
        <f>VLOOKUP($C287,Userpass!$A$2:$L$3001,12,FALSE)</f>
        <v>JKT1</v>
      </c>
      <c r="I287" s="5" t="s">
        <v>14</v>
      </c>
      <c r="J287" s="3">
        <v>2022.0</v>
      </c>
      <c r="K287" s="4" t="str">
        <f>VLOOKUP($C287,Userpass!$A$2:$R$3001,2,FALSE)</f>
        <v>jkt20227990.alumni@smkn12malang.sch.id</v>
      </c>
    </row>
    <row r="288" hidden="1">
      <c r="A288" s="3" t="str">
        <f t="shared" si="1"/>
        <v>OK</v>
      </c>
      <c r="B288" s="3" t="str">
        <f t="shared" si="2"/>
        <v>OK</v>
      </c>
      <c r="C288" s="3">
        <v>7998.0</v>
      </c>
      <c r="D288" s="4" t="s">
        <v>585</v>
      </c>
      <c r="E288" s="3" t="s">
        <v>586</v>
      </c>
      <c r="F288" s="3" t="s">
        <v>17</v>
      </c>
      <c r="G288" s="3" t="str">
        <f t="shared" si="3"/>
        <v>PURNA2025-JKT1</v>
      </c>
      <c r="H288" s="3" t="str">
        <f>VLOOKUP($C288,Userpass!$A$2:$L$3001,12,FALSE)</f>
        <v>JKT1</v>
      </c>
      <c r="I288" s="5" t="s">
        <v>14</v>
      </c>
      <c r="J288" s="3">
        <v>2022.0</v>
      </c>
      <c r="K288" s="4" t="str">
        <f>VLOOKUP($C288,Userpass!$A$2:$R$3001,2,FALSE)</f>
        <v>jkt20227998.alumni@smkn12malang.sch.id</v>
      </c>
    </row>
    <row r="289" hidden="1">
      <c r="A289" s="3" t="str">
        <f t="shared" si="1"/>
        <v>OK</v>
      </c>
      <c r="B289" s="3" t="str">
        <f t="shared" si="2"/>
        <v>OK</v>
      </c>
      <c r="C289" s="3">
        <v>7441.0</v>
      </c>
      <c r="D289" s="4" t="s">
        <v>587</v>
      </c>
      <c r="E289" s="3" t="s">
        <v>588</v>
      </c>
      <c r="F289" s="3" t="s">
        <v>17</v>
      </c>
      <c r="G289" s="3" t="str">
        <f t="shared" si="3"/>
        <v>PURNA2025-JKT2</v>
      </c>
      <c r="H289" s="3" t="str">
        <f>VLOOKUP($C289,Userpass!$A$2:$L$3001,12,FALSE)</f>
        <v>JKT2</v>
      </c>
      <c r="I289" s="5" t="s">
        <v>14</v>
      </c>
      <c r="J289" s="3">
        <v>2022.0</v>
      </c>
      <c r="K289" s="4" t="str">
        <f>VLOOKUP($C289,Userpass!$A$2:$R$3001,2,FALSE)</f>
        <v>jkt20227441.alumni@smkn12malang.sch.id</v>
      </c>
    </row>
    <row r="290" hidden="1">
      <c r="A290" s="3" t="str">
        <f t="shared" si="1"/>
        <v>OK</v>
      </c>
      <c r="B290" s="3" t="str">
        <f t="shared" si="2"/>
        <v>OK</v>
      </c>
      <c r="C290" s="3">
        <v>7446.0</v>
      </c>
      <c r="D290" s="4" t="s">
        <v>589</v>
      </c>
      <c r="E290" s="3" t="s">
        <v>590</v>
      </c>
      <c r="F290" s="3" t="s">
        <v>17</v>
      </c>
      <c r="G290" s="3" t="str">
        <f t="shared" si="3"/>
        <v>PURNA2025-JKT2</v>
      </c>
      <c r="H290" s="3" t="str">
        <f>VLOOKUP($C290,Userpass!$A$2:$L$3001,12,FALSE)</f>
        <v>JKT2</v>
      </c>
      <c r="I290" s="5" t="s">
        <v>14</v>
      </c>
      <c r="J290" s="3">
        <v>2022.0</v>
      </c>
      <c r="K290" s="4" t="str">
        <f>VLOOKUP($C290,Userpass!$A$2:$R$3001,2,FALSE)</f>
        <v>jkt20227446.alumni@smkn12malang.sch.id</v>
      </c>
    </row>
    <row r="291" hidden="1">
      <c r="A291" s="3" t="str">
        <f t="shared" si="1"/>
        <v>OK</v>
      </c>
      <c r="B291" s="3" t="str">
        <f t="shared" si="2"/>
        <v>OK</v>
      </c>
      <c r="C291" s="3">
        <v>7489.0</v>
      </c>
      <c r="D291" s="4" t="s">
        <v>591</v>
      </c>
      <c r="E291" s="3" t="s">
        <v>592</v>
      </c>
      <c r="F291" s="3" t="s">
        <v>17</v>
      </c>
      <c r="G291" s="3" t="str">
        <f t="shared" si="3"/>
        <v>PURNA2025-JKT2</v>
      </c>
      <c r="H291" s="3" t="str">
        <f>VLOOKUP($C291,Userpass!$A$2:$L$3001,12,FALSE)</f>
        <v>JKT2</v>
      </c>
      <c r="I291" s="5" t="s">
        <v>14</v>
      </c>
      <c r="J291" s="3">
        <v>2022.0</v>
      </c>
      <c r="K291" s="4" t="str">
        <f>VLOOKUP($C291,Userpass!$A$2:$R$3001,2,FALSE)</f>
        <v>jkt20227489.alumni@smkn12malang.sch.id</v>
      </c>
    </row>
    <row r="292" hidden="1">
      <c r="A292" s="3" t="str">
        <f t="shared" si="1"/>
        <v>OK</v>
      </c>
      <c r="B292" s="3" t="str">
        <f t="shared" si="2"/>
        <v>OK</v>
      </c>
      <c r="C292" s="3">
        <v>7491.0</v>
      </c>
      <c r="D292" s="4" t="s">
        <v>593</v>
      </c>
      <c r="E292" s="3" t="s">
        <v>594</v>
      </c>
      <c r="F292" s="3" t="s">
        <v>17</v>
      </c>
      <c r="G292" s="3" t="str">
        <f t="shared" si="3"/>
        <v>PURNA2025-JKT2</v>
      </c>
      <c r="H292" s="3" t="str">
        <f>VLOOKUP($C292,Userpass!$A$2:$L$3001,12,FALSE)</f>
        <v>JKT2</v>
      </c>
      <c r="I292" s="5" t="s">
        <v>14</v>
      </c>
      <c r="J292" s="3">
        <v>2022.0</v>
      </c>
      <c r="K292" s="4" t="str">
        <f>VLOOKUP($C292,Userpass!$A$2:$R$3001,2,FALSE)</f>
        <v>jkt20227491.alumni@smkn12malang.sch.id</v>
      </c>
    </row>
    <row r="293" hidden="1">
      <c r="A293" s="3" t="str">
        <f t="shared" si="1"/>
        <v>OK</v>
      </c>
      <c r="B293" s="3" t="str">
        <f t="shared" si="2"/>
        <v>OK</v>
      </c>
      <c r="C293" s="3">
        <v>7500.0</v>
      </c>
      <c r="D293" s="4" t="s">
        <v>595</v>
      </c>
      <c r="E293" s="3" t="s">
        <v>596</v>
      </c>
      <c r="F293" s="3" t="s">
        <v>13</v>
      </c>
      <c r="G293" s="3" t="str">
        <f t="shared" si="3"/>
        <v>PURNA2025-JKT2</v>
      </c>
      <c r="H293" s="3" t="str">
        <f>VLOOKUP($C293,Userpass!$A$2:$L$3001,12,FALSE)</f>
        <v>JKT2</v>
      </c>
      <c r="I293" s="5" t="s">
        <v>14</v>
      </c>
      <c r="J293" s="3">
        <v>2022.0</v>
      </c>
      <c r="K293" s="4" t="str">
        <f>VLOOKUP($C293,Userpass!$A$2:$R$3001,2,FALSE)</f>
        <v>jkt20227500.alumni@smkn12malang.sch.id</v>
      </c>
    </row>
    <row r="294" hidden="1">
      <c r="A294" s="3" t="str">
        <f t="shared" si="1"/>
        <v>OK</v>
      </c>
      <c r="B294" s="3" t="str">
        <f t="shared" si="2"/>
        <v>OK</v>
      </c>
      <c r="C294" s="3">
        <v>7524.0</v>
      </c>
      <c r="D294" s="4" t="s">
        <v>597</v>
      </c>
      <c r="E294" s="3" t="s">
        <v>598</v>
      </c>
      <c r="F294" s="3" t="s">
        <v>13</v>
      </c>
      <c r="G294" s="3" t="str">
        <f t="shared" si="3"/>
        <v>PURNA2025-JKT2</v>
      </c>
      <c r="H294" s="3" t="str">
        <f>VLOOKUP($C294,Userpass!$A$2:$L$3001,12,FALSE)</f>
        <v>JKT2</v>
      </c>
      <c r="I294" s="5" t="s">
        <v>14</v>
      </c>
      <c r="J294" s="3">
        <v>2022.0</v>
      </c>
      <c r="K294" s="4" t="str">
        <f>VLOOKUP($C294,Userpass!$A$2:$R$3001,2,FALSE)</f>
        <v>jkt20227524.alumni@smkn12malang.sch.id</v>
      </c>
    </row>
    <row r="295" hidden="1">
      <c r="A295" s="3" t="str">
        <f t="shared" si="1"/>
        <v>OK</v>
      </c>
      <c r="B295" s="3" t="str">
        <f t="shared" si="2"/>
        <v>OK</v>
      </c>
      <c r="C295" s="3">
        <v>7558.0</v>
      </c>
      <c r="D295" s="4" t="s">
        <v>599</v>
      </c>
      <c r="E295" s="3" t="s">
        <v>600</v>
      </c>
      <c r="F295" s="3" t="s">
        <v>17</v>
      </c>
      <c r="G295" s="3" t="str">
        <f t="shared" si="3"/>
        <v>PURNA2025-JKT2</v>
      </c>
      <c r="H295" s="3" t="str">
        <f>VLOOKUP($C295,Userpass!$A$2:$L$3001,12,FALSE)</f>
        <v>JKT2</v>
      </c>
      <c r="I295" s="5" t="s">
        <v>14</v>
      </c>
      <c r="J295" s="3">
        <v>2022.0</v>
      </c>
      <c r="K295" s="4" t="str">
        <f>VLOOKUP($C295,Userpass!$A$2:$R$3001,2,FALSE)</f>
        <v>jkt20227558.alumni@smkn12malang.sch.id</v>
      </c>
    </row>
    <row r="296" hidden="1">
      <c r="A296" s="3" t="str">
        <f t="shared" si="1"/>
        <v>OK</v>
      </c>
      <c r="B296" s="3" t="str">
        <f t="shared" si="2"/>
        <v>OK</v>
      </c>
      <c r="C296" s="3">
        <v>7572.0</v>
      </c>
      <c r="D296" s="4" t="s">
        <v>601</v>
      </c>
      <c r="E296" s="3" t="s">
        <v>602</v>
      </c>
      <c r="F296" s="3" t="s">
        <v>17</v>
      </c>
      <c r="G296" s="3" t="str">
        <f t="shared" si="3"/>
        <v>PURNA2025-JKT2</v>
      </c>
      <c r="H296" s="3" t="str">
        <f>VLOOKUP($C296,Userpass!$A$2:$L$3001,12,FALSE)</f>
        <v>JKT2</v>
      </c>
      <c r="I296" s="5" t="s">
        <v>14</v>
      </c>
      <c r="J296" s="3">
        <v>2022.0</v>
      </c>
      <c r="K296" s="4" t="str">
        <f>VLOOKUP($C296,Userpass!$A$2:$R$3001,2,FALSE)</f>
        <v>jkt20227572.alumni@smkn12malang.sch.id</v>
      </c>
    </row>
    <row r="297" hidden="1">
      <c r="A297" s="3" t="str">
        <f t="shared" si="1"/>
        <v>OK</v>
      </c>
      <c r="B297" s="3" t="str">
        <f t="shared" si="2"/>
        <v>OK</v>
      </c>
      <c r="C297" s="3">
        <v>7589.0</v>
      </c>
      <c r="D297" s="4" t="s">
        <v>603</v>
      </c>
      <c r="E297" s="3" t="s">
        <v>604</v>
      </c>
      <c r="F297" s="3" t="s">
        <v>17</v>
      </c>
      <c r="G297" s="3" t="str">
        <f t="shared" si="3"/>
        <v>PURNA2025-JKT2</v>
      </c>
      <c r="H297" s="3" t="str">
        <f>VLOOKUP($C297,Userpass!$A$2:$L$3001,12,FALSE)</f>
        <v>JKT2</v>
      </c>
      <c r="I297" s="5" t="s">
        <v>14</v>
      </c>
      <c r="J297" s="3">
        <v>2022.0</v>
      </c>
      <c r="K297" s="4" t="str">
        <f>VLOOKUP($C297,Userpass!$A$2:$R$3001,2,FALSE)</f>
        <v>jkt20227589.alumni@smkn12malang.sch.id</v>
      </c>
    </row>
    <row r="298" hidden="1">
      <c r="A298" s="3" t="str">
        <f t="shared" si="1"/>
        <v>OK</v>
      </c>
      <c r="B298" s="3" t="str">
        <f t="shared" si="2"/>
        <v>OK</v>
      </c>
      <c r="C298" s="3">
        <v>7606.0</v>
      </c>
      <c r="D298" s="4" t="s">
        <v>605</v>
      </c>
      <c r="E298" s="3" t="s">
        <v>606</v>
      </c>
      <c r="F298" s="3" t="s">
        <v>13</v>
      </c>
      <c r="G298" s="3" t="str">
        <f t="shared" si="3"/>
        <v>PURNA2025-JKT2</v>
      </c>
      <c r="H298" s="3" t="str">
        <f>VLOOKUP($C298,Userpass!$A$2:$L$3001,12,FALSE)</f>
        <v>JKT2</v>
      </c>
      <c r="I298" s="5" t="s">
        <v>14</v>
      </c>
      <c r="J298" s="3">
        <v>2022.0</v>
      </c>
      <c r="K298" s="4" t="str">
        <f>VLOOKUP($C298,Userpass!$A$2:$R$3001,2,FALSE)</f>
        <v>jkt20227606.alumni@smkn12malang.sch.id</v>
      </c>
    </row>
    <row r="299" hidden="1">
      <c r="A299" s="3" t="str">
        <f t="shared" si="1"/>
        <v>OK</v>
      </c>
      <c r="B299" s="3" t="str">
        <f t="shared" si="2"/>
        <v>OK</v>
      </c>
      <c r="C299" s="3">
        <v>7614.0</v>
      </c>
      <c r="D299" s="4" t="s">
        <v>607</v>
      </c>
      <c r="E299" s="3" t="s">
        <v>608</v>
      </c>
      <c r="F299" s="3" t="s">
        <v>17</v>
      </c>
      <c r="G299" s="3" t="str">
        <f t="shared" si="3"/>
        <v>PURNA2025-JKT2</v>
      </c>
      <c r="H299" s="3" t="str">
        <f>VLOOKUP($C299,Userpass!$A$2:$L$3001,12,FALSE)</f>
        <v>JKT2</v>
      </c>
      <c r="I299" s="5" t="s">
        <v>14</v>
      </c>
      <c r="J299" s="3">
        <v>2022.0</v>
      </c>
      <c r="K299" s="4" t="str">
        <f>VLOOKUP($C299,Userpass!$A$2:$R$3001,2,FALSE)</f>
        <v>jkt20227614.alumni@smkn12malang.sch.id</v>
      </c>
    </row>
    <row r="300" hidden="1">
      <c r="A300" s="3" t="str">
        <f t="shared" si="1"/>
        <v>OK</v>
      </c>
      <c r="B300" s="3" t="str">
        <f t="shared" si="2"/>
        <v>OK</v>
      </c>
      <c r="C300" s="3">
        <v>7629.0</v>
      </c>
      <c r="D300" s="4" t="s">
        <v>609</v>
      </c>
      <c r="E300" s="3" t="s">
        <v>610</v>
      </c>
      <c r="F300" s="3" t="s">
        <v>13</v>
      </c>
      <c r="G300" s="3" t="str">
        <f t="shared" si="3"/>
        <v>PURNA2025-JKT2</v>
      </c>
      <c r="H300" s="3" t="str">
        <f>VLOOKUP($C300,Userpass!$A$2:$L$3001,12,FALSE)</f>
        <v>JKT2</v>
      </c>
      <c r="I300" s="5" t="s">
        <v>14</v>
      </c>
      <c r="J300" s="3">
        <v>2022.0</v>
      </c>
      <c r="K300" s="4" t="str">
        <f>VLOOKUP($C300,Userpass!$A$2:$R$3001,2,FALSE)</f>
        <v>jkt20227629.alumni@smkn12malang.sch.id</v>
      </c>
    </row>
    <row r="301" hidden="1">
      <c r="A301" s="3" t="str">
        <f t="shared" si="1"/>
        <v>OK</v>
      </c>
      <c r="B301" s="3" t="str">
        <f t="shared" si="2"/>
        <v>OK</v>
      </c>
      <c r="C301" s="3">
        <v>7650.0</v>
      </c>
      <c r="D301" s="4" t="s">
        <v>611</v>
      </c>
      <c r="E301" s="3" t="s">
        <v>612</v>
      </c>
      <c r="F301" s="3" t="s">
        <v>17</v>
      </c>
      <c r="G301" s="3" t="str">
        <f t="shared" si="3"/>
        <v>PURNA2025-JKT2</v>
      </c>
      <c r="H301" s="3" t="str">
        <f>VLOOKUP($C301,Userpass!$A$2:$L$3001,12,FALSE)</f>
        <v>JKT2</v>
      </c>
      <c r="I301" s="5" t="s">
        <v>14</v>
      </c>
      <c r="J301" s="3">
        <v>2022.0</v>
      </c>
      <c r="K301" s="4" t="str">
        <f>VLOOKUP($C301,Userpass!$A$2:$R$3001,2,FALSE)</f>
        <v>jkt20227650.alumni@smkn12malang.sch.id</v>
      </c>
    </row>
    <row r="302" hidden="1">
      <c r="A302" s="3" t="str">
        <f t="shared" si="1"/>
        <v>OK</v>
      </c>
      <c r="B302" s="3" t="str">
        <f t="shared" si="2"/>
        <v>OK</v>
      </c>
      <c r="C302" s="3">
        <v>7667.0</v>
      </c>
      <c r="D302" s="4" t="s">
        <v>613</v>
      </c>
      <c r="E302" s="3" t="s">
        <v>614</v>
      </c>
      <c r="F302" s="3" t="s">
        <v>17</v>
      </c>
      <c r="G302" s="3" t="str">
        <f t="shared" si="3"/>
        <v>PURNA2025-JKT2</v>
      </c>
      <c r="H302" s="3" t="str">
        <f>VLOOKUP($C302,Userpass!$A$2:$L$3001,12,FALSE)</f>
        <v>JKT2</v>
      </c>
      <c r="I302" s="5" t="s">
        <v>14</v>
      </c>
      <c r="J302" s="3">
        <v>2022.0</v>
      </c>
      <c r="K302" s="4" t="str">
        <f>VLOOKUP($C302,Userpass!$A$2:$R$3001,2,FALSE)</f>
        <v>jkt20227667.alumni@smkn12malang.sch.id</v>
      </c>
    </row>
    <row r="303" hidden="1">
      <c r="A303" s="3" t="str">
        <f t="shared" si="1"/>
        <v>OK</v>
      </c>
      <c r="B303" s="3" t="str">
        <f t="shared" si="2"/>
        <v>OK</v>
      </c>
      <c r="C303" s="3">
        <v>7678.0</v>
      </c>
      <c r="D303" s="4" t="s">
        <v>615</v>
      </c>
      <c r="E303" s="3" t="s">
        <v>616</v>
      </c>
      <c r="F303" s="3" t="s">
        <v>17</v>
      </c>
      <c r="G303" s="3" t="str">
        <f t="shared" si="3"/>
        <v>PURNA2025-JKT2</v>
      </c>
      <c r="H303" s="3" t="str">
        <f>VLOOKUP($C303,Userpass!$A$2:$L$3001,12,FALSE)</f>
        <v>JKT2</v>
      </c>
      <c r="I303" s="5" t="s">
        <v>14</v>
      </c>
      <c r="J303" s="3">
        <v>2022.0</v>
      </c>
      <c r="K303" s="4" t="str">
        <f>VLOOKUP($C303,Userpass!$A$2:$R$3001,2,FALSE)</f>
        <v>jkt20227678.alumni@smkn12malang.sch.id</v>
      </c>
    </row>
    <row r="304" hidden="1">
      <c r="A304" s="3" t="str">
        <f t="shared" si="1"/>
        <v>OK</v>
      </c>
      <c r="B304" s="3" t="str">
        <f t="shared" si="2"/>
        <v>OK</v>
      </c>
      <c r="C304" s="3">
        <v>7713.0</v>
      </c>
      <c r="D304" s="4" t="s">
        <v>617</v>
      </c>
      <c r="E304" s="3" t="s">
        <v>618</v>
      </c>
      <c r="F304" s="3" t="s">
        <v>17</v>
      </c>
      <c r="G304" s="3" t="str">
        <f t="shared" si="3"/>
        <v>PURNA2025-JKT2</v>
      </c>
      <c r="H304" s="3" t="str">
        <f>VLOOKUP($C304,Userpass!$A$2:$L$3001,12,FALSE)</f>
        <v>JKT2</v>
      </c>
      <c r="I304" s="5" t="s">
        <v>14</v>
      </c>
      <c r="J304" s="3">
        <v>2022.0</v>
      </c>
      <c r="K304" s="4" t="str">
        <f>VLOOKUP($C304,Userpass!$A$2:$R$3001,2,FALSE)</f>
        <v>jkt20227713.alumni@smkn12malang.sch.id</v>
      </c>
    </row>
    <row r="305" hidden="1">
      <c r="A305" s="3" t="str">
        <f t="shared" si="1"/>
        <v>OK</v>
      </c>
      <c r="B305" s="3" t="str">
        <f t="shared" si="2"/>
        <v>OK</v>
      </c>
      <c r="C305" s="3">
        <v>7725.0</v>
      </c>
      <c r="D305" s="4" t="s">
        <v>619</v>
      </c>
      <c r="E305" s="3" t="s">
        <v>620</v>
      </c>
      <c r="F305" s="3" t="s">
        <v>13</v>
      </c>
      <c r="G305" s="3" t="str">
        <f t="shared" si="3"/>
        <v>PURNA2025-JKT2</v>
      </c>
      <c r="H305" s="3" t="str">
        <f>VLOOKUP($C305,Userpass!$A$2:$L$3001,12,FALSE)</f>
        <v>JKT2</v>
      </c>
      <c r="I305" s="5" t="s">
        <v>14</v>
      </c>
      <c r="J305" s="3">
        <v>2022.0</v>
      </c>
      <c r="K305" s="4" t="str">
        <f>VLOOKUP($C305,Userpass!$A$2:$R$3001,2,FALSE)</f>
        <v>jkt20227725.alumni@smkn12malang.sch.id</v>
      </c>
    </row>
    <row r="306" hidden="1">
      <c r="A306" s="3" t="str">
        <f t="shared" si="1"/>
        <v>OK</v>
      </c>
      <c r="B306" s="3" t="str">
        <f t="shared" si="2"/>
        <v>OK</v>
      </c>
      <c r="C306" s="3">
        <v>7741.0</v>
      </c>
      <c r="D306" s="4" t="s">
        <v>621</v>
      </c>
      <c r="E306" s="3" t="s">
        <v>622</v>
      </c>
      <c r="F306" s="3" t="s">
        <v>17</v>
      </c>
      <c r="G306" s="3" t="str">
        <f t="shared" si="3"/>
        <v>PURNA2025-JKT2</v>
      </c>
      <c r="H306" s="3" t="str">
        <f>VLOOKUP($C306,Userpass!$A$2:$L$3001,12,FALSE)</f>
        <v>JKT2</v>
      </c>
      <c r="I306" s="5" t="s">
        <v>14</v>
      </c>
      <c r="J306" s="3">
        <v>2022.0</v>
      </c>
      <c r="K306" s="4" t="str">
        <f>VLOOKUP($C306,Userpass!$A$2:$R$3001,2,FALSE)</f>
        <v>jkt20227741.alumni@smkn12malang.sch.id</v>
      </c>
    </row>
    <row r="307" hidden="1">
      <c r="A307" s="3" t="str">
        <f t="shared" si="1"/>
        <v>OK</v>
      </c>
      <c r="B307" s="3" t="str">
        <f t="shared" si="2"/>
        <v>OK</v>
      </c>
      <c r="C307" s="3">
        <v>7750.0</v>
      </c>
      <c r="D307" s="4" t="s">
        <v>623</v>
      </c>
      <c r="E307" s="3" t="s">
        <v>624</v>
      </c>
      <c r="F307" s="3" t="s">
        <v>17</v>
      </c>
      <c r="G307" s="3" t="str">
        <f t="shared" si="3"/>
        <v>PURNA2025-JKT2</v>
      </c>
      <c r="H307" s="3" t="str">
        <f>VLOOKUP($C307,Userpass!$A$2:$L$3001,12,FALSE)</f>
        <v>JKT2</v>
      </c>
      <c r="I307" s="5" t="s">
        <v>14</v>
      </c>
      <c r="J307" s="3">
        <v>2022.0</v>
      </c>
      <c r="K307" s="4" t="str">
        <f>VLOOKUP($C307,Userpass!$A$2:$R$3001,2,FALSE)</f>
        <v>jkt20227750.alumni@smkn12malang.sch.id</v>
      </c>
    </row>
    <row r="308" hidden="1">
      <c r="A308" s="3" t="str">
        <f t="shared" si="1"/>
        <v>OK</v>
      </c>
      <c r="B308" s="3" t="str">
        <f t="shared" si="2"/>
        <v>OK</v>
      </c>
      <c r="C308" s="3">
        <v>7768.0</v>
      </c>
      <c r="D308" s="4" t="s">
        <v>625</v>
      </c>
      <c r="E308" s="3" t="s">
        <v>626</v>
      </c>
      <c r="F308" s="3" t="s">
        <v>17</v>
      </c>
      <c r="G308" s="3" t="str">
        <f t="shared" si="3"/>
        <v>PURNA2025-JKT2</v>
      </c>
      <c r="H308" s="3" t="str">
        <f>VLOOKUP($C308,Userpass!$A$2:$L$3001,12,FALSE)</f>
        <v>JKT2</v>
      </c>
      <c r="I308" s="5" t="s">
        <v>14</v>
      </c>
      <c r="J308" s="3">
        <v>2022.0</v>
      </c>
      <c r="K308" s="4" t="str">
        <f>VLOOKUP($C308,Userpass!$A$2:$R$3001,2,FALSE)</f>
        <v>jkt20227768.alumni@smkn12malang.sch.id</v>
      </c>
    </row>
    <row r="309" hidden="1">
      <c r="A309" s="3" t="str">
        <f t="shared" si="1"/>
        <v>OK</v>
      </c>
      <c r="B309" s="3" t="str">
        <f t="shared" si="2"/>
        <v>OK</v>
      </c>
      <c r="C309" s="3">
        <v>7782.0</v>
      </c>
      <c r="D309" s="4" t="s">
        <v>627</v>
      </c>
      <c r="E309" s="3" t="s">
        <v>628</v>
      </c>
      <c r="F309" s="3" t="s">
        <v>17</v>
      </c>
      <c r="G309" s="3" t="str">
        <f t="shared" si="3"/>
        <v>PURNA2025-JKT2</v>
      </c>
      <c r="H309" s="3" t="str">
        <f>VLOOKUP($C309,Userpass!$A$2:$L$3001,12,FALSE)</f>
        <v>JKT2</v>
      </c>
      <c r="I309" s="5" t="s">
        <v>14</v>
      </c>
      <c r="J309" s="3">
        <v>2022.0</v>
      </c>
      <c r="K309" s="4" t="str">
        <f>VLOOKUP($C309,Userpass!$A$2:$R$3001,2,FALSE)</f>
        <v>jkt20227782.alumni@smkn12malang.sch.id</v>
      </c>
    </row>
    <row r="310" hidden="1">
      <c r="A310" s="3" t="str">
        <f t="shared" si="1"/>
        <v>OK</v>
      </c>
      <c r="B310" s="3" t="str">
        <f t="shared" si="2"/>
        <v>OK</v>
      </c>
      <c r="C310" s="3">
        <v>7795.0</v>
      </c>
      <c r="D310" s="4" t="s">
        <v>629</v>
      </c>
      <c r="E310" s="3" t="s">
        <v>630</v>
      </c>
      <c r="F310" s="3" t="s">
        <v>17</v>
      </c>
      <c r="G310" s="3" t="str">
        <f t="shared" si="3"/>
        <v>PURNA2025-JKT2</v>
      </c>
      <c r="H310" s="3" t="str">
        <f>VLOOKUP($C310,Userpass!$A$2:$L$3001,12,FALSE)</f>
        <v>JKT2</v>
      </c>
      <c r="I310" s="5" t="s">
        <v>14</v>
      </c>
      <c r="J310" s="3">
        <v>2022.0</v>
      </c>
      <c r="K310" s="4" t="str">
        <f>VLOOKUP($C310,Userpass!$A$2:$R$3001,2,FALSE)</f>
        <v>jkt20227795.alumni@smkn12malang.sch.id</v>
      </c>
    </row>
    <row r="311" hidden="1">
      <c r="A311" s="3" t="str">
        <f t="shared" si="1"/>
        <v>OK</v>
      </c>
      <c r="B311" s="3" t="str">
        <f t="shared" si="2"/>
        <v>OK</v>
      </c>
      <c r="C311" s="3">
        <v>7813.0</v>
      </c>
      <c r="D311" s="4" t="s">
        <v>631</v>
      </c>
      <c r="E311" s="3" t="s">
        <v>632</v>
      </c>
      <c r="F311" s="3" t="s">
        <v>13</v>
      </c>
      <c r="G311" s="3" t="str">
        <f t="shared" si="3"/>
        <v>PURNA2025-JKT2</v>
      </c>
      <c r="H311" s="3" t="str">
        <f>VLOOKUP($C311,Userpass!$A$2:$L$3001,12,FALSE)</f>
        <v>JKT2</v>
      </c>
      <c r="I311" s="5" t="s">
        <v>14</v>
      </c>
      <c r="J311" s="3">
        <v>2022.0</v>
      </c>
      <c r="K311" s="4" t="str">
        <f>VLOOKUP($C311,Userpass!$A$2:$R$3001,2,FALSE)</f>
        <v>jkt20227813.alumni@smkn12malang.sch.id</v>
      </c>
    </row>
    <row r="312" hidden="1">
      <c r="A312" s="3" t="str">
        <f t="shared" si="1"/>
        <v>OK</v>
      </c>
      <c r="B312" s="3" t="str">
        <f t="shared" si="2"/>
        <v>OK</v>
      </c>
      <c r="C312" s="3">
        <v>7817.0</v>
      </c>
      <c r="D312" s="4" t="s">
        <v>633</v>
      </c>
      <c r="E312" s="3" t="s">
        <v>634</v>
      </c>
      <c r="F312" s="3" t="s">
        <v>13</v>
      </c>
      <c r="G312" s="3" t="str">
        <f t="shared" si="3"/>
        <v>PURNA2025-JKT2</v>
      </c>
      <c r="H312" s="3" t="str">
        <f>VLOOKUP($C312,Userpass!$A$2:$L$3001,12,FALSE)</f>
        <v>JKT2</v>
      </c>
      <c r="I312" s="5" t="s">
        <v>14</v>
      </c>
      <c r="J312" s="3">
        <v>2022.0</v>
      </c>
      <c r="K312" s="4" t="str">
        <f>VLOOKUP($C312,Userpass!$A$2:$R$3001,2,FALSE)</f>
        <v>jkt20227817.alumni@smkn12malang.sch.id</v>
      </c>
    </row>
    <row r="313" hidden="1">
      <c r="A313" s="3" t="str">
        <f t="shared" si="1"/>
        <v>OK</v>
      </c>
      <c r="B313" s="3" t="str">
        <f t="shared" si="2"/>
        <v>OK</v>
      </c>
      <c r="C313" s="3">
        <v>7840.0</v>
      </c>
      <c r="D313" s="4" t="s">
        <v>635</v>
      </c>
      <c r="E313" s="3" t="s">
        <v>636</v>
      </c>
      <c r="F313" s="3" t="s">
        <v>13</v>
      </c>
      <c r="G313" s="3" t="str">
        <f t="shared" si="3"/>
        <v>PURNA2025-JKT2</v>
      </c>
      <c r="H313" s="3" t="str">
        <f>VLOOKUP($C313,Userpass!$A$2:$L$3001,12,FALSE)</f>
        <v>JKT2</v>
      </c>
      <c r="I313" s="5" t="s">
        <v>14</v>
      </c>
      <c r="J313" s="3">
        <v>2022.0</v>
      </c>
      <c r="K313" s="4" t="str">
        <f>VLOOKUP($C313,Userpass!$A$2:$R$3001,2,FALSE)</f>
        <v>jkt20227840.alumni@smkn12malang.sch.id</v>
      </c>
    </row>
    <row r="314" hidden="1">
      <c r="A314" s="3" t="str">
        <f t="shared" si="1"/>
        <v>OK</v>
      </c>
      <c r="B314" s="3" t="str">
        <f t="shared" si="2"/>
        <v>OK</v>
      </c>
      <c r="C314" s="3">
        <v>7848.0</v>
      </c>
      <c r="D314" s="4" t="s">
        <v>637</v>
      </c>
      <c r="E314" s="3" t="s">
        <v>638</v>
      </c>
      <c r="F314" s="3" t="s">
        <v>13</v>
      </c>
      <c r="G314" s="3" t="str">
        <f t="shared" si="3"/>
        <v>PURNA2025-JKT2</v>
      </c>
      <c r="H314" s="3" t="str">
        <f>VLOOKUP($C314,Userpass!$A$2:$L$3001,12,FALSE)</f>
        <v>JKT2</v>
      </c>
      <c r="I314" s="5" t="s">
        <v>14</v>
      </c>
      <c r="J314" s="3">
        <v>2022.0</v>
      </c>
      <c r="K314" s="4" t="str">
        <f>VLOOKUP($C314,Userpass!$A$2:$R$3001,2,FALSE)</f>
        <v>jkt20227848.alumni@smkn12malang.sch.id</v>
      </c>
    </row>
    <row r="315" hidden="1">
      <c r="A315" s="3" t="str">
        <f t="shared" si="1"/>
        <v>OK</v>
      </c>
      <c r="B315" s="3" t="str">
        <f t="shared" si="2"/>
        <v>OK</v>
      </c>
      <c r="C315" s="3">
        <v>7867.0</v>
      </c>
      <c r="D315" s="4" t="s">
        <v>639</v>
      </c>
      <c r="E315" s="3" t="s">
        <v>640</v>
      </c>
      <c r="F315" s="3" t="s">
        <v>17</v>
      </c>
      <c r="G315" s="3" t="str">
        <f t="shared" si="3"/>
        <v>PURNA2025-JKT2</v>
      </c>
      <c r="H315" s="3" t="str">
        <f>VLOOKUP($C315,Userpass!$A$2:$L$3001,12,FALSE)</f>
        <v>JKT2</v>
      </c>
      <c r="I315" s="5" t="s">
        <v>14</v>
      </c>
      <c r="J315" s="3">
        <v>2022.0</v>
      </c>
      <c r="K315" s="4" t="str">
        <f>VLOOKUP($C315,Userpass!$A$2:$R$3001,2,FALSE)</f>
        <v>jkt20227867.alumni@smkn12malang.sch.id</v>
      </c>
    </row>
    <row r="316" hidden="1">
      <c r="A316" s="3" t="str">
        <f t="shared" si="1"/>
        <v>OK</v>
      </c>
      <c r="B316" s="3" t="str">
        <f t="shared" si="2"/>
        <v>OK</v>
      </c>
      <c r="C316" s="3">
        <v>7880.0</v>
      </c>
      <c r="D316" s="4" t="s">
        <v>641</v>
      </c>
      <c r="E316" s="3" t="s">
        <v>642</v>
      </c>
      <c r="F316" s="3" t="s">
        <v>17</v>
      </c>
      <c r="G316" s="3" t="str">
        <f t="shared" si="3"/>
        <v>PURNA2025-JKT2</v>
      </c>
      <c r="H316" s="3" t="str">
        <f>VLOOKUP($C316,Userpass!$A$2:$L$3001,12,FALSE)</f>
        <v>JKT2</v>
      </c>
      <c r="I316" s="5" t="s">
        <v>14</v>
      </c>
      <c r="J316" s="3">
        <v>2022.0</v>
      </c>
      <c r="K316" s="4" t="str">
        <f>VLOOKUP($C316,Userpass!$A$2:$R$3001,2,FALSE)</f>
        <v>jkt20227880.alumni@smkn12malang.sch.id</v>
      </c>
    </row>
    <row r="317" hidden="1">
      <c r="A317" s="3" t="str">
        <f t="shared" si="1"/>
        <v>OK</v>
      </c>
      <c r="B317" s="3" t="str">
        <f t="shared" si="2"/>
        <v>OK</v>
      </c>
      <c r="C317" s="3">
        <v>7923.0</v>
      </c>
      <c r="D317" s="4" t="s">
        <v>643</v>
      </c>
      <c r="E317" s="3" t="s">
        <v>644</v>
      </c>
      <c r="F317" s="3" t="s">
        <v>17</v>
      </c>
      <c r="G317" s="3" t="str">
        <f t="shared" si="3"/>
        <v>PURNA2025-JKT2</v>
      </c>
      <c r="H317" s="3" t="str">
        <f>VLOOKUP($C317,Userpass!$A$2:$L$3001,12,FALSE)</f>
        <v>JKT2</v>
      </c>
      <c r="I317" s="5" t="s">
        <v>14</v>
      </c>
      <c r="J317" s="3">
        <v>2022.0</v>
      </c>
      <c r="K317" s="4" t="str">
        <f>VLOOKUP($C317,Userpass!$A$2:$R$3001,2,FALSE)</f>
        <v>jkt20227923.alumni@smkn12malang.sch.id</v>
      </c>
    </row>
    <row r="318" hidden="1">
      <c r="A318" s="3" t="str">
        <f t="shared" si="1"/>
        <v>OK</v>
      </c>
      <c r="B318" s="3" t="str">
        <f t="shared" si="2"/>
        <v>OK</v>
      </c>
      <c r="C318" s="3">
        <v>7940.0</v>
      </c>
      <c r="D318" s="4" t="s">
        <v>645</v>
      </c>
      <c r="E318" s="3" t="s">
        <v>646</v>
      </c>
      <c r="F318" s="3" t="s">
        <v>13</v>
      </c>
      <c r="G318" s="3" t="str">
        <f t="shared" si="3"/>
        <v>PURNA2025-JKT2</v>
      </c>
      <c r="H318" s="3" t="str">
        <f>VLOOKUP($C318,Userpass!$A$2:$L$3001,12,FALSE)</f>
        <v>JKT2</v>
      </c>
      <c r="I318" s="5" t="s">
        <v>14</v>
      </c>
      <c r="J318" s="3">
        <v>2022.0</v>
      </c>
      <c r="K318" s="4" t="str">
        <f>VLOOKUP($C318,Userpass!$A$2:$R$3001,2,FALSE)</f>
        <v>jkt20227940.alumni@smkn12malang.sch.id</v>
      </c>
    </row>
    <row r="319" hidden="1">
      <c r="A319" s="3" t="str">
        <f t="shared" si="1"/>
        <v>OK</v>
      </c>
      <c r="B319" s="3" t="str">
        <f t="shared" si="2"/>
        <v>OK</v>
      </c>
      <c r="C319" s="3">
        <v>7945.0</v>
      </c>
      <c r="D319" s="4" t="s">
        <v>647</v>
      </c>
      <c r="E319" s="3" t="s">
        <v>648</v>
      </c>
      <c r="F319" s="3" t="s">
        <v>13</v>
      </c>
      <c r="G319" s="3" t="str">
        <f t="shared" si="3"/>
        <v>PURNA2025-JKT2</v>
      </c>
      <c r="H319" s="3" t="str">
        <f>VLOOKUP($C319,Userpass!$A$2:$L$3001,12,FALSE)</f>
        <v>JKT2</v>
      </c>
      <c r="I319" s="5" t="s">
        <v>14</v>
      </c>
      <c r="J319" s="3">
        <v>2022.0</v>
      </c>
      <c r="K319" s="4" t="str">
        <f>VLOOKUP($C319,Userpass!$A$2:$R$3001,2,FALSE)</f>
        <v>jkt20227945.alumni@smkn12malang.sch.id</v>
      </c>
    </row>
    <row r="320" hidden="1">
      <c r="A320" s="3" t="str">
        <f t="shared" si="1"/>
        <v>OK</v>
      </c>
      <c r="B320" s="3" t="str">
        <f t="shared" si="2"/>
        <v>OK</v>
      </c>
      <c r="C320" s="3">
        <v>7962.0</v>
      </c>
      <c r="D320" s="4" t="s">
        <v>649</v>
      </c>
      <c r="E320" s="3" t="s">
        <v>650</v>
      </c>
      <c r="F320" s="3" t="s">
        <v>17</v>
      </c>
      <c r="G320" s="3" t="str">
        <f t="shared" si="3"/>
        <v>PURNA2025-JKT2</v>
      </c>
      <c r="H320" s="3" t="str">
        <f>VLOOKUP($C320,Userpass!$A$2:$L$3001,12,FALSE)</f>
        <v>JKT2</v>
      </c>
      <c r="I320" s="5" t="s">
        <v>14</v>
      </c>
      <c r="J320" s="3">
        <v>2022.0</v>
      </c>
      <c r="K320" s="4" t="str">
        <f>VLOOKUP($C320,Userpass!$A$2:$R$3001,2,FALSE)</f>
        <v>jkt20227962.alumni@smkn12malang.sch.id</v>
      </c>
    </row>
    <row r="321" hidden="1">
      <c r="A321" s="3" t="str">
        <f t="shared" si="1"/>
        <v>OK</v>
      </c>
      <c r="B321" s="3" t="str">
        <f t="shared" si="2"/>
        <v>OK</v>
      </c>
      <c r="C321" s="3">
        <v>7969.0</v>
      </c>
      <c r="D321" s="4" t="s">
        <v>651</v>
      </c>
      <c r="E321" s="3" t="s">
        <v>652</v>
      </c>
      <c r="F321" s="3" t="s">
        <v>13</v>
      </c>
      <c r="G321" s="3" t="str">
        <f t="shared" si="3"/>
        <v>PURNA2025-JKT2</v>
      </c>
      <c r="H321" s="3" t="str">
        <f>VLOOKUP($C321,Userpass!$A$2:$L$3001,12,FALSE)</f>
        <v>JKT2</v>
      </c>
      <c r="I321" s="5" t="s">
        <v>14</v>
      </c>
      <c r="J321" s="3">
        <v>2022.0</v>
      </c>
      <c r="K321" s="4" t="str">
        <f>VLOOKUP($C321,Userpass!$A$2:$R$3001,2,FALSE)</f>
        <v>jkt20227969.alumni@smkn12malang.sch.id</v>
      </c>
    </row>
    <row r="322" hidden="1">
      <c r="A322" s="3" t="str">
        <f t="shared" si="1"/>
        <v>OK</v>
      </c>
      <c r="B322" s="3" t="str">
        <f t="shared" si="2"/>
        <v>OK</v>
      </c>
      <c r="C322" s="3">
        <v>7992.0</v>
      </c>
      <c r="D322" s="4" t="s">
        <v>653</v>
      </c>
      <c r="E322" s="3" t="s">
        <v>654</v>
      </c>
      <c r="F322" s="3" t="s">
        <v>17</v>
      </c>
      <c r="G322" s="3" t="str">
        <f t="shared" si="3"/>
        <v>PURNA2025-JKT2</v>
      </c>
      <c r="H322" s="3" t="str">
        <f>VLOOKUP($C322,Userpass!$A$2:$L$3001,12,FALSE)</f>
        <v>JKT2</v>
      </c>
      <c r="I322" s="5" t="s">
        <v>14</v>
      </c>
      <c r="J322" s="3">
        <v>2022.0</v>
      </c>
      <c r="K322" s="4" t="str">
        <f>VLOOKUP($C322,Userpass!$A$2:$R$3001,2,FALSE)</f>
        <v>jkt20227992.alumni@smkn12malang.sch.id</v>
      </c>
    </row>
    <row r="323" hidden="1">
      <c r="A323" s="3" t="str">
        <f t="shared" si="1"/>
        <v>OK</v>
      </c>
      <c r="B323" s="3" t="str">
        <f t="shared" si="2"/>
        <v>OK</v>
      </c>
      <c r="C323" s="3">
        <v>8007.0</v>
      </c>
      <c r="D323" s="4" t="s">
        <v>655</v>
      </c>
      <c r="E323" s="3" t="s">
        <v>656</v>
      </c>
      <c r="F323" s="3" t="s">
        <v>17</v>
      </c>
      <c r="G323" s="3" t="str">
        <f t="shared" si="3"/>
        <v>PURNA2025-JKT2</v>
      </c>
      <c r="H323" s="3" t="str">
        <f>VLOOKUP($C323,Userpass!$A$2:$L$3001,12,FALSE)</f>
        <v>JKT2</v>
      </c>
      <c r="I323" s="5" t="s">
        <v>14</v>
      </c>
      <c r="J323" s="3">
        <v>2022.0</v>
      </c>
      <c r="K323" s="4" t="str">
        <f>VLOOKUP($C323,Userpass!$A$2:$R$3001,2,FALSE)</f>
        <v>jkt20228007.alumni@smkn12malang.sch.id</v>
      </c>
    </row>
    <row r="324" hidden="1">
      <c r="A324" s="3" t="str">
        <f t="shared" si="1"/>
        <v>OK</v>
      </c>
      <c r="B324" s="3" t="str">
        <f t="shared" si="2"/>
        <v>OK</v>
      </c>
      <c r="C324" s="3">
        <v>7419.0</v>
      </c>
      <c r="D324" s="4" t="s">
        <v>657</v>
      </c>
      <c r="E324" s="3" t="s">
        <v>658</v>
      </c>
      <c r="F324" s="3" t="s">
        <v>13</v>
      </c>
      <c r="G324" s="3" t="str">
        <f t="shared" si="3"/>
        <v>PURNA2025-KLR1</v>
      </c>
      <c r="H324" s="3" t="str">
        <f>VLOOKUP($C324,Userpass!$A$2:$L$3001,12,FALSE)</f>
        <v>KLR1</v>
      </c>
      <c r="I324" s="5" t="s">
        <v>14</v>
      </c>
      <c r="J324" s="3">
        <v>2022.0</v>
      </c>
      <c r="K324" s="4" t="str">
        <f>VLOOKUP($C324,Userpass!$A$2:$R$3001,2,FALSE)</f>
        <v>klr20227419.alumni@smkn12malang.sch.id</v>
      </c>
    </row>
    <row r="325" hidden="1">
      <c r="A325" s="3" t="str">
        <f t="shared" si="1"/>
        <v>OK</v>
      </c>
      <c r="B325" s="3" t="str">
        <f t="shared" si="2"/>
        <v>OK</v>
      </c>
      <c r="C325" s="3">
        <v>7449.0</v>
      </c>
      <c r="D325" s="4" t="s">
        <v>659</v>
      </c>
      <c r="E325" s="3" t="s">
        <v>660</v>
      </c>
      <c r="F325" s="3" t="s">
        <v>13</v>
      </c>
      <c r="G325" s="3" t="str">
        <f t="shared" si="3"/>
        <v>PURNA2025-KLR1</v>
      </c>
      <c r="H325" s="3" t="str">
        <f>VLOOKUP($C325,Userpass!$A$2:$L$3001,12,FALSE)</f>
        <v>KLR1</v>
      </c>
      <c r="I325" s="5" t="s">
        <v>14</v>
      </c>
      <c r="J325" s="3">
        <v>2022.0</v>
      </c>
      <c r="K325" s="4" t="str">
        <f>VLOOKUP($C325,Userpass!$A$2:$R$3001,2,FALSE)</f>
        <v>klr20227449.alumni@smkn12malang.sch.id</v>
      </c>
    </row>
    <row r="326" hidden="1">
      <c r="A326" s="3" t="str">
        <f t="shared" si="1"/>
        <v>OK</v>
      </c>
      <c r="B326" s="3" t="str">
        <f t="shared" si="2"/>
        <v>OK</v>
      </c>
      <c r="C326" s="3">
        <v>7465.0</v>
      </c>
      <c r="D326" s="4" t="s">
        <v>661</v>
      </c>
      <c r="E326" s="3" t="s">
        <v>662</v>
      </c>
      <c r="F326" s="3" t="s">
        <v>13</v>
      </c>
      <c r="G326" s="3" t="str">
        <f t="shared" si="3"/>
        <v>PURNA2025-KLR1</v>
      </c>
      <c r="H326" s="3" t="str">
        <f>VLOOKUP($C326,Userpass!$A$2:$L$3001,12,FALSE)</f>
        <v>KLR1</v>
      </c>
      <c r="I326" s="5" t="s">
        <v>14</v>
      </c>
      <c r="J326" s="3">
        <v>2022.0</v>
      </c>
      <c r="K326" s="4" t="str">
        <f>VLOOKUP($C326,Userpass!$A$2:$R$3001,2,FALSE)</f>
        <v>klr20227465.alumni@smkn12malang.sch.id</v>
      </c>
    </row>
    <row r="327" hidden="1">
      <c r="A327" s="3" t="str">
        <f t="shared" si="1"/>
        <v>OK</v>
      </c>
      <c r="B327" s="3" t="str">
        <f t="shared" si="2"/>
        <v>OK</v>
      </c>
      <c r="C327" s="3">
        <v>7532.0</v>
      </c>
      <c r="D327" s="4" t="s">
        <v>663</v>
      </c>
      <c r="E327" s="3" t="s">
        <v>664</v>
      </c>
      <c r="F327" s="3" t="s">
        <v>13</v>
      </c>
      <c r="G327" s="3" t="str">
        <f t="shared" si="3"/>
        <v>PURNA2025-KLR1</v>
      </c>
      <c r="H327" s="3" t="str">
        <f>VLOOKUP($C327,Userpass!$A$2:$L$3001,12,FALSE)</f>
        <v>KLR1</v>
      </c>
      <c r="I327" s="5" t="s">
        <v>14</v>
      </c>
      <c r="J327" s="3">
        <v>2022.0</v>
      </c>
      <c r="K327" s="4" t="str">
        <f>VLOOKUP($C327,Userpass!$A$2:$R$3001,2,FALSE)</f>
        <v>klr20227532.alumni@smkn12malang.sch.id</v>
      </c>
    </row>
    <row r="328" hidden="1">
      <c r="A328" s="3" t="str">
        <f t="shared" si="1"/>
        <v>OK</v>
      </c>
      <c r="B328" s="3" t="str">
        <f t="shared" si="2"/>
        <v>OK</v>
      </c>
      <c r="C328" s="3">
        <v>7540.0</v>
      </c>
      <c r="D328" s="4" t="s">
        <v>665</v>
      </c>
      <c r="E328" s="3" t="s">
        <v>666</v>
      </c>
      <c r="F328" s="3" t="s">
        <v>13</v>
      </c>
      <c r="G328" s="3" t="str">
        <f t="shared" si="3"/>
        <v>PURNA2025-KLR1</v>
      </c>
      <c r="H328" s="3" t="str">
        <f>VLOOKUP($C328,Userpass!$A$2:$L$3001,12,FALSE)</f>
        <v>KLR1</v>
      </c>
      <c r="I328" s="5" t="s">
        <v>14</v>
      </c>
      <c r="J328" s="3">
        <v>2022.0</v>
      </c>
      <c r="K328" s="4" t="str">
        <f>VLOOKUP($C328,Userpass!$A$2:$R$3001,2,FALSE)</f>
        <v>klr20227540.alumni@smkn12malang.sch.id</v>
      </c>
    </row>
    <row r="329" hidden="1">
      <c r="A329" s="3" t="str">
        <f t="shared" si="1"/>
        <v>OK</v>
      </c>
      <c r="B329" s="3" t="str">
        <f t="shared" si="2"/>
        <v>OK</v>
      </c>
      <c r="C329" s="3">
        <v>7565.0</v>
      </c>
      <c r="D329" s="4" t="s">
        <v>667</v>
      </c>
      <c r="E329" s="3" t="s">
        <v>668</v>
      </c>
      <c r="F329" s="3" t="s">
        <v>13</v>
      </c>
      <c r="G329" s="3" t="str">
        <f t="shared" si="3"/>
        <v>PURNA2025-KLR1</v>
      </c>
      <c r="H329" s="3" t="str">
        <f>VLOOKUP($C329,Userpass!$A$2:$L$3001,12,FALSE)</f>
        <v>KLR1</v>
      </c>
      <c r="I329" s="5" t="s">
        <v>14</v>
      </c>
      <c r="J329" s="3">
        <v>2022.0</v>
      </c>
      <c r="K329" s="4" t="str">
        <f>VLOOKUP($C329,Userpass!$A$2:$R$3001,2,FALSE)</f>
        <v>klr20227565.alumni@smkn12malang.sch.id</v>
      </c>
    </row>
    <row r="330" hidden="1">
      <c r="A330" s="3" t="str">
        <f t="shared" si="1"/>
        <v>OK</v>
      </c>
      <c r="B330" s="3" t="str">
        <f t="shared" si="2"/>
        <v>OK</v>
      </c>
      <c r="C330" s="3">
        <v>7593.0</v>
      </c>
      <c r="D330" s="4" t="s">
        <v>669</v>
      </c>
      <c r="E330" s="3" t="s">
        <v>670</v>
      </c>
      <c r="F330" s="3" t="s">
        <v>13</v>
      </c>
      <c r="G330" s="3" t="str">
        <f t="shared" si="3"/>
        <v>PURNA2025-KLR1</v>
      </c>
      <c r="H330" s="3" t="str">
        <f>VLOOKUP($C330,Userpass!$A$2:$L$3001,12,FALSE)</f>
        <v>KLR1</v>
      </c>
      <c r="I330" s="5" t="s">
        <v>14</v>
      </c>
      <c r="J330" s="3">
        <v>2022.0</v>
      </c>
      <c r="K330" s="4" t="str">
        <f>VLOOKUP($C330,Userpass!$A$2:$R$3001,2,FALSE)</f>
        <v>klr20227593.alumni@smkn12malang.sch.id</v>
      </c>
    </row>
    <row r="331" hidden="1">
      <c r="A331" s="3" t="str">
        <f t="shared" si="1"/>
        <v>OK</v>
      </c>
      <c r="B331" s="3" t="str">
        <f t="shared" si="2"/>
        <v>OK</v>
      </c>
      <c r="C331" s="3">
        <v>7653.0</v>
      </c>
      <c r="D331" s="4" t="s">
        <v>671</v>
      </c>
      <c r="E331" s="3" t="s">
        <v>672</v>
      </c>
      <c r="F331" s="3" t="s">
        <v>13</v>
      </c>
      <c r="G331" s="3" t="str">
        <f t="shared" si="3"/>
        <v>PURNA2025-KLR1</v>
      </c>
      <c r="H331" s="3" t="str">
        <f>VLOOKUP($C331,Userpass!$A$2:$L$3001,12,FALSE)</f>
        <v>KLR1</v>
      </c>
      <c r="I331" s="5" t="s">
        <v>14</v>
      </c>
      <c r="J331" s="3">
        <v>2022.0</v>
      </c>
      <c r="K331" s="4" t="str">
        <f>VLOOKUP($C331,Userpass!$A$2:$R$3001,2,FALSE)</f>
        <v>klr20227653.alumni@smkn12malang.sch.id</v>
      </c>
    </row>
    <row r="332" hidden="1">
      <c r="A332" s="3" t="str">
        <f t="shared" si="1"/>
        <v>OK</v>
      </c>
      <c r="B332" s="3" t="str">
        <f t="shared" si="2"/>
        <v>OK</v>
      </c>
      <c r="C332" s="3">
        <v>7668.0</v>
      </c>
      <c r="D332" s="4" t="s">
        <v>673</v>
      </c>
      <c r="E332" s="3" t="s">
        <v>674</v>
      </c>
      <c r="F332" s="3" t="s">
        <v>13</v>
      </c>
      <c r="G332" s="3" t="str">
        <f t="shared" si="3"/>
        <v>PURNA2025-KLR1</v>
      </c>
      <c r="H332" s="3" t="str">
        <f>VLOOKUP($C332,Userpass!$A$2:$L$3001,12,FALSE)</f>
        <v>KLR1</v>
      </c>
      <c r="I332" s="5" t="s">
        <v>14</v>
      </c>
      <c r="J332" s="3">
        <v>2022.0</v>
      </c>
      <c r="K332" s="4" t="str">
        <f>VLOOKUP($C332,Userpass!$A$2:$R$3001,2,FALSE)</f>
        <v>klr20227668.alumni@smkn12malang.sch.id</v>
      </c>
    </row>
    <row r="333" hidden="1">
      <c r="A333" s="3" t="str">
        <f t="shared" si="1"/>
        <v>OK</v>
      </c>
      <c r="B333" s="3" t="str">
        <f t="shared" si="2"/>
        <v>OK</v>
      </c>
      <c r="C333" s="3">
        <v>7671.0</v>
      </c>
      <c r="D333" s="4" t="s">
        <v>675</v>
      </c>
      <c r="E333" s="3" t="s">
        <v>676</v>
      </c>
      <c r="F333" s="3" t="s">
        <v>13</v>
      </c>
      <c r="G333" s="3" t="str">
        <f t="shared" si="3"/>
        <v>PURNA2025-KLR1</v>
      </c>
      <c r="H333" s="3" t="str">
        <f>VLOOKUP($C333,Userpass!$A$2:$L$3001,12,FALSE)</f>
        <v>KLR1</v>
      </c>
      <c r="I333" s="5" t="s">
        <v>14</v>
      </c>
      <c r="J333" s="3">
        <v>2022.0</v>
      </c>
      <c r="K333" s="4" t="str">
        <f>VLOOKUP($C333,Userpass!$A$2:$R$3001,2,FALSE)</f>
        <v>klr20227671.alumni@smkn12malang.sch.id</v>
      </c>
    </row>
    <row r="334" hidden="1">
      <c r="A334" s="3" t="str">
        <f t="shared" si="1"/>
        <v>OK</v>
      </c>
      <c r="B334" s="3" t="str">
        <f t="shared" si="2"/>
        <v>OK</v>
      </c>
      <c r="C334" s="3">
        <v>7684.0</v>
      </c>
      <c r="D334" s="4" t="s">
        <v>677</v>
      </c>
      <c r="E334" s="3" t="s">
        <v>678</v>
      </c>
      <c r="F334" s="3" t="s">
        <v>13</v>
      </c>
      <c r="G334" s="3" t="str">
        <f t="shared" si="3"/>
        <v>PURNA2025-KLR1</v>
      </c>
      <c r="H334" s="3" t="str">
        <f>VLOOKUP($C334,Userpass!$A$2:$L$3001,12,FALSE)</f>
        <v>KLR1</v>
      </c>
      <c r="I334" s="5" t="s">
        <v>14</v>
      </c>
      <c r="J334" s="3">
        <v>2022.0</v>
      </c>
      <c r="K334" s="4" t="str">
        <f>VLOOKUP($C334,Userpass!$A$2:$R$3001,2,FALSE)</f>
        <v>klr20227684.alumni@smkn12malang.sch.id</v>
      </c>
    </row>
    <row r="335" hidden="1">
      <c r="A335" s="3" t="str">
        <f t="shared" si="1"/>
        <v>OK</v>
      </c>
      <c r="B335" s="3" t="str">
        <f t="shared" si="2"/>
        <v>OK</v>
      </c>
      <c r="C335" s="3">
        <v>7687.0</v>
      </c>
      <c r="D335" s="4" t="s">
        <v>679</v>
      </c>
      <c r="E335" s="3" t="s">
        <v>680</v>
      </c>
      <c r="F335" s="3" t="s">
        <v>13</v>
      </c>
      <c r="G335" s="3" t="str">
        <f t="shared" si="3"/>
        <v>PURNA2025-KLR1</v>
      </c>
      <c r="H335" s="3" t="str">
        <f>VLOOKUP($C335,Userpass!$A$2:$L$3001,12,FALSE)</f>
        <v>KLR1</v>
      </c>
      <c r="I335" s="5" t="s">
        <v>14</v>
      </c>
      <c r="J335" s="3">
        <v>2022.0</v>
      </c>
      <c r="K335" s="4" t="str">
        <f>VLOOKUP($C335,Userpass!$A$2:$R$3001,2,FALSE)</f>
        <v>klr20227687.alumni@smkn12malang.sch.id</v>
      </c>
    </row>
    <row r="336" hidden="1">
      <c r="A336" s="3" t="str">
        <f t="shared" si="1"/>
        <v>OK</v>
      </c>
      <c r="B336" s="3" t="str">
        <f t="shared" si="2"/>
        <v>OK</v>
      </c>
      <c r="C336" s="3">
        <v>7801.0</v>
      </c>
      <c r="D336" s="4" t="s">
        <v>681</v>
      </c>
      <c r="E336" s="3" t="s">
        <v>682</v>
      </c>
      <c r="F336" s="3" t="s">
        <v>17</v>
      </c>
      <c r="G336" s="3" t="str">
        <f t="shared" si="3"/>
        <v>PURNA2025-KLR1</v>
      </c>
      <c r="H336" s="3" t="str">
        <f>VLOOKUP($C336,Userpass!$A$2:$L$3001,12,FALSE)</f>
        <v>KLR1</v>
      </c>
      <c r="I336" s="5" t="s">
        <v>14</v>
      </c>
      <c r="J336" s="3">
        <v>2022.0</v>
      </c>
      <c r="K336" s="4" t="str">
        <f>VLOOKUP($C336,Userpass!$A$2:$R$3001,2,FALSE)</f>
        <v>klr20227801.alumni@smkn12malang.sch.id</v>
      </c>
    </row>
    <row r="337" hidden="1">
      <c r="A337" s="3" t="str">
        <f t="shared" si="1"/>
        <v>OK</v>
      </c>
      <c r="B337" s="3" t="str">
        <f t="shared" si="2"/>
        <v>OK</v>
      </c>
      <c r="C337" s="3">
        <v>7831.0</v>
      </c>
      <c r="D337" s="4" t="s">
        <v>683</v>
      </c>
      <c r="E337" s="3" t="s">
        <v>684</v>
      </c>
      <c r="F337" s="3" t="s">
        <v>17</v>
      </c>
      <c r="G337" s="3" t="str">
        <f t="shared" si="3"/>
        <v>PURNA2025-KLR1</v>
      </c>
      <c r="H337" s="3" t="str">
        <f>VLOOKUP($C337,Userpass!$A$2:$L$3001,12,FALSE)</f>
        <v>KLR1</v>
      </c>
      <c r="I337" s="5" t="s">
        <v>14</v>
      </c>
      <c r="J337" s="3">
        <v>2022.0</v>
      </c>
      <c r="K337" s="4" t="str">
        <f>VLOOKUP($C337,Userpass!$A$2:$R$3001,2,FALSE)</f>
        <v>klr20227831.alumni@smkn12malang.sch.id</v>
      </c>
    </row>
    <row r="338" hidden="1">
      <c r="A338" s="3" t="str">
        <f t="shared" si="1"/>
        <v>OK</v>
      </c>
      <c r="B338" s="3" t="str">
        <f t="shared" si="2"/>
        <v>OK</v>
      </c>
      <c r="C338" s="3">
        <v>7832.0</v>
      </c>
      <c r="D338" s="4" t="s">
        <v>685</v>
      </c>
      <c r="E338" s="3" t="s">
        <v>686</v>
      </c>
      <c r="F338" s="3" t="s">
        <v>13</v>
      </c>
      <c r="G338" s="3" t="str">
        <f t="shared" si="3"/>
        <v>PURNA2025-KLR1</v>
      </c>
      <c r="H338" s="3" t="str">
        <f>VLOOKUP($C338,Userpass!$A$2:$L$3001,12,FALSE)</f>
        <v>KLR1</v>
      </c>
      <c r="I338" s="5" t="s">
        <v>14</v>
      </c>
      <c r="J338" s="3">
        <v>2022.0</v>
      </c>
      <c r="K338" s="4" t="str">
        <f>VLOOKUP($C338,Userpass!$A$2:$R$3001,2,FALSE)</f>
        <v>klr20227832.alumni@smkn12malang.sch.id</v>
      </c>
    </row>
    <row r="339" hidden="1">
      <c r="A339" s="3" t="str">
        <f t="shared" si="1"/>
        <v>OK</v>
      </c>
      <c r="B339" s="3" t="str">
        <f t="shared" si="2"/>
        <v>OK</v>
      </c>
      <c r="C339" s="3">
        <v>7834.0</v>
      </c>
      <c r="D339" s="4" t="s">
        <v>687</v>
      </c>
      <c r="E339" s="3" t="s">
        <v>688</v>
      </c>
      <c r="F339" s="3" t="s">
        <v>13</v>
      </c>
      <c r="G339" s="3" t="str">
        <f t="shared" si="3"/>
        <v>PURNA2025-KLR1</v>
      </c>
      <c r="H339" s="3" t="str">
        <f>VLOOKUP($C339,Userpass!$A$2:$L$3001,12,FALSE)</f>
        <v>KLR1</v>
      </c>
      <c r="I339" s="5" t="s">
        <v>14</v>
      </c>
      <c r="J339" s="3">
        <v>2022.0</v>
      </c>
      <c r="K339" s="4" t="str">
        <f>VLOOKUP($C339,Userpass!$A$2:$R$3001,2,FALSE)</f>
        <v>klr20227834.alumni@smkn12malang.sch.id</v>
      </c>
    </row>
    <row r="340" hidden="1">
      <c r="A340" s="3" t="str">
        <f t="shared" si="1"/>
        <v>OK</v>
      </c>
      <c r="B340" s="3" t="str">
        <f t="shared" si="2"/>
        <v>OK</v>
      </c>
      <c r="C340" s="3">
        <v>7850.0</v>
      </c>
      <c r="D340" s="4" t="s">
        <v>689</v>
      </c>
      <c r="E340" s="3" t="s">
        <v>690</v>
      </c>
      <c r="F340" s="3" t="s">
        <v>13</v>
      </c>
      <c r="G340" s="3" t="str">
        <f t="shared" si="3"/>
        <v>PURNA2025-KLR1</v>
      </c>
      <c r="H340" s="3" t="str">
        <f>VLOOKUP($C340,Userpass!$A$2:$L$3001,12,FALSE)</f>
        <v>KLR1</v>
      </c>
      <c r="I340" s="5" t="s">
        <v>14</v>
      </c>
      <c r="J340" s="3">
        <v>2022.0</v>
      </c>
      <c r="K340" s="4" t="str">
        <f>VLOOKUP($C340,Userpass!$A$2:$R$3001,2,FALSE)</f>
        <v>klr20227850.alumni@smkn12malang.sch.id</v>
      </c>
    </row>
    <row r="341" hidden="1">
      <c r="A341" s="3" t="str">
        <f t="shared" si="1"/>
        <v>OK</v>
      </c>
      <c r="B341" s="3" t="str">
        <f t="shared" si="2"/>
        <v>OK</v>
      </c>
      <c r="C341" s="3">
        <v>7853.0</v>
      </c>
      <c r="D341" s="4" t="s">
        <v>691</v>
      </c>
      <c r="E341" s="3" t="s">
        <v>692</v>
      </c>
      <c r="F341" s="3" t="s">
        <v>13</v>
      </c>
      <c r="G341" s="3" t="str">
        <f t="shared" si="3"/>
        <v>PURNA2025-KLR1</v>
      </c>
      <c r="H341" s="3" t="str">
        <f>VLOOKUP($C341,Userpass!$A$2:$L$3001,12,FALSE)</f>
        <v>KLR1</v>
      </c>
      <c r="I341" s="5" t="s">
        <v>14</v>
      </c>
      <c r="J341" s="3">
        <v>2022.0</v>
      </c>
      <c r="K341" s="4" t="str">
        <f>VLOOKUP($C341,Userpass!$A$2:$R$3001,2,FALSE)</f>
        <v>klr20227853.alumni@smkn12malang.sch.id</v>
      </c>
    </row>
    <row r="342" hidden="1">
      <c r="A342" s="3" t="str">
        <f t="shared" si="1"/>
        <v>OK</v>
      </c>
      <c r="B342" s="3" t="str">
        <f t="shared" si="2"/>
        <v>OK</v>
      </c>
      <c r="C342" s="3">
        <v>7857.0</v>
      </c>
      <c r="D342" s="4" t="s">
        <v>693</v>
      </c>
      <c r="E342" s="3" t="s">
        <v>694</v>
      </c>
      <c r="F342" s="3" t="s">
        <v>13</v>
      </c>
      <c r="G342" s="3" t="str">
        <f t="shared" si="3"/>
        <v>PURNA2025-KLR1</v>
      </c>
      <c r="H342" s="3" t="str">
        <f>VLOOKUP($C342,Userpass!$A$2:$L$3001,12,FALSE)</f>
        <v>KLR1</v>
      </c>
      <c r="I342" s="5" t="s">
        <v>14</v>
      </c>
      <c r="J342" s="3">
        <v>2022.0</v>
      </c>
      <c r="K342" s="4" t="str">
        <f>VLOOKUP($C342,Userpass!$A$2:$R$3001,2,FALSE)</f>
        <v>klr20227857.alumni@smkn12malang.sch.id</v>
      </c>
    </row>
    <row r="343" hidden="1">
      <c r="A343" s="3" t="str">
        <f t="shared" si="1"/>
        <v>OK</v>
      </c>
      <c r="B343" s="3" t="str">
        <f t="shared" si="2"/>
        <v>OK</v>
      </c>
      <c r="C343" s="3">
        <v>7862.0</v>
      </c>
      <c r="D343" s="4" t="s">
        <v>695</v>
      </c>
      <c r="E343" s="3" t="s">
        <v>696</v>
      </c>
      <c r="F343" s="3" t="s">
        <v>13</v>
      </c>
      <c r="G343" s="3" t="str">
        <f t="shared" si="3"/>
        <v>PURNA2025-KLR1</v>
      </c>
      <c r="H343" s="3" t="str">
        <f>VLOOKUP($C343,Userpass!$A$2:$L$3001,12,FALSE)</f>
        <v>KLR1</v>
      </c>
      <c r="I343" s="5" t="s">
        <v>14</v>
      </c>
      <c r="J343" s="3">
        <v>2022.0</v>
      </c>
      <c r="K343" s="4" t="str">
        <f>VLOOKUP($C343,Userpass!$A$2:$R$3001,2,FALSE)</f>
        <v>klr20227862.alumni@smkn12malang.sch.id</v>
      </c>
    </row>
    <row r="344" hidden="1">
      <c r="A344" s="3" t="str">
        <f t="shared" si="1"/>
        <v>OK</v>
      </c>
      <c r="B344" s="3" t="str">
        <f t="shared" si="2"/>
        <v>OK</v>
      </c>
      <c r="C344" s="3">
        <v>7911.0</v>
      </c>
      <c r="D344" s="4" t="s">
        <v>697</v>
      </c>
      <c r="E344" s="3" t="s">
        <v>698</v>
      </c>
      <c r="F344" s="3" t="s">
        <v>13</v>
      </c>
      <c r="G344" s="3" t="str">
        <f t="shared" si="3"/>
        <v>PURNA2025-KLR1</v>
      </c>
      <c r="H344" s="3" t="str">
        <f>VLOOKUP($C344,Userpass!$A$2:$L$3001,12,FALSE)</f>
        <v>KLR1</v>
      </c>
      <c r="I344" s="5" t="s">
        <v>14</v>
      </c>
      <c r="J344" s="3">
        <v>2022.0</v>
      </c>
      <c r="K344" s="4" t="str">
        <f>VLOOKUP($C344,Userpass!$A$2:$R$3001,2,FALSE)</f>
        <v>klr20227911.alumni@smkn12malang.sch.id</v>
      </c>
    </row>
    <row r="345" hidden="1">
      <c r="A345" s="3" t="str">
        <f t="shared" si="1"/>
        <v>OK</v>
      </c>
      <c r="B345" s="3" t="str">
        <f t="shared" si="2"/>
        <v>OK</v>
      </c>
      <c r="C345" s="3">
        <v>7938.0</v>
      </c>
      <c r="D345" s="4" t="s">
        <v>699</v>
      </c>
      <c r="E345" s="3" t="s">
        <v>700</v>
      </c>
      <c r="F345" s="3" t="s">
        <v>13</v>
      </c>
      <c r="G345" s="3" t="str">
        <f t="shared" si="3"/>
        <v>PURNA2025-KLR1</v>
      </c>
      <c r="H345" s="3" t="str">
        <f>VLOOKUP($C345,Userpass!$A$2:$L$3001,12,FALSE)</f>
        <v>KLR1</v>
      </c>
      <c r="I345" s="5" t="s">
        <v>14</v>
      </c>
      <c r="J345" s="3">
        <v>2022.0</v>
      </c>
      <c r="K345" s="4" t="str">
        <f>VLOOKUP($C345,Userpass!$A$2:$R$3001,2,FALSE)</f>
        <v>klr20227938.alumni@smkn12malang.sch.id</v>
      </c>
    </row>
    <row r="346" hidden="1">
      <c r="A346" s="3" t="str">
        <f t="shared" si="1"/>
        <v>OK</v>
      </c>
      <c r="B346" s="3" t="str">
        <f t="shared" si="2"/>
        <v>OK</v>
      </c>
      <c r="C346" s="3">
        <v>7943.0</v>
      </c>
      <c r="D346" s="4" t="s">
        <v>701</v>
      </c>
      <c r="E346" s="3" t="s">
        <v>702</v>
      </c>
      <c r="F346" s="3" t="s">
        <v>13</v>
      </c>
      <c r="G346" s="3" t="str">
        <f t="shared" si="3"/>
        <v>PURNA2025-KLR1</v>
      </c>
      <c r="H346" s="3" t="str">
        <f>VLOOKUP($C346,Userpass!$A$2:$L$3001,12,FALSE)</f>
        <v>KLR1</v>
      </c>
      <c r="I346" s="5" t="s">
        <v>14</v>
      </c>
      <c r="J346" s="3">
        <v>2022.0</v>
      </c>
      <c r="K346" s="4" t="str">
        <f>VLOOKUP($C346,Userpass!$A$2:$R$3001,2,FALSE)</f>
        <v>klr20227943.alumni@smkn12malang.sch.id</v>
      </c>
    </row>
    <row r="347" hidden="1">
      <c r="A347" s="3" t="str">
        <f t="shared" si="1"/>
        <v>OK</v>
      </c>
      <c r="B347" s="3" t="str">
        <f t="shared" si="2"/>
        <v>OK</v>
      </c>
      <c r="C347" s="3">
        <v>7948.0</v>
      </c>
      <c r="D347" s="4" t="s">
        <v>703</v>
      </c>
      <c r="E347" s="3" t="s">
        <v>704</v>
      </c>
      <c r="F347" s="3" t="s">
        <v>13</v>
      </c>
      <c r="G347" s="3" t="str">
        <f t="shared" si="3"/>
        <v>PURNA2025-KLR1</v>
      </c>
      <c r="H347" s="3" t="str">
        <f>VLOOKUP($C347,Userpass!$A$2:$L$3001,12,FALSE)</f>
        <v>KLR1</v>
      </c>
      <c r="I347" s="5" t="s">
        <v>14</v>
      </c>
      <c r="J347" s="3">
        <v>2022.0</v>
      </c>
      <c r="K347" s="4" t="str">
        <f>VLOOKUP($C347,Userpass!$A$2:$R$3001,2,FALSE)</f>
        <v>klr20227948.alumni@smkn12malang.sch.id</v>
      </c>
    </row>
    <row r="348" hidden="1">
      <c r="A348" s="3" t="str">
        <f t="shared" si="1"/>
        <v>OK</v>
      </c>
      <c r="B348" s="3" t="str">
        <f t="shared" si="2"/>
        <v>OK</v>
      </c>
      <c r="C348" s="3">
        <v>7949.0</v>
      </c>
      <c r="D348" s="4" t="s">
        <v>705</v>
      </c>
      <c r="E348" s="3" t="s">
        <v>706</v>
      </c>
      <c r="F348" s="3" t="s">
        <v>13</v>
      </c>
      <c r="G348" s="3" t="str">
        <f t="shared" si="3"/>
        <v>PURNA2025-KLR1</v>
      </c>
      <c r="H348" s="3" t="str">
        <f>VLOOKUP($C348,Userpass!$A$2:$L$3001,12,FALSE)</f>
        <v>KLR1</v>
      </c>
      <c r="I348" s="5" t="s">
        <v>14</v>
      </c>
      <c r="J348" s="3">
        <v>2022.0</v>
      </c>
      <c r="K348" s="4" t="str">
        <f>VLOOKUP($C348,Userpass!$A$2:$R$3001,2,FALSE)</f>
        <v>klr20227949.alumni@smkn12malang.sch.id</v>
      </c>
    </row>
    <row r="349" hidden="1">
      <c r="A349" s="3" t="str">
        <f t="shared" si="1"/>
        <v>OK</v>
      </c>
      <c r="B349" s="3" t="str">
        <f t="shared" si="2"/>
        <v>OK</v>
      </c>
      <c r="C349" s="3">
        <v>7980.0</v>
      </c>
      <c r="D349" s="4" t="s">
        <v>707</v>
      </c>
      <c r="E349" s="3" t="s">
        <v>708</v>
      </c>
      <c r="F349" s="3" t="s">
        <v>13</v>
      </c>
      <c r="G349" s="3" t="str">
        <f t="shared" si="3"/>
        <v>PURNA2025-KLR1</v>
      </c>
      <c r="H349" s="3" t="str">
        <f>VLOOKUP($C349,Userpass!$A$2:$L$3001,12,FALSE)</f>
        <v>KLR1</v>
      </c>
      <c r="I349" s="5" t="s">
        <v>14</v>
      </c>
      <c r="J349" s="3">
        <v>2022.0</v>
      </c>
      <c r="K349" s="4" t="str">
        <f>VLOOKUP($C349,Userpass!$A$2:$R$3001,2,FALSE)</f>
        <v>klr20227980.alumni@smkn12malang.sch.id</v>
      </c>
    </row>
    <row r="350" hidden="1">
      <c r="A350" s="3" t="str">
        <f t="shared" si="1"/>
        <v>OK</v>
      </c>
      <c r="B350" s="3" t="str">
        <f t="shared" si="2"/>
        <v>OK</v>
      </c>
      <c r="C350" s="3">
        <v>7982.0</v>
      </c>
      <c r="D350" s="4" t="s">
        <v>709</v>
      </c>
      <c r="E350" s="3" t="s">
        <v>710</v>
      </c>
      <c r="F350" s="3" t="s">
        <v>13</v>
      </c>
      <c r="G350" s="3" t="str">
        <f t="shared" si="3"/>
        <v>PURNA2025-KLR1</v>
      </c>
      <c r="H350" s="3" t="str">
        <f>VLOOKUP($C350,Userpass!$A$2:$L$3001,12,FALSE)</f>
        <v>KLR1</v>
      </c>
      <c r="I350" s="5" t="s">
        <v>14</v>
      </c>
      <c r="J350" s="3">
        <v>2022.0</v>
      </c>
      <c r="K350" s="4" t="str">
        <f>VLOOKUP($C350,Userpass!$A$2:$R$3001,2,FALSE)</f>
        <v>klr20227982.alumni@smkn12malang.sch.id</v>
      </c>
    </row>
    <row r="351" hidden="1">
      <c r="A351" s="3" t="str">
        <f t="shared" si="1"/>
        <v>OK</v>
      </c>
      <c r="B351" s="3" t="str">
        <f t="shared" si="2"/>
        <v>OK</v>
      </c>
      <c r="C351" s="3">
        <v>8002.0</v>
      </c>
      <c r="D351" s="4" t="s">
        <v>711</v>
      </c>
      <c r="E351" s="3" t="s">
        <v>712</v>
      </c>
      <c r="F351" s="3" t="s">
        <v>13</v>
      </c>
      <c r="G351" s="3" t="str">
        <f t="shared" si="3"/>
        <v>PURNA2025-KLR1</v>
      </c>
      <c r="H351" s="3" t="str">
        <f>VLOOKUP($C351,Userpass!$A$2:$L$3001,12,FALSE)</f>
        <v>KLR1</v>
      </c>
      <c r="I351" s="5" t="s">
        <v>14</v>
      </c>
      <c r="J351" s="3">
        <v>2022.0</v>
      </c>
      <c r="K351" s="4" t="str">
        <f>VLOOKUP($C351,Userpass!$A$2:$R$3001,2,FALSE)</f>
        <v>klr20228002.alumni@smkn12malang.sch.id</v>
      </c>
    </row>
    <row r="352" hidden="1">
      <c r="A352" s="3" t="str">
        <f t="shared" si="1"/>
        <v>OK</v>
      </c>
      <c r="B352" s="3" t="str">
        <f t="shared" si="2"/>
        <v>OK</v>
      </c>
      <c r="C352" s="3">
        <v>8005.0</v>
      </c>
      <c r="D352" s="4" t="s">
        <v>713</v>
      </c>
      <c r="E352" s="3" t="s">
        <v>714</v>
      </c>
      <c r="F352" s="3" t="s">
        <v>17</v>
      </c>
      <c r="G352" s="3" t="str">
        <f t="shared" si="3"/>
        <v>PURNA2025-KLR1</v>
      </c>
      <c r="H352" s="3" t="str">
        <f>VLOOKUP($C352,Userpass!$A$2:$L$3001,12,FALSE)</f>
        <v>KLR1</v>
      </c>
      <c r="I352" s="5" t="s">
        <v>14</v>
      </c>
      <c r="J352" s="3">
        <v>2022.0</v>
      </c>
      <c r="K352" s="4" t="str">
        <f>VLOOKUP($C352,Userpass!$A$2:$R$3001,2,FALSE)</f>
        <v>klr20228005.alumni@smkn12malang.sch.id</v>
      </c>
    </row>
    <row r="353" hidden="1">
      <c r="A353" s="3" t="str">
        <f t="shared" si="1"/>
        <v>OK</v>
      </c>
      <c r="B353" s="3" t="str">
        <f t="shared" si="2"/>
        <v>OK</v>
      </c>
      <c r="C353" s="3">
        <v>8013.0</v>
      </c>
      <c r="D353" s="4" t="s">
        <v>715</v>
      </c>
      <c r="E353" s="3" t="s">
        <v>716</v>
      </c>
      <c r="F353" s="3" t="s">
        <v>13</v>
      </c>
      <c r="G353" s="3" t="str">
        <f t="shared" si="3"/>
        <v>PURNA2025-KLR1</v>
      </c>
      <c r="H353" s="3" t="str">
        <f>VLOOKUP($C353,Userpass!$A$2:$L$3001,12,FALSE)</f>
        <v>KLR1</v>
      </c>
      <c r="I353" s="5" t="s">
        <v>14</v>
      </c>
      <c r="J353" s="3">
        <v>2022.0</v>
      </c>
      <c r="K353" s="4" t="str">
        <f>VLOOKUP($C353,Userpass!$A$2:$R$3001,2,FALSE)</f>
        <v>klr20228013.alumni@smkn12malang.sch.id</v>
      </c>
    </row>
    <row r="354" hidden="1">
      <c r="A354" s="3" t="str">
        <f t="shared" si="1"/>
        <v>OK</v>
      </c>
      <c r="B354" s="3" t="str">
        <f t="shared" si="2"/>
        <v>OK</v>
      </c>
      <c r="C354" s="3">
        <v>8015.0</v>
      </c>
      <c r="D354" s="4" t="s">
        <v>717</v>
      </c>
      <c r="E354" s="3" t="s">
        <v>718</v>
      </c>
      <c r="F354" s="3" t="s">
        <v>13</v>
      </c>
      <c r="G354" s="3" t="str">
        <f t="shared" si="3"/>
        <v>PURNA2025-KLR1</v>
      </c>
      <c r="H354" s="3" t="str">
        <f>VLOOKUP($C354,Userpass!$A$2:$L$3001,12,FALSE)</f>
        <v>KLR1</v>
      </c>
      <c r="I354" s="5" t="s">
        <v>14</v>
      </c>
      <c r="J354" s="3">
        <v>2022.0</v>
      </c>
      <c r="K354" s="4" t="str">
        <f>VLOOKUP($C354,Userpass!$A$2:$R$3001,2,FALSE)</f>
        <v>klr20228015.alumni@smkn12malang.sch.id</v>
      </c>
    </row>
    <row r="355" hidden="1">
      <c r="A355" s="3" t="str">
        <f t="shared" si="1"/>
        <v>OK</v>
      </c>
      <c r="B355" s="3" t="str">
        <f t="shared" si="2"/>
        <v>OK</v>
      </c>
      <c r="C355" s="3">
        <v>7009.0</v>
      </c>
      <c r="D355" s="4" t="s">
        <v>719</v>
      </c>
      <c r="E355" s="3" t="s">
        <v>720</v>
      </c>
      <c r="F355" s="3" t="s">
        <v>17</v>
      </c>
      <c r="G355" s="3" t="str">
        <f t="shared" si="3"/>
        <v>PURNA2025-OTO1</v>
      </c>
      <c r="H355" s="3" t="str">
        <f>VLOOKUP($C355,Userpass!$A$2:$L$3001,12,FALSE)</f>
        <v>OTO1</v>
      </c>
      <c r="I355" s="5" t="s">
        <v>14</v>
      </c>
      <c r="J355" s="3">
        <v>2021.0</v>
      </c>
      <c r="K355" s="4" t="str">
        <f>VLOOKUP($C355,Userpass!$A$2:$R$3001,2,FALSE)</f>
        <v>oto20217009.alumni@smkn12malang.sch.id</v>
      </c>
    </row>
    <row r="356" hidden="1">
      <c r="A356" s="3" t="str">
        <f t="shared" si="1"/>
        <v>OK</v>
      </c>
      <c r="B356" s="3" t="str">
        <f t="shared" si="2"/>
        <v>OK</v>
      </c>
      <c r="C356" s="3">
        <v>7053.0</v>
      </c>
      <c r="D356" s="4" t="s">
        <v>721</v>
      </c>
      <c r="E356" s="3" t="s">
        <v>722</v>
      </c>
      <c r="F356" s="3" t="s">
        <v>17</v>
      </c>
      <c r="G356" s="3" t="str">
        <f t="shared" si="3"/>
        <v>PURNA2025-OTO1</v>
      </c>
      <c r="H356" s="3" t="str">
        <f>VLOOKUP($C356,Userpass!$A$2:$L$3001,12,FALSE)</f>
        <v>OTO1</v>
      </c>
      <c r="I356" s="5" t="s">
        <v>14</v>
      </c>
      <c r="J356" s="3">
        <v>2021.0</v>
      </c>
      <c r="K356" s="4" t="str">
        <f>VLOOKUP($C356,Userpass!$A$2:$R$3001,2,FALSE)</f>
        <v>oto20217053.alumni@smkn12malang.sch.id</v>
      </c>
    </row>
    <row r="357" hidden="1">
      <c r="A357" s="3" t="str">
        <f t="shared" si="1"/>
        <v>OK</v>
      </c>
      <c r="B357" s="3" t="str">
        <f t="shared" si="2"/>
        <v>OK</v>
      </c>
      <c r="C357" s="3">
        <v>7414.0</v>
      </c>
      <c r="D357" s="4" t="s">
        <v>723</v>
      </c>
      <c r="E357" s="3" t="s">
        <v>724</v>
      </c>
      <c r="F357" s="3" t="s">
        <v>17</v>
      </c>
      <c r="G357" s="3" t="str">
        <f t="shared" si="3"/>
        <v>PURNA2025-OTO1</v>
      </c>
      <c r="H357" s="3" t="str">
        <f>VLOOKUP($C357,Userpass!$A$2:$L$3001,12,FALSE)</f>
        <v>OTO1</v>
      </c>
      <c r="I357" s="5" t="s">
        <v>14</v>
      </c>
      <c r="J357" s="3">
        <v>2022.0</v>
      </c>
      <c r="K357" s="4" t="str">
        <f>VLOOKUP($C357,Userpass!$A$2:$R$3001,2,FALSE)</f>
        <v>oto20227414.alumni@smkn12malang.sch.id</v>
      </c>
    </row>
    <row r="358" hidden="1">
      <c r="A358" s="3" t="str">
        <f t="shared" si="1"/>
        <v>OK</v>
      </c>
      <c r="B358" s="3" t="str">
        <f t="shared" si="2"/>
        <v>OK</v>
      </c>
      <c r="C358" s="3">
        <v>7421.0</v>
      </c>
      <c r="D358" s="4" t="s">
        <v>725</v>
      </c>
      <c r="E358" s="3" t="s">
        <v>726</v>
      </c>
      <c r="F358" s="3" t="s">
        <v>17</v>
      </c>
      <c r="G358" s="3" t="str">
        <f t="shared" si="3"/>
        <v>PURNA2025-OTO1</v>
      </c>
      <c r="H358" s="3" t="str">
        <f>VLOOKUP($C358,Userpass!$A$2:$L$3001,12,FALSE)</f>
        <v>OTO1</v>
      </c>
      <c r="I358" s="5" t="s">
        <v>14</v>
      </c>
      <c r="J358" s="3">
        <v>2022.0</v>
      </c>
      <c r="K358" s="4" t="str">
        <f>VLOOKUP($C358,Userpass!$A$2:$R$3001,2,FALSE)</f>
        <v>oto20227421.alumni@smkn12malang.sch.id</v>
      </c>
    </row>
    <row r="359" hidden="1">
      <c r="A359" s="3" t="str">
        <f t="shared" si="1"/>
        <v>OK</v>
      </c>
      <c r="B359" s="3" t="str">
        <f t="shared" si="2"/>
        <v>OK</v>
      </c>
      <c r="C359" s="3">
        <v>7427.0</v>
      </c>
      <c r="D359" s="4" t="s">
        <v>727</v>
      </c>
      <c r="E359" s="3" t="s">
        <v>728</v>
      </c>
      <c r="F359" s="3" t="s">
        <v>17</v>
      </c>
      <c r="G359" s="3" t="str">
        <f t="shared" si="3"/>
        <v>PURNA2025-OTO1</v>
      </c>
      <c r="H359" s="3" t="str">
        <f>VLOOKUP($C359,Userpass!$A$2:$L$3001,12,FALSE)</f>
        <v>OTO1</v>
      </c>
      <c r="I359" s="5" t="s">
        <v>14</v>
      </c>
      <c r="J359" s="3">
        <v>2022.0</v>
      </c>
      <c r="K359" s="4" t="str">
        <f>VLOOKUP($C359,Userpass!$A$2:$R$3001,2,FALSE)</f>
        <v>oto20227427.alumni@smkn12malang.sch.id</v>
      </c>
    </row>
    <row r="360" hidden="1">
      <c r="A360" s="3" t="str">
        <f t="shared" si="1"/>
        <v>OK</v>
      </c>
      <c r="B360" s="3" t="str">
        <f t="shared" si="2"/>
        <v>OK</v>
      </c>
      <c r="C360" s="3">
        <v>7437.0</v>
      </c>
      <c r="D360" s="4" t="s">
        <v>729</v>
      </c>
      <c r="E360" s="3" t="s">
        <v>730</v>
      </c>
      <c r="F360" s="3" t="s">
        <v>17</v>
      </c>
      <c r="G360" s="3" t="str">
        <f t="shared" si="3"/>
        <v>PURNA2025-OTO1</v>
      </c>
      <c r="H360" s="3" t="str">
        <f>VLOOKUP($C360,Userpass!$A$2:$L$3001,12,FALSE)</f>
        <v>OTO1</v>
      </c>
      <c r="I360" s="5" t="s">
        <v>14</v>
      </c>
      <c r="J360" s="3">
        <v>2022.0</v>
      </c>
      <c r="K360" s="4" t="str">
        <f>VLOOKUP($C360,Userpass!$A$2:$R$3001,2,FALSE)</f>
        <v>oto20227437.alumni@smkn12malang.sch.id</v>
      </c>
    </row>
    <row r="361" hidden="1">
      <c r="A361" s="3" t="str">
        <f t="shared" si="1"/>
        <v>OK</v>
      </c>
      <c r="B361" s="3" t="str">
        <f t="shared" si="2"/>
        <v>OK</v>
      </c>
      <c r="C361" s="3">
        <v>7464.0</v>
      </c>
      <c r="D361" s="4" t="s">
        <v>731</v>
      </c>
      <c r="E361" s="3" t="s">
        <v>732</v>
      </c>
      <c r="F361" s="3" t="s">
        <v>17</v>
      </c>
      <c r="G361" s="3" t="str">
        <f t="shared" si="3"/>
        <v>PURNA2025-OTO1</v>
      </c>
      <c r="H361" s="3" t="str">
        <f>VLOOKUP($C361,Userpass!$A$2:$L$3001,12,FALSE)</f>
        <v>OTO1</v>
      </c>
      <c r="I361" s="5" t="s">
        <v>14</v>
      </c>
      <c r="J361" s="3">
        <v>2022.0</v>
      </c>
      <c r="K361" s="4" t="str">
        <f>VLOOKUP($C361,Userpass!$A$2:$R$3001,2,FALSE)</f>
        <v>oto20227464.alumni@smkn12malang.sch.id</v>
      </c>
    </row>
    <row r="362" hidden="1">
      <c r="A362" s="3" t="str">
        <f t="shared" si="1"/>
        <v>OK</v>
      </c>
      <c r="B362" s="3" t="str">
        <f t="shared" si="2"/>
        <v>OK</v>
      </c>
      <c r="C362" s="3">
        <v>7475.0</v>
      </c>
      <c r="D362" s="4" t="s">
        <v>733</v>
      </c>
      <c r="E362" s="3" t="s">
        <v>734</v>
      </c>
      <c r="F362" s="3" t="s">
        <v>17</v>
      </c>
      <c r="G362" s="3" t="str">
        <f t="shared" si="3"/>
        <v>PURNA2025-OTO1</v>
      </c>
      <c r="H362" s="3" t="str">
        <f>VLOOKUP($C362,Userpass!$A$2:$L$3001,12,FALSE)</f>
        <v>OTO1</v>
      </c>
      <c r="I362" s="5" t="s">
        <v>14</v>
      </c>
      <c r="J362" s="3">
        <v>2022.0</v>
      </c>
      <c r="K362" s="4" t="str">
        <f>VLOOKUP($C362,Userpass!$A$2:$R$3001,2,FALSE)</f>
        <v>oto20227475.alumni@smkn12malang.sch.id</v>
      </c>
    </row>
    <row r="363" hidden="1">
      <c r="A363" s="3" t="str">
        <f t="shared" si="1"/>
        <v>OK</v>
      </c>
      <c r="B363" s="3" t="str">
        <f t="shared" si="2"/>
        <v>OK</v>
      </c>
      <c r="C363" s="3">
        <v>7485.0</v>
      </c>
      <c r="D363" s="4" t="s">
        <v>735</v>
      </c>
      <c r="E363" s="3" t="s">
        <v>736</v>
      </c>
      <c r="F363" s="3" t="s">
        <v>17</v>
      </c>
      <c r="G363" s="3" t="str">
        <f t="shared" si="3"/>
        <v>PURNA2025-OTO1</v>
      </c>
      <c r="H363" s="3" t="str">
        <f>VLOOKUP($C363,Userpass!$A$2:$L$3001,12,FALSE)</f>
        <v>OTO1</v>
      </c>
      <c r="I363" s="5" t="s">
        <v>14</v>
      </c>
      <c r="J363" s="3">
        <v>2022.0</v>
      </c>
      <c r="K363" s="4" t="str">
        <f>VLOOKUP($C363,Userpass!$A$2:$R$3001,2,FALSE)</f>
        <v>oto20227485.alumni@smkn12malang.sch.id</v>
      </c>
    </row>
    <row r="364" hidden="1">
      <c r="A364" s="3" t="str">
        <f t="shared" si="1"/>
        <v>OK</v>
      </c>
      <c r="B364" s="3" t="str">
        <f t="shared" si="2"/>
        <v>OK</v>
      </c>
      <c r="C364" s="3">
        <v>7512.0</v>
      </c>
      <c r="D364" s="4" t="s">
        <v>737</v>
      </c>
      <c r="E364" s="3" t="s">
        <v>738</v>
      </c>
      <c r="F364" s="3" t="s">
        <v>17</v>
      </c>
      <c r="G364" s="3" t="str">
        <f t="shared" si="3"/>
        <v>PURNA2025-OTO1</v>
      </c>
      <c r="H364" s="3" t="str">
        <f>VLOOKUP($C364,Userpass!$A$2:$L$3001,12,FALSE)</f>
        <v>OTO1</v>
      </c>
      <c r="I364" s="5" t="s">
        <v>14</v>
      </c>
      <c r="J364" s="3">
        <v>2022.0</v>
      </c>
      <c r="K364" s="4" t="str">
        <f>VLOOKUP($C364,Userpass!$A$2:$R$3001,2,FALSE)</f>
        <v>oto20227512.alumni@smkn12malang.sch.id</v>
      </c>
    </row>
    <row r="365" hidden="1">
      <c r="A365" s="3" t="str">
        <f t="shared" si="1"/>
        <v>OK</v>
      </c>
      <c r="B365" s="3" t="str">
        <f t="shared" si="2"/>
        <v>OK</v>
      </c>
      <c r="C365" s="3">
        <v>7543.0</v>
      </c>
      <c r="D365" s="4" t="s">
        <v>739</v>
      </c>
      <c r="E365" s="3" t="s">
        <v>740</v>
      </c>
      <c r="F365" s="3" t="s">
        <v>17</v>
      </c>
      <c r="G365" s="3" t="str">
        <f t="shared" si="3"/>
        <v>PURNA2025-OTO1</v>
      </c>
      <c r="H365" s="3" t="str">
        <f>VLOOKUP($C365,Userpass!$A$2:$L$3001,12,FALSE)</f>
        <v>OTO1</v>
      </c>
      <c r="I365" s="5" t="s">
        <v>14</v>
      </c>
      <c r="J365" s="3">
        <v>2022.0</v>
      </c>
      <c r="K365" s="4" t="str">
        <f>VLOOKUP($C365,Userpass!$A$2:$R$3001,2,FALSE)</f>
        <v>oto20227543.alumni@smkn12malang.sch.id</v>
      </c>
    </row>
    <row r="366" hidden="1">
      <c r="A366" s="3" t="str">
        <f t="shared" si="1"/>
        <v>OK</v>
      </c>
      <c r="B366" s="3" t="str">
        <f t="shared" si="2"/>
        <v>OK</v>
      </c>
      <c r="C366" s="3">
        <v>7550.0</v>
      </c>
      <c r="D366" s="4" t="s">
        <v>741</v>
      </c>
      <c r="E366" s="3" t="s">
        <v>742</v>
      </c>
      <c r="F366" s="3" t="s">
        <v>17</v>
      </c>
      <c r="G366" s="3" t="str">
        <f t="shared" si="3"/>
        <v>PURNA2025-OTO1</v>
      </c>
      <c r="H366" s="3" t="str">
        <f>VLOOKUP($C366,Userpass!$A$2:$L$3001,12,FALSE)</f>
        <v>OTO1</v>
      </c>
      <c r="I366" s="5" t="s">
        <v>14</v>
      </c>
      <c r="J366" s="3">
        <v>2022.0</v>
      </c>
      <c r="K366" s="4" t="str">
        <f>VLOOKUP($C366,Userpass!$A$2:$R$3001,2,FALSE)</f>
        <v>oto20227550.alumni@smkn12malang.sch.id</v>
      </c>
    </row>
    <row r="367" hidden="1">
      <c r="A367" s="3" t="str">
        <f t="shared" si="1"/>
        <v>OK</v>
      </c>
      <c r="B367" s="3" t="str">
        <f t="shared" si="2"/>
        <v>OK</v>
      </c>
      <c r="C367" s="3">
        <v>7569.0</v>
      </c>
      <c r="D367" s="4" t="s">
        <v>743</v>
      </c>
      <c r="E367" s="3" t="s">
        <v>744</v>
      </c>
      <c r="F367" s="3" t="s">
        <v>17</v>
      </c>
      <c r="G367" s="3" t="str">
        <f t="shared" si="3"/>
        <v>PURNA2025-OTO1</v>
      </c>
      <c r="H367" s="3" t="str">
        <f>VLOOKUP($C367,Userpass!$A$2:$L$3001,12,FALSE)</f>
        <v>OTO1</v>
      </c>
      <c r="I367" s="5" t="s">
        <v>14</v>
      </c>
      <c r="J367" s="3">
        <v>2022.0</v>
      </c>
      <c r="K367" s="4" t="str">
        <f>VLOOKUP($C367,Userpass!$A$2:$R$3001,2,FALSE)</f>
        <v>oto20227569.alumni@smkn12malang.sch.id</v>
      </c>
    </row>
    <row r="368" hidden="1">
      <c r="A368" s="3" t="str">
        <f t="shared" si="1"/>
        <v>OK</v>
      </c>
      <c r="B368" s="3" t="str">
        <f t="shared" si="2"/>
        <v>OK</v>
      </c>
      <c r="C368" s="3">
        <v>7578.0</v>
      </c>
      <c r="D368" s="4" t="s">
        <v>745</v>
      </c>
      <c r="E368" s="3" t="s">
        <v>746</v>
      </c>
      <c r="F368" s="3" t="s">
        <v>17</v>
      </c>
      <c r="G368" s="3" t="str">
        <f t="shared" si="3"/>
        <v>PURNA2025-OTO1</v>
      </c>
      <c r="H368" s="3" t="str">
        <f>VLOOKUP($C368,Userpass!$A$2:$L$3001,12,FALSE)</f>
        <v>OTO1</v>
      </c>
      <c r="I368" s="5" t="s">
        <v>14</v>
      </c>
      <c r="J368" s="3">
        <v>2022.0</v>
      </c>
      <c r="K368" s="4" t="str">
        <f>VLOOKUP($C368,Userpass!$A$2:$R$3001,2,FALSE)</f>
        <v>oto20227578.alumni@smkn12malang.sch.id</v>
      </c>
    </row>
    <row r="369" hidden="1">
      <c r="A369" s="3" t="str">
        <f t="shared" si="1"/>
        <v>OK</v>
      </c>
      <c r="B369" s="3" t="str">
        <f t="shared" si="2"/>
        <v>OK</v>
      </c>
      <c r="C369" s="3">
        <v>7595.0</v>
      </c>
      <c r="D369" s="4" t="s">
        <v>747</v>
      </c>
      <c r="E369" s="3" t="s">
        <v>748</v>
      </c>
      <c r="F369" s="3" t="s">
        <v>17</v>
      </c>
      <c r="G369" s="3" t="str">
        <f t="shared" si="3"/>
        <v>PURNA2025-OTO1</v>
      </c>
      <c r="H369" s="3" t="str">
        <f>VLOOKUP($C369,Userpass!$A$2:$L$3001,12,FALSE)</f>
        <v>OTO1</v>
      </c>
      <c r="I369" s="5" t="s">
        <v>14</v>
      </c>
      <c r="J369" s="3">
        <v>2022.0</v>
      </c>
      <c r="K369" s="4" t="str">
        <f>VLOOKUP($C369,Userpass!$A$2:$R$3001,2,FALSE)</f>
        <v>oto20227595.alumni@smkn12malang.sch.id</v>
      </c>
    </row>
    <row r="370" hidden="1">
      <c r="A370" s="3" t="str">
        <f t="shared" si="1"/>
        <v>OK</v>
      </c>
      <c r="B370" s="3" t="str">
        <f t="shared" si="2"/>
        <v>OK</v>
      </c>
      <c r="C370" s="3">
        <v>7645.0</v>
      </c>
      <c r="D370" s="4" t="s">
        <v>749</v>
      </c>
      <c r="E370" s="3" t="s">
        <v>750</v>
      </c>
      <c r="F370" s="3" t="s">
        <v>17</v>
      </c>
      <c r="G370" s="3" t="str">
        <f t="shared" si="3"/>
        <v>PURNA2025-OTO1</v>
      </c>
      <c r="H370" s="3" t="str">
        <f>VLOOKUP($C370,Userpass!$A$2:$L$3001,12,FALSE)</f>
        <v>OTO1</v>
      </c>
      <c r="I370" s="5" t="s">
        <v>14</v>
      </c>
      <c r="J370" s="3">
        <v>2022.0</v>
      </c>
      <c r="K370" s="4" t="str">
        <f>VLOOKUP($C370,Userpass!$A$2:$R$3001,2,FALSE)</f>
        <v>oto20227645.alumni@smkn12malang.sch.id</v>
      </c>
    </row>
    <row r="371" hidden="1">
      <c r="A371" s="3" t="str">
        <f t="shared" si="1"/>
        <v>OK</v>
      </c>
      <c r="B371" s="3" t="str">
        <f t="shared" si="2"/>
        <v>OK</v>
      </c>
      <c r="C371" s="3">
        <v>7694.0</v>
      </c>
      <c r="D371" s="4" t="s">
        <v>751</v>
      </c>
      <c r="E371" s="3" t="s">
        <v>752</v>
      </c>
      <c r="F371" s="3" t="s">
        <v>17</v>
      </c>
      <c r="G371" s="3" t="str">
        <f t="shared" si="3"/>
        <v>PURNA2025-OTO1</v>
      </c>
      <c r="H371" s="3" t="str">
        <f>VLOOKUP($C371,Userpass!$A$2:$L$3001,12,FALSE)</f>
        <v>OTO1</v>
      </c>
      <c r="I371" s="5" t="s">
        <v>14</v>
      </c>
      <c r="J371" s="3">
        <v>2022.0</v>
      </c>
      <c r="K371" s="4" t="str">
        <f>VLOOKUP($C371,Userpass!$A$2:$R$3001,2,FALSE)</f>
        <v>oto20227694.alumni@smkn12malang.sch.id</v>
      </c>
    </row>
    <row r="372" hidden="1">
      <c r="A372" s="3" t="str">
        <f t="shared" si="1"/>
        <v>OK</v>
      </c>
      <c r="B372" s="3" t="str">
        <f t="shared" si="2"/>
        <v>OK</v>
      </c>
      <c r="C372" s="3">
        <v>7711.0</v>
      </c>
      <c r="D372" s="4" t="s">
        <v>753</v>
      </c>
      <c r="E372" s="3" t="s">
        <v>754</v>
      </c>
      <c r="F372" s="3" t="s">
        <v>17</v>
      </c>
      <c r="G372" s="3" t="str">
        <f t="shared" si="3"/>
        <v>PURNA2025-OTO1</v>
      </c>
      <c r="H372" s="3" t="str">
        <f>VLOOKUP($C372,Userpass!$A$2:$L$3001,12,FALSE)</f>
        <v>OTO1</v>
      </c>
      <c r="I372" s="5" t="s">
        <v>14</v>
      </c>
      <c r="J372" s="3">
        <v>2022.0</v>
      </c>
      <c r="K372" s="4" t="str">
        <f>VLOOKUP($C372,Userpass!$A$2:$R$3001,2,FALSE)</f>
        <v>oto20227711.alumni@smkn12malang.sch.id</v>
      </c>
    </row>
    <row r="373" hidden="1">
      <c r="A373" s="3" t="str">
        <f t="shared" si="1"/>
        <v>OK</v>
      </c>
      <c r="B373" s="3" t="str">
        <f t="shared" si="2"/>
        <v>OK</v>
      </c>
      <c r="C373" s="3">
        <v>7737.0</v>
      </c>
      <c r="D373" s="4" t="s">
        <v>755</v>
      </c>
      <c r="E373" s="3" t="s">
        <v>756</v>
      </c>
      <c r="F373" s="3" t="s">
        <v>17</v>
      </c>
      <c r="G373" s="3" t="str">
        <f t="shared" si="3"/>
        <v>PURNA2025-OTO1</v>
      </c>
      <c r="H373" s="3" t="str">
        <f>VLOOKUP($C373,Userpass!$A$2:$L$3001,12,FALSE)</f>
        <v>OTO1</v>
      </c>
      <c r="I373" s="5" t="s">
        <v>14</v>
      </c>
      <c r="J373" s="3">
        <v>2022.0</v>
      </c>
      <c r="K373" s="4" t="str">
        <f>VLOOKUP($C373,Userpass!$A$2:$R$3001,2,FALSE)</f>
        <v>oto20227737.alumni@smkn12malang.sch.id</v>
      </c>
    </row>
    <row r="374" hidden="1">
      <c r="A374" s="3" t="str">
        <f t="shared" si="1"/>
        <v>OK</v>
      </c>
      <c r="B374" s="3" t="str">
        <f t="shared" si="2"/>
        <v>INVALID</v>
      </c>
      <c r="C374" s="3">
        <v>7739.0</v>
      </c>
      <c r="D374" s="4"/>
      <c r="E374" s="3" t="s">
        <v>757</v>
      </c>
      <c r="F374" s="3" t="s">
        <v>17</v>
      </c>
      <c r="G374" s="3" t="str">
        <f t="shared" si="3"/>
        <v>PURNA2025-OTO1</v>
      </c>
      <c r="H374" s="3" t="str">
        <f>VLOOKUP($C374,Userpass!$A$2:$L$3001,12,FALSE)</f>
        <v>OTO1</v>
      </c>
      <c r="I374" s="5" t="s">
        <v>14</v>
      </c>
      <c r="J374" s="3">
        <v>2022.0</v>
      </c>
      <c r="K374" s="4" t="str">
        <f>VLOOKUP($C374,Userpass!$A$2:$R$3001,2,FALSE)</f>
        <v>oto20227739.alumni@smkn12malang.sch.id</v>
      </c>
    </row>
    <row r="375" hidden="1">
      <c r="A375" s="3" t="str">
        <f t="shared" si="1"/>
        <v>OK</v>
      </c>
      <c r="B375" s="3" t="str">
        <f t="shared" si="2"/>
        <v>OK</v>
      </c>
      <c r="C375" s="3">
        <v>7744.0</v>
      </c>
      <c r="D375" s="4" t="s">
        <v>758</v>
      </c>
      <c r="E375" s="3" t="s">
        <v>759</v>
      </c>
      <c r="F375" s="3" t="s">
        <v>17</v>
      </c>
      <c r="G375" s="3" t="str">
        <f t="shared" si="3"/>
        <v>PURNA2025-OTO1</v>
      </c>
      <c r="H375" s="3" t="str">
        <f>VLOOKUP($C375,Userpass!$A$2:$L$3001,12,FALSE)</f>
        <v>OTO1</v>
      </c>
      <c r="I375" s="5" t="s">
        <v>14</v>
      </c>
      <c r="J375" s="3">
        <v>2022.0</v>
      </c>
      <c r="K375" s="4" t="str">
        <f>VLOOKUP($C375,Userpass!$A$2:$R$3001,2,FALSE)</f>
        <v>oto20227744.alumni@smkn12malang.sch.id</v>
      </c>
    </row>
    <row r="376" hidden="1">
      <c r="A376" s="3" t="str">
        <f t="shared" si="1"/>
        <v>OK</v>
      </c>
      <c r="B376" s="3" t="str">
        <f t="shared" si="2"/>
        <v>OK</v>
      </c>
      <c r="C376" s="3">
        <v>7761.0</v>
      </c>
      <c r="D376" s="4" t="s">
        <v>760</v>
      </c>
      <c r="E376" s="3" t="s">
        <v>761</v>
      </c>
      <c r="F376" s="3" t="s">
        <v>17</v>
      </c>
      <c r="G376" s="3" t="str">
        <f t="shared" si="3"/>
        <v>PURNA2025-OTO1</v>
      </c>
      <c r="H376" s="3" t="str">
        <f>VLOOKUP($C376,Userpass!$A$2:$L$3001,12,FALSE)</f>
        <v>OTO1</v>
      </c>
      <c r="I376" s="5" t="s">
        <v>14</v>
      </c>
      <c r="J376" s="3">
        <v>2022.0</v>
      </c>
      <c r="K376" s="4" t="str">
        <f>VLOOKUP($C376,Userpass!$A$2:$R$3001,2,FALSE)</f>
        <v>oto20227761.alumni@smkn12malang.sch.id</v>
      </c>
    </row>
    <row r="377" hidden="1">
      <c r="A377" s="3" t="str">
        <f t="shared" si="1"/>
        <v>OK</v>
      </c>
      <c r="B377" s="3" t="str">
        <f t="shared" si="2"/>
        <v>OK</v>
      </c>
      <c r="C377" s="3">
        <v>7765.0</v>
      </c>
      <c r="D377" s="4" t="s">
        <v>762</v>
      </c>
      <c r="E377" s="3" t="s">
        <v>763</v>
      </c>
      <c r="F377" s="3" t="s">
        <v>17</v>
      </c>
      <c r="G377" s="3" t="str">
        <f t="shared" si="3"/>
        <v>PURNA2025-OTO1</v>
      </c>
      <c r="H377" s="3" t="str">
        <f>VLOOKUP($C377,Userpass!$A$2:$L$3001,12,FALSE)</f>
        <v>OTO1</v>
      </c>
      <c r="I377" s="5" t="s">
        <v>14</v>
      </c>
      <c r="J377" s="3">
        <v>2022.0</v>
      </c>
      <c r="K377" s="4" t="str">
        <f>VLOOKUP($C377,Userpass!$A$2:$R$3001,2,FALSE)</f>
        <v>oto20227765.alumni@smkn12malang.sch.id</v>
      </c>
    </row>
    <row r="378" hidden="1">
      <c r="A378" s="3" t="str">
        <f t="shared" si="1"/>
        <v>OK</v>
      </c>
      <c r="B378" s="3" t="str">
        <f t="shared" si="2"/>
        <v>OK</v>
      </c>
      <c r="C378" s="3">
        <v>7789.0</v>
      </c>
      <c r="D378" s="4" t="s">
        <v>764</v>
      </c>
      <c r="E378" s="3" t="s">
        <v>765</v>
      </c>
      <c r="F378" s="3" t="s">
        <v>17</v>
      </c>
      <c r="G378" s="3" t="str">
        <f t="shared" si="3"/>
        <v>PURNA2025-OTO1</v>
      </c>
      <c r="H378" s="3" t="str">
        <f>VLOOKUP($C378,Userpass!$A$2:$L$3001,12,FALSE)</f>
        <v>OTO1</v>
      </c>
      <c r="I378" s="5" t="s">
        <v>14</v>
      </c>
      <c r="J378" s="3">
        <v>2022.0</v>
      </c>
      <c r="K378" s="4" t="str">
        <f>VLOOKUP($C378,Userpass!$A$2:$R$3001,2,FALSE)</f>
        <v>oto20227789.alumni@smkn12malang.sch.id</v>
      </c>
    </row>
    <row r="379" hidden="1">
      <c r="A379" s="3" t="str">
        <f t="shared" si="1"/>
        <v>OK</v>
      </c>
      <c r="B379" s="3" t="str">
        <f t="shared" si="2"/>
        <v>OK</v>
      </c>
      <c r="C379" s="3">
        <v>7796.0</v>
      </c>
      <c r="D379" s="4" t="s">
        <v>766</v>
      </c>
      <c r="E379" s="3" t="s">
        <v>767</v>
      </c>
      <c r="F379" s="3" t="s">
        <v>17</v>
      </c>
      <c r="G379" s="3" t="str">
        <f t="shared" si="3"/>
        <v>PURNA2025-OTO1</v>
      </c>
      <c r="H379" s="3" t="str">
        <f>VLOOKUP($C379,Userpass!$A$2:$L$3001,12,FALSE)</f>
        <v>OTO1</v>
      </c>
      <c r="I379" s="5" t="s">
        <v>14</v>
      </c>
      <c r="J379" s="3">
        <v>2022.0</v>
      </c>
      <c r="K379" s="4" t="str">
        <f>VLOOKUP($C379,Userpass!$A$2:$R$3001,2,FALSE)</f>
        <v>oto20227796.alumni@smkn12malang.sch.id</v>
      </c>
    </row>
    <row r="380" hidden="1">
      <c r="A380" s="3" t="str">
        <f t="shared" si="1"/>
        <v>OK</v>
      </c>
      <c r="B380" s="3" t="str">
        <f t="shared" si="2"/>
        <v>OK</v>
      </c>
      <c r="C380" s="3">
        <v>7839.0</v>
      </c>
      <c r="D380" s="4" t="s">
        <v>768</v>
      </c>
      <c r="E380" s="3" t="s">
        <v>769</v>
      </c>
      <c r="F380" s="3" t="s">
        <v>17</v>
      </c>
      <c r="G380" s="3" t="str">
        <f t="shared" si="3"/>
        <v>PURNA2025-OTO1</v>
      </c>
      <c r="H380" s="3" t="str">
        <f>VLOOKUP($C380,Userpass!$A$2:$L$3001,12,FALSE)</f>
        <v>OTO1</v>
      </c>
      <c r="I380" s="5" t="s">
        <v>14</v>
      </c>
      <c r="J380" s="3">
        <v>2022.0</v>
      </c>
      <c r="K380" s="4" t="str">
        <f>VLOOKUP($C380,Userpass!$A$2:$R$3001,2,FALSE)</f>
        <v>oto20227839.alumni@smkn12malang.sch.id</v>
      </c>
    </row>
    <row r="381" hidden="1">
      <c r="A381" s="3" t="str">
        <f t="shared" si="1"/>
        <v>OK</v>
      </c>
      <c r="B381" s="3" t="str">
        <f t="shared" si="2"/>
        <v>OK</v>
      </c>
      <c r="C381" s="3">
        <v>7868.0</v>
      </c>
      <c r="D381" s="4" t="s">
        <v>770</v>
      </c>
      <c r="E381" s="3" t="s">
        <v>771</v>
      </c>
      <c r="F381" s="3" t="s">
        <v>17</v>
      </c>
      <c r="G381" s="3" t="str">
        <f t="shared" si="3"/>
        <v>PURNA2025-OTO1</v>
      </c>
      <c r="H381" s="3" t="str">
        <f>VLOOKUP($C381,Userpass!$A$2:$L$3001,12,FALSE)</f>
        <v>OTO1</v>
      </c>
      <c r="I381" s="5" t="s">
        <v>14</v>
      </c>
      <c r="J381" s="3">
        <v>2022.0</v>
      </c>
      <c r="K381" s="4" t="str">
        <f>VLOOKUP($C381,Userpass!$A$2:$R$3001,2,FALSE)</f>
        <v>oto20227868.alumni@smkn12malang.sch.id</v>
      </c>
    </row>
    <row r="382" hidden="1">
      <c r="A382" s="3" t="str">
        <f t="shared" si="1"/>
        <v>OK</v>
      </c>
      <c r="B382" s="3" t="str">
        <f t="shared" si="2"/>
        <v>OK</v>
      </c>
      <c r="C382" s="3">
        <v>7872.0</v>
      </c>
      <c r="D382" s="4" t="s">
        <v>772</v>
      </c>
      <c r="E382" s="3" t="s">
        <v>773</v>
      </c>
      <c r="F382" s="3" t="s">
        <v>17</v>
      </c>
      <c r="G382" s="3" t="str">
        <f t="shared" si="3"/>
        <v>PURNA2025-OTO1</v>
      </c>
      <c r="H382" s="3" t="str">
        <f>VLOOKUP($C382,Userpass!$A$2:$L$3001,12,FALSE)</f>
        <v>OTO1</v>
      </c>
      <c r="I382" s="5" t="s">
        <v>14</v>
      </c>
      <c r="J382" s="3">
        <v>2022.0</v>
      </c>
      <c r="K382" s="4" t="str">
        <f>VLOOKUP($C382,Userpass!$A$2:$R$3001,2,FALSE)</f>
        <v>oto20227872.alumni@smkn12malang.sch.id</v>
      </c>
    </row>
    <row r="383" hidden="1">
      <c r="A383" s="3" t="str">
        <f t="shared" si="1"/>
        <v>OK</v>
      </c>
      <c r="B383" s="3" t="str">
        <f t="shared" si="2"/>
        <v>OK</v>
      </c>
      <c r="C383" s="3">
        <v>7895.0</v>
      </c>
      <c r="D383" s="4" t="s">
        <v>774</v>
      </c>
      <c r="E383" s="3" t="s">
        <v>775</v>
      </c>
      <c r="F383" s="3" t="s">
        <v>17</v>
      </c>
      <c r="G383" s="3" t="str">
        <f t="shared" si="3"/>
        <v>PURNA2025-OTO1</v>
      </c>
      <c r="H383" s="3" t="str">
        <f>VLOOKUP($C383,Userpass!$A$2:$L$3001,12,FALSE)</f>
        <v>OTO1</v>
      </c>
      <c r="I383" s="5" t="s">
        <v>14</v>
      </c>
      <c r="J383" s="3">
        <v>2022.0</v>
      </c>
      <c r="K383" s="4" t="str">
        <f>VLOOKUP($C383,Userpass!$A$2:$R$3001,2,FALSE)</f>
        <v>oto20227895.alumni@smkn12malang.sch.id</v>
      </c>
    </row>
    <row r="384" hidden="1">
      <c r="A384" s="3" t="str">
        <f t="shared" si="1"/>
        <v>OK</v>
      </c>
      <c r="B384" s="3" t="str">
        <f t="shared" si="2"/>
        <v>OK</v>
      </c>
      <c r="C384" s="3">
        <v>7910.0</v>
      </c>
      <c r="D384" s="4" t="s">
        <v>776</v>
      </c>
      <c r="E384" s="3" t="s">
        <v>777</v>
      </c>
      <c r="F384" s="3" t="s">
        <v>17</v>
      </c>
      <c r="G384" s="3" t="str">
        <f t="shared" si="3"/>
        <v>PURNA2025-OTO1</v>
      </c>
      <c r="H384" s="3" t="str">
        <f>VLOOKUP($C384,Userpass!$A$2:$L$3001,12,FALSE)</f>
        <v>OTO1</v>
      </c>
      <c r="I384" s="5" t="s">
        <v>14</v>
      </c>
      <c r="J384" s="3">
        <v>2022.0</v>
      </c>
      <c r="K384" s="4" t="str">
        <f>VLOOKUP($C384,Userpass!$A$2:$R$3001,2,FALSE)</f>
        <v>oto20227910.alumni@smkn12malang.sch.id</v>
      </c>
    </row>
    <row r="385" hidden="1">
      <c r="A385" s="3" t="str">
        <f t="shared" si="1"/>
        <v>OK</v>
      </c>
      <c r="B385" s="3" t="str">
        <f t="shared" si="2"/>
        <v>OK</v>
      </c>
      <c r="C385" s="3">
        <v>7926.0</v>
      </c>
      <c r="D385" s="4" t="s">
        <v>778</v>
      </c>
      <c r="E385" s="3" t="s">
        <v>779</v>
      </c>
      <c r="F385" s="3" t="s">
        <v>17</v>
      </c>
      <c r="G385" s="3" t="str">
        <f t="shared" si="3"/>
        <v>PURNA2025-OTO1</v>
      </c>
      <c r="H385" s="3" t="str">
        <f>VLOOKUP($C385,Userpass!$A$2:$L$3001,12,FALSE)</f>
        <v>OTO1</v>
      </c>
      <c r="I385" s="5" t="s">
        <v>14</v>
      </c>
      <c r="J385" s="3">
        <v>2022.0</v>
      </c>
      <c r="K385" s="4" t="str">
        <f>VLOOKUP($C385,Userpass!$A$2:$R$3001,2,FALSE)</f>
        <v>oto20227926.alumni@smkn12malang.sch.id</v>
      </c>
    </row>
    <row r="386" hidden="1">
      <c r="A386" s="3" t="str">
        <f t="shared" si="1"/>
        <v>OK</v>
      </c>
      <c r="B386" s="3" t="str">
        <f t="shared" si="2"/>
        <v>OK</v>
      </c>
      <c r="C386" s="3">
        <v>7963.0</v>
      </c>
      <c r="D386" s="4" t="s">
        <v>780</v>
      </c>
      <c r="E386" s="3" t="s">
        <v>781</v>
      </c>
      <c r="F386" s="3" t="s">
        <v>17</v>
      </c>
      <c r="G386" s="3" t="str">
        <f t="shared" si="3"/>
        <v>PURNA2025-OTO1</v>
      </c>
      <c r="H386" s="3" t="str">
        <f>VLOOKUP($C386,Userpass!$A$2:$L$3001,12,FALSE)</f>
        <v>OTO1</v>
      </c>
      <c r="I386" s="5" t="s">
        <v>14</v>
      </c>
      <c r="J386" s="3">
        <v>2022.0</v>
      </c>
      <c r="K386" s="4" t="str">
        <f>VLOOKUP($C386,Userpass!$A$2:$R$3001,2,FALSE)</f>
        <v>oto20227963.alumni@smkn12malang.sch.id</v>
      </c>
    </row>
    <row r="387" hidden="1">
      <c r="A387" s="3" t="str">
        <f t="shared" si="1"/>
        <v>OK</v>
      </c>
      <c r="B387" s="3" t="str">
        <f t="shared" si="2"/>
        <v>OK</v>
      </c>
      <c r="C387" s="3">
        <v>7986.0</v>
      </c>
      <c r="D387" s="4" t="s">
        <v>782</v>
      </c>
      <c r="E387" s="3" t="s">
        <v>783</v>
      </c>
      <c r="F387" s="3" t="s">
        <v>13</v>
      </c>
      <c r="G387" s="3" t="str">
        <f t="shared" si="3"/>
        <v>PURNA2025-OTO1</v>
      </c>
      <c r="H387" s="3" t="str">
        <f>VLOOKUP($C387,Userpass!$A$2:$L$3001,12,FALSE)</f>
        <v>OTO1</v>
      </c>
      <c r="I387" s="5" t="s">
        <v>14</v>
      </c>
      <c r="J387" s="3">
        <v>2022.0</v>
      </c>
      <c r="K387" s="4" t="str">
        <f>VLOOKUP($C387,Userpass!$A$2:$R$3001,2,FALSE)</f>
        <v>oto20227986.alumni@smkn12malang.sch.id</v>
      </c>
    </row>
    <row r="388" hidden="1">
      <c r="A388" s="3" t="str">
        <f t="shared" si="1"/>
        <v>OK</v>
      </c>
      <c r="B388" s="3" t="str">
        <f t="shared" si="2"/>
        <v>OK</v>
      </c>
      <c r="C388" s="3">
        <v>7416.0</v>
      </c>
      <c r="D388" s="4" t="s">
        <v>784</v>
      </c>
      <c r="E388" s="3" t="s">
        <v>785</v>
      </c>
      <c r="F388" s="3" t="s">
        <v>17</v>
      </c>
      <c r="G388" s="3" t="str">
        <f t="shared" si="3"/>
        <v>PURNA2025-OTO2</v>
      </c>
      <c r="H388" s="3" t="str">
        <f>VLOOKUP($C388,Userpass!$A$2:$L$3001,12,FALSE)</f>
        <v>OTO2</v>
      </c>
      <c r="I388" s="5" t="s">
        <v>14</v>
      </c>
      <c r="J388" s="3">
        <v>2022.0</v>
      </c>
      <c r="K388" s="4" t="str">
        <f>VLOOKUP($C388,Userpass!$A$2:$R$3001,2,FALSE)</f>
        <v>oto20227416.alumni@smkn12malang.sch.id</v>
      </c>
    </row>
    <row r="389" hidden="1">
      <c r="A389" s="3" t="str">
        <f t="shared" si="1"/>
        <v>OK</v>
      </c>
      <c r="B389" s="3" t="str">
        <f t="shared" si="2"/>
        <v>OK</v>
      </c>
      <c r="C389" s="3">
        <v>7424.0</v>
      </c>
      <c r="D389" s="4" t="s">
        <v>786</v>
      </c>
      <c r="E389" s="3" t="s">
        <v>787</v>
      </c>
      <c r="F389" s="3" t="s">
        <v>17</v>
      </c>
      <c r="G389" s="3" t="str">
        <f t="shared" si="3"/>
        <v>PURNA2025-OTO2</v>
      </c>
      <c r="H389" s="3" t="str">
        <f>VLOOKUP($C389,Userpass!$A$2:$L$3001,12,FALSE)</f>
        <v>OTO2</v>
      </c>
      <c r="I389" s="5" t="s">
        <v>14</v>
      </c>
      <c r="J389" s="3">
        <v>2022.0</v>
      </c>
      <c r="K389" s="4" t="str">
        <f>VLOOKUP($C389,Userpass!$A$2:$R$3001,2,FALSE)</f>
        <v>oto20227424.alumni@smkn12malang.sch.id</v>
      </c>
    </row>
    <row r="390" hidden="1">
      <c r="A390" s="3" t="str">
        <f t="shared" si="1"/>
        <v>OK</v>
      </c>
      <c r="B390" s="3" t="str">
        <f t="shared" si="2"/>
        <v>OK</v>
      </c>
      <c r="C390" s="3">
        <v>7471.0</v>
      </c>
      <c r="D390" s="4" t="s">
        <v>788</v>
      </c>
      <c r="E390" s="3" t="s">
        <v>789</v>
      </c>
      <c r="F390" s="3" t="s">
        <v>17</v>
      </c>
      <c r="G390" s="3" t="str">
        <f t="shared" si="3"/>
        <v>PURNA2025-OTO2</v>
      </c>
      <c r="H390" s="3" t="str">
        <f>VLOOKUP($C390,Userpass!$A$2:$L$3001,12,FALSE)</f>
        <v>OTO2</v>
      </c>
      <c r="I390" s="5" t="s">
        <v>14</v>
      </c>
      <c r="J390" s="3">
        <v>2022.0</v>
      </c>
      <c r="K390" s="4" t="str">
        <f>VLOOKUP($C390,Userpass!$A$2:$R$3001,2,FALSE)</f>
        <v>oto20227471.alumni@smkn12malang.sch.id</v>
      </c>
    </row>
    <row r="391" hidden="1">
      <c r="A391" s="3" t="str">
        <f t="shared" si="1"/>
        <v>OK</v>
      </c>
      <c r="B391" s="3" t="str">
        <f t="shared" si="2"/>
        <v>OK</v>
      </c>
      <c r="C391" s="3">
        <v>7479.0</v>
      </c>
      <c r="D391" s="4" t="s">
        <v>790</v>
      </c>
      <c r="E391" s="3" t="s">
        <v>791</v>
      </c>
      <c r="F391" s="3" t="s">
        <v>17</v>
      </c>
      <c r="G391" s="3" t="str">
        <f t="shared" si="3"/>
        <v>PURNA2025-OTO2</v>
      </c>
      <c r="H391" s="3" t="str">
        <f>VLOOKUP($C391,Userpass!$A$2:$L$3001,12,FALSE)</f>
        <v>OTO2</v>
      </c>
      <c r="I391" s="5" t="s">
        <v>14</v>
      </c>
      <c r="J391" s="3">
        <v>2022.0</v>
      </c>
      <c r="K391" s="4" t="str">
        <f>VLOOKUP($C391,Userpass!$A$2:$R$3001,2,FALSE)</f>
        <v>oto20227479.alumni@smkn12malang.sch.id</v>
      </c>
    </row>
    <row r="392" hidden="1">
      <c r="A392" s="3" t="str">
        <f t="shared" si="1"/>
        <v>OK</v>
      </c>
      <c r="B392" s="3" t="str">
        <f t="shared" si="2"/>
        <v>OK</v>
      </c>
      <c r="C392" s="3">
        <v>7506.0</v>
      </c>
      <c r="D392" s="4" t="s">
        <v>792</v>
      </c>
      <c r="E392" s="3" t="s">
        <v>793</v>
      </c>
      <c r="F392" s="3" t="s">
        <v>17</v>
      </c>
      <c r="G392" s="3" t="str">
        <f t="shared" si="3"/>
        <v>PURNA2025-OTO2</v>
      </c>
      <c r="H392" s="3" t="str">
        <f>VLOOKUP($C392,Userpass!$A$2:$L$3001,12,FALSE)</f>
        <v>OTO2</v>
      </c>
      <c r="I392" s="5" t="s">
        <v>14</v>
      </c>
      <c r="J392" s="3">
        <v>2022.0</v>
      </c>
      <c r="K392" s="4" t="str">
        <f>VLOOKUP($C392,Userpass!$A$2:$R$3001,2,FALSE)</f>
        <v>oto20227506.alumni@smkn12malang.sch.id</v>
      </c>
    </row>
    <row r="393" hidden="1">
      <c r="A393" s="3" t="str">
        <f t="shared" si="1"/>
        <v>OK</v>
      </c>
      <c r="B393" s="3" t="str">
        <f t="shared" si="2"/>
        <v>OK</v>
      </c>
      <c r="C393" s="3">
        <v>7514.0</v>
      </c>
      <c r="D393" s="4" t="s">
        <v>794</v>
      </c>
      <c r="E393" s="3" t="s">
        <v>795</v>
      </c>
      <c r="F393" s="3" t="s">
        <v>17</v>
      </c>
      <c r="G393" s="3" t="str">
        <f t="shared" si="3"/>
        <v>PURNA2025-OTO2</v>
      </c>
      <c r="H393" s="3" t="str">
        <f>VLOOKUP($C393,Userpass!$A$2:$L$3001,12,FALSE)</f>
        <v>OTO2</v>
      </c>
      <c r="I393" s="5" t="s">
        <v>14</v>
      </c>
      <c r="J393" s="3">
        <v>2022.0</v>
      </c>
      <c r="K393" s="4" t="str">
        <f>VLOOKUP($C393,Userpass!$A$2:$R$3001,2,FALSE)</f>
        <v>oto20227514.alumni@smkn12malang.sch.id</v>
      </c>
    </row>
    <row r="394" hidden="1">
      <c r="A394" s="3" t="str">
        <f t="shared" si="1"/>
        <v>OK</v>
      </c>
      <c r="B394" s="3" t="str">
        <f t="shared" si="2"/>
        <v>OK</v>
      </c>
      <c r="C394" s="3">
        <v>7527.0</v>
      </c>
      <c r="D394" s="4" t="s">
        <v>796</v>
      </c>
      <c r="E394" s="3" t="s">
        <v>797</v>
      </c>
      <c r="F394" s="3" t="s">
        <v>17</v>
      </c>
      <c r="G394" s="3" t="str">
        <f t="shared" si="3"/>
        <v>PURNA2025-OTO2</v>
      </c>
      <c r="H394" s="3" t="str">
        <f>VLOOKUP($C394,Userpass!$A$2:$L$3001,12,FALSE)</f>
        <v>OTO2</v>
      </c>
      <c r="I394" s="5" t="s">
        <v>14</v>
      </c>
      <c r="J394" s="3">
        <v>2022.0</v>
      </c>
      <c r="K394" s="4" t="str">
        <f>VLOOKUP($C394,Userpass!$A$2:$R$3001,2,FALSE)</f>
        <v>oto20227527.alumni@smkn12malang.sch.id</v>
      </c>
    </row>
    <row r="395" hidden="1">
      <c r="A395" s="3" t="str">
        <f t="shared" si="1"/>
        <v>OK</v>
      </c>
      <c r="B395" s="3" t="str">
        <f t="shared" si="2"/>
        <v>OK</v>
      </c>
      <c r="C395" s="3">
        <v>7552.0</v>
      </c>
      <c r="D395" s="4" t="s">
        <v>798</v>
      </c>
      <c r="E395" s="3" t="s">
        <v>799</v>
      </c>
      <c r="F395" s="3" t="s">
        <v>17</v>
      </c>
      <c r="G395" s="3" t="str">
        <f t="shared" si="3"/>
        <v>PURNA2025-OTO2</v>
      </c>
      <c r="H395" s="3" t="str">
        <f>VLOOKUP($C395,Userpass!$A$2:$L$3001,12,FALSE)</f>
        <v>OTO2</v>
      </c>
      <c r="I395" s="5" t="s">
        <v>14</v>
      </c>
      <c r="J395" s="3">
        <v>2022.0</v>
      </c>
      <c r="K395" s="4" t="str">
        <f>VLOOKUP($C395,Userpass!$A$2:$R$3001,2,FALSE)</f>
        <v>oto20227552.alumni@smkn12malang.sch.id</v>
      </c>
    </row>
    <row r="396" hidden="1">
      <c r="A396" s="3" t="str">
        <f t="shared" si="1"/>
        <v>OK</v>
      </c>
      <c r="B396" s="3" t="str">
        <f t="shared" si="2"/>
        <v>OK</v>
      </c>
      <c r="C396" s="3">
        <v>7576.0</v>
      </c>
      <c r="D396" s="4" t="s">
        <v>800</v>
      </c>
      <c r="E396" s="3" t="s">
        <v>801</v>
      </c>
      <c r="F396" s="3" t="s">
        <v>17</v>
      </c>
      <c r="G396" s="3" t="str">
        <f t="shared" si="3"/>
        <v>PURNA2025-OTO2</v>
      </c>
      <c r="H396" s="3" t="str">
        <f>VLOOKUP($C396,Userpass!$A$2:$L$3001,12,FALSE)</f>
        <v>OTO2</v>
      </c>
      <c r="I396" s="5" t="s">
        <v>14</v>
      </c>
      <c r="J396" s="3">
        <v>2022.0</v>
      </c>
      <c r="K396" s="4" t="str">
        <f>VLOOKUP($C396,Userpass!$A$2:$R$3001,2,FALSE)</f>
        <v>oto20227576.alumni@smkn12malang.sch.id</v>
      </c>
    </row>
    <row r="397" hidden="1">
      <c r="A397" s="3" t="str">
        <f t="shared" si="1"/>
        <v>OK</v>
      </c>
      <c r="B397" s="3" t="str">
        <f t="shared" si="2"/>
        <v>OK</v>
      </c>
      <c r="C397" s="3">
        <v>7580.0</v>
      </c>
      <c r="D397" s="4" t="s">
        <v>802</v>
      </c>
      <c r="E397" s="3" t="s">
        <v>803</v>
      </c>
      <c r="F397" s="3" t="s">
        <v>17</v>
      </c>
      <c r="G397" s="3" t="str">
        <f t="shared" si="3"/>
        <v>PURNA2025-OTO2</v>
      </c>
      <c r="H397" s="3" t="str">
        <f>VLOOKUP($C397,Userpass!$A$2:$L$3001,12,FALSE)</f>
        <v>OTO2</v>
      </c>
      <c r="I397" s="5" t="s">
        <v>14</v>
      </c>
      <c r="J397" s="3">
        <v>2022.0</v>
      </c>
      <c r="K397" s="4" t="str">
        <f>VLOOKUP($C397,Userpass!$A$2:$R$3001,2,FALSE)</f>
        <v>oto20227580.alumni@smkn12malang.sch.id</v>
      </c>
    </row>
    <row r="398" hidden="1">
      <c r="A398" s="3" t="str">
        <f t="shared" si="1"/>
        <v>OK</v>
      </c>
      <c r="B398" s="3" t="str">
        <f t="shared" si="2"/>
        <v>OK</v>
      </c>
      <c r="C398" s="3">
        <v>7599.0</v>
      </c>
      <c r="D398" s="4" t="s">
        <v>804</v>
      </c>
      <c r="E398" s="3" t="s">
        <v>805</v>
      </c>
      <c r="F398" s="3" t="s">
        <v>17</v>
      </c>
      <c r="G398" s="3" t="str">
        <f t="shared" si="3"/>
        <v>PURNA2025-OTO2</v>
      </c>
      <c r="H398" s="3" t="str">
        <f>VLOOKUP($C398,Userpass!$A$2:$L$3001,12,FALSE)</f>
        <v>OTO2</v>
      </c>
      <c r="I398" s="5" t="s">
        <v>14</v>
      </c>
      <c r="J398" s="3">
        <v>2022.0</v>
      </c>
      <c r="K398" s="4" t="str">
        <f>VLOOKUP($C398,Userpass!$A$2:$R$3001,2,FALSE)</f>
        <v>oto20227599.alumni@smkn12malang.sch.id</v>
      </c>
    </row>
    <row r="399" hidden="1">
      <c r="A399" s="3" t="str">
        <f t="shared" si="1"/>
        <v>OK</v>
      </c>
      <c r="B399" s="3" t="str">
        <f t="shared" si="2"/>
        <v>OK</v>
      </c>
      <c r="C399" s="3">
        <v>7626.0</v>
      </c>
      <c r="D399" s="4" t="s">
        <v>806</v>
      </c>
      <c r="E399" s="3" t="s">
        <v>807</v>
      </c>
      <c r="F399" s="3" t="s">
        <v>17</v>
      </c>
      <c r="G399" s="3" t="str">
        <f t="shared" si="3"/>
        <v>PURNA2025-OTO2</v>
      </c>
      <c r="H399" s="3" t="str">
        <f>VLOOKUP($C399,Userpass!$A$2:$L$3001,12,FALSE)</f>
        <v>OTO2</v>
      </c>
      <c r="I399" s="5" t="s">
        <v>14</v>
      </c>
      <c r="J399" s="3">
        <v>2022.0</v>
      </c>
      <c r="K399" s="4" t="str">
        <f>VLOOKUP($C399,Userpass!$A$2:$R$3001,2,FALSE)</f>
        <v>oto20227626.alumni@smkn12malang.sch.id</v>
      </c>
    </row>
    <row r="400" hidden="1">
      <c r="A400" s="3" t="str">
        <f t="shared" si="1"/>
        <v>OK</v>
      </c>
      <c r="B400" s="3" t="str">
        <f t="shared" si="2"/>
        <v>OK</v>
      </c>
      <c r="C400" s="3">
        <v>7640.0</v>
      </c>
      <c r="D400" s="4" t="s">
        <v>808</v>
      </c>
      <c r="E400" s="3" t="s">
        <v>809</v>
      </c>
      <c r="F400" s="3" t="s">
        <v>17</v>
      </c>
      <c r="G400" s="3" t="str">
        <f t="shared" si="3"/>
        <v>PURNA2025-OTO2</v>
      </c>
      <c r="H400" s="3" t="str">
        <f>VLOOKUP($C400,Userpass!$A$2:$L$3001,12,FALSE)</f>
        <v>OTO2</v>
      </c>
      <c r="I400" s="5" t="s">
        <v>14</v>
      </c>
      <c r="J400" s="3">
        <v>2022.0</v>
      </c>
      <c r="K400" s="4" t="str">
        <f>VLOOKUP($C400,Userpass!$A$2:$R$3001,2,FALSE)</f>
        <v>oto20227640.alumni@smkn12malang.sch.id</v>
      </c>
    </row>
    <row r="401" hidden="1">
      <c r="A401" s="3" t="str">
        <f t="shared" si="1"/>
        <v>OK</v>
      </c>
      <c r="B401" s="3" t="str">
        <f t="shared" si="2"/>
        <v>OK</v>
      </c>
      <c r="C401" s="3">
        <v>7686.0</v>
      </c>
      <c r="D401" s="4" t="s">
        <v>810</v>
      </c>
      <c r="E401" s="3" t="s">
        <v>811</v>
      </c>
      <c r="F401" s="3" t="s">
        <v>17</v>
      </c>
      <c r="G401" s="3" t="str">
        <f t="shared" si="3"/>
        <v>PURNA2025-OTO2</v>
      </c>
      <c r="H401" s="3" t="str">
        <f>VLOOKUP($C401,Userpass!$A$2:$L$3001,12,FALSE)</f>
        <v>OTO2</v>
      </c>
      <c r="I401" s="5" t="s">
        <v>14</v>
      </c>
      <c r="J401" s="3">
        <v>2022.0</v>
      </c>
      <c r="K401" s="4" t="str">
        <f>VLOOKUP($C401,Userpass!$A$2:$R$3001,2,FALSE)</f>
        <v>oto20227686.alumni@smkn12malang.sch.id</v>
      </c>
    </row>
    <row r="402" hidden="1">
      <c r="A402" s="3" t="str">
        <f t="shared" si="1"/>
        <v>OK</v>
      </c>
      <c r="B402" s="3" t="str">
        <f t="shared" si="2"/>
        <v>OK</v>
      </c>
      <c r="C402" s="3">
        <v>7721.0</v>
      </c>
      <c r="D402" s="4" t="s">
        <v>812</v>
      </c>
      <c r="E402" s="3" t="s">
        <v>813</v>
      </c>
      <c r="F402" s="3" t="s">
        <v>17</v>
      </c>
      <c r="G402" s="3" t="str">
        <f t="shared" si="3"/>
        <v>PURNA2025-OTO2</v>
      </c>
      <c r="H402" s="3" t="str">
        <f>VLOOKUP($C402,Userpass!$A$2:$L$3001,12,FALSE)</f>
        <v>OTO2</v>
      </c>
      <c r="I402" s="5" t="s">
        <v>14</v>
      </c>
      <c r="J402" s="3">
        <v>2022.0</v>
      </c>
      <c r="K402" s="4" t="str">
        <f>VLOOKUP($C402,Userpass!$A$2:$R$3001,2,FALSE)</f>
        <v>oto20227721.alumni@smkn12malang.sch.id</v>
      </c>
    </row>
    <row r="403" hidden="1">
      <c r="A403" s="3" t="str">
        <f t="shared" si="1"/>
        <v>OK</v>
      </c>
      <c r="B403" s="3" t="str">
        <f t="shared" si="2"/>
        <v>OK</v>
      </c>
      <c r="C403" s="3">
        <v>7738.0</v>
      </c>
      <c r="D403" s="4" t="s">
        <v>814</v>
      </c>
      <c r="E403" s="3" t="s">
        <v>815</v>
      </c>
      <c r="F403" s="3" t="s">
        <v>17</v>
      </c>
      <c r="G403" s="3" t="str">
        <f t="shared" si="3"/>
        <v>PURNA2025-OTO2</v>
      </c>
      <c r="H403" s="3" t="str">
        <f>VLOOKUP($C403,Userpass!$A$2:$L$3001,12,FALSE)</f>
        <v>OTO2</v>
      </c>
      <c r="I403" s="5" t="s">
        <v>14</v>
      </c>
      <c r="J403" s="3">
        <v>2022.0</v>
      </c>
      <c r="K403" s="4" t="str">
        <f>VLOOKUP($C403,Userpass!$A$2:$R$3001,2,FALSE)</f>
        <v>oto20227738.alumni@smkn12malang.sch.id</v>
      </c>
    </row>
    <row r="404" hidden="1">
      <c r="A404" s="3" t="str">
        <f t="shared" si="1"/>
        <v>OK</v>
      </c>
      <c r="B404" s="3" t="str">
        <f t="shared" si="2"/>
        <v>OK</v>
      </c>
      <c r="C404" s="3">
        <v>7770.0</v>
      </c>
      <c r="D404" s="4" t="s">
        <v>816</v>
      </c>
      <c r="E404" s="3" t="s">
        <v>817</v>
      </c>
      <c r="F404" s="3" t="s">
        <v>17</v>
      </c>
      <c r="G404" s="3" t="str">
        <f t="shared" si="3"/>
        <v>PURNA2025-OTO2</v>
      </c>
      <c r="H404" s="3" t="str">
        <f>VLOOKUP($C404,Userpass!$A$2:$L$3001,12,FALSE)</f>
        <v>OTO2</v>
      </c>
      <c r="I404" s="5" t="s">
        <v>14</v>
      </c>
      <c r="J404" s="3">
        <v>2022.0</v>
      </c>
      <c r="K404" s="4" t="str">
        <f>VLOOKUP($C404,Userpass!$A$2:$R$3001,2,FALSE)</f>
        <v>oto20227770.alumni@smkn12malang.sch.id</v>
      </c>
    </row>
    <row r="405" hidden="1">
      <c r="A405" s="3" t="str">
        <f t="shared" si="1"/>
        <v>OK</v>
      </c>
      <c r="B405" s="3" t="str">
        <f t="shared" si="2"/>
        <v>OK</v>
      </c>
      <c r="C405" s="3">
        <v>7775.0</v>
      </c>
      <c r="D405" s="4" t="s">
        <v>818</v>
      </c>
      <c r="E405" s="3" t="s">
        <v>819</v>
      </c>
      <c r="F405" s="3" t="s">
        <v>17</v>
      </c>
      <c r="G405" s="3" t="str">
        <f t="shared" si="3"/>
        <v>PURNA2025-OTO2</v>
      </c>
      <c r="H405" s="3" t="str">
        <f>VLOOKUP($C405,Userpass!$A$2:$L$3001,12,FALSE)</f>
        <v>OTO2</v>
      </c>
      <c r="I405" s="5" t="s">
        <v>14</v>
      </c>
      <c r="J405" s="3">
        <v>2022.0</v>
      </c>
      <c r="K405" s="4" t="str">
        <f>VLOOKUP($C405,Userpass!$A$2:$R$3001,2,FALSE)</f>
        <v>oto20227775.alumni@smkn12malang.sch.id</v>
      </c>
    </row>
    <row r="406" hidden="1">
      <c r="A406" s="3" t="str">
        <f t="shared" si="1"/>
        <v>OK</v>
      </c>
      <c r="B406" s="3" t="str">
        <f t="shared" si="2"/>
        <v>OK</v>
      </c>
      <c r="C406" s="3">
        <v>7783.0</v>
      </c>
      <c r="D406" s="4" t="s">
        <v>820</v>
      </c>
      <c r="E406" s="3" t="s">
        <v>821</v>
      </c>
      <c r="F406" s="3" t="s">
        <v>17</v>
      </c>
      <c r="G406" s="3" t="str">
        <f t="shared" si="3"/>
        <v>PURNA2025-OTO2</v>
      </c>
      <c r="H406" s="3" t="str">
        <f>VLOOKUP($C406,Userpass!$A$2:$L$3001,12,FALSE)</f>
        <v>OTO2</v>
      </c>
      <c r="I406" s="5" t="s">
        <v>14</v>
      </c>
      <c r="J406" s="3">
        <v>2022.0</v>
      </c>
      <c r="K406" s="4" t="str">
        <f>VLOOKUP($C406,Userpass!$A$2:$R$3001,2,FALSE)</f>
        <v>oto20227783.alumni@smkn12malang.sch.id</v>
      </c>
    </row>
    <row r="407" hidden="1">
      <c r="A407" s="3" t="str">
        <f t="shared" si="1"/>
        <v>OK</v>
      </c>
      <c r="B407" s="3" t="str">
        <f t="shared" si="2"/>
        <v>OK</v>
      </c>
      <c r="C407" s="3">
        <v>7790.0</v>
      </c>
      <c r="D407" s="4" t="s">
        <v>822</v>
      </c>
      <c r="E407" s="3" t="s">
        <v>823</v>
      </c>
      <c r="F407" s="3" t="s">
        <v>17</v>
      </c>
      <c r="G407" s="3" t="str">
        <f t="shared" si="3"/>
        <v>PURNA2025-OTO2</v>
      </c>
      <c r="H407" s="3" t="str">
        <f>VLOOKUP($C407,Userpass!$A$2:$L$3001,12,FALSE)</f>
        <v>OTO2</v>
      </c>
      <c r="I407" s="5" t="s">
        <v>14</v>
      </c>
      <c r="J407" s="3">
        <v>2022.0</v>
      </c>
      <c r="K407" s="4" t="str">
        <f>VLOOKUP($C407,Userpass!$A$2:$R$3001,2,FALSE)</f>
        <v>oto20227790.alumni@smkn12malang.sch.id</v>
      </c>
    </row>
    <row r="408" hidden="1">
      <c r="A408" s="3" t="str">
        <f t="shared" si="1"/>
        <v>OK</v>
      </c>
      <c r="B408" s="3" t="str">
        <f t="shared" si="2"/>
        <v>OK</v>
      </c>
      <c r="C408" s="3">
        <v>7842.0</v>
      </c>
      <c r="D408" s="4" t="s">
        <v>824</v>
      </c>
      <c r="E408" s="3" t="s">
        <v>825</v>
      </c>
      <c r="F408" s="3" t="s">
        <v>17</v>
      </c>
      <c r="G408" s="3" t="str">
        <f t="shared" si="3"/>
        <v>PURNA2025-OTO2</v>
      </c>
      <c r="H408" s="3" t="str">
        <f>VLOOKUP($C408,Userpass!$A$2:$L$3001,12,FALSE)</f>
        <v>OTO2</v>
      </c>
      <c r="I408" s="5" t="s">
        <v>14</v>
      </c>
      <c r="J408" s="3">
        <v>2022.0</v>
      </c>
      <c r="K408" s="4" t="str">
        <f>VLOOKUP($C408,Userpass!$A$2:$R$3001,2,FALSE)</f>
        <v>oto20227842.alumni@smkn12malang.sch.id</v>
      </c>
    </row>
    <row r="409" hidden="1">
      <c r="A409" s="3" t="str">
        <f t="shared" si="1"/>
        <v>OK</v>
      </c>
      <c r="B409" s="3" t="str">
        <f t="shared" si="2"/>
        <v>OK</v>
      </c>
      <c r="C409" s="3">
        <v>7869.0</v>
      </c>
      <c r="D409" s="4" t="s">
        <v>826</v>
      </c>
      <c r="E409" s="3" t="s">
        <v>827</v>
      </c>
      <c r="F409" s="3" t="s">
        <v>17</v>
      </c>
      <c r="G409" s="3" t="str">
        <f t="shared" si="3"/>
        <v>PURNA2025-OTO2</v>
      </c>
      <c r="H409" s="3" t="str">
        <f>VLOOKUP($C409,Userpass!$A$2:$L$3001,12,FALSE)</f>
        <v>OTO2</v>
      </c>
      <c r="I409" s="5" t="s">
        <v>14</v>
      </c>
      <c r="J409" s="3">
        <v>2022.0</v>
      </c>
      <c r="K409" s="4" t="str">
        <f>VLOOKUP($C409,Userpass!$A$2:$R$3001,2,FALSE)</f>
        <v>oto20227869.alumni@smkn12malang.sch.id</v>
      </c>
    </row>
    <row r="410" hidden="1">
      <c r="A410" s="3" t="str">
        <f t="shared" si="1"/>
        <v>OK</v>
      </c>
      <c r="B410" s="3" t="str">
        <f t="shared" si="2"/>
        <v>OK</v>
      </c>
      <c r="C410" s="3">
        <v>7874.0</v>
      </c>
      <c r="D410" s="4" t="s">
        <v>828</v>
      </c>
      <c r="E410" s="3" t="s">
        <v>829</v>
      </c>
      <c r="F410" s="3" t="s">
        <v>17</v>
      </c>
      <c r="G410" s="3" t="str">
        <f t="shared" si="3"/>
        <v>PURNA2025-OTO2</v>
      </c>
      <c r="H410" s="3" t="str">
        <f>VLOOKUP($C410,Userpass!$A$2:$L$3001,12,FALSE)</f>
        <v>OTO2</v>
      </c>
      <c r="I410" s="5" t="s">
        <v>14</v>
      </c>
      <c r="J410" s="3">
        <v>2022.0</v>
      </c>
      <c r="K410" s="4" t="str">
        <f>VLOOKUP($C410,Userpass!$A$2:$R$3001,2,FALSE)</f>
        <v>oto20227874.alumni@smkn12malang.sch.id</v>
      </c>
    </row>
    <row r="411" hidden="1">
      <c r="A411" s="3" t="str">
        <f t="shared" si="1"/>
        <v>OK</v>
      </c>
      <c r="B411" s="3" t="str">
        <f t="shared" si="2"/>
        <v>OK</v>
      </c>
      <c r="C411" s="3">
        <v>7903.0</v>
      </c>
      <c r="D411" s="4" t="s">
        <v>830</v>
      </c>
      <c r="E411" s="3" t="s">
        <v>831</v>
      </c>
      <c r="F411" s="3" t="s">
        <v>17</v>
      </c>
      <c r="G411" s="3" t="str">
        <f t="shared" si="3"/>
        <v>PURNA2025-OTO2</v>
      </c>
      <c r="H411" s="3" t="str">
        <f>VLOOKUP($C411,Userpass!$A$2:$L$3001,12,FALSE)</f>
        <v>OTO2</v>
      </c>
      <c r="I411" s="5" t="s">
        <v>14</v>
      </c>
      <c r="J411" s="3">
        <v>2022.0</v>
      </c>
      <c r="K411" s="4" t="str">
        <f>VLOOKUP($C411,Userpass!$A$2:$R$3001,2,FALSE)</f>
        <v>oto20227903.alumni@smkn12malang.sch.id</v>
      </c>
    </row>
    <row r="412" hidden="1">
      <c r="A412" s="3" t="str">
        <f t="shared" si="1"/>
        <v>OK</v>
      </c>
      <c r="B412" s="3" t="str">
        <f t="shared" si="2"/>
        <v>OK</v>
      </c>
      <c r="C412" s="3">
        <v>7914.0</v>
      </c>
      <c r="D412" s="4" t="s">
        <v>832</v>
      </c>
      <c r="E412" s="3" t="s">
        <v>833</v>
      </c>
      <c r="F412" s="3" t="s">
        <v>17</v>
      </c>
      <c r="G412" s="3" t="str">
        <f t="shared" si="3"/>
        <v>PURNA2025-OTO2</v>
      </c>
      <c r="H412" s="3" t="str">
        <f>VLOOKUP($C412,Userpass!$A$2:$L$3001,12,FALSE)</f>
        <v>OTO2</v>
      </c>
      <c r="I412" s="5" t="s">
        <v>14</v>
      </c>
      <c r="J412" s="3">
        <v>2022.0</v>
      </c>
      <c r="K412" s="4" t="str">
        <f>VLOOKUP($C412,Userpass!$A$2:$R$3001,2,FALSE)</f>
        <v>oto20227914.alumni@smkn12malang.sch.id</v>
      </c>
    </row>
    <row r="413" hidden="1">
      <c r="A413" s="3" t="str">
        <f t="shared" si="1"/>
        <v>OK</v>
      </c>
      <c r="B413" s="3" t="str">
        <f t="shared" si="2"/>
        <v>OK</v>
      </c>
      <c r="C413" s="3">
        <v>7932.0</v>
      </c>
      <c r="D413" s="4" t="s">
        <v>834</v>
      </c>
      <c r="E413" s="3" t="s">
        <v>835</v>
      </c>
      <c r="F413" s="3" t="s">
        <v>17</v>
      </c>
      <c r="G413" s="3" t="str">
        <f t="shared" si="3"/>
        <v>PURNA2025-OTO2</v>
      </c>
      <c r="H413" s="3" t="str">
        <f>VLOOKUP($C413,Userpass!$A$2:$L$3001,12,FALSE)</f>
        <v>OTO2</v>
      </c>
      <c r="I413" s="5" t="s">
        <v>14</v>
      </c>
      <c r="J413" s="3">
        <v>2022.0</v>
      </c>
      <c r="K413" s="4" t="str">
        <f>VLOOKUP($C413,Userpass!$A$2:$R$3001,2,FALSE)</f>
        <v>oto20227932.alumni@smkn12malang.sch.id</v>
      </c>
    </row>
    <row r="414" hidden="1">
      <c r="A414" s="3" t="str">
        <f t="shared" si="1"/>
        <v>OK</v>
      </c>
      <c r="B414" s="3" t="str">
        <f t="shared" si="2"/>
        <v>OK</v>
      </c>
      <c r="C414" s="3">
        <v>7970.0</v>
      </c>
      <c r="D414" s="4" t="s">
        <v>836</v>
      </c>
      <c r="E414" s="3" t="s">
        <v>837</v>
      </c>
      <c r="F414" s="3" t="s">
        <v>17</v>
      </c>
      <c r="G414" s="3" t="str">
        <f t="shared" si="3"/>
        <v>PURNA2025-OTO2</v>
      </c>
      <c r="H414" s="3" t="str">
        <f>VLOOKUP($C414,Userpass!$A$2:$L$3001,12,FALSE)</f>
        <v>OTO2</v>
      </c>
      <c r="I414" s="5" t="s">
        <v>14</v>
      </c>
      <c r="J414" s="3">
        <v>2022.0</v>
      </c>
      <c r="K414" s="4" t="str">
        <f>VLOOKUP($C414,Userpass!$A$2:$R$3001,2,FALSE)</f>
        <v>oto20227970.alumni@smkn12malang.sch.id</v>
      </c>
    </row>
    <row r="415" hidden="1">
      <c r="A415" s="3" t="str">
        <f t="shared" si="1"/>
        <v>OK</v>
      </c>
      <c r="B415" s="3" t="str">
        <f t="shared" si="2"/>
        <v>OK</v>
      </c>
      <c r="C415" s="3">
        <v>7999.0</v>
      </c>
      <c r="D415" s="4" t="s">
        <v>838</v>
      </c>
      <c r="E415" s="3" t="s">
        <v>839</v>
      </c>
      <c r="F415" s="3" t="s">
        <v>17</v>
      </c>
      <c r="G415" s="3" t="str">
        <f t="shared" si="3"/>
        <v>PURNA2025-OTO2</v>
      </c>
      <c r="H415" s="3" t="str">
        <f>VLOOKUP($C415,Userpass!$A$2:$L$3001,12,FALSE)</f>
        <v>OTO2</v>
      </c>
      <c r="I415" s="5" t="s">
        <v>14</v>
      </c>
      <c r="J415" s="3">
        <v>2022.0</v>
      </c>
      <c r="K415" s="4" t="str">
        <f>VLOOKUP($C415,Userpass!$A$2:$R$3001,2,FALSE)</f>
        <v>oto20227999.alumni@smkn12malang.sch.id</v>
      </c>
    </row>
    <row r="416" hidden="1">
      <c r="A416" s="3" t="str">
        <f t="shared" si="1"/>
        <v>OK</v>
      </c>
      <c r="B416" s="3" t="str">
        <f t="shared" si="2"/>
        <v>OK</v>
      </c>
      <c r="C416" s="3">
        <v>8633.0</v>
      </c>
      <c r="D416" s="4" t="s">
        <v>840</v>
      </c>
      <c r="E416" s="3" t="s">
        <v>841</v>
      </c>
      <c r="F416" s="3" t="s">
        <v>17</v>
      </c>
      <c r="G416" s="3" t="str">
        <f t="shared" si="3"/>
        <v>PURNA2025-OTO2</v>
      </c>
      <c r="H416" s="3" t="str">
        <f>VLOOKUP($C416,Userpass!$A$2:$L$3001,12,FALSE)</f>
        <v>OTO2</v>
      </c>
      <c r="I416" s="5" t="s">
        <v>14</v>
      </c>
      <c r="J416" s="3">
        <v>2023.0</v>
      </c>
      <c r="K416" s="4" t="str">
        <f>VLOOKUP($C416,Userpass!$A$2:$R$3001,2,FALSE)</f>
        <v>oto20238633.alumni@smkn12malang.sch.id</v>
      </c>
    </row>
    <row r="417" hidden="1">
      <c r="A417" s="3" t="str">
        <f t="shared" si="1"/>
        <v>OK</v>
      </c>
      <c r="B417" s="3" t="str">
        <f t="shared" si="2"/>
        <v>OK</v>
      </c>
      <c r="C417" s="3">
        <v>8634.0</v>
      </c>
      <c r="D417" s="4" t="s">
        <v>842</v>
      </c>
      <c r="E417" s="3" t="s">
        <v>843</v>
      </c>
      <c r="F417" s="3" t="s">
        <v>17</v>
      </c>
      <c r="G417" s="3" t="str">
        <f t="shared" si="3"/>
        <v>PURNA2025-OTO2</v>
      </c>
      <c r="H417" s="3" t="str">
        <f>VLOOKUP($C417,Userpass!$A$2:$L$3001,12,FALSE)</f>
        <v>OTO2</v>
      </c>
      <c r="I417" s="5" t="s">
        <v>14</v>
      </c>
      <c r="J417" s="3">
        <v>2023.0</v>
      </c>
      <c r="K417" s="4" t="str">
        <f>VLOOKUP($C417,Userpass!$A$2:$R$3001,2,FALSE)</f>
        <v>oto20238634.alumni@smkn12malang.sch.id</v>
      </c>
    </row>
    <row r="418" hidden="1">
      <c r="A418" s="3" t="str">
        <f t="shared" si="1"/>
        <v>OK</v>
      </c>
      <c r="B418" s="3" t="str">
        <f t="shared" si="2"/>
        <v>OK</v>
      </c>
      <c r="C418" s="3">
        <v>7418.0</v>
      </c>
      <c r="D418" s="4" t="s">
        <v>844</v>
      </c>
      <c r="E418" s="3" t="s">
        <v>845</v>
      </c>
      <c r="F418" s="3" t="s">
        <v>17</v>
      </c>
      <c r="G418" s="3" t="str">
        <f t="shared" si="3"/>
        <v>PURNA2025-OTO3</v>
      </c>
      <c r="H418" s="3" t="str">
        <f>VLOOKUP($C418,Userpass!$A$2:$L$3001,12,FALSE)</f>
        <v>OTO3</v>
      </c>
      <c r="I418" s="5" t="s">
        <v>14</v>
      </c>
      <c r="J418" s="3">
        <v>2022.0</v>
      </c>
      <c r="K418" s="4" t="str">
        <f>VLOOKUP($C418,Userpass!$A$2:$R$3001,2,FALSE)</f>
        <v>oto20227418.alumni@smkn12malang.sch.id</v>
      </c>
    </row>
    <row r="419" hidden="1">
      <c r="A419" s="3" t="str">
        <f t="shared" si="1"/>
        <v>OK</v>
      </c>
      <c r="B419" s="3" t="str">
        <f t="shared" si="2"/>
        <v>OK</v>
      </c>
      <c r="C419" s="3">
        <v>7426.0</v>
      </c>
      <c r="D419" s="4" t="s">
        <v>846</v>
      </c>
      <c r="E419" s="3" t="s">
        <v>847</v>
      </c>
      <c r="F419" s="3" t="s">
        <v>17</v>
      </c>
      <c r="G419" s="3" t="str">
        <f t="shared" si="3"/>
        <v>PURNA2025-OTO3</v>
      </c>
      <c r="H419" s="3" t="str">
        <f>VLOOKUP($C419,Userpass!$A$2:$L$3001,12,FALSE)</f>
        <v>OTO3</v>
      </c>
      <c r="I419" s="5" t="s">
        <v>14</v>
      </c>
      <c r="J419" s="3">
        <v>2022.0</v>
      </c>
      <c r="K419" s="4" t="str">
        <f>VLOOKUP($C419,Userpass!$A$2:$R$3001,2,FALSE)</f>
        <v>oto20227426.alumni@smkn12malang.sch.id</v>
      </c>
    </row>
    <row r="420" hidden="1">
      <c r="A420" s="3" t="str">
        <f t="shared" si="1"/>
        <v>OK</v>
      </c>
      <c r="B420" s="3" t="str">
        <f t="shared" si="2"/>
        <v>OK</v>
      </c>
      <c r="C420" s="3">
        <v>7454.0</v>
      </c>
      <c r="D420" s="4" t="s">
        <v>848</v>
      </c>
      <c r="E420" s="3" t="s">
        <v>849</v>
      </c>
      <c r="F420" s="3" t="s">
        <v>17</v>
      </c>
      <c r="G420" s="3" t="str">
        <f t="shared" si="3"/>
        <v>PURNA2025-OTO3</v>
      </c>
      <c r="H420" s="3" t="str">
        <f>VLOOKUP($C420,Userpass!$A$2:$L$3001,12,FALSE)</f>
        <v>OTO3</v>
      </c>
      <c r="I420" s="5" t="s">
        <v>14</v>
      </c>
      <c r="J420" s="3">
        <v>2022.0</v>
      </c>
      <c r="K420" s="4" t="str">
        <f>VLOOKUP($C420,Userpass!$A$2:$R$3001,2,FALSE)</f>
        <v>oto20227454.alumni@smkn12malang.sch.id</v>
      </c>
    </row>
    <row r="421" hidden="1">
      <c r="A421" s="3" t="str">
        <f t="shared" si="1"/>
        <v>OK</v>
      </c>
      <c r="B421" s="3" t="str">
        <f t="shared" si="2"/>
        <v>OK</v>
      </c>
      <c r="C421" s="3">
        <v>7474.0</v>
      </c>
      <c r="D421" s="4" t="s">
        <v>850</v>
      </c>
      <c r="E421" s="3" t="s">
        <v>851</v>
      </c>
      <c r="F421" s="3" t="s">
        <v>17</v>
      </c>
      <c r="G421" s="3" t="str">
        <f t="shared" si="3"/>
        <v>PURNA2025-OTO3</v>
      </c>
      <c r="H421" s="3" t="str">
        <f>VLOOKUP($C421,Userpass!$A$2:$L$3001,12,FALSE)</f>
        <v>OTO3</v>
      </c>
      <c r="I421" s="5" t="s">
        <v>14</v>
      </c>
      <c r="J421" s="3">
        <v>2022.0</v>
      </c>
      <c r="K421" s="4" t="str">
        <f>VLOOKUP($C421,Userpass!$A$2:$R$3001,2,FALSE)</f>
        <v>oto20227474.alumni@smkn12malang.sch.id</v>
      </c>
    </row>
    <row r="422" hidden="1">
      <c r="A422" s="3" t="str">
        <f t="shared" si="1"/>
        <v>OK</v>
      </c>
      <c r="B422" s="3" t="str">
        <f t="shared" si="2"/>
        <v>OK</v>
      </c>
      <c r="C422" s="3">
        <v>7480.0</v>
      </c>
      <c r="D422" s="4" t="s">
        <v>852</v>
      </c>
      <c r="E422" s="3" t="s">
        <v>853</v>
      </c>
      <c r="F422" s="3" t="s">
        <v>17</v>
      </c>
      <c r="G422" s="3" t="str">
        <f t="shared" si="3"/>
        <v>PURNA2025-OTO3</v>
      </c>
      <c r="H422" s="3" t="str">
        <f>VLOOKUP($C422,Userpass!$A$2:$L$3001,12,FALSE)</f>
        <v>OTO3</v>
      </c>
      <c r="I422" s="5" t="s">
        <v>14</v>
      </c>
      <c r="J422" s="3">
        <v>2022.0</v>
      </c>
      <c r="K422" s="4" t="str">
        <f>VLOOKUP($C422,Userpass!$A$2:$R$3001,2,FALSE)</f>
        <v>oto20227480.alumni@smkn12malang.sch.id</v>
      </c>
    </row>
    <row r="423" hidden="1">
      <c r="A423" s="3" t="str">
        <f t="shared" si="1"/>
        <v>OK</v>
      </c>
      <c r="B423" s="3" t="str">
        <f t="shared" si="2"/>
        <v>OK</v>
      </c>
      <c r="C423" s="3">
        <v>7507.0</v>
      </c>
      <c r="D423" s="4" t="s">
        <v>854</v>
      </c>
      <c r="E423" s="3" t="s">
        <v>855</v>
      </c>
      <c r="F423" s="3" t="s">
        <v>17</v>
      </c>
      <c r="G423" s="3" t="str">
        <f t="shared" si="3"/>
        <v>PURNA2025-OTO3</v>
      </c>
      <c r="H423" s="3" t="str">
        <f>VLOOKUP($C423,Userpass!$A$2:$L$3001,12,FALSE)</f>
        <v>OTO3</v>
      </c>
      <c r="I423" s="5" t="s">
        <v>14</v>
      </c>
      <c r="J423" s="3">
        <v>2022.0</v>
      </c>
      <c r="K423" s="4" t="str">
        <f>VLOOKUP($C423,Userpass!$A$2:$R$3001,2,FALSE)</f>
        <v>oto20227507.alumni@smkn12malang.sch.id</v>
      </c>
    </row>
    <row r="424" hidden="1">
      <c r="A424" s="3" t="str">
        <f t="shared" si="1"/>
        <v>OK</v>
      </c>
      <c r="B424" s="3" t="str">
        <f t="shared" si="2"/>
        <v>OK</v>
      </c>
      <c r="C424" s="3">
        <v>7517.0</v>
      </c>
      <c r="D424" s="4" t="s">
        <v>856</v>
      </c>
      <c r="E424" s="3" t="s">
        <v>857</v>
      </c>
      <c r="F424" s="3" t="s">
        <v>17</v>
      </c>
      <c r="G424" s="3" t="str">
        <f t="shared" si="3"/>
        <v>PURNA2025-OTO3</v>
      </c>
      <c r="H424" s="3" t="str">
        <f>VLOOKUP($C424,Userpass!$A$2:$L$3001,12,FALSE)</f>
        <v>OTO3</v>
      </c>
      <c r="I424" s="5" t="s">
        <v>14</v>
      </c>
      <c r="J424" s="3">
        <v>2022.0</v>
      </c>
      <c r="K424" s="4" t="str">
        <f>VLOOKUP($C424,Userpass!$A$2:$R$3001,2,FALSE)</f>
        <v>oto20227517.alumni@smkn12malang.sch.id</v>
      </c>
    </row>
    <row r="425" hidden="1">
      <c r="A425" s="3" t="str">
        <f t="shared" si="1"/>
        <v>OK</v>
      </c>
      <c r="B425" s="3" t="str">
        <f t="shared" si="2"/>
        <v>OK</v>
      </c>
      <c r="C425" s="3">
        <v>7531.0</v>
      </c>
      <c r="D425" s="4" t="s">
        <v>858</v>
      </c>
      <c r="E425" s="3" t="s">
        <v>859</v>
      </c>
      <c r="F425" s="3" t="s">
        <v>17</v>
      </c>
      <c r="G425" s="3" t="str">
        <f t="shared" si="3"/>
        <v>PURNA2025-OTO3</v>
      </c>
      <c r="H425" s="3" t="str">
        <f>VLOOKUP($C425,Userpass!$A$2:$L$3001,12,FALSE)</f>
        <v>OTO3</v>
      </c>
      <c r="I425" s="5" t="s">
        <v>14</v>
      </c>
      <c r="J425" s="3">
        <v>2022.0</v>
      </c>
      <c r="K425" s="4" t="str">
        <f>VLOOKUP($C425,Userpass!$A$2:$R$3001,2,FALSE)</f>
        <v>oto20227531.alumni@smkn12malang.sch.id</v>
      </c>
    </row>
    <row r="426" hidden="1">
      <c r="A426" s="3" t="str">
        <f t="shared" si="1"/>
        <v>OK</v>
      </c>
      <c r="B426" s="3" t="str">
        <f t="shared" si="2"/>
        <v>OK</v>
      </c>
      <c r="C426" s="3">
        <v>7546.0</v>
      </c>
      <c r="D426" s="4" t="s">
        <v>860</v>
      </c>
      <c r="E426" s="3" t="s">
        <v>861</v>
      </c>
      <c r="F426" s="3" t="s">
        <v>17</v>
      </c>
      <c r="G426" s="3" t="str">
        <f t="shared" si="3"/>
        <v>PURNA2025-OTO3</v>
      </c>
      <c r="H426" s="3" t="str">
        <f>VLOOKUP($C426,Userpass!$A$2:$L$3001,12,FALSE)</f>
        <v>OTO3</v>
      </c>
      <c r="I426" s="5" t="s">
        <v>14</v>
      </c>
      <c r="J426" s="3">
        <v>2022.0</v>
      </c>
      <c r="K426" s="4" t="str">
        <f>VLOOKUP($C426,Userpass!$A$2:$R$3001,2,FALSE)</f>
        <v>oto20227546.alumni@smkn12malang.sch.id</v>
      </c>
    </row>
    <row r="427" hidden="1">
      <c r="A427" s="3" t="str">
        <f t="shared" si="1"/>
        <v>OK</v>
      </c>
      <c r="B427" s="3" t="str">
        <f t="shared" si="2"/>
        <v>OK</v>
      </c>
      <c r="C427" s="3">
        <v>7553.0</v>
      </c>
      <c r="D427" s="4" t="s">
        <v>862</v>
      </c>
      <c r="E427" s="3" t="s">
        <v>863</v>
      </c>
      <c r="F427" s="3" t="s">
        <v>17</v>
      </c>
      <c r="G427" s="3" t="str">
        <f t="shared" si="3"/>
        <v>PURNA2025-OTO3</v>
      </c>
      <c r="H427" s="3" t="str">
        <f>VLOOKUP($C427,Userpass!$A$2:$L$3001,12,FALSE)</f>
        <v>OTO3</v>
      </c>
      <c r="I427" s="5" t="s">
        <v>14</v>
      </c>
      <c r="J427" s="3">
        <v>2022.0</v>
      </c>
      <c r="K427" s="4" t="str">
        <f>VLOOKUP($C427,Userpass!$A$2:$R$3001,2,FALSE)</f>
        <v>oto20227553.alumni@smkn12malang.sch.id</v>
      </c>
    </row>
    <row r="428" hidden="1">
      <c r="A428" s="3" t="str">
        <f t="shared" si="1"/>
        <v>OK</v>
      </c>
      <c r="B428" s="3" t="str">
        <f t="shared" si="2"/>
        <v>OK</v>
      </c>
      <c r="C428" s="3">
        <v>7577.0</v>
      </c>
      <c r="D428" s="4" t="s">
        <v>864</v>
      </c>
      <c r="E428" s="3" t="s">
        <v>865</v>
      </c>
      <c r="F428" s="3" t="s">
        <v>17</v>
      </c>
      <c r="G428" s="3" t="str">
        <f t="shared" si="3"/>
        <v>PURNA2025-OTO3</v>
      </c>
      <c r="H428" s="3" t="str">
        <f>VLOOKUP($C428,Userpass!$A$2:$L$3001,12,FALSE)</f>
        <v>OTO3</v>
      </c>
      <c r="I428" s="5" t="s">
        <v>14</v>
      </c>
      <c r="J428" s="3">
        <v>2022.0</v>
      </c>
      <c r="K428" s="4" t="str">
        <f>VLOOKUP($C428,Userpass!$A$2:$R$3001,2,FALSE)</f>
        <v>oto20227577.alumni@smkn12malang.sch.id</v>
      </c>
    </row>
    <row r="429" hidden="1">
      <c r="A429" s="3" t="str">
        <f t="shared" si="1"/>
        <v>OK</v>
      </c>
      <c r="B429" s="3" t="str">
        <f t="shared" si="2"/>
        <v>OK</v>
      </c>
      <c r="C429" s="3">
        <v>7588.0</v>
      </c>
      <c r="D429" s="4" t="s">
        <v>866</v>
      </c>
      <c r="E429" s="3" t="s">
        <v>867</v>
      </c>
      <c r="F429" s="3" t="s">
        <v>17</v>
      </c>
      <c r="G429" s="3" t="str">
        <f t="shared" si="3"/>
        <v>PURNA2025-OTO3</v>
      </c>
      <c r="H429" s="3" t="str">
        <f>VLOOKUP($C429,Userpass!$A$2:$L$3001,12,FALSE)</f>
        <v>OTO3</v>
      </c>
      <c r="I429" s="5" t="s">
        <v>14</v>
      </c>
      <c r="J429" s="3">
        <v>2022.0</v>
      </c>
      <c r="K429" s="4" t="str">
        <f>VLOOKUP($C429,Userpass!$A$2:$R$3001,2,FALSE)</f>
        <v>oto20227588.alumni@smkn12malang.sch.id</v>
      </c>
    </row>
    <row r="430" hidden="1">
      <c r="A430" s="3" t="str">
        <f t="shared" si="1"/>
        <v>OK</v>
      </c>
      <c r="B430" s="3" t="str">
        <f t="shared" si="2"/>
        <v>OK</v>
      </c>
      <c r="C430" s="3">
        <v>7600.0</v>
      </c>
      <c r="D430" s="4" t="s">
        <v>868</v>
      </c>
      <c r="E430" s="3" t="s">
        <v>869</v>
      </c>
      <c r="F430" s="3" t="s">
        <v>17</v>
      </c>
      <c r="G430" s="3" t="str">
        <f t="shared" si="3"/>
        <v>PURNA2025-OTO3</v>
      </c>
      <c r="H430" s="3" t="str">
        <f>VLOOKUP($C430,Userpass!$A$2:$L$3001,12,FALSE)</f>
        <v>OTO3</v>
      </c>
      <c r="I430" s="5" t="s">
        <v>14</v>
      </c>
      <c r="J430" s="3">
        <v>2022.0</v>
      </c>
      <c r="K430" s="4" t="str">
        <f>VLOOKUP($C430,Userpass!$A$2:$R$3001,2,FALSE)</f>
        <v>oto20227600.alumni@smkn12malang.sch.id</v>
      </c>
    </row>
    <row r="431" hidden="1">
      <c r="A431" s="3" t="str">
        <f t="shared" si="1"/>
        <v>OK</v>
      </c>
      <c r="B431" s="3" t="str">
        <f t="shared" si="2"/>
        <v>OK</v>
      </c>
      <c r="C431" s="3">
        <v>7628.0</v>
      </c>
      <c r="D431" s="4" t="s">
        <v>870</v>
      </c>
      <c r="E431" s="3" t="s">
        <v>871</v>
      </c>
      <c r="F431" s="3" t="s">
        <v>17</v>
      </c>
      <c r="G431" s="3" t="str">
        <f t="shared" si="3"/>
        <v>PURNA2025-OTO3</v>
      </c>
      <c r="H431" s="3" t="str">
        <f>VLOOKUP($C431,Userpass!$A$2:$L$3001,12,FALSE)</f>
        <v>OTO3</v>
      </c>
      <c r="I431" s="5" t="s">
        <v>14</v>
      </c>
      <c r="J431" s="3">
        <v>2022.0</v>
      </c>
      <c r="K431" s="4" t="str">
        <f>VLOOKUP($C431,Userpass!$A$2:$R$3001,2,FALSE)</f>
        <v>oto20227628.alumni@smkn12malang.sch.id</v>
      </c>
    </row>
    <row r="432" hidden="1">
      <c r="A432" s="3" t="str">
        <f t="shared" si="1"/>
        <v>OK</v>
      </c>
      <c r="B432" s="3" t="str">
        <f t="shared" si="2"/>
        <v>OK</v>
      </c>
      <c r="C432" s="3">
        <v>7642.0</v>
      </c>
      <c r="D432" s="4" t="s">
        <v>872</v>
      </c>
      <c r="E432" s="3" t="s">
        <v>873</v>
      </c>
      <c r="F432" s="3" t="s">
        <v>17</v>
      </c>
      <c r="G432" s="3" t="str">
        <f t="shared" si="3"/>
        <v>PURNA2025-OTO3</v>
      </c>
      <c r="H432" s="3" t="str">
        <f>VLOOKUP($C432,Userpass!$A$2:$L$3001,12,FALSE)</f>
        <v>OTO3</v>
      </c>
      <c r="I432" s="5" t="s">
        <v>14</v>
      </c>
      <c r="J432" s="3">
        <v>2022.0</v>
      </c>
      <c r="K432" s="4" t="str">
        <f>VLOOKUP($C432,Userpass!$A$2:$R$3001,2,FALSE)</f>
        <v>oto20227642.alumni@smkn12malang.sch.id</v>
      </c>
    </row>
    <row r="433" hidden="1">
      <c r="A433" s="3" t="str">
        <f t="shared" si="1"/>
        <v>OK</v>
      </c>
      <c r="B433" s="3" t="str">
        <f t="shared" si="2"/>
        <v>OK</v>
      </c>
      <c r="C433" s="3">
        <v>7691.0</v>
      </c>
      <c r="D433" s="4" t="s">
        <v>874</v>
      </c>
      <c r="E433" s="3" t="s">
        <v>875</v>
      </c>
      <c r="F433" s="3" t="s">
        <v>17</v>
      </c>
      <c r="G433" s="3" t="str">
        <f t="shared" si="3"/>
        <v>PURNA2025-OTO3</v>
      </c>
      <c r="H433" s="3" t="str">
        <f>VLOOKUP($C433,Userpass!$A$2:$L$3001,12,FALSE)</f>
        <v>OTO3</v>
      </c>
      <c r="I433" s="5" t="s">
        <v>14</v>
      </c>
      <c r="J433" s="3">
        <v>2022.0</v>
      </c>
      <c r="K433" s="4" t="str">
        <f>VLOOKUP($C433,Userpass!$A$2:$R$3001,2,FALSE)</f>
        <v>oto20227691.alumni@smkn12malang.sch.id</v>
      </c>
    </row>
    <row r="434" hidden="1">
      <c r="A434" s="3" t="str">
        <f t="shared" si="1"/>
        <v>OK</v>
      </c>
      <c r="B434" s="3" t="str">
        <f t="shared" si="2"/>
        <v>OK</v>
      </c>
      <c r="C434" s="3">
        <v>7709.0</v>
      </c>
      <c r="D434" s="4" t="s">
        <v>876</v>
      </c>
      <c r="E434" s="3" t="s">
        <v>877</v>
      </c>
      <c r="F434" s="3" t="s">
        <v>17</v>
      </c>
      <c r="G434" s="3" t="str">
        <f t="shared" si="3"/>
        <v>PURNA2025-OTO3</v>
      </c>
      <c r="H434" s="3" t="str">
        <f>VLOOKUP($C434,Userpass!$A$2:$L$3001,12,FALSE)</f>
        <v>OTO3</v>
      </c>
      <c r="I434" s="5" t="s">
        <v>14</v>
      </c>
      <c r="J434" s="3">
        <v>2022.0</v>
      </c>
      <c r="K434" s="4" t="str">
        <f>VLOOKUP($C434,Userpass!$A$2:$R$3001,2,FALSE)</f>
        <v>oto20227709.alumni@smkn12malang.sch.id</v>
      </c>
    </row>
    <row r="435" hidden="1">
      <c r="A435" s="3" t="str">
        <f t="shared" si="1"/>
        <v>OK</v>
      </c>
      <c r="B435" s="3" t="str">
        <f t="shared" si="2"/>
        <v>OK</v>
      </c>
      <c r="C435" s="3">
        <v>7732.0</v>
      </c>
      <c r="D435" s="4" t="s">
        <v>878</v>
      </c>
      <c r="E435" s="3" t="s">
        <v>879</v>
      </c>
      <c r="F435" s="3" t="s">
        <v>17</v>
      </c>
      <c r="G435" s="3" t="str">
        <f t="shared" si="3"/>
        <v>PURNA2025-OTO3</v>
      </c>
      <c r="H435" s="3" t="str">
        <f>VLOOKUP($C435,Userpass!$A$2:$L$3001,12,FALSE)</f>
        <v>OTO3</v>
      </c>
      <c r="I435" s="5" t="s">
        <v>14</v>
      </c>
      <c r="J435" s="3">
        <v>2022.0</v>
      </c>
      <c r="K435" s="4" t="str">
        <f>VLOOKUP($C435,Userpass!$A$2:$R$3001,2,FALSE)</f>
        <v>oto20227732.alumni@smkn12malang.sch.id</v>
      </c>
    </row>
    <row r="436" hidden="1">
      <c r="A436" s="3" t="str">
        <f t="shared" si="1"/>
        <v>OK</v>
      </c>
      <c r="B436" s="3" t="str">
        <f t="shared" si="2"/>
        <v>OK</v>
      </c>
      <c r="C436" s="3">
        <v>7743.0</v>
      </c>
      <c r="D436" s="4" t="s">
        <v>880</v>
      </c>
      <c r="E436" s="3" t="s">
        <v>881</v>
      </c>
      <c r="F436" s="3" t="s">
        <v>17</v>
      </c>
      <c r="G436" s="3" t="str">
        <f t="shared" si="3"/>
        <v>PURNA2025-OTO3</v>
      </c>
      <c r="H436" s="3" t="str">
        <f>VLOOKUP($C436,Userpass!$A$2:$L$3001,12,FALSE)</f>
        <v>OTO3</v>
      </c>
      <c r="I436" s="5" t="s">
        <v>14</v>
      </c>
      <c r="J436" s="3">
        <v>2022.0</v>
      </c>
      <c r="K436" s="4" t="str">
        <f>VLOOKUP($C436,Userpass!$A$2:$R$3001,2,FALSE)</f>
        <v>oto20227743.alumni@smkn12malang.sch.id</v>
      </c>
    </row>
    <row r="437" hidden="1">
      <c r="A437" s="3" t="str">
        <f t="shared" si="1"/>
        <v>OK</v>
      </c>
      <c r="B437" s="3" t="str">
        <f t="shared" si="2"/>
        <v>OK</v>
      </c>
      <c r="C437" s="3">
        <v>7760.0</v>
      </c>
      <c r="D437" s="4" t="s">
        <v>882</v>
      </c>
      <c r="E437" s="3" t="s">
        <v>883</v>
      </c>
      <c r="F437" s="3" t="s">
        <v>17</v>
      </c>
      <c r="G437" s="3" t="str">
        <f t="shared" si="3"/>
        <v>PURNA2025-OTO3</v>
      </c>
      <c r="H437" s="3" t="str">
        <f>VLOOKUP($C437,Userpass!$A$2:$L$3001,12,FALSE)</f>
        <v>OTO3</v>
      </c>
      <c r="I437" s="5" t="s">
        <v>14</v>
      </c>
      <c r="J437" s="3">
        <v>2022.0</v>
      </c>
      <c r="K437" s="4" t="str">
        <f>VLOOKUP($C437,Userpass!$A$2:$R$3001,2,FALSE)</f>
        <v>oto20227760.alumni@smkn12malang.sch.id</v>
      </c>
    </row>
    <row r="438" hidden="1">
      <c r="A438" s="3" t="str">
        <f t="shared" si="1"/>
        <v>OK</v>
      </c>
      <c r="B438" s="3" t="str">
        <f t="shared" si="2"/>
        <v>OK</v>
      </c>
      <c r="C438" s="3">
        <v>7763.0</v>
      </c>
      <c r="D438" s="4" t="s">
        <v>884</v>
      </c>
      <c r="E438" s="3" t="s">
        <v>885</v>
      </c>
      <c r="F438" s="3" t="s">
        <v>17</v>
      </c>
      <c r="G438" s="3" t="str">
        <f t="shared" si="3"/>
        <v>PURNA2025-OTO3</v>
      </c>
      <c r="H438" s="3" t="str">
        <f>VLOOKUP($C438,Userpass!$A$2:$L$3001,12,FALSE)</f>
        <v>OTO3</v>
      </c>
      <c r="I438" s="5" t="s">
        <v>14</v>
      </c>
      <c r="J438" s="3">
        <v>2022.0</v>
      </c>
      <c r="K438" s="4" t="str">
        <f>VLOOKUP($C438,Userpass!$A$2:$R$3001,2,FALSE)</f>
        <v>oto20227763.alumni@smkn12malang.sch.id</v>
      </c>
    </row>
    <row r="439" hidden="1">
      <c r="A439" s="3" t="str">
        <f t="shared" si="1"/>
        <v>OK</v>
      </c>
      <c r="B439" s="3" t="str">
        <f t="shared" si="2"/>
        <v>OK</v>
      </c>
      <c r="C439" s="3">
        <v>7777.0</v>
      </c>
      <c r="D439" s="4" t="s">
        <v>886</v>
      </c>
      <c r="E439" s="3" t="s">
        <v>887</v>
      </c>
      <c r="F439" s="3" t="s">
        <v>17</v>
      </c>
      <c r="G439" s="3" t="str">
        <f t="shared" si="3"/>
        <v>PURNA2025-OTO3</v>
      </c>
      <c r="H439" s="3" t="str">
        <f>VLOOKUP($C439,Userpass!$A$2:$L$3001,12,FALSE)</f>
        <v>OTO3</v>
      </c>
      <c r="I439" s="5" t="s">
        <v>14</v>
      </c>
      <c r="J439" s="3">
        <v>2022.0</v>
      </c>
      <c r="K439" s="4" t="str">
        <f>VLOOKUP($C439,Userpass!$A$2:$R$3001,2,FALSE)</f>
        <v>oto20227777.alumni@smkn12malang.sch.id</v>
      </c>
    </row>
    <row r="440" hidden="1">
      <c r="A440" s="3" t="str">
        <f t="shared" si="1"/>
        <v>OK</v>
      </c>
      <c r="B440" s="3" t="str">
        <f t="shared" si="2"/>
        <v>OK</v>
      </c>
      <c r="C440" s="3">
        <v>7784.0</v>
      </c>
      <c r="D440" s="4" t="s">
        <v>888</v>
      </c>
      <c r="E440" s="3" t="s">
        <v>889</v>
      </c>
      <c r="F440" s="3" t="s">
        <v>17</v>
      </c>
      <c r="G440" s="3" t="str">
        <f t="shared" si="3"/>
        <v>PURNA2025-OTO3</v>
      </c>
      <c r="H440" s="3" t="str">
        <f>VLOOKUP($C440,Userpass!$A$2:$L$3001,12,FALSE)</f>
        <v>OTO3</v>
      </c>
      <c r="I440" s="5" t="s">
        <v>14</v>
      </c>
      <c r="J440" s="3">
        <v>2022.0</v>
      </c>
      <c r="K440" s="4" t="str">
        <f>VLOOKUP($C440,Userpass!$A$2:$R$3001,2,FALSE)</f>
        <v>oto20227784.alumni@smkn12malang.sch.id</v>
      </c>
    </row>
    <row r="441" hidden="1">
      <c r="A441" s="3" t="str">
        <f t="shared" si="1"/>
        <v>OK</v>
      </c>
      <c r="B441" s="3" t="str">
        <f t="shared" si="2"/>
        <v>OK</v>
      </c>
      <c r="C441" s="3">
        <v>7794.0</v>
      </c>
      <c r="D441" s="4" t="s">
        <v>890</v>
      </c>
      <c r="E441" s="3" t="s">
        <v>891</v>
      </c>
      <c r="F441" s="3" t="s">
        <v>17</v>
      </c>
      <c r="G441" s="3" t="str">
        <f t="shared" si="3"/>
        <v>PURNA2025-OTO3</v>
      </c>
      <c r="H441" s="3" t="str">
        <f>VLOOKUP($C441,Userpass!$A$2:$L$3001,12,FALSE)</f>
        <v>OTO3</v>
      </c>
      <c r="I441" s="5" t="s">
        <v>14</v>
      </c>
      <c r="J441" s="3">
        <v>2022.0</v>
      </c>
      <c r="K441" s="4" t="str">
        <f>VLOOKUP($C441,Userpass!$A$2:$R$3001,2,FALSE)</f>
        <v>oto20227794.alumni@smkn12malang.sch.id</v>
      </c>
    </row>
    <row r="442" hidden="1">
      <c r="A442" s="3" t="str">
        <f t="shared" si="1"/>
        <v>OK</v>
      </c>
      <c r="B442" s="3" t="str">
        <f t="shared" si="2"/>
        <v>OK</v>
      </c>
      <c r="C442" s="3">
        <v>7797.0</v>
      </c>
      <c r="D442" s="4" t="s">
        <v>892</v>
      </c>
      <c r="E442" s="3" t="s">
        <v>893</v>
      </c>
      <c r="F442" s="3" t="s">
        <v>17</v>
      </c>
      <c r="G442" s="3" t="str">
        <f t="shared" si="3"/>
        <v>PURNA2025-OTO3</v>
      </c>
      <c r="H442" s="3" t="str">
        <f>VLOOKUP($C442,Userpass!$A$2:$L$3001,12,FALSE)</f>
        <v>OTO3</v>
      </c>
      <c r="I442" s="5" t="s">
        <v>14</v>
      </c>
      <c r="J442" s="3">
        <v>2022.0</v>
      </c>
      <c r="K442" s="4" t="str">
        <f>VLOOKUP($C442,Userpass!$A$2:$R$3001,2,FALSE)</f>
        <v>oto20227797.alumni@smkn12malang.sch.id</v>
      </c>
    </row>
    <row r="443" hidden="1">
      <c r="A443" s="3" t="str">
        <f t="shared" si="1"/>
        <v>OK</v>
      </c>
      <c r="B443" s="3" t="str">
        <f t="shared" si="2"/>
        <v>OK</v>
      </c>
      <c r="C443" s="3">
        <v>7870.0</v>
      </c>
      <c r="D443" s="4" t="s">
        <v>894</v>
      </c>
      <c r="E443" s="3" t="s">
        <v>895</v>
      </c>
      <c r="F443" s="3" t="s">
        <v>17</v>
      </c>
      <c r="G443" s="3" t="str">
        <f t="shared" si="3"/>
        <v>PURNA2025-OTO3</v>
      </c>
      <c r="H443" s="3" t="str">
        <f>VLOOKUP($C443,Userpass!$A$2:$L$3001,12,FALSE)</f>
        <v>OTO3</v>
      </c>
      <c r="I443" s="5" t="s">
        <v>14</v>
      </c>
      <c r="J443" s="3">
        <v>2022.0</v>
      </c>
      <c r="K443" s="4" t="str">
        <f>VLOOKUP($C443,Userpass!$A$2:$R$3001,2,FALSE)</f>
        <v>oto20227870.alumni@smkn12malang.sch.id</v>
      </c>
    </row>
    <row r="444" hidden="1">
      <c r="A444" s="3" t="str">
        <f t="shared" si="1"/>
        <v>OK</v>
      </c>
      <c r="B444" s="3" t="str">
        <f t="shared" si="2"/>
        <v>OK</v>
      </c>
      <c r="C444" s="3">
        <v>7886.0</v>
      </c>
      <c r="D444" s="4" t="s">
        <v>896</v>
      </c>
      <c r="E444" s="3" t="s">
        <v>897</v>
      </c>
      <c r="F444" s="3" t="s">
        <v>17</v>
      </c>
      <c r="G444" s="3" t="str">
        <f t="shared" si="3"/>
        <v>PURNA2025-OTO3</v>
      </c>
      <c r="H444" s="3" t="str">
        <f>VLOOKUP($C444,Userpass!$A$2:$L$3001,12,FALSE)</f>
        <v>OTO3</v>
      </c>
      <c r="I444" s="5" t="s">
        <v>14</v>
      </c>
      <c r="J444" s="3">
        <v>2022.0</v>
      </c>
      <c r="K444" s="4" t="str">
        <f>VLOOKUP($C444,Userpass!$A$2:$R$3001,2,FALSE)</f>
        <v>oto20227886.alumni@smkn12malang.sch.id</v>
      </c>
    </row>
    <row r="445" hidden="1">
      <c r="A445" s="3" t="str">
        <f t="shared" si="1"/>
        <v>OK</v>
      </c>
      <c r="B445" s="3" t="str">
        <f t="shared" si="2"/>
        <v>OK</v>
      </c>
      <c r="C445" s="3">
        <v>7906.0</v>
      </c>
      <c r="D445" s="4" t="s">
        <v>898</v>
      </c>
      <c r="E445" s="3" t="s">
        <v>899</v>
      </c>
      <c r="F445" s="3" t="s">
        <v>17</v>
      </c>
      <c r="G445" s="3" t="str">
        <f t="shared" si="3"/>
        <v>PURNA2025-OTO3</v>
      </c>
      <c r="H445" s="3" t="str">
        <f>VLOOKUP($C445,Userpass!$A$2:$L$3001,12,FALSE)</f>
        <v>OTO3</v>
      </c>
      <c r="I445" s="5" t="s">
        <v>14</v>
      </c>
      <c r="J445" s="3">
        <v>2022.0</v>
      </c>
      <c r="K445" s="4" t="str">
        <f>VLOOKUP($C445,Userpass!$A$2:$R$3001,2,FALSE)</f>
        <v>oto20227906.alumni@smkn12malang.sch.id</v>
      </c>
    </row>
    <row r="446" hidden="1">
      <c r="A446" s="3" t="str">
        <f t="shared" si="1"/>
        <v>OK</v>
      </c>
      <c r="B446" s="3" t="str">
        <f t="shared" si="2"/>
        <v>OK</v>
      </c>
      <c r="C446" s="3">
        <v>7924.0</v>
      </c>
      <c r="D446" s="4" t="s">
        <v>900</v>
      </c>
      <c r="E446" s="3" t="s">
        <v>901</v>
      </c>
      <c r="F446" s="3" t="s">
        <v>17</v>
      </c>
      <c r="G446" s="3" t="str">
        <f t="shared" si="3"/>
        <v>PURNA2025-OTO3</v>
      </c>
      <c r="H446" s="3" t="str">
        <f>VLOOKUP($C446,Userpass!$A$2:$L$3001,12,FALSE)</f>
        <v>OTO3</v>
      </c>
      <c r="I446" s="5" t="s">
        <v>14</v>
      </c>
      <c r="J446" s="3">
        <v>2022.0</v>
      </c>
      <c r="K446" s="4" t="str">
        <f>VLOOKUP($C446,Userpass!$A$2:$R$3001,2,FALSE)</f>
        <v>oto20227924.alumni@smkn12malang.sch.id</v>
      </c>
    </row>
    <row r="447" hidden="1">
      <c r="A447" s="3" t="str">
        <f t="shared" si="1"/>
        <v>OK</v>
      </c>
      <c r="B447" s="3" t="str">
        <f t="shared" si="2"/>
        <v>OK</v>
      </c>
      <c r="C447" s="3">
        <v>7961.0</v>
      </c>
      <c r="D447" s="4" t="s">
        <v>902</v>
      </c>
      <c r="E447" s="3" t="s">
        <v>903</v>
      </c>
      <c r="F447" s="3" t="s">
        <v>17</v>
      </c>
      <c r="G447" s="3" t="str">
        <f t="shared" si="3"/>
        <v>PURNA2025-OTO3</v>
      </c>
      <c r="H447" s="3" t="str">
        <f>VLOOKUP($C447,Userpass!$A$2:$L$3001,12,FALSE)</f>
        <v>OTO3</v>
      </c>
      <c r="I447" s="5" t="s">
        <v>14</v>
      </c>
      <c r="J447" s="3">
        <v>2022.0</v>
      </c>
      <c r="K447" s="4" t="str">
        <f>VLOOKUP($C447,Userpass!$A$2:$R$3001,2,FALSE)</f>
        <v>oto20227961.alumni@smkn12malang.sch.id</v>
      </c>
    </row>
    <row r="448" hidden="1">
      <c r="A448" s="3" t="str">
        <f t="shared" si="1"/>
        <v>OK</v>
      </c>
      <c r="B448" s="3" t="str">
        <f t="shared" si="2"/>
        <v>OK</v>
      </c>
      <c r="C448" s="3">
        <v>7981.0</v>
      </c>
      <c r="D448" s="4" t="s">
        <v>904</v>
      </c>
      <c r="E448" s="3" t="s">
        <v>905</v>
      </c>
      <c r="F448" s="3" t="s">
        <v>17</v>
      </c>
      <c r="G448" s="3" t="str">
        <f t="shared" si="3"/>
        <v>PURNA2025-OTO3</v>
      </c>
      <c r="H448" s="3" t="str">
        <f>VLOOKUP($C448,Userpass!$A$2:$L$3001,12,FALSE)</f>
        <v>OTO3</v>
      </c>
      <c r="I448" s="5" t="s">
        <v>14</v>
      </c>
      <c r="J448" s="3">
        <v>2022.0</v>
      </c>
      <c r="K448" s="4" t="str">
        <f>VLOOKUP($C448,Userpass!$A$2:$R$3001,2,FALSE)</f>
        <v>oto20227981.alumni@smkn12malang.sch.id</v>
      </c>
    </row>
    <row r="449" hidden="1">
      <c r="A449" s="3" t="str">
        <f t="shared" si="1"/>
        <v>OK</v>
      </c>
      <c r="B449" s="3" t="str">
        <f t="shared" si="2"/>
        <v>OK</v>
      </c>
      <c r="C449" s="3">
        <v>7994.0</v>
      </c>
      <c r="D449" s="4" t="s">
        <v>906</v>
      </c>
      <c r="E449" s="3" t="s">
        <v>907</v>
      </c>
      <c r="F449" s="3" t="s">
        <v>17</v>
      </c>
      <c r="G449" s="3" t="str">
        <f t="shared" si="3"/>
        <v>PURNA2025-OTO3</v>
      </c>
      <c r="H449" s="3" t="str">
        <f>VLOOKUP($C449,Userpass!$A$2:$L$3001,12,FALSE)</f>
        <v>OTO3</v>
      </c>
      <c r="I449" s="5" t="s">
        <v>14</v>
      </c>
      <c r="J449" s="3">
        <v>2022.0</v>
      </c>
      <c r="K449" s="4" t="str">
        <f>VLOOKUP($C449,Userpass!$A$2:$R$3001,2,FALSE)</f>
        <v>oto20227994.alumni@smkn12malang.sch.id</v>
      </c>
    </row>
    <row r="450" hidden="1">
      <c r="A450" s="3" t="str">
        <f t="shared" si="1"/>
        <v>OK</v>
      </c>
      <c r="B450" s="3" t="str">
        <f t="shared" si="2"/>
        <v>OK</v>
      </c>
      <c r="C450" s="3">
        <v>6799.0</v>
      </c>
      <c r="D450" s="4" t="s">
        <v>908</v>
      </c>
      <c r="E450" s="3" t="s">
        <v>909</v>
      </c>
      <c r="F450" s="3" t="s">
        <v>17</v>
      </c>
      <c r="G450" s="3" t="str">
        <f t="shared" si="3"/>
        <v>PURNA2025-OTO4</v>
      </c>
      <c r="H450" s="3" t="str">
        <f>VLOOKUP($C450,Userpass!$A$2:$L$3001,12,FALSE)</f>
        <v>OTO4</v>
      </c>
      <c r="I450" s="5" t="s">
        <v>14</v>
      </c>
      <c r="J450" s="3">
        <v>2021.0</v>
      </c>
      <c r="K450" s="4" t="str">
        <f>VLOOKUP($C450,Userpass!$A$2:$R$3001,2,FALSE)</f>
        <v>oto20216799.alumni@smkn12malang.sch.id</v>
      </c>
    </row>
    <row r="451" hidden="1">
      <c r="A451" s="3" t="str">
        <f t="shared" si="1"/>
        <v>OK</v>
      </c>
      <c r="B451" s="3" t="str">
        <f t="shared" si="2"/>
        <v>OK</v>
      </c>
      <c r="C451" s="3">
        <v>7301.0</v>
      </c>
      <c r="D451" s="4" t="s">
        <v>910</v>
      </c>
      <c r="E451" s="3" t="s">
        <v>911</v>
      </c>
      <c r="F451" s="3" t="s">
        <v>17</v>
      </c>
      <c r="G451" s="3" t="str">
        <f t="shared" si="3"/>
        <v>PURNA2025-OTO4</v>
      </c>
      <c r="H451" s="3" t="str">
        <f>VLOOKUP($C451,Userpass!$A$2:$L$3001,12,FALSE)</f>
        <v>OTO4</v>
      </c>
      <c r="I451" s="5" t="s">
        <v>14</v>
      </c>
      <c r="J451" s="3">
        <v>2021.0</v>
      </c>
      <c r="K451" s="4" t="str">
        <f>VLOOKUP($C451,Userpass!$A$2:$R$3001,2,FALSE)</f>
        <v>oto20217301.alumni@smkn12malang.sch.id</v>
      </c>
    </row>
    <row r="452" hidden="1">
      <c r="A452" s="3" t="str">
        <f t="shared" si="1"/>
        <v>OK</v>
      </c>
      <c r="B452" s="3" t="str">
        <f t="shared" si="2"/>
        <v>OK</v>
      </c>
      <c r="C452" s="3">
        <v>7415.0</v>
      </c>
      <c r="D452" s="4" t="s">
        <v>912</v>
      </c>
      <c r="E452" s="3" t="s">
        <v>913</v>
      </c>
      <c r="F452" s="3" t="s">
        <v>17</v>
      </c>
      <c r="G452" s="3" t="str">
        <f t="shared" si="3"/>
        <v>PURNA2025-OTO4</v>
      </c>
      <c r="H452" s="3" t="str">
        <f>VLOOKUP($C452,Userpass!$A$2:$L$3001,12,FALSE)</f>
        <v>OTO4</v>
      </c>
      <c r="I452" s="5" t="s">
        <v>14</v>
      </c>
      <c r="J452" s="3">
        <v>2022.0</v>
      </c>
      <c r="K452" s="4" t="str">
        <f>VLOOKUP($C452,Userpass!$A$2:$R$3001,2,FALSE)</f>
        <v>oto20227415.alumni@smkn12malang.sch.id</v>
      </c>
    </row>
    <row r="453" hidden="1">
      <c r="A453" s="3" t="str">
        <f t="shared" si="1"/>
        <v>OK</v>
      </c>
      <c r="B453" s="3" t="str">
        <f t="shared" si="2"/>
        <v>OK</v>
      </c>
      <c r="C453" s="3">
        <v>7428.0</v>
      </c>
      <c r="D453" s="4" t="s">
        <v>914</v>
      </c>
      <c r="E453" s="3" t="s">
        <v>915</v>
      </c>
      <c r="F453" s="3" t="s">
        <v>17</v>
      </c>
      <c r="G453" s="3" t="str">
        <f t="shared" si="3"/>
        <v>PURNA2025-OTO4</v>
      </c>
      <c r="H453" s="3" t="str">
        <f>VLOOKUP($C453,Userpass!$A$2:$L$3001,12,FALSE)</f>
        <v>OTO4</v>
      </c>
      <c r="I453" s="5" t="s">
        <v>14</v>
      </c>
      <c r="J453" s="3">
        <v>2022.0</v>
      </c>
      <c r="K453" s="4" t="str">
        <f>VLOOKUP($C453,Userpass!$A$2:$R$3001,2,FALSE)</f>
        <v>oto20227428.alumni@smkn12malang.sch.id</v>
      </c>
    </row>
    <row r="454" hidden="1">
      <c r="A454" s="3" t="str">
        <f t="shared" si="1"/>
        <v>OK</v>
      </c>
      <c r="B454" s="3" t="str">
        <f t="shared" si="2"/>
        <v>OK</v>
      </c>
      <c r="C454" s="3">
        <v>7430.0</v>
      </c>
      <c r="D454" s="4" t="s">
        <v>916</v>
      </c>
      <c r="E454" s="3" t="s">
        <v>917</v>
      </c>
      <c r="F454" s="3" t="s">
        <v>17</v>
      </c>
      <c r="G454" s="3" t="str">
        <f t="shared" si="3"/>
        <v>PURNA2025-OTO4</v>
      </c>
      <c r="H454" s="3" t="str">
        <f>VLOOKUP($C454,Userpass!$A$2:$L$3001,12,FALSE)</f>
        <v>OTO4</v>
      </c>
      <c r="I454" s="5" t="s">
        <v>14</v>
      </c>
      <c r="J454" s="3">
        <v>2022.0</v>
      </c>
      <c r="K454" s="4" t="str">
        <f>VLOOKUP($C454,Userpass!$A$2:$R$3001,2,FALSE)</f>
        <v>oto20227430.alumni@smkn12malang.sch.id</v>
      </c>
    </row>
    <row r="455" hidden="1">
      <c r="A455" s="3" t="str">
        <f t="shared" si="1"/>
        <v>OK</v>
      </c>
      <c r="B455" s="3" t="str">
        <f t="shared" si="2"/>
        <v>OK</v>
      </c>
      <c r="C455" s="3">
        <v>7445.0</v>
      </c>
      <c r="D455" s="4" t="s">
        <v>918</v>
      </c>
      <c r="E455" s="3" t="s">
        <v>919</v>
      </c>
      <c r="F455" s="3" t="s">
        <v>17</v>
      </c>
      <c r="G455" s="3" t="str">
        <f t="shared" si="3"/>
        <v>PURNA2025-OTO4</v>
      </c>
      <c r="H455" s="3" t="str">
        <f>VLOOKUP($C455,Userpass!$A$2:$L$3001,12,FALSE)</f>
        <v>OTO4</v>
      </c>
      <c r="I455" s="5" t="s">
        <v>14</v>
      </c>
      <c r="J455" s="3">
        <v>2022.0</v>
      </c>
      <c r="K455" s="4" t="str">
        <f>VLOOKUP($C455,Userpass!$A$2:$R$3001,2,FALSE)</f>
        <v>oto20227445.alumni@smkn12malang.sch.id</v>
      </c>
    </row>
    <row r="456" hidden="1">
      <c r="A456" s="3" t="str">
        <f t="shared" si="1"/>
        <v>OK</v>
      </c>
      <c r="B456" s="3" t="str">
        <f t="shared" si="2"/>
        <v>OK</v>
      </c>
      <c r="C456" s="3">
        <v>7448.0</v>
      </c>
      <c r="D456" s="4" t="s">
        <v>920</v>
      </c>
      <c r="E456" s="3" t="s">
        <v>921</v>
      </c>
      <c r="F456" s="3" t="s">
        <v>13</v>
      </c>
      <c r="G456" s="3" t="str">
        <f t="shared" si="3"/>
        <v>PURNA2025-OTO4</v>
      </c>
      <c r="H456" s="3" t="str">
        <f>VLOOKUP($C456,Userpass!$A$2:$L$3001,12,FALSE)</f>
        <v>OTO4</v>
      </c>
      <c r="I456" s="5" t="s">
        <v>14</v>
      </c>
      <c r="J456" s="3">
        <v>2022.0</v>
      </c>
      <c r="K456" s="4" t="str">
        <f>VLOOKUP($C456,Userpass!$A$2:$R$3001,2,FALSE)</f>
        <v>oto20227448.alumni@smkn12malang.sch.id</v>
      </c>
    </row>
    <row r="457" hidden="1">
      <c r="A457" s="3" t="str">
        <f t="shared" si="1"/>
        <v>OK</v>
      </c>
      <c r="B457" s="3" t="str">
        <f t="shared" si="2"/>
        <v>OK</v>
      </c>
      <c r="C457" s="3">
        <v>7488.0</v>
      </c>
      <c r="D457" s="4" t="s">
        <v>922</v>
      </c>
      <c r="E457" s="3" t="s">
        <v>923</v>
      </c>
      <c r="F457" s="3" t="s">
        <v>17</v>
      </c>
      <c r="G457" s="3" t="str">
        <f t="shared" si="3"/>
        <v>PURNA2025-OTO4</v>
      </c>
      <c r="H457" s="3" t="str">
        <f>VLOOKUP($C457,Userpass!$A$2:$L$3001,12,FALSE)</f>
        <v>OTO4</v>
      </c>
      <c r="I457" s="5" t="s">
        <v>14</v>
      </c>
      <c r="J457" s="3">
        <v>2022.0</v>
      </c>
      <c r="K457" s="4" t="str">
        <f>VLOOKUP($C457,Userpass!$A$2:$R$3001,2,FALSE)</f>
        <v>oto20227488.alumni@smkn12malang.sch.id</v>
      </c>
    </row>
    <row r="458" hidden="1">
      <c r="A458" s="3" t="str">
        <f t="shared" si="1"/>
        <v>OK</v>
      </c>
      <c r="B458" s="3" t="str">
        <f t="shared" si="2"/>
        <v>OK</v>
      </c>
      <c r="C458" s="3">
        <v>7515.0</v>
      </c>
      <c r="D458" s="4" t="s">
        <v>924</v>
      </c>
      <c r="E458" s="3" t="s">
        <v>925</v>
      </c>
      <c r="F458" s="3" t="s">
        <v>17</v>
      </c>
      <c r="G458" s="3" t="str">
        <f t="shared" si="3"/>
        <v>PURNA2025-OTO4</v>
      </c>
      <c r="H458" s="3" t="str">
        <f>VLOOKUP($C458,Userpass!$A$2:$L$3001,12,FALSE)</f>
        <v>OTO4</v>
      </c>
      <c r="I458" s="5" t="s">
        <v>14</v>
      </c>
      <c r="J458" s="3">
        <v>2022.0</v>
      </c>
      <c r="K458" s="4" t="str">
        <f>VLOOKUP($C458,Userpass!$A$2:$R$3001,2,FALSE)</f>
        <v>oto20227515.alumni@smkn12malang.sch.id</v>
      </c>
    </row>
    <row r="459" hidden="1">
      <c r="A459" s="3" t="str">
        <f t="shared" si="1"/>
        <v>OK</v>
      </c>
      <c r="B459" s="3" t="str">
        <f t="shared" si="2"/>
        <v>OK</v>
      </c>
      <c r="C459" s="3">
        <v>7556.0</v>
      </c>
      <c r="D459" s="4" t="s">
        <v>926</v>
      </c>
      <c r="E459" s="3" t="s">
        <v>927</v>
      </c>
      <c r="F459" s="3" t="s">
        <v>17</v>
      </c>
      <c r="G459" s="3" t="str">
        <f t="shared" si="3"/>
        <v>PURNA2025-OTO4</v>
      </c>
      <c r="H459" s="3" t="str">
        <f>VLOOKUP($C459,Userpass!$A$2:$L$3001,12,FALSE)</f>
        <v>OTO4</v>
      </c>
      <c r="I459" s="5" t="s">
        <v>14</v>
      </c>
      <c r="J459" s="3">
        <v>2022.0</v>
      </c>
      <c r="K459" s="4" t="str">
        <f>VLOOKUP($C459,Userpass!$A$2:$R$3001,2,FALSE)</f>
        <v>oto20227556.alumni@smkn12malang.sch.id</v>
      </c>
    </row>
    <row r="460" hidden="1">
      <c r="A460" s="3" t="str">
        <f t="shared" si="1"/>
        <v>OK</v>
      </c>
      <c r="B460" s="3" t="str">
        <f t="shared" si="2"/>
        <v>OK</v>
      </c>
      <c r="C460" s="3">
        <v>7603.0</v>
      </c>
      <c r="D460" s="4" t="s">
        <v>928</v>
      </c>
      <c r="E460" s="3" t="s">
        <v>929</v>
      </c>
      <c r="F460" s="3" t="s">
        <v>17</v>
      </c>
      <c r="G460" s="3" t="str">
        <f t="shared" si="3"/>
        <v>PURNA2025-OTO4</v>
      </c>
      <c r="H460" s="3" t="str">
        <f>VLOOKUP($C460,Userpass!$A$2:$L$3001,12,FALSE)</f>
        <v>OTO4</v>
      </c>
      <c r="I460" s="5" t="s">
        <v>14</v>
      </c>
      <c r="J460" s="3">
        <v>2022.0</v>
      </c>
      <c r="K460" s="4" t="str">
        <f>VLOOKUP($C460,Userpass!$A$2:$R$3001,2,FALSE)</f>
        <v>oto20227603.alumni@smkn12malang.sch.id</v>
      </c>
    </row>
    <row r="461" hidden="1">
      <c r="A461" s="3" t="str">
        <f t="shared" si="1"/>
        <v>OK</v>
      </c>
      <c r="B461" s="3" t="str">
        <f t="shared" si="2"/>
        <v>OK</v>
      </c>
      <c r="C461" s="3">
        <v>7620.0</v>
      </c>
      <c r="D461" s="4" t="s">
        <v>930</v>
      </c>
      <c r="E461" s="3" t="s">
        <v>931</v>
      </c>
      <c r="F461" s="3" t="s">
        <v>17</v>
      </c>
      <c r="G461" s="3" t="str">
        <f t="shared" si="3"/>
        <v>PURNA2025-OTO4</v>
      </c>
      <c r="H461" s="3" t="str">
        <f>VLOOKUP($C461,Userpass!$A$2:$L$3001,12,FALSE)</f>
        <v>OTO4</v>
      </c>
      <c r="I461" s="5" t="s">
        <v>14</v>
      </c>
      <c r="J461" s="3">
        <v>2022.0</v>
      </c>
      <c r="K461" s="4" t="str">
        <f>VLOOKUP($C461,Userpass!$A$2:$R$3001,2,FALSE)</f>
        <v>oto20227620.alumni@smkn12malang.sch.id</v>
      </c>
    </row>
    <row r="462" hidden="1">
      <c r="A462" s="3" t="str">
        <f t="shared" si="1"/>
        <v>OK</v>
      </c>
      <c r="B462" s="3" t="str">
        <f t="shared" si="2"/>
        <v>OK</v>
      </c>
      <c r="C462" s="3">
        <v>7643.0</v>
      </c>
      <c r="D462" s="4" t="s">
        <v>932</v>
      </c>
      <c r="E462" s="3" t="s">
        <v>933</v>
      </c>
      <c r="F462" s="3" t="s">
        <v>17</v>
      </c>
      <c r="G462" s="3" t="str">
        <f t="shared" si="3"/>
        <v>PURNA2025-OTO4</v>
      </c>
      <c r="H462" s="3" t="str">
        <f>VLOOKUP($C462,Userpass!$A$2:$L$3001,12,FALSE)</f>
        <v>OTO4</v>
      </c>
      <c r="I462" s="5" t="s">
        <v>14</v>
      </c>
      <c r="J462" s="3">
        <v>2022.0</v>
      </c>
      <c r="K462" s="4" t="str">
        <f>VLOOKUP($C462,Userpass!$A$2:$R$3001,2,FALSE)</f>
        <v>oto20227643.alumni@smkn12malang.sch.id</v>
      </c>
    </row>
    <row r="463" hidden="1">
      <c r="A463" s="3" t="str">
        <f t="shared" si="1"/>
        <v>OK</v>
      </c>
      <c r="B463" s="3" t="str">
        <f t="shared" si="2"/>
        <v>OK</v>
      </c>
      <c r="C463" s="3">
        <v>7657.0</v>
      </c>
      <c r="D463" s="4" t="s">
        <v>934</v>
      </c>
      <c r="E463" s="3" t="s">
        <v>935</v>
      </c>
      <c r="F463" s="3" t="s">
        <v>17</v>
      </c>
      <c r="G463" s="3" t="str">
        <f t="shared" si="3"/>
        <v>PURNA2025-OTO4</v>
      </c>
      <c r="H463" s="3" t="str">
        <f>VLOOKUP($C463,Userpass!$A$2:$L$3001,12,FALSE)</f>
        <v>OTO4</v>
      </c>
      <c r="I463" s="5" t="s">
        <v>14</v>
      </c>
      <c r="J463" s="3">
        <v>2022.0</v>
      </c>
      <c r="K463" s="4" t="str">
        <f>VLOOKUP($C463,Userpass!$A$2:$R$3001,2,FALSE)</f>
        <v>oto20227657.alumni@smkn12malang.sch.id</v>
      </c>
    </row>
    <row r="464" hidden="1">
      <c r="A464" s="3" t="str">
        <f t="shared" si="1"/>
        <v>OK</v>
      </c>
      <c r="B464" s="3" t="str">
        <f t="shared" si="2"/>
        <v>OK</v>
      </c>
      <c r="C464" s="3">
        <v>7680.0</v>
      </c>
      <c r="D464" s="4" t="s">
        <v>936</v>
      </c>
      <c r="E464" s="3" t="s">
        <v>937</v>
      </c>
      <c r="F464" s="3" t="s">
        <v>17</v>
      </c>
      <c r="G464" s="3" t="str">
        <f t="shared" si="3"/>
        <v>PURNA2025-OTO4</v>
      </c>
      <c r="H464" s="3" t="str">
        <f>VLOOKUP($C464,Userpass!$A$2:$L$3001,12,FALSE)</f>
        <v>OTO4</v>
      </c>
      <c r="I464" s="5" t="s">
        <v>14</v>
      </c>
      <c r="J464" s="3">
        <v>2022.0</v>
      </c>
      <c r="K464" s="4" t="str">
        <f>VLOOKUP($C464,Userpass!$A$2:$R$3001,2,FALSE)</f>
        <v>oto20227680.alumni@smkn12malang.sch.id</v>
      </c>
    </row>
    <row r="465" hidden="1">
      <c r="A465" s="3" t="str">
        <f t="shared" si="1"/>
        <v>OK</v>
      </c>
      <c r="B465" s="3" t="str">
        <f t="shared" si="2"/>
        <v>OK</v>
      </c>
      <c r="C465" s="3">
        <v>7702.0</v>
      </c>
      <c r="D465" s="4" t="s">
        <v>938</v>
      </c>
      <c r="E465" s="3" t="s">
        <v>939</v>
      </c>
      <c r="F465" s="3" t="s">
        <v>17</v>
      </c>
      <c r="G465" s="3" t="str">
        <f t="shared" si="3"/>
        <v>PURNA2025-OTO4</v>
      </c>
      <c r="H465" s="3" t="str">
        <f>VLOOKUP($C465,Userpass!$A$2:$L$3001,12,FALSE)</f>
        <v>OTO4</v>
      </c>
      <c r="I465" s="5" t="s">
        <v>14</v>
      </c>
      <c r="J465" s="3">
        <v>2022.0</v>
      </c>
      <c r="K465" s="4" t="str">
        <f>VLOOKUP($C465,Userpass!$A$2:$R$3001,2,FALSE)</f>
        <v>oto20227702.alumni@smkn12malang.sch.id</v>
      </c>
    </row>
    <row r="466" hidden="1">
      <c r="A466" s="3" t="str">
        <f t="shared" si="1"/>
        <v>OK</v>
      </c>
      <c r="B466" s="3" t="str">
        <f t="shared" si="2"/>
        <v>OK</v>
      </c>
      <c r="C466" s="3">
        <v>7735.0</v>
      </c>
      <c r="D466" s="4" t="s">
        <v>940</v>
      </c>
      <c r="E466" s="3" t="s">
        <v>941</v>
      </c>
      <c r="F466" s="3" t="s">
        <v>13</v>
      </c>
      <c r="G466" s="3" t="str">
        <f t="shared" si="3"/>
        <v>PURNA2025-OTO4</v>
      </c>
      <c r="H466" s="3" t="str">
        <f>VLOOKUP($C466,Userpass!$A$2:$L$3001,12,FALSE)</f>
        <v>OTO4</v>
      </c>
      <c r="I466" s="5" t="s">
        <v>14</v>
      </c>
      <c r="J466" s="3">
        <v>2022.0</v>
      </c>
      <c r="K466" s="4" t="str">
        <f>VLOOKUP($C466,Userpass!$A$2:$R$3001,2,FALSE)</f>
        <v>oto20227735.alumni@smkn12malang.sch.id</v>
      </c>
    </row>
    <row r="467" hidden="1">
      <c r="A467" s="3" t="str">
        <f t="shared" si="1"/>
        <v>OK</v>
      </c>
      <c r="B467" s="3" t="str">
        <f t="shared" si="2"/>
        <v>OK</v>
      </c>
      <c r="C467" s="3">
        <v>7758.0</v>
      </c>
      <c r="D467" s="4" t="s">
        <v>942</v>
      </c>
      <c r="E467" s="3" t="s">
        <v>943</v>
      </c>
      <c r="F467" s="3" t="s">
        <v>17</v>
      </c>
      <c r="G467" s="3" t="str">
        <f t="shared" si="3"/>
        <v>PURNA2025-OTO4</v>
      </c>
      <c r="H467" s="3" t="str">
        <f>VLOOKUP($C467,Userpass!$A$2:$L$3001,12,FALSE)</f>
        <v>OTO4</v>
      </c>
      <c r="I467" s="5" t="s">
        <v>14</v>
      </c>
      <c r="J467" s="3">
        <v>2022.0</v>
      </c>
      <c r="K467" s="4" t="str">
        <f>VLOOKUP($C467,Userpass!$A$2:$R$3001,2,FALSE)</f>
        <v>oto20227758.alumni@smkn12malang.sch.id</v>
      </c>
    </row>
    <row r="468" hidden="1">
      <c r="A468" s="3" t="str">
        <f t="shared" si="1"/>
        <v>OK</v>
      </c>
      <c r="B468" s="3" t="str">
        <f t="shared" si="2"/>
        <v>OK</v>
      </c>
      <c r="C468" s="3">
        <v>7773.0</v>
      </c>
      <c r="D468" s="4" t="s">
        <v>944</v>
      </c>
      <c r="E468" s="3" t="s">
        <v>945</v>
      </c>
      <c r="F468" s="3" t="s">
        <v>17</v>
      </c>
      <c r="G468" s="3" t="str">
        <f t="shared" si="3"/>
        <v>PURNA2025-OTO4</v>
      </c>
      <c r="H468" s="3" t="str">
        <f>VLOOKUP($C468,Userpass!$A$2:$L$3001,12,FALSE)</f>
        <v>OTO4</v>
      </c>
      <c r="I468" s="5" t="s">
        <v>14</v>
      </c>
      <c r="J468" s="3">
        <v>2022.0</v>
      </c>
      <c r="K468" s="4" t="str">
        <f>VLOOKUP($C468,Userpass!$A$2:$R$3001,2,FALSE)</f>
        <v>oto20227773.alumni@smkn12malang.sch.id</v>
      </c>
    </row>
    <row r="469" hidden="1">
      <c r="A469" s="3" t="str">
        <f t="shared" si="1"/>
        <v>OK</v>
      </c>
      <c r="B469" s="3" t="str">
        <f t="shared" si="2"/>
        <v>OK</v>
      </c>
      <c r="C469" s="3">
        <v>7791.0</v>
      </c>
      <c r="D469" s="4" t="s">
        <v>946</v>
      </c>
      <c r="E469" s="3" t="s">
        <v>947</v>
      </c>
      <c r="F469" s="3" t="s">
        <v>17</v>
      </c>
      <c r="G469" s="3" t="str">
        <f t="shared" si="3"/>
        <v>PURNA2025-OTO4</v>
      </c>
      <c r="H469" s="3" t="str">
        <f>VLOOKUP($C469,Userpass!$A$2:$L$3001,12,FALSE)</f>
        <v>OTO4</v>
      </c>
      <c r="I469" s="5" t="s">
        <v>14</v>
      </c>
      <c r="J469" s="3">
        <v>2022.0</v>
      </c>
      <c r="K469" s="4" t="str">
        <f>VLOOKUP($C469,Userpass!$A$2:$R$3001,2,FALSE)</f>
        <v>oto20227791.alumni@smkn12malang.sch.id</v>
      </c>
    </row>
    <row r="470" hidden="1">
      <c r="A470" s="3" t="str">
        <f t="shared" si="1"/>
        <v>OK</v>
      </c>
      <c r="B470" s="3" t="str">
        <f t="shared" si="2"/>
        <v>OK</v>
      </c>
      <c r="C470" s="3">
        <v>7803.0</v>
      </c>
      <c r="D470" s="4" t="s">
        <v>948</v>
      </c>
      <c r="E470" s="3" t="s">
        <v>949</v>
      </c>
      <c r="F470" s="3" t="s">
        <v>17</v>
      </c>
      <c r="G470" s="3" t="str">
        <f t="shared" si="3"/>
        <v>PURNA2025-OTO4</v>
      </c>
      <c r="H470" s="3" t="str">
        <f>VLOOKUP($C470,Userpass!$A$2:$L$3001,12,FALSE)</f>
        <v>OTO4</v>
      </c>
      <c r="I470" s="5" t="s">
        <v>14</v>
      </c>
      <c r="J470" s="3">
        <v>2022.0</v>
      </c>
      <c r="K470" s="4" t="str">
        <f>VLOOKUP($C470,Userpass!$A$2:$R$3001,2,FALSE)</f>
        <v>oto20227803.alumni@smkn12malang.sch.id</v>
      </c>
    </row>
    <row r="471" hidden="1">
      <c r="A471" s="3" t="str">
        <f t="shared" si="1"/>
        <v>OK</v>
      </c>
      <c r="B471" s="3" t="str">
        <f t="shared" si="2"/>
        <v>OK</v>
      </c>
      <c r="C471" s="3">
        <v>7810.0</v>
      </c>
      <c r="D471" s="4" t="s">
        <v>950</v>
      </c>
      <c r="E471" s="3" t="s">
        <v>951</v>
      </c>
      <c r="F471" s="3" t="s">
        <v>13</v>
      </c>
      <c r="G471" s="3" t="str">
        <f t="shared" si="3"/>
        <v>PURNA2025-OTO4</v>
      </c>
      <c r="H471" s="3" t="str">
        <f>VLOOKUP($C471,Userpass!$A$2:$L$3001,12,FALSE)</f>
        <v>OTO4</v>
      </c>
      <c r="I471" s="5" t="s">
        <v>14</v>
      </c>
      <c r="J471" s="3">
        <v>2022.0</v>
      </c>
      <c r="K471" s="4" t="str">
        <f>VLOOKUP($C471,Userpass!$A$2:$R$3001,2,FALSE)</f>
        <v>oto20227810.alumni@smkn12malang.sch.id</v>
      </c>
    </row>
    <row r="472" hidden="1">
      <c r="A472" s="3" t="str">
        <f t="shared" si="1"/>
        <v>OK</v>
      </c>
      <c r="B472" s="3" t="str">
        <f t="shared" si="2"/>
        <v>OK</v>
      </c>
      <c r="C472" s="3">
        <v>7860.0</v>
      </c>
      <c r="D472" s="4" t="s">
        <v>952</v>
      </c>
      <c r="E472" s="3" t="s">
        <v>953</v>
      </c>
      <c r="F472" s="3" t="s">
        <v>17</v>
      </c>
      <c r="G472" s="3" t="str">
        <f t="shared" si="3"/>
        <v>PURNA2025-OTO4</v>
      </c>
      <c r="H472" s="3" t="str">
        <f>VLOOKUP($C472,Userpass!$A$2:$L$3001,12,FALSE)</f>
        <v>OTO4</v>
      </c>
      <c r="I472" s="5" t="s">
        <v>14</v>
      </c>
      <c r="J472" s="3">
        <v>2022.0</v>
      </c>
      <c r="K472" s="4" t="str">
        <f>VLOOKUP($C472,Userpass!$A$2:$R$3001,2,FALSE)</f>
        <v>oto20227860.alumni@smkn12malang.sch.id</v>
      </c>
    </row>
    <row r="473" hidden="1">
      <c r="A473" s="3" t="str">
        <f t="shared" si="1"/>
        <v>OK</v>
      </c>
      <c r="B473" s="3" t="str">
        <f t="shared" si="2"/>
        <v>OK</v>
      </c>
      <c r="C473" s="3">
        <v>7890.0</v>
      </c>
      <c r="D473" s="4" t="s">
        <v>954</v>
      </c>
      <c r="E473" s="3" t="s">
        <v>955</v>
      </c>
      <c r="F473" s="3" t="s">
        <v>17</v>
      </c>
      <c r="G473" s="3" t="str">
        <f t="shared" si="3"/>
        <v>PURNA2025-OTO4</v>
      </c>
      <c r="H473" s="3" t="str">
        <f>VLOOKUP($C473,Userpass!$A$2:$L$3001,12,FALSE)</f>
        <v>OTO4</v>
      </c>
      <c r="I473" s="5" t="s">
        <v>14</v>
      </c>
      <c r="J473" s="3">
        <v>2022.0</v>
      </c>
      <c r="K473" s="4" t="str">
        <f>VLOOKUP($C473,Userpass!$A$2:$R$3001,2,FALSE)</f>
        <v>oto20227890.alumni@smkn12malang.sch.id</v>
      </c>
    </row>
    <row r="474" hidden="1">
      <c r="A474" s="3" t="str">
        <f t="shared" si="1"/>
        <v>OK</v>
      </c>
      <c r="B474" s="3" t="str">
        <f t="shared" si="2"/>
        <v>OK</v>
      </c>
      <c r="C474" s="3">
        <v>7983.0</v>
      </c>
      <c r="D474" s="4" t="s">
        <v>956</v>
      </c>
      <c r="E474" s="3" t="s">
        <v>957</v>
      </c>
      <c r="F474" s="3" t="s">
        <v>17</v>
      </c>
      <c r="G474" s="3" t="str">
        <f t="shared" si="3"/>
        <v>PURNA2025-OTO4</v>
      </c>
      <c r="H474" s="3" t="str">
        <f>VLOOKUP($C474,Userpass!$A$2:$L$3001,12,FALSE)</f>
        <v>OTO4</v>
      </c>
      <c r="I474" s="5" t="s">
        <v>14</v>
      </c>
      <c r="J474" s="3">
        <v>2022.0</v>
      </c>
      <c r="K474" s="4" t="str">
        <f>VLOOKUP($C474,Userpass!$A$2:$R$3001,2,FALSE)</f>
        <v>oto20227983.alumni@smkn12malang.sch.id</v>
      </c>
    </row>
    <row r="475" hidden="1">
      <c r="A475" s="3" t="str">
        <f t="shared" si="1"/>
        <v>OK</v>
      </c>
      <c r="B475" s="3" t="str">
        <f t="shared" si="2"/>
        <v>OK</v>
      </c>
      <c r="C475" s="3">
        <v>7997.0</v>
      </c>
      <c r="D475" s="4" t="s">
        <v>958</v>
      </c>
      <c r="E475" s="3" t="s">
        <v>959</v>
      </c>
      <c r="F475" s="3" t="s">
        <v>17</v>
      </c>
      <c r="G475" s="3" t="str">
        <f t="shared" si="3"/>
        <v>PURNA2025-OTO4</v>
      </c>
      <c r="H475" s="3" t="str">
        <f>VLOOKUP($C475,Userpass!$A$2:$L$3001,12,FALSE)</f>
        <v>OTO4</v>
      </c>
      <c r="I475" s="5" t="s">
        <v>14</v>
      </c>
      <c r="J475" s="3">
        <v>2022.0</v>
      </c>
      <c r="K475" s="4" t="str">
        <f>VLOOKUP($C475,Userpass!$A$2:$R$3001,2,FALSE)</f>
        <v>oto20227997.alumni@smkn12malang.sch.id</v>
      </c>
    </row>
    <row r="476" hidden="1">
      <c r="A476" s="3" t="str">
        <f t="shared" si="1"/>
        <v>OK</v>
      </c>
      <c r="B476" s="3" t="str">
        <f t="shared" si="2"/>
        <v>OK</v>
      </c>
      <c r="C476" s="3">
        <v>6835.0</v>
      </c>
      <c r="D476" s="4" t="s">
        <v>960</v>
      </c>
      <c r="E476" s="3" t="s">
        <v>961</v>
      </c>
      <c r="F476" s="3" t="s">
        <v>17</v>
      </c>
      <c r="G476" s="3" t="str">
        <f t="shared" si="3"/>
        <v>PURNA2025-OTO5</v>
      </c>
      <c r="H476" s="3" t="str">
        <f>VLOOKUP($C476,Userpass!$A$2:$L$3001,12,FALSE)</f>
        <v>OTO5</v>
      </c>
      <c r="I476" s="5" t="s">
        <v>14</v>
      </c>
      <c r="J476" s="3">
        <v>2021.0</v>
      </c>
      <c r="K476" s="4" t="str">
        <f>VLOOKUP($C476,Userpass!$A$2:$R$3001,2,FALSE)</f>
        <v>oto20216835.alumni@smkn12malang.sch.id</v>
      </c>
    </row>
    <row r="477" hidden="1">
      <c r="A477" s="3" t="str">
        <f t="shared" si="1"/>
        <v>OK</v>
      </c>
      <c r="B477" s="3" t="str">
        <f t="shared" si="2"/>
        <v>OK</v>
      </c>
      <c r="C477" s="3">
        <v>7307.0</v>
      </c>
      <c r="D477" s="4" t="s">
        <v>962</v>
      </c>
      <c r="E477" s="3" t="s">
        <v>963</v>
      </c>
      <c r="F477" s="3" t="s">
        <v>17</v>
      </c>
      <c r="G477" s="3" t="str">
        <f t="shared" si="3"/>
        <v>PURNA2025-OTO5</v>
      </c>
      <c r="H477" s="3" t="str">
        <f>VLOOKUP($C477,Userpass!$A$2:$L$3001,12,FALSE)</f>
        <v>OTO5</v>
      </c>
      <c r="I477" s="5" t="s">
        <v>14</v>
      </c>
      <c r="J477" s="3">
        <v>2021.0</v>
      </c>
      <c r="K477" s="4" t="str">
        <f>VLOOKUP($C477,Userpass!$A$2:$R$3001,2,FALSE)</f>
        <v>oto20217307.alumni@smkn12malang.sch.id</v>
      </c>
    </row>
    <row r="478" hidden="1">
      <c r="A478" s="3" t="str">
        <f t="shared" si="1"/>
        <v>OK</v>
      </c>
      <c r="B478" s="3" t="str">
        <f t="shared" si="2"/>
        <v>OK</v>
      </c>
      <c r="C478" s="3">
        <v>7429.0</v>
      </c>
      <c r="D478" s="4" t="s">
        <v>964</v>
      </c>
      <c r="E478" s="3" t="s">
        <v>965</v>
      </c>
      <c r="F478" s="3" t="s">
        <v>17</v>
      </c>
      <c r="G478" s="3" t="str">
        <f t="shared" si="3"/>
        <v>PURNA2025-OTO5</v>
      </c>
      <c r="H478" s="3" t="str">
        <f>VLOOKUP($C478,Userpass!$A$2:$L$3001,12,FALSE)</f>
        <v>OTO5</v>
      </c>
      <c r="I478" s="5" t="s">
        <v>14</v>
      </c>
      <c r="J478" s="3">
        <v>2022.0</v>
      </c>
      <c r="K478" s="4" t="str">
        <f>VLOOKUP($C478,Userpass!$A$2:$R$3001,2,FALSE)</f>
        <v>oto20227429.alumni@smkn12malang.sch.id</v>
      </c>
    </row>
    <row r="479" hidden="1">
      <c r="A479" s="3" t="str">
        <f t="shared" si="1"/>
        <v>OK</v>
      </c>
      <c r="B479" s="3" t="str">
        <f t="shared" si="2"/>
        <v>OK</v>
      </c>
      <c r="C479" s="3">
        <v>7431.0</v>
      </c>
      <c r="D479" s="4" t="s">
        <v>966</v>
      </c>
      <c r="E479" s="3" t="s">
        <v>967</v>
      </c>
      <c r="F479" s="3" t="s">
        <v>17</v>
      </c>
      <c r="G479" s="3" t="str">
        <f t="shared" si="3"/>
        <v>PURNA2025-OTO5</v>
      </c>
      <c r="H479" s="3" t="str">
        <f>VLOOKUP($C479,Userpass!$A$2:$L$3001,12,FALSE)</f>
        <v>OTO5</v>
      </c>
      <c r="I479" s="5" t="s">
        <v>14</v>
      </c>
      <c r="J479" s="3">
        <v>2022.0</v>
      </c>
      <c r="K479" s="4" t="str">
        <f>VLOOKUP($C479,Userpass!$A$2:$R$3001,2,FALSE)</f>
        <v>oto20227431.alumni@smkn12malang.sch.id</v>
      </c>
    </row>
    <row r="480" hidden="1">
      <c r="A480" s="3" t="str">
        <f t="shared" si="1"/>
        <v>OK</v>
      </c>
      <c r="B480" s="3" t="str">
        <f t="shared" si="2"/>
        <v>OK</v>
      </c>
      <c r="C480" s="3">
        <v>7447.0</v>
      </c>
      <c r="D480" s="4" t="s">
        <v>968</v>
      </c>
      <c r="E480" s="3" t="s">
        <v>969</v>
      </c>
      <c r="F480" s="3" t="s">
        <v>17</v>
      </c>
      <c r="G480" s="3" t="str">
        <f t="shared" si="3"/>
        <v>PURNA2025-OTO5</v>
      </c>
      <c r="H480" s="3" t="str">
        <f>VLOOKUP($C480,Userpass!$A$2:$L$3001,12,FALSE)</f>
        <v>OTO5</v>
      </c>
      <c r="I480" s="5" t="s">
        <v>14</v>
      </c>
      <c r="J480" s="3">
        <v>2022.0</v>
      </c>
      <c r="K480" s="4" t="str">
        <f>VLOOKUP($C480,Userpass!$A$2:$R$3001,2,FALSE)</f>
        <v>oto20227447.alumni@smkn12malang.sch.id</v>
      </c>
    </row>
    <row r="481" hidden="1">
      <c r="A481" s="3" t="str">
        <f t="shared" si="1"/>
        <v>OK</v>
      </c>
      <c r="B481" s="3" t="str">
        <f t="shared" si="2"/>
        <v>OK</v>
      </c>
      <c r="C481" s="3">
        <v>7467.0</v>
      </c>
      <c r="D481" s="4" t="s">
        <v>970</v>
      </c>
      <c r="E481" s="3" t="s">
        <v>971</v>
      </c>
      <c r="F481" s="3" t="s">
        <v>17</v>
      </c>
      <c r="G481" s="3" t="str">
        <f t="shared" si="3"/>
        <v>PURNA2025-OTO5</v>
      </c>
      <c r="H481" s="3" t="str">
        <f>VLOOKUP($C481,Userpass!$A$2:$L$3001,12,FALSE)</f>
        <v>OTO5</v>
      </c>
      <c r="I481" s="5" t="s">
        <v>14</v>
      </c>
      <c r="J481" s="3">
        <v>2022.0</v>
      </c>
      <c r="K481" s="4" t="str">
        <f>VLOOKUP($C481,Userpass!$A$2:$R$3001,2,FALSE)</f>
        <v>oto20227467.alumni@smkn12malang.sch.id</v>
      </c>
    </row>
    <row r="482" hidden="1">
      <c r="A482" s="3" t="str">
        <f t="shared" si="1"/>
        <v>OK</v>
      </c>
      <c r="B482" s="3" t="str">
        <f t="shared" si="2"/>
        <v>OK</v>
      </c>
      <c r="C482" s="3">
        <v>7483.0</v>
      </c>
      <c r="D482" s="4" t="s">
        <v>972</v>
      </c>
      <c r="E482" s="3" t="s">
        <v>973</v>
      </c>
      <c r="F482" s="3" t="s">
        <v>17</v>
      </c>
      <c r="G482" s="3" t="str">
        <f t="shared" si="3"/>
        <v>PURNA2025-OTO5</v>
      </c>
      <c r="H482" s="3" t="str">
        <f>VLOOKUP($C482,Userpass!$A$2:$L$3001,12,FALSE)</f>
        <v>OTO5</v>
      </c>
      <c r="I482" s="5" t="s">
        <v>14</v>
      </c>
      <c r="J482" s="3">
        <v>2022.0</v>
      </c>
      <c r="K482" s="4" t="str">
        <f>VLOOKUP($C482,Userpass!$A$2:$R$3001,2,FALSE)</f>
        <v>oto20227483.alumni@smkn12malang.sch.id</v>
      </c>
    </row>
    <row r="483" hidden="1">
      <c r="A483" s="3" t="str">
        <f t="shared" si="1"/>
        <v>OK</v>
      </c>
      <c r="B483" s="3" t="str">
        <f t="shared" si="2"/>
        <v>OK</v>
      </c>
      <c r="C483" s="3">
        <v>7487.0</v>
      </c>
      <c r="D483" s="4" t="s">
        <v>974</v>
      </c>
      <c r="E483" s="3" t="s">
        <v>975</v>
      </c>
      <c r="F483" s="3" t="s">
        <v>17</v>
      </c>
      <c r="G483" s="3" t="str">
        <f t="shared" si="3"/>
        <v>PURNA2025-OTO5</v>
      </c>
      <c r="H483" s="3" t="str">
        <f>VLOOKUP($C483,Userpass!$A$2:$L$3001,12,FALSE)</f>
        <v>OTO5</v>
      </c>
      <c r="I483" s="5" t="s">
        <v>14</v>
      </c>
      <c r="J483" s="3">
        <v>2022.0</v>
      </c>
      <c r="K483" s="4" t="str">
        <f>VLOOKUP($C483,Userpass!$A$2:$R$3001,2,FALSE)</f>
        <v>oto20227487.alumni@smkn12malang.sch.id</v>
      </c>
    </row>
    <row r="484" hidden="1">
      <c r="A484" s="3" t="str">
        <f t="shared" si="1"/>
        <v>OK</v>
      </c>
      <c r="B484" s="3" t="str">
        <f t="shared" si="2"/>
        <v>OK</v>
      </c>
      <c r="C484" s="3">
        <v>7511.0</v>
      </c>
      <c r="D484" s="4" t="s">
        <v>976</v>
      </c>
      <c r="E484" s="3" t="s">
        <v>977</v>
      </c>
      <c r="F484" s="3" t="s">
        <v>17</v>
      </c>
      <c r="G484" s="3" t="str">
        <f t="shared" si="3"/>
        <v>PURNA2025-OTO5</v>
      </c>
      <c r="H484" s="3" t="str">
        <f>VLOOKUP($C484,Userpass!$A$2:$L$3001,12,FALSE)</f>
        <v>OTO5</v>
      </c>
      <c r="I484" s="5" t="s">
        <v>14</v>
      </c>
      <c r="J484" s="3">
        <v>2022.0</v>
      </c>
      <c r="K484" s="4" t="str">
        <f>VLOOKUP($C484,Userpass!$A$2:$R$3001,2,FALSE)</f>
        <v>oto20227511.alumni@smkn12malang.sch.id</v>
      </c>
    </row>
    <row r="485" hidden="1">
      <c r="A485" s="3" t="str">
        <f t="shared" si="1"/>
        <v>OK</v>
      </c>
      <c r="B485" s="3" t="str">
        <f t="shared" si="2"/>
        <v>OK</v>
      </c>
      <c r="C485" s="3">
        <v>7548.0</v>
      </c>
      <c r="D485" s="4" t="s">
        <v>978</v>
      </c>
      <c r="E485" s="3" t="s">
        <v>979</v>
      </c>
      <c r="F485" s="3" t="s">
        <v>17</v>
      </c>
      <c r="G485" s="3" t="str">
        <f t="shared" si="3"/>
        <v>PURNA2025-OTO5</v>
      </c>
      <c r="H485" s="3" t="str">
        <f>VLOOKUP($C485,Userpass!$A$2:$L$3001,12,FALSE)</f>
        <v>OTO5</v>
      </c>
      <c r="I485" s="5" t="s">
        <v>14</v>
      </c>
      <c r="J485" s="3">
        <v>2022.0</v>
      </c>
      <c r="K485" s="4" t="str">
        <f>VLOOKUP($C485,Userpass!$A$2:$R$3001,2,FALSE)</f>
        <v>oto20227548.alumni@smkn12malang.sch.id</v>
      </c>
    </row>
    <row r="486" hidden="1">
      <c r="A486" s="3" t="str">
        <f t="shared" si="1"/>
        <v>OK</v>
      </c>
      <c r="B486" s="3" t="str">
        <f t="shared" si="2"/>
        <v>OK</v>
      </c>
      <c r="C486" s="3">
        <v>7559.0</v>
      </c>
      <c r="D486" s="4" t="s">
        <v>980</v>
      </c>
      <c r="E486" s="3" t="s">
        <v>981</v>
      </c>
      <c r="F486" s="3" t="s">
        <v>17</v>
      </c>
      <c r="G486" s="3" t="str">
        <f t="shared" si="3"/>
        <v>PURNA2025-OTO5</v>
      </c>
      <c r="H486" s="3" t="str">
        <f>VLOOKUP($C486,Userpass!$A$2:$L$3001,12,FALSE)</f>
        <v>OTO5</v>
      </c>
      <c r="I486" s="5" t="s">
        <v>14</v>
      </c>
      <c r="J486" s="3">
        <v>2022.0</v>
      </c>
      <c r="K486" s="4" t="str">
        <f>VLOOKUP($C486,Userpass!$A$2:$R$3001,2,FALSE)</f>
        <v>oto20227559.alumni@smkn12malang.sch.id</v>
      </c>
    </row>
    <row r="487" hidden="1">
      <c r="A487" s="3" t="str">
        <f t="shared" si="1"/>
        <v>OK</v>
      </c>
      <c r="B487" s="3" t="str">
        <f t="shared" si="2"/>
        <v>OK</v>
      </c>
      <c r="C487" s="3">
        <v>7601.0</v>
      </c>
      <c r="D487" s="4" t="s">
        <v>982</v>
      </c>
      <c r="E487" s="3" t="s">
        <v>983</v>
      </c>
      <c r="F487" s="3" t="s">
        <v>17</v>
      </c>
      <c r="G487" s="3" t="str">
        <f t="shared" si="3"/>
        <v>PURNA2025-OTO5</v>
      </c>
      <c r="H487" s="3" t="str">
        <f>VLOOKUP($C487,Userpass!$A$2:$L$3001,12,FALSE)</f>
        <v>OTO5</v>
      </c>
      <c r="I487" s="5" t="s">
        <v>14</v>
      </c>
      <c r="J487" s="3">
        <v>2022.0</v>
      </c>
      <c r="K487" s="4" t="str">
        <f>VLOOKUP($C487,Userpass!$A$2:$R$3001,2,FALSE)</f>
        <v>oto20227601.alumni@smkn12malang.sch.id</v>
      </c>
    </row>
    <row r="488" hidden="1">
      <c r="A488" s="3" t="str">
        <f t="shared" si="1"/>
        <v>OK</v>
      </c>
      <c r="B488" s="3" t="str">
        <f t="shared" si="2"/>
        <v>OK</v>
      </c>
      <c r="C488" s="3">
        <v>7616.0</v>
      </c>
      <c r="D488" s="4" t="s">
        <v>984</v>
      </c>
      <c r="E488" s="3" t="s">
        <v>985</v>
      </c>
      <c r="F488" s="3" t="s">
        <v>17</v>
      </c>
      <c r="G488" s="3" t="str">
        <f t="shared" si="3"/>
        <v>PURNA2025-OTO5</v>
      </c>
      <c r="H488" s="3" t="str">
        <f>VLOOKUP($C488,Userpass!$A$2:$L$3001,12,FALSE)</f>
        <v>OTO5</v>
      </c>
      <c r="I488" s="5" t="s">
        <v>14</v>
      </c>
      <c r="J488" s="3">
        <v>2022.0</v>
      </c>
      <c r="K488" s="4" t="str">
        <f>VLOOKUP($C488,Userpass!$A$2:$R$3001,2,FALSE)</f>
        <v>oto20227616.alumni@smkn12malang.sch.id</v>
      </c>
    </row>
    <row r="489" hidden="1">
      <c r="A489" s="3" t="str">
        <f t="shared" si="1"/>
        <v>OK</v>
      </c>
      <c r="B489" s="3" t="str">
        <f t="shared" si="2"/>
        <v>OK</v>
      </c>
      <c r="C489" s="3">
        <v>7621.0</v>
      </c>
      <c r="D489" s="4" t="s">
        <v>986</v>
      </c>
      <c r="E489" s="3" t="s">
        <v>987</v>
      </c>
      <c r="F489" s="3" t="s">
        <v>17</v>
      </c>
      <c r="G489" s="3" t="str">
        <f t="shared" si="3"/>
        <v>PURNA2025-OTO5</v>
      </c>
      <c r="H489" s="3" t="str">
        <f>VLOOKUP($C489,Userpass!$A$2:$L$3001,12,FALSE)</f>
        <v>OTO5</v>
      </c>
      <c r="I489" s="5" t="s">
        <v>14</v>
      </c>
      <c r="J489" s="3">
        <v>2022.0</v>
      </c>
      <c r="K489" s="4" t="str">
        <f>VLOOKUP($C489,Userpass!$A$2:$R$3001,2,FALSE)</f>
        <v>oto20227621.alumni@smkn12malang.sch.id</v>
      </c>
    </row>
    <row r="490" hidden="1">
      <c r="A490" s="3" t="str">
        <f t="shared" si="1"/>
        <v>OK</v>
      </c>
      <c r="B490" s="3" t="str">
        <f t="shared" si="2"/>
        <v>OK</v>
      </c>
      <c r="C490" s="3">
        <v>7656.0</v>
      </c>
      <c r="D490" s="4" t="s">
        <v>988</v>
      </c>
      <c r="E490" s="3" t="s">
        <v>989</v>
      </c>
      <c r="F490" s="3" t="s">
        <v>17</v>
      </c>
      <c r="G490" s="3" t="str">
        <f t="shared" si="3"/>
        <v>PURNA2025-OTO5</v>
      </c>
      <c r="H490" s="3" t="str">
        <f>VLOOKUP($C490,Userpass!$A$2:$L$3001,12,FALSE)</f>
        <v>OTO5</v>
      </c>
      <c r="I490" s="5" t="s">
        <v>14</v>
      </c>
      <c r="J490" s="3">
        <v>2022.0</v>
      </c>
      <c r="K490" s="4" t="str">
        <f>VLOOKUP($C490,Userpass!$A$2:$R$3001,2,FALSE)</f>
        <v>oto20227656.alumni@smkn12malang.sch.id</v>
      </c>
    </row>
    <row r="491" hidden="1">
      <c r="A491" s="3" t="str">
        <f t="shared" si="1"/>
        <v>OK</v>
      </c>
      <c r="B491" s="3" t="str">
        <f t="shared" si="2"/>
        <v>OK</v>
      </c>
      <c r="C491" s="3">
        <v>7679.0</v>
      </c>
      <c r="D491" s="4" t="s">
        <v>990</v>
      </c>
      <c r="E491" s="3" t="s">
        <v>991</v>
      </c>
      <c r="F491" s="3" t="s">
        <v>17</v>
      </c>
      <c r="G491" s="3" t="str">
        <f t="shared" si="3"/>
        <v>PURNA2025-OTO5</v>
      </c>
      <c r="H491" s="3" t="str">
        <f>VLOOKUP($C491,Userpass!$A$2:$L$3001,12,FALSE)</f>
        <v>OTO5</v>
      </c>
      <c r="I491" s="5" t="s">
        <v>14</v>
      </c>
      <c r="J491" s="3">
        <v>2022.0</v>
      </c>
      <c r="K491" s="4" t="str">
        <f>VLOOKUP($C491,Userpass!$A$2:$R$3001,2,FALSE)</f>
        <v>oto20227679.alumni@smkn12malang.sch.id</v>
      </c>
    </row>
    <row r="492" hidden="1">
      <c r="A492" s="3" t="str">
        <f t="shared" si="1"/>
        <v>OK</v>
      </c>
      <c r="B492" s="3" t="str">
        <f t="shared" si="2"/>
        <v>OK</v>
      </c>
      <c r="C492" s="3">
        <v>7708.0</v>
      </c>
      <c r="D492" s="4" t="s">
        <v>992</v>
      </c>
      <c r="E492" s="3" t="s">
        <v>993</v>
      </c>
      <c r="F492" s="3" t="s">
        <v>17</v>
      </c>
      <c r="G492" s="3" t="str">
        <f t="shared" si="3"/>
        <v>PURNA2025-OTO5</v>
      </c>
      <c r="H492" s="3" t="str">
        <f>VLOOKUP($C492,Userpass!$A$2:$L$3001,12,FALSE)</f>
        <v>OTO5</v>
      </c>
      <c r="I492" s="5" t="s">
        <v>14</v>
      </c>
      <c r="J492" s="3">
        <v>2022.0</v>
      </c>
      <c r="K492" s="4" t="str">
        <f>VLOOKUP($C492,Userpass!$A$2:$R$3001,2,FALSE)</f>
        <v>oto20227708.alumni@smkn12malang.sch.id</v>
      </c>
    </row>
    <row r="493" hidden="1">
      <c r="A493" s="3" t="str">
        <f t="shared" si="1"/>
        <v>OK</v>
      </c>
      <c r="B493" s="3" t="str">
        <f t="shared" si="2"/>
        <v>OK</v>
      </c>
      <c r="C493" s="3">
        <v>7746.0</v>
      </c>
      <c r="D493" s="4" t="s">
        <v>994</v>
      </c>
      <c r="E493" s="3" t="s">
        <v>995</v>
      </c>
      <c r="F493" s="3" t="s">
        <v>17</v>
      </c>
      <c r="G493" s="3" t="str">
        <f t="shared" si="3"/>
        <v>PURNA2025-OTO5</v>
      </c>
      <c r="H493" s="3" t="str">
        <f>VLOOKUP($C493,Userpass!$A$2:$L$3001,12,FALSE)</f>
        <v>OTO5</v>
      </c>
      <c r="I493" s="5" t="s">
        <v>14</v>
      </c>
      <c r="J493" s="3">
        <v>2022.0</v>
      </c>
      <c r="K493" s="4" t="str">
        <f>VLOOKUP($C493,Userpass!$A$2:$R$3001,2,FALSE)</f>
        <v>oto20227746.alumni@smkn12malang.sch.id</v>
      </c>
    </row>
    <row r="494" hidden="1">
      <c r="A494" s="3" t="str">
        <f t="shared" si="1"/>
        <v>OK</v>
      </c>
      <c r="B494" s="3" t="str">
        <f t="shared" si="2"/>
        <v>OK</v>
      </c>
      <c r="C494" s="3">
        <v>7757.0</v>
      </c>
      <c r="D494" s="4" t="s">
        <v>996</v>
      </c>
      <c r="E494" s="3" t="s">
        <v>997</v>
      </c>
      <c r="F494" s="3" t="s">
        <v>17</v>
      </c>
      <c r="G494" s="3" t="str">
        <f t="shared" si="3"/>
        <v>PURNA2025-OTO5</v>
      </c>
      <c r="H494" s="3" t="str">
        <f>VLOOKUP($C494,Userpass!$A$2:$L$3001,12,FALSE)</f>
        <v>OTO5</v>
      </c>
      <c r="I494" s="5" t="s">
        <v>14</v>
      </c>
      <c r="J494" s="3">
        <v>2022.0</v>
      </c>
      <c r="K494" s="4" t="str">
        <f>VLOOKUP($C494,Userpass!$A$2:$R$3001,2,FALSE)</f>
        <v>oto20227757.alumni@smkn12malang.sch.id</v>
      </c>
    </row>
    <row r="495" hidden="1">
      <c r="A495" s="3" t="str">
        <f t="shared" si="1"/>
        <v>OK</v>
      </c>
      <c r="B495" s="3" t="str">
        <f t="shared" si="2"/>
        <v>OK</v>
      </c>
      <c r="C495" s="3">
        <v>7759.0</v>
      </c>
      <c r="D495" s="4" t="s">
        <v>998</v>
      </c>
      <c r="E495" s="3" t="s">
        <v>999</v>
      </c>
      <c r="F495" s="3" t="s">
        <v>17</v>
      </c>
      <c r="G495" s="3" t="str">
        <f t="shared" si="3"/>
        <v>PURNA2025-OTO5</v>
      </c>
      <c r="H495" s="3" t="str">
        <f>VLOOKUP($C495,Userpass!$A$2:$L$3001,12,FALSE)</f>
        <v>OTO5</v>
      </c>
      <c r="I495" s="5" t="s">
        <v>14</v>
      </c>
      <c r="J495" s="3">
        <v>2022.0</v>
      </c>
      <c r="K495" s="4" t="str">
        <f>VLOOKUP($C495,Userpass!$A$2:$R$3001,2,FALSE)</f>
        <v>oto20227759.alumni@smkn12malang.sch.id</v>
      </c>
    </row>
    <row r="496" hidden="1">
      <c r="A496" s="3" t="str">
        <f t="shared" si="1"/>
        <v>OK</v>
      </c>
      <c r="B496" s="3" t="str">
        <f t="shared" si="2"/>
        <v>OK</v>
      </c>
      <c r="C496" s="3">
        <v>7767.0</v>
      </c>
      <c r="D496" s="4" t="s">
        <v>1000</v>
      </c>
      <c r="E496" s="3" t="s">
        <v>1001</v>
      </c>
      <c r="F496" s="3" t="s">
        <v>17</v>
      </c>
      <c r="G496" s="3" t="str">
        <f t="shared" si="3"/>
        <v>PURNA2025-OTO5</v>
      </c>
      <c r="H496" s="3" t="str">
        <f>VLOOKUP($C496,Userpass!$A$2:$L$3001,12,FALSE)</f>
        <v>OTO5</v>
      </c>
      <c r="I496" s="5" t="s">
        <v>14</v>
      </c>
      <c r="J496" s="3">
        <v>2022.0</v>
      </c>
      <c r="K496" s="4" t="str">
        <f>VLOOKUP($C496,Userpass!$A$2:$R$3001,2,FALSE)</f>
        <v>oto20227767.alumni@smkn12malang.sch.id</v>
      </c>
    </row>
    <row r="497" hidden="1">
      <c r="A497" s="3" t="str">
        <f t="shared" si="1"/>
        <v>OK</v>
      </c>
      <c r="B497" s="3" t="str">
        <f t="shared" si="2"/>
        <v>OK</v>
      </c>
      <c r="C497" s="3">
        <v>7778.0</v>
      </c>
      <c r="D497" s="4" t="s">
        <v>1002</v>
      </c>
      <c r="E497" s="3" t="s">
        <v>1003</v>
      </c>
      <c r="F497" s="3" t="s">
        <v>17</v>
      </c>
      <c r="G497" s="3" t="str">
        <f t="shared" si="3"/>
        <v>PURNA2025-OTO5</v>
      </c>
      <c r="H497" s="3" t="str">
        <f>VLOOKUP($C497,Userpass!$A$2:$L$3001,12,FALSE)</f>
        <v>OTO5</v>
      </c>
      <c r="I497" s="5" t="s">
        <v>14</v>
      </c>
      <c r="J497" s="3">
        <v>2022.0</v>
      </c>
      <c r="K497" s="4" t="str">
        <f>VLOOKUP($C497,Userpass!$A$2:$R$3001,2,FALSE)</f>
        <v>oto20227778.alumni@smkn12malang.sch.id</v>
      </c>
    </row>
    <row r="498" hidden="1">
      <c r="A498" s="3" t="str">
        <f t="shared" si="1"/>
        <v>OK</v>
      </c>
      <c r="B498" s="3" t="str">
        <f t="shared" si="2"/>
        <v>OK</v>
      </c>
      <c r="C498" s="3">
        <v>7800.0</v>
      </c>
      <c r="D498" s="4" t="s">
        <v>1004</v>
      </c>
      <c r="E498" s="3" t="s">
        <v>1005</v>
      </c>
      <c r="F498" s="3" t="s">
        <v>17</v>
      </c>
      <c r="G498" s="3" t="str">
        <f t="shared" si="3"/>
        <v>PURNA2025-OTO5</v>
      </c>
      <c r="H498" s="3" t="str">
        <f>VLOOKUP($C498,Userpass!$A$2:$L$3001,12,FALSE)</f>
        <v>OTO5</v>
      </c>
      <c r="I498" s="5" t="s">
        <v>14</v>
      </c>
      <c r="J498" s="3">
        <v>2022.0</v>
      </c>
      <c r="K498" s="4" t="str">
        <f>VLOOKUP($C498,Userpass!$A$2:$R$3001,2,FALSE)</f>
        <v>oto20227800.alumni@smkn12malang.sch.id</v>
      </c>
    </row>
    <row r="499" hidden="1">
      <c r="A499" s="3" t="str">
        <f t="shared" si="1"/>
        <v>OK</v>
      </c>
      <c r="B499" s="3" t="str">
        <f t="shared" si="2"/>
        <v>OK</v>
      </c>
      <c r="C499" s="3">
        <v>7806.0</v>
      </c>
      <c r="D499" s="4" t="s">
        <v>1006</v>
      </c>
      <c r="E499" s="3" t="s">
        <v>1007</v>
      </c>
      <c r="F499" s="3" t="s">
        <v>17</v>
      </c>
      <c r="G499" s="3" t="str">
        <f t="shared" si="3"/>
        <v>PURNA2025-OTO5</v>
      </c>
      <c r="H499" s="3" t="str">
        <f>VLOOKUP($C499,Userpass!$A$2:$L$3001,12,FALSE)</f>
        <v>OTO5</v>
      </c>
      <c r="I499" s="5" t="s">
        <v>14</v>
      </c>
      <c r="J499" s="3">
        <v>2022.0</v>
      </c>
      <c r="K499" s="4" t="str">
        <f>VLOOKUP($C499,Userpass!$A$2:$R$3001,2,FALSE)</f>
        <v>oto20227806.alumni@smkn12malang.sch.id</v>
      </c>
    </row>
    <row r="500" hidden="1">
      <c r="A500" s="3" t="str">
        <f t="shared" si="1"/>
        <v>OK</v>
      </c>
      <c r="B500" s="3" t="str">
        <f t="shared" si="2"/>
        <v>OK</v>
      </c>
      <c r="C500" s="3">
        <v>7812.0</v>
      </c>
      <c r="D500" s="4" t="s">
        <v>1008</v>
      </c>
      <c r="E500" s="3" t="s">
        <v>1009</v>
      </c>
      <c r="F500" s="3" t="s">
        <v>13</v>
      </c>
      <c r="G500" s="3" t="str">
        <f t="shared" si="3"/>
        <v>PURNA2025-OTO5</v>
      </c>
      <c r="H500" s="3" t="str">
        <f>VLOOKUP($C500,Userpass!$A$2:$L$3001,12,FALSE)</f>
        <v>OTO5</v>
      </c>
      <c r="I500" s="5" t="s">
        <v>14</v>
      </c>
      <c r="J500" s="3">
        <v>2022.0</v>
      </c>
      <c r="K500" s="4" t="str">
        <f>VLOOKUP($C500,Userpass!$A$2:$R$3001,2,FALSE)</f>
        <v>oto20227812.alumni@smkn12malang.sch.id</v>
      </c>
    </row>
    <row r="501" hidden="1">
      <c r="A501" s="3" t="str">
        <f t="shared" si="1"/>
        <v>OK</v>
      </c>
      <c r="B501" s="3" t="str">
        <f t="shared" si="2"/>
        <v>OK</v>
      </c>
      <c r="C501" s="3">
        <v>7859.0</v>
      </c>
      <c r="D501" s="4" t="s">
        <v>1010</v>
      </c>
      <c r="E501" s="3" t="s">
        <v>1011</v>
      </c>
      <c r="F501" s="3" t="s">
        <v>17</v>
      </c>
      <c r="G501" s="3" t="str">
        <f t="shared" si="3"/>
        <v>PURNA2025-OTO5</v>
      </c>
      <c r="H501" s="3" t="str">
        <f>VLOOKUP($C501,Userpass!$A$2:$L$3001,12,FALSE)</f>
        <v>OTO5</v>
      </c>
      <c r="I501" s="5" t="s">
        <v>14</v>
      </c>
      <c r="J501" s="3">
        <v>2022.0</v>
      </c>
      <c r="K501" s="4" t="str">
        <f>VLOOKUP($C501,Userpass!$A$2:$R$3001,2,FALSE)</f>
        <v>oto20227859.alumni@smkn12malang.sch.id</v>
      </c>
    </row>
    <row r="502" hidden="1">
      <c r="A502" s="3" t="str">
        <f t="shared" si="1"/>
        <v>OK</v>
      </c>
      <c r="B502" s="3" t="str">
        <f t="shared" si="2"/>
        <v>OK</v>
      </c>
      <c r="C502" s="3">
        <v>7865.0</v>
      </c>
      <c r="D502" s="4" t="s">
        <v>1012</v>
      </c>
      <c r="E502" s="3" t="s">
        <v>1013</v>
      </c>
      <c r="F502" s="3" t="s">
        <v>13</v>
      </c>
      <c r="G502" s="3" t="str">
        <f t="shared" si="3"/>
        <v>PURNA2025-OTO5</v>
      </c>
      <c r="H502" s="3" t="str">
        <f>VLOOKUP($C502,Userpass!$A$2:$L$3001,12,FALSE)</f>
        <v>OTO5</v>
      </c>
      <c r="I502" s="5" t="s">
        <v>14</v>
      </c>
      <c r="J502" s="3">
        <v>2022.0</v>
      </c>
      <c r="K502" s="4" t="str">
        <f>VLOOKUP($C502,Userpass!$A$2:$R$3001,2,FALSE)</f>
        <v>oto20227865.alumni@smkn12malang.sch.id</v>
      </c>
    </row>
    <row r="503" hidden="1">
      <c r="A503" s="3" t="str">
        <f t="shared" si="1"/>
        <v>OK</v>
      </c>
      <c r="B503" s="3" t="str">
        <f t="shared" si="2"/>
        <v>OK</v>
      </c>
      <c r="C503" s="3">
        <v>7898.0</v>
      </c>
      <c r="D503" s="4" t="s">
        <v>1014</v>
      </c>
      <c r="E503" s="3" t="s">
        <v>1015</v>
      </c>
      <c r="F503" s="3" t="s">
        <v>13</v>
      </c>
      <c r="G503" s="3" t="str">
        <f t="shared" si="3"/>
        <v>PURNA2025-OTO5</v>
      </c>
      <c r="H503" s="3" t="str">
        <f>VLOOKUP($C503,Userpass!$A$2:$L$3001,12,FALSE)</f>
        <v>OTO5</v>
      </c>
      <c r="I503" s="5" t="s">
        <v>14</v>
      </c>
      <c r="J503" s="3">
        <v>2022.0</v>
      </c>
      <c r="K503" s="4" t="str">
        <f>VLOOKUP($C503,Userpass!$A$2:$R$3001,2,FALSE)</f>
        <v>oto20227898.alumni@smkn12malang.sch.id</v>
      </c>
    </row>
    <row r="504" hidden="1">
      <c r="A504" s="3" t="str">
        <f t="shared" si="1"/>
        <v>OK</v>
      </c>
      <c r="B504" s="3" t="str">
        <f t="shared" si="2"/>
        <v>OK</v>
      </c>
      <c r="C504" s="3">
        <v>7920.0</v>
      </c>
      <c r="D504" s="4" t="s">
        <v>1016</v>
      </c>
      <c r="E504" s="3" t="s">
        <v>1017</v>
      </c>
      <c r="F504" s="3" t="s">
        <v>17</v>
      </c>
      <c r="G504" s="3" t="str">
        <f t="shared" si="3"/>
        <v>PURNA2025-OTO5</v>
      </c>
      <c r="H504" s="3" t="str">
        <f>VLOOKUP($C504,Userpass!$A$2:$L$3001,12,FALSE)</f>
        <v>OTO5</v>
      </c>
      <c r="I504" s="5" t="s">
        <v>14</v>
      </c>
      <c r="J504" s="3">
        <v>2022.0</v>
      </c>
      <c r="K504" s="4" t="str">
        <f>VLOOKUP($C504,Userpass!$A$2:$R$3001,2,FALSE)</f>
        <v>oto20227920.alumni@smkn12malang.sch.id</v>
      </c>
    </row>
    <row r="505" hidden="1">
      <c r="A505" s="3" t="str">
        <f t="shared" si="1"/>
        <v>OK</v>
      </c>
      <c r="B505" s="3" t="str">
        <f t="shared" si="2"/>
        <v>OK</v>
      </c>
      <c r="C505" s="3">
        <v>7958.0</v>
      </c>
      <c r="D505" s="4" t="s">
        <v>1018</v>
      </c>
      <c r="E505" s="3" t="s">
        <v>1019</v>
      </c>
      <c r="F505" s="3" t="s">
        <v>17</v>
      </c>
      <c r="G505" s="3" t="str">
        <f t="shared" si="3"/>
        <v>PURNA2025-OTO5</v>
      </c>
      <c r="H505" s="3" t="str">
        <f>VLOOKUP($C505,Userpass!$A$2:$L$3001,12,FALSE)</f>
        <v>OTO5</v>
      </c>
      <c r="I505" s="5" t="s">
        <v>14</v>
      </c>
      <c r="J505" s="3">
        <v>2022.0</v>
      </c>
      <c r="K505" s="4" t="str">
        <f>VLOOKUP($C505,Userpass!$A$2:$R$3001,2,FALSE)</f>
        <v>oto20227958.alumni@smkn12malang.sch.id</v>
      </c>
    </row>
    <row r="506" hidden="1">
      <c r="A506" s="3" t="str">
        <f t="shared" si="1"/>
        <v>OK</v>
      </c>
      <c r="B506" s="3" t="str">
        <f t="shared" si="2"/>
        <v>OK</v>
      </c>
      <c r="C506" s="3">
        <v>7996.0</v>
      </c>
      <c r="D506" s="4" t="s">
        <v>1020</v>
      </c>
      <c r="E506" s="3" t="s">
        <v>1021</v>
      </c>
      <c r="F506" s="3" t="s">
        <v>17</v>
      </c>
      <c r="G506" s="3" t="str">
        <f t="shared" si="3"/>
        <v>PURNA2025-OTO5</v>
      </c>
      <c r="H506" s="3" t="str">
        <f>VLOOKUP($C506,Userpass!$A$2:$L$3001,12,FALSE)</f>
        <v>OTO5</v>
      </c>
      <c r="I506" s="5" t="s">
        <v>14</v>
      </c>
      <c r="J506" s="3">
        <v>2022.0</v>
      </c>
      <c r="K506" s="4" t="str">
        <f>VLOOKUP($C506,Userpass!$A$2:$R$3001,2,FALSE)</f>
        <v>oto20227996.alumni@smkn12malang.sch.id</v>
      </c>
    </row>
    <row r="507" hidden="1">
      <c r="A507" s="3" t="str">
        <f t="shared" si="1"/>
        <v>OK</v>
      </c>
      <c r="B507" s="3" t="str">
        <f t="shared" si="2"/>
        <v>OK</v>
      </c>
      <c r="C507" s="3">
        <v>8004.0</v>
      </c>
      <c r="D507" s="4" t="s">
        <v>1022</v>
      </c>
      <c r="E507" s="3" t="s">
        <v>1023</v>
      </c>
      <c r="F507" s="3" t="s">
        <v>17</v>
      </c>
      <c r="G507" s="3" t="str">
        <f t="shared" si="3"/>
        <v>PURNA2025-OTO5</v>
      </c>
      <c r="H507" s="3" t="str">
        <f>VLOOKUP($C507,Userpass!$A$2:$L$3001,12,FALSE)</f>
        <v>OTO5</v>
      </c>
      <c r="I507" s="5" t="s">
        <v>14</v>
      </c>
      <c r="J507" s="3">
        <v>2022.0</v>
      </c>
      <c r="K507" s="4" t="str">
        <f>VLOOKUP($C507,Userpass!$A$2:$R$3001,2,FALSE)</f>
        <v>oto20228004.alumni@smkn12malang.sch.id</v>
      </c>
    </row>
    <row r="508" hidden="1">
      <c r="A508" s="3" t="str">
        <f t="shared" si="1"/>
        <v>OK</v>
      </c>
      <c r="B508" s="3" t="str">
        <f t="shared" si="2"/>
        <v>OK</v>
      </c>
      <c r="C508" s="3">
        <v>7460.0</v>
      </c>
      <c r="D508" s="4" t="s">
        <v>1024</v>
      </c>
      <c r="E508" s="3" t="s">
        <v>1025</v>
      </c>
      <c r="F508" s="3" t="s">
        <v>17</v>
      </c>
      <c r="G508" s="3" t="str">
        <f t="shared" si="3"/>
        <v>PURNA2025-PLG1</v>
      </c>
      <c r="H508" s="3" t="str">
        <f>VLOOKUP($C508,Userpass!$A$2:$L$3001,12,FALSE)</f>
        <v>PLG1</v>
      </c>
      <c r="I508" s="5" t="s">
        <v>14</v>
      </c>
      <c r="J508" s="3">
        <v>2022.0</v>
      </c>
      <c r="K508" s="4" t="str">
        <f>VLOOKUP($C508,Userpass!$A$2:$R$3001,2,FALSE)</f>
        <v>plg20227460.alumni@smkn12malang.sch.id</v>
      </c>
    </row>
    <row r="509" hidden="1">
      <c r="A509" s="3" t="str">
        <f t="shared" si="1"/>
        <v>OK</v>
      </c>
      <c r="B509" s="3" t="str">
        <f t="shared" si="2"/>
        <v>OK</v>
      </c>
      <c r="C509" s="3">
        <v>7472.0</v>
      </c>
      <c r="D509" s="4" t="s">
        <v>1026</v>
      </c>
      <c r="E509" s="3" t="s">
        <v>1027</v>
      </c>
      <c r="F509" s="3" t="s">
        <v>17</v>
      </c>
      <c r="G509" s="3" t="str">
        <f t="shared" si="3"/>
        <v>PURNA2025-PLG1</v>
      </c>
      <c r="H509" s="3" t="str">
        <f>VLOOKUP($C509,Userpass!$A$2:$L$3001,12,FALSE)</f>
        <v>PLG1</v>
      </c>
      <c r="I509" s="5" t="s">
        <v>14</v>
      </c>
      <c r="J509" s="3">
        <v>2022.0</v>
      </c>
      <c r="K509" s="4" t="str">
        <f>VLOOKUP($C509,Userpass!$A$2:$R$3001,2,FALSE)</f>
        <v>plg20227472.alumni@smkn12malang.sch.id</v>
      </c>
    </row>
    <row r="510" hidden="1">
      <c r="A510" s="3" t="str">
        <f t="shared" si="1"/>
        <v>OK</v>
      </c>
      <c r="B510" s="3" t="str">
        <f t="shared" si="2"/>
        <v>OK</v>
      </c>
      <c r="C510" s="3">
        <v>7492.0</v>
      </c>
      <c r="D510" s="4" t="s">
        <v>1028</v>
      </c>
      <c r="E510" s="3" t="s">
        <v>1029</v>
      </c>
      <c r="F510" s="3" t="s">
        <v>17</v>
      </c>
      <c r="G510" s="3" t="str">
        <f t="shared" si="3"/>
        <v>PURNA2025-PLG1</v>
      </c>
      <c r="H510" s="3" t="str">
        <f>VLOOKUP($C510,Userpass!$A$2:$L$3001,12,FALSE)</f>
        <v>PLG1</v>
      </c>
      <c r="I510" s="5" t="s">
        <v>14</v>
      </c>
      <c r="J510" s="3">
        <v>2022.0</v>
      </c>
      <c r="K510" s="4" t="str">
        <f>VLOOKUP($C510,Userpass!$A$2:$R$3001,2,FALSE)</f>
        <v>plg20227492.alumni@smkn12malang.sch.id</v>
      </c>
    </row>
    <row r="511" hidden="1">
      <c r="A511" s="3" t="str">
        <f t="shared" si="1"/>
        <v>OK</v>
      </c>
      <c r="B511" s="3" t="str">
        <f t="shared" si="2"/>
        <v>OK</v>
      </c>
      <c r="C511" s="3">
        <v>7493.0</v>
      </c>
      <c r="D511" s="4" t="s">
        <v>1030</v>
      </c>
      <c r="E511" s="3" t="s">
        <v>1031</v>
      </c>
      <c r="F511" s="3" t="s">
        <v>17</v>
      </c>
      <c r="G511" s="3" t="str">
        <f t="shared" si="3"/>
        <v>PURNA2025-PLG1</v>
      </c>
      <c r="H511" s="3" t="str">
        <f>VLOOKUP($C511,Userpass!$A$2:$L$3001,12,FALSE)</f>
        <v>PLG1</v>
      </c>
      <c r="I511" s="5" t="s">
        <v>14</v>
      </c>
      <c r="J511" s="3">
        <v>2022.0</v>
      </c>
      <c r="K511" s="4" t="str">
        <f>VLOOKUP($C511,Userpass!$A$2:$R$3001,2,FALSE)</f>
        <v>plg20227493.alumni@smkn12malang.sch.id</v>
      </c>
    </row>
    <row r="512" hidden="1">
      <c r="A512" s="3" t="str">
        <f t="shared" si="1"/>
        <v>OK</v>
      </c>
      <c r="B512" s="3" t="str">
        <f t="shared" si="2"/>
        <v>OK</v>
      </c>
      <c r="C512" s="3">
        <v>7498.0</v>
      </c>
      <c r="D512" s="4" t="s">
        <v>1032</v>
      </c>
      <c r="E512" s="3" t="s">
        <v>1033</v>
      </c>
      <c r="F512" s="3" t="s">
        <v>17</v>
      </c>
      <c r="G512" s="3" t="str">
        <f t="shared" si="3"/>
        <v>PURNA2025-PLG1</v>
      </c>
      <c r="H512" s="3" t="str">
        <f>VLOOKUP($C512,Userpass!$A$2:$L$3001,12,FALSE)</f>
        <v>PLG1</v>
      </c>
      <c r="I512" s="5" t="s">
        <v>14</v>
      </c>
      <c r="J512" s="3">
        <v>2022.0</v>
      </c>
      <c r="K512" s="4" t="str">
        <f>VLOOKUP($C512,Userpass!$A$2:$R$3001,2,FALSE)</f>
        <v>plg20227498.alumni@smkn12malang.sch.id</v>
      </c>
    </row>
    <row r="513" hidden="1">
      <c r="A513" s="3" t="str">
        <f t="shared" si="1"/>
        <v>OK</v>
      </c>
      <c r="B513" s="3" t="str">
        <f t="shared" si="2"/>
        <v>OK</v>
      </c>
      <c r="C513" s="3">
        <v>7518.0</v>
      </c>
      <c r="D513" s="4" t="s">
        <v>1034</v>
      </c>
      <c r="E513" s="3" t="s">
        <v>1035</v>
      </c>
      <c r="F513" s="3" t="s">
        <v>17</v>
      </c>
      <c r="G513" s="3" t="str">
        <f t="shared" si="3"/>
        <v>PURNA2025-PLG1</v>
      </c>
      <c r="H513" s="3" t="str">
        <f>VLOOKUP($C513,Userpass!$A$2:$L$3001,12,FALSE)</f>
        <v>PLG1</v>
      </c>
      <c r="I513" s="5" t="s">
        <v>14</v>
      </c>
      <c r="J513" s="3">
        <v>2022.0</v>
      </c>
      <c r="K513" s="4" t="str">
        <f>VLOOKUP($C513,Userpass!$A$2:$R$3001,2,FALSE)</f>
        <v>plg20227518.alumni@smkn12malang.sch.id</v>
      </c>
    </row>
    <row r="514" hidden="1">
      <c r="A514" s="3" t="str">
        <f t="shared" si="1"/>
        <v>OK</v>
      </c>
      <c r="B514" s="3" t="str">
        <f t="shared" si="2"/>
        <v>OK</v>
      </c>
      <c r="C514" s="3">
        <v>7519.0</v>
      </c>
      <c r="D514" s="4" t="s">
        <v>1036</v>
      </c>
      <c r="E514" s="3" t="s">
        <v>1037</v>
      </c>
      <c r="F514" s="3" t="s">
        <v>17</v>
      </c>
      <c r="G514" s="3" t="str">
        <f t="shared" si="3"/>
        <v>PURNA2025-PLG1</v>
      </c>
      <c r="H514" s="3" t="str">
        <f>VLOOKUP($C514,Userpass!$A$2:$L$3001,12,FALSE)</f>
        <v>PLG1</v>
      </c>
      <c r="I514" s="5" t="s">
        <v>14</v>
      </c>
      <c r="J514" s="3">
        <v>2022.0</v>
      </c>
      <c r="K514" s="4" t="str">
        <f>VLOOKUP($C514,Userpass!$A$2:$R$3001,2,FALSE)</f>
        <v>plg20227519.alumni@smkn12malang.sch.id</v>
      </c>
    </row>
    <row r="515" hidden="1">
      <c r="A515" s="3" t="str">
        <f t="shared" si="1"/>
        <v>OK</v>
      </c>
      <c r="B515" s="3" t="str">
        <f t="shared" si="2"/>
        <v>OK</v>
      </c>
      <c r="C515" s="3">
        <v>7554.0</v>
      </c>
      <c r="D515" s="4" t="s">
        <v>1038</v>
      </c>
      <c r="E515" s="3" t="s">
        <v>1039</v>
      </c>
      <c r="F515" s="3" t="s">
        <v>17</v>
      </c>
      <c r="G515" s="3" t="str">
        <f t="shared" si="3"/>
        <v>PURNA2025-PLG1</v>
      </c>
      <c r="H515" s="3" t="str">
        <f>VLOOKUP($C515,Userpass!$A$2:$L$3001,12,FALSE)</f>
        <v>PLG1</v>
      </c>
      <c r="I515" s="5" t="s">
        <v>14</v>
      </c>
      <c r="J515" s="3">
        <v>2022.0</v>
      </c>
      <c r="K515" s="4" t="str">
        <f>VLOOKUP($C515,Userpass!$A$2:$R$3001,2,FALSE)</f>
        <v>plg20227554.alumni@smkn12malang.sch.id</v>
      </c>
    </row>
    <row r="516" hidden="1">
      <c r="A516" s="3" t="str">
        <f t="shared" si="1"/>
        <v>OK</v>
      </c>
      <c r="B516" s="3" t="str">
        <f t="shared" si="2"/>
        <v>OK</v>
      </c>
      <c r="C516" s="3">
        <v>7575.0</v>
      </c>
      <c r="D516" s="4" t="s">
        <v>1040</v>
      </c>
      <c r="E516" s="3" t="s">
        <v>1041</v>
      </c>
      <c r="F516" s="3" t="s">
        <v>17</v>
      </c>
      <c r="G516" s="3" t="str">
        <f t="shared" si="3"/>
        <v>PURNA2025-PLG1</v>
      </c>
      <c r="H516" s="3" t="str">
        <f>VLOOKUP($C516,Userpass!$A$2:$L$3001,12,FALSE)</f>
        <v>PLG1</v>
      </c>
      <c r="I516" s="5" t="s">
        <v>14</v>
      </c>
      <c r="J516" s="3">
        <v>2022.0</v>
      </c>
      <c r="K516" s="4" t="str">
        <f>VLOOKUP($C516,Userpass!$A$2:$R$3001,2,FALSE)</f>
        <v>plg20227575.alumni@smkn12malang.sch.id</v>
      </c>
    </row>
    <row r="517" hidden="1">
      <c r="A517" s="3" t="str">
        <f t="shared" si="1"/>
        <v>OK</v>
      </c>
      <c r="B517" s="3" t="str">
        <f t="shared" si="2"/>
        <v>OK</v>
      </c>
      <c r="C517" s="3">
        <v>7608.0</v>
      </c>
      <c r="D517" s="4" t="s">
        <v>1042</v>
      </c>
      <c r="E517" s="3" t="s">
        <v>1043</v>
      </c>
      <c r="F517" s="3" t="s">
        <v>17</v>
      </c>
      <c r="G517" s="3" t="str">
        <f t="shared" si="3"/>
        <v>PURNA2025-PLG1</v>
      </c>
      <c r="H517" s="3" t="str">
        <f>VLOOKUP($C517,Userpass!$A$2:$L$3001,12,FALSE)</f>
        <v>PLG1</v>
      </c>
      <c r="I517" s="5" t="s">
        <v>14</v>
      </c>
      <c r="J517" s="3">
        <v>2022.0</v>
      </c>
      <c r="K517" s="4" t="str">
        <f>VLOOKUP($C517,Userpass!$A$2:$R$3001,2,FALSE)</f>
        <v>plg20227608.alumni@smkn12malang.sch.id</v>
      </c>
    </row>
    <row r="518" hidden="1">
      <c r="A518" s="3" t="str">
        <f t="shared" si="1"/>
        <v>OK</v>
      </c>
      <c r="B518" s="3" t="str">
        <f t="shared" si="2"/>
        <v>OK</v>
      </c>
      <c r="C518" s="3">
        <v>7622.0</v>
      </c>
      <c r="D518" s="4" t="s">
        <v>1044</v>
      </c>
      <c r="E518" s="3" t="s">
        <v>1045</v>
      </c>
      <c r="F518" s="3" t="s">
        <v>17</v>
      </c>
      <c r="G518" s="3" t="str">
        <f t="shared" si="3"/>
        <v>PURNA2025-PLG1</v>
      </c>
      <c r="H518" s="3" t="str">
        <f>VLOOKUP($C518,Userpass!$A$2:$L$3001,12,FALSE)</f>
        <v>PLG1</v>
      </c>
      <c r="I518" s="5" t="s">
        <v>14</v>
      </c>
      <c r="J518" s="3">
        <v>2022.0</v>
      </c>
      <c r="K518" s="4" t="str">
        <f>VLOOKUP($C518,Userpass!$A$2:$R$3001,2,FALSE)</f>
        <v>plg20227622.alumni@smkn12malang.sch.id</v>
      </c>
    </row>
    <row r="519" hidden="1">
      <c r="A519" s="3" t="str">
        <f t="shared" si="1"/>
        <v>OK</v>
      </c>
      <c r="B519" s="3" t="str">
        <f t="shared" si="2"/>
        <v>OK</v>
      </c>
      <c r="C519" s="3">
        <v>7654.0</v>
      </c>
      <c r="D519" s="4" t="s">
        <v>1046</v>
      </c>
      <c r="E519" s="3" t="s">
        <v>1047</v>
      </c>
      <c r="F519" s="3" t="s">
        <v>17</v>
      </c>
      <c r="G519" s="3" t="str">
        <f t="shared" si="3"/>
        <v>PURNA2025-PLG1</v>
      </c>
      <c r="H519" s="3" t="str">
        <f>VLOOKUP($C519,Userpass!$A$2:$L$3001,12,FALSE)</f>
        <v>PLG1</v>
      </c>
      <c r="I519" s="5" t="s">
        <v>14</v>
      </c>
      <c r="J519" s="3">
        <v>2022.0</v>
      </c>
      <c r="K519" s="4" t="str">
        <f>VLOOKUP($C519,Userpass!$A$2:$R$3001,2,FALSE)</f>
        <v>plg20227654.alumni@smkn12malang.sch.id</v>
      </c>
    </row>
    <row r="520" hidden="1">
      <c r="A520" s="3" t="str">
        <f t="shared" si="1"/>
        <v>OK</v>
      </c>
      <c r="B520" s="3" t="str">
        <f t="shared" si="2"/>
        <v>OK</v>
      </c>
      <c r="C520" s="3">
        <v>7655.0</v>
      </c>
      <c r="D520" s="4" t="s">
        <v>1048</v>
      </c>
      <c r="E520" s="3" t="s">
        <v>1049</v>
      </c>
      <c r="F520" s="3" t="s">
        <v>17</v>
      </c>
      <c r="G520" s="3" t="str">
        <f t="shared" si="3"/>
        <v>PURNA2025-PLG1</v>
      </c>
      <c r="H520" s="3" t="str">
        <f>VLOOKUP($C520,Userpass!$A$2:$L$3001,12,FALSE)</f>
        <v>PLG1</v>
      </c>
      <c r="I520" s="5" t="s">
        <v>14</v>
      </c>
      <c r="J520" s="3">
        <v>2022.0</v>
      </c>
      <c r="K520" s="4" t="str">
        <f>VLOOKUP($C520,Userpass!$A$2:$R$3001,2,FALSE)</f>
        <v>plg20227655.alumni@smkn12malang.sch.id</v>
      </c>
    </row>
    <row r="521" hidden="1">
      <c r="A521" s="3" t="str">
        <f t="shared" si="1"/>
        <v>OK</v>
      </c>
      <c r="B521" s="3" t="str">
        <f t="shared" si="2"/>
        <v>OK</v>
      </c>
      <c r="C521" s="3">
        <v>7670.0</v>
      </c>
      <c r="D521" s="4" t="s">
        <v>1050</v>
      </c>
      <c r="E521" s="3" t="s">
        <v>1051</v>
      </c>
      <c r="F521" s="3" t="s">
        <v>17</v>
      </c>
      <c r="G521" s="3" t="str">
        <f t="shared" si="3"/>
        <v>PURNA2025-PLG1</v>
      </c>
      <c r="H521" s="3" t="str">
        <f>VLOOKUP($C521,Userpass!$A$2:$L$3001,12,FALSE)</f>
        <v>PLG1</v>
      </c>
      <c r="I521" s="5" t="s">
        <v>14</v>
      </c>
      <c r="J521" s="3">
        <v>2022.0</v>
      </c>
      <c r="K521" s="4" t="str">
        <f>VLOOKUP($C521,Userpass!$A$2:$R$3001,2,FALSE)</f>
        <v>plg20227670.alumni@smkn12malang.sch.id</v>
      </c>
    </row>
    <row r="522" hidden="1">
      <c r="A522" s="3" t="str">
        <f t="shared" si="1"/>
        <v>OK</v>
      </c>
      <c r="B522" s="3" t="str">
        <f t="shared" si="2"/>
        <v>OK</v>
      </c>
      <c r="C522" s="3">
        <v>7710.0</v>
      </c>
      <c r="D522" s="4" t="s">
        <v>1052</v>
      </c>
      <c r="E522" s="3" t="s">
        <v>1053</v>
      </c>
      <c r="F522" s="3" t="s">
        <v>17</v>
      </c>
      <c r="G522" s="3" t="str">
        <f t="shared" si="3"/>
        <v>PURNA2025-PLG1</v>
      </c>
      <c r="H522" s="3" t="str">
        <f>VLOOKUP($C522,Userpass!$A$2:$L$3001,12,FALSE)</f>
        <v>PLG1</v>
      </c>
      <c r="I522" s="5" t="s">
        <v>14</v>
      </c>
      <c r="J522" s="3">
        <v>2022.0</v>
      </c>
      <c r="K522" s="4" t="str">
        <f>VLOOKUP($C522,Userpass!$A$2:$R$3001,2,FALSE)</f>
        <v>plg20227710.alumni@smkn12malang.sch.id</v>
      </c>
    </row>
    <row r="523" hidden="1">
      <c r="A523" s="3" t="str">
        <f t="shared" si="1"/>
        <v>OK</v>
      </c>
      <c r="B523" s="3" t="str">
        <f t="shared" si="2"/>
        <v>OK</v>
      </c>
      <c r="C523" s="3">
        <v>7715.0</v>
      </c>
      <c r="D523" s="4" t="s">
        <v>1054</v>
      </c>
      <c r="E523" s="3" t="s">
        <v>1055</v>
      </c>
      <c r="F523" s="3" t="s">
        <v>17</v>
      </c>
      <c r="G523" s="3" t="str">
        <f t="shared" si="3"/>
        <v>PURNA2025-PLG1</v>
      </c>
      <c r="H523" s="3" t="str">
        <f>VLOOKUP($C523,Userpass!$A$2:$L$3001,12,FALSE)</f>
        <v>PLG1</v>
      </c>
      <c r="I523" s="5" t="s">
        <v>14</v>
      </c>
      <c r="J523" s="3">
        <v>2022.0</v>
      </c>
      <c r="K523" s="4" t="str">
        <f>VLOOKUP($C523,Userpass!$A$2:$R$3001,2,FALSE)</f>
        <v>plg20227715.alumni@smkn12malang.sch.id</v>
      </c>
    </row>
    <row r="524" hidden="1">
      <c r="A524" s="3" t="str">
        <f t="shared" si="1"/>
        <v>OK</v>
      </c>
      <c r="B524" s="3" t="str">
        <f t="shared" si="2"/>
        <v>OK</v>
      </c>
      <c r="C524" s="3">
        <v>7742.0</v>
      </c>
      <c r="D524" s="4" t="s">
        <v>1056</v>
      </c>
      <c r="E524" s="3" t="s">
        <v>1057</v>
      </c>
      <c r="F524" s="3" t="s">
        <v>17</v>
      </c>
      <c r="G524" s="3" t="str">
        <f t="shared" si="3"/>
        <v>PURNA2025-PLG1</v>
      </c>
      <c r="H524" s="3" t="str">
        <f>VLOOKUP($C524,Userpass!$A$2:$L$3001,12,FALSE)</f>
        <v>PLG1</v>
      </c>
      <c r="I524" s="5" t="s">
        <v>14</v>
      </c>
      <c r="J524" s="3">
        <v>2022.0</v>
      </c>
      <c r="K524" s="4" t="str">
        <f>VLOOKUP($C524,Userpass!$A$2:$R$3001,2,FALSE)</f>
        <v>plg20227742.alumni@smkn12malang.sch.id</v>
      </c>
    </row>
    <row r="525" hidden="1">
      <c r="A525" s="3" t="str">
        <f t="shared" si="1"/>
        <v>OK</v>
      </c>
      <c r="B525" s="3" t="str">
        <f t="shared" si="2"/>
        <v>OK</v>
      </c>
      <c r="C525" s="3">
        <v>7766.0</v>
      </c>
      <c r="D525" s="4" t="s">
        <v>1058</v>
      </c>
      <c r="E525" s="3" t="s">
        <v>1059</v>
      </c>
      <c r="F525" s="3" t="s">
        <v>17</v>
      </c>
      <c r="G525" s="3" t="str">
        <f t="shared" si="3"/>
        <v>PURNA2025-PLG1</v>
      </c>
      <c r="H525" s="3" t="str">
        <f>VLOOKUP($C525,Userpass!$A$2:$L$3001,12,FALSE)</f>
        <v>PLG1</v>
      </c>
      <c r="I525" s="5" t="s">
        <v>14</v>
      </c>
      <c r="J525" s="3">
        <v>2022.0</v>
      </c>
      <c r="K525" s="4" t="str">
        <f>VLOOKUP($C525,Userpass!$A$2:$R$3001,2,FALSE)</f>
        <v>plg20227766.alumni@smkn12malang.sch.id</v>
      </c>
    </row>
    <row r="526" hidden="1">
      <c r="A526" s="3" t="str">
        <f t="shared" si="1"/>
        <v>OK</v>
      </c>
      <c r="B526" s="3" t="str">
        <f t="shared" si="2"/>
        <v>OK</v>
      </c>
      <c r="C526" s="3">
        <v>7781.0</v>
      </c>
      <c r="D526" s="4" t="s">
        <v>1060</v>
      </c>
      <c r="E526" s="3" t="s">
        <v>1061</v>
      </c>
      <c r="F526" s="3" t="s">
        <v>17</v>
      </c>
      <c r="G526" s="3" t="str">
        <f t="shared" si="3"/>
        <v>PURNA2025-PLG1</v>
      </c>
      <c r="H526" s="3" t="str">
        <f>VLOOKUP($C526,Userpass!$A$2:$L$3001,12,FALSE)</f>
        <v>PLG1</v>
      </c>
      <c r="I526" s="5" t="s">
        <v>14</v>
      </c>
      <c r="J526" s="3">
        <v>2022.0</v>
      </c>
      <c r="K526" s="4" t="str">
        <f>VLOOKUP($C526,Userpass!$A$2:$R$3001,2,FALSE)</f>
        <v>plg20227781.alumni@smkn12malang.sch.id</v>
      </c>
    </row>
    <row r="527" hidden="1">
      <c r="A527" s="3" t="str">
        <f t="shared" si="1"/>
        <v>OK</v>
      </c>
      <c r="B527" s="3" t="str">
        <f t="shared" si="2"/>
        <v>OK</v>
      </c>
      <c r="C527" s="3">
        <v>7799.0</v>
      </c>
      <c r="D527" s="4" t="s">
        <v>1062</v>
      </c>
      <c r="E527" s="3" t="s">
        <v>1063</v>
      </c>
      <c r="F527" s="3" t="s">
        <v>17</v>
      </c>
      <c r="G527" s="3" t="str">
        <f t="shared" si="3"/>
        <v>PURNA2025-PLG1</v>
      </c>
      <c r="H527" s="3" t="str">
        <f>VLOOKUP($C527,Userpass!$A$2:$L$3001,12,FALSE)</f>
        <v>PLG1</v>
      </c>
      <c r="I527" s="5" t="s">
        <v>14</v>
      </c>
      <c r="J527" s="3">
        <v>2022.0</v>
      </c>
      <c r="K527" s="4" t="str">
        <f>VLOOKUP($C527,Userpass!$A$2:$R$3001,2,FALSE)</f>
        <v>plg20227799.alumni@smkn12malang.sch.id</v>
      </c>
    </row>
    <row r="528" hidden="1">
      <c r="A528" s="3" t="str">
        <f t="shared" si="1"/>
        <v>OK</v>
      </c>
      <c r="B528" s="3" t="str">
        <f t="shared" si="2"/>
        <v>OK</v>
      </c>
      <c r="C528" s="3">
        <v>7802.0</v>
      </c>
      <c r="D528" s="4" t="s">
        <v>1064</v>
      </c>
      <c r="E528" s="3" t="s">
        <v>1065</v>
      </c>
      <c r="F528" s="3" t="s">
        <v>17</v>
      </c>
      <c r="G528" s="3" t="str">
        <f t="shared" si="3"/>
        <v>PURNA2025-PLG1</v>
      </c>
      <c r="H528" s="3" t="str">
        <f>VLOOKUP($C528,Userpass!$A$2:$L$3001,12,FALSE)</f>
        <v>PLG1</v>
      </c>
      <c r="I528" s="5" t="s">
        <v>14</v>
      </c>
      <c r="J528" s="3">
        <v>2022.0</v>
      </c>
      <c r="K528" s="4" t="str">
        <f>VLOOKUP($C528,Userpass!$A$2:$R$3001,2,FALSE)</f>
        <v>plg20227802.alumni@smkn12malang.sch.id</v>
      </c>
    </row>
    <row r="529" hidden="1">
      <c r="A529" s="3" t="str">
        <f t="shared" si="1"/>
        <v>OK</v>
      </c>
      <c r="B529" s="3" t="str">
        <f t="shared" si="2"/>
        <v>OK</v>
      </c>
      <c r="C529" s="3">
        <v>7830.0</v>
      </c>
      <c r="D529" s="4" t="s">
        <v>1066</v>
      </c>
      <c r="E529" s="3" t="s">
        <v>1067</v>
      </c>
      <c r="F529" s="3" t="s">
        <v>17</v>
      </c>
      <c r="G529" s="3" t="str">
        <f t="shared" si="3"/>
        <v>PURNA2025-PLG1</v>
      </c>
      <c r="H529" s="3" t="str">
        <f>VLOOKUP($C529,Userpass!$A$2:$L$3001,12,FALSE)</f>
        <v>PLG1</v>
      </c>
      <c r="I529" s="5" t="s">
        <v>14</v>
      </c>
      <c r="J529" s="3">
        <v>2022.0</v>
      </c>
      <c r="K529" s="4" t="str">
        <f>VLOOKUP($C529,Userpass!$A$2:$R$3001,2,FALSE)</f>
        <v>plg20227830.alumni@smkn12malang.sch.id</v>
      </c>
    </row>
    <row r="530" hidden="1">
      <c r="A530" s="3" t="str">
        <f t="shared" si="1"/>
        <v>OK</v>
      </c>
      <c r="B530" s="3" t="str">
        <f t="shared" si="2"/>
        <v>OK</v>
      </c>
      <c r="C530" s="3">
        <v>7845.0</v>
      </c>
      <c r="D530" s="4" t="s">
        <v>1068</v>
      </c>
      <c r="E530" s="3" t="s">
        <v>1069</v>
      </c>
      <c r="F530" s="3" t="s">
        <v>17</v>
      </c>
      <c r="G530" s="3" t="str">
        <f t="shared" si="3"/>
        <v>PURNA2025-PLG1</v>
      </c>
      <c r="H530" s="3" t="str">
        <f>VLOOKUP($C530,Userpass!$A$2:$L$3001,12,FALSE)</f>
        <v>PLG1</v>
      </c>
      <c r="I530" s="5" t="s">
        <v>14</v>
      </c>
      <c r="J530" s="3">
        <v>2022.0</v>
      </c>
      <c r="K530" s="4" t="str">
        <f>VLOOKUP($C530,Userpass!$A$2:$R$3001,2,FALSE)</f>
        <v>plg20227845.alumni@smkn12malang.sch.id</v>
      </c>
    </row>
    <row r="531" hidden="1">
      <c r="A531" s="3" t="str">
        <f t="shared" si="1"/>
        <v>OK</v>
      </c>
      <c r="B531" s="3" t="str">
        <f t="shared" si="2"/>
        <v>OK</v>
      </c>
      <c r="C531" s="3">
        <v>7855.0</v>
      </c>
      <c r="D531" s="4" t="s">
        <v>1070</v>
      </c>
      <c r="E531" s="3" t="s">
        <v>1071</v>
      </c>
      <c r="F531" s="3" t="s">
        <v>17</v>
      </c>
      <c r="G531" s="3" t="str">
        <f t="shared" si="3"/>
        <v>PURNA2025-PLG1</v>
      </c>
      <c r="H531" s="3" t="str">
        <f>VLOOKUP($C531,Userpass!$A$2:$L$3001,12,FALSE)</f>
        <v>PLG1</v>
      </c>
      <c r="I531" s="5" t="s">
        <v>14</v>
      </c>
      <c r="J531" s="3">
        <v>2022.0</v>
      </c>
      <c r="K531" s="4" t="str">
        <f>VLOOKUP($C531,Userpass!$A$2:$R$3001,2,FALSE)</f>
        <v>plg20227855.alumni@smkn12malang.sch.id</v>
      </c>
    </row>
    <row r="532" hidden="1">
      <c r="A532" s="3" t="str">
        <f t="shared" si="1"/>
        <v>OK</v>
      </c>
      <c r="B532" s="3" t="str">
        <f t="shared" si="2"/>
        <v>OK</v>
      </c>
      <c r="C532" s="3">
        <v>7866.0</v>
      </c>
      <c r="D532" s="4" t="s">
        <v>1072</v>
      </c>
      <c r="E532" s="3" t="s">
        <v>1073</v>
      </c>
      <c r="F532" s="3" t="s">
        <v>17</v>
      </c>
      <c r="G532" s="3" t="str">
        <f t="shared" si="3"/>
        <v>PURNA2025-PLG1</v>
      </c>
      <c r="H532" s="3" t="str">
        <f>VLOOKUP($C532,Userpass!$A$2:$L$3001,12,FALSE)</f>
        <v>PLG1</v>
      </c>
      <c r="I532" s="5" t="s">
        <v>14</v>
      </c>
      <c r="J532" s="3">
        <v>2022.0</v>
      </c>
      <c r="K532" s="4" t="str">
        <f>VLOOKUP($C532,Userpass!$A$2:$R$3001,2,FALSE)</f>
        <v>plg20227866.alumni@smkn12malang.sch.id</v>
      </c>
    </row>
    <row r="533" hidden="1">
      <c r="A533" s="3" t="str">
        <f t="shared" si="1"/>
        <v>OK</v>
      </c>
      <c r="B533" s="3" t="str">
        <f t="shared" si="2"/>
        <v>OK</v>
      </c>
      <c r="C533" s="3">
        <v>7871.0</v>
      </c>
      <c r="D533" s="4" t="s">
        <v>1074</v>
      </c>
      <c r="E533" s="3" t="s">
        <v>1075</v>
      </c>
      <c r="F533" s="3" t="s">
        <v>17</v>
      </c>
      <c r="G533" s="3" t="str">
        <f t="shared" si="3"/>
        <v>PURNA2025-PLG1</v>
      </c>
      <c r="H533" s="3" t="str">
        <f>VLOOKUP($C533,Userpass!$A$2:$L$3001,12,FALSE)</f>
        <v>PLG1</v>
      </c>
      <c r="I533" s="5" t="s">
        <v>14</v>
      </c>
      <c r="J533" s="3">
        <v>2022.0</v>
      </c>
      <c r="K533" s="4" t="str">
        <f>VLOOKUP($C533,Userpass!$A$2:$R$3001,2,FALSE)</f>
        <v>plg20227871.alumni@smkn12malang.sch.id</v>
      </c>
    </row>
    <row r="534" hidden="1">
      <c r="A534" s="3" t="str">
        <f t="shared" si="1"/>
        <v>OK</v>
      </c>
      <c r="B534" s="3" t="str">
        <f t="shared" si="2"/>
        <v>OK</v>
      </c>
      <c r="C534" s="3">
        <v>7876.0</v>
      </c>
      <c r="D534" s="4" t="s">
        <v>1076</v>
      </c>
      <c r="E534" s="3" t="s">
        <v>1077</v>
      </c>
      <c r="F534" s="3" t="s">
        <v>17</v>
      </c>
      <c r="G534" s="3" t="str">
        <f t="shared" si="3"/>
        <v>PURNA2025-PLG1</v>
      </c>
      <c r="H534" s="3" t="str">
        <f>VLOOKUP($C534,Userpass!$A$2:$L$3001,12,FALSE)</f>
        <v>PLG1</v>
      </c>
      <c r="I534" s="5" t="s">
        <v>14</v>
      </c>
      <c r="J534" s="3">
        <v>2022.0</v>
      </c>
      <c r="K534" s="4" t="str">
        <f>VLOOKUP($C534,Userpass!$A$2:$R$3001,2,FALSE)</f>
        <v>plg20227876.alumni@smkn12malang.sch.id</v>
      </c>
    </row>
    <row r="535" hidden="1">
      <c r="A535" s="3" t="str">
        <f t="shared" si="1"/>
        <v>OK</v>
      </c>
      <c r="B535" s="3" t="str">
        <f t="shared" si="2"/>
        <v>OK</v>
      </c>
      <c r="C535" s="3">
        <v>7879.0</v>
      </c>
      <c r="D535" s="4" t="s">
        <v>1078</v>
      </c>
      <c r="E535" s="3" t="s">
        <v>1079</v>
      </c>
      <c r="F535" s="3" t="s">
        <v>17</v>
      </c>
      <c r="G535" s="3" t="str">
        <f t="shared" si="3"/>
        <v>PURNA2025-PLG1</v>
      </c>
      <c r="H535" s="3" t="str">
        <f>VLOOKUP($C535,Userpass!$A$2:$L$3001,12,FALSE)</f>
        <v>PLG1</v>
      </c>
      <c r="I535" s="5" t="s">
        <v>14</v>
      </c>
      <c r="J535" s="3">
        <v>2022.0</v>
      </c>
      <c r="K535" s="4" t="str">
        <f>VLOOKUP($C535,Userpass!$A$2:$R$3001,2,FALSE)</f>
        <v>plg20227879.alumni@smkn12malang.sch.id</v>
      </c>
    </row>
    <row r="536" hidden="1">
      <c r="A536" s="3" t="str">
        <f t="shared" si="1"/>
        <v>OK</v>
      </c>
      <c r="B536" s="3" t="str">
        <f t="shared" si="2"/>
        <v>OK</v>
      </c>
      <c r="C536" s="3">
        <v>7964.0</v>
      </c>
      <c r="D536" s="4" t="s">
        <v>1080</v>
      </c>
      <c r="E536" s="3" t="s">
        <v>1081</v>
      </c>
      <c r="F536" s="3" t="s">
        <v>17</v>
      </c>
      <c r="G536" s="3" t="str">
        <f t="shared" si="3"/>
        <v>PURNA2025-PLG1</v>
      </c>
      <c r="H536" s="3" t="str">
        <f>VLOOKUP($C536,Userpass!$A$2:$L$3001,12,FALSE)</f>
        <v>PLG1</v>
      </c>
      <c r="I536" s="5" t="s">
        <v>14</v>
      </c>
      <c r="J536" s="3">
        <v>2022.0</v>
      </c>
      <c r="K536" s="4" t="str">
        <f>VLOOKUP($C536,Userpass!$A$2:$R$3001,2,FALSE)</f>
        <v>plg20227964.alumni@smkn12malang.sch.id</v>
      </c>
    </row>
    <row r="537" hidden="1">
      <c r="A537" s="3" t="str">
        <f t="shared" si="1"/>
        <v>OK</v>
      </c>
      <c r="B537" s="3" t="str">
        <f t="shared" si="2"/>
        <v>OK</v>
      </c>
      <c r="C537" s="3">
        <v>7968.0</v>
      </c>
      <c r="D537" s="4" t="s">
        <v>1082</v>
      </c>
      <c r="E537" s="3" t="s">
        <v>1083</v>
      </c>
      <c r="F537" s="3" t="s">
        <v>17</v>
      </c>
      <c r="G537" s="3" t="str">
        <f t="shared" si="3"/>
        <v>PURNA2025-PLG1</v>
      </c>
      <c r="H537" s="3" t="str">
        <f>VLOOKUP($C537,Userpass!$A$2:$L$3001,12,FALSE)</f>
        <v>PLG1</v>
      </c>
      <c r="I537" s="5" t="s">
        <v>14</v>
      </c>
      <c r="J537" s="3">
        <v>2022.0</v>
      </c>
      <c r="K537" s="4" t="str">
        <f>VLOOKUP($C537,Userpass!$A$2:$R$3001,2,FALSE)</f>
        <v>plg20227968.alumni@smkn12malang.sch.id</v>
      </c>
    </row>
    <row r="538" hidden="1">
      <c r="A538" s="3" t="str">
        <f t="shared" si="1"/>
        <v>OK</v>
      </c>
      <c r="B538" s="3" t="str">
        <f t="shared" si="2"/>
        <v>OK</v>
      </c>
      <c r="C538" s="3">
        <v>7975.0</v>
      </c>
      <c r="D538" s="4" t="s">
        <v>1084</v>
      </c>
      <c r="E538" s="3" t="s">
        <v>1085</v>
      </c>
      <c r="F538" s="3" t="s">
        <v>17</v>
      </c>
      <c r="G538" s="3" t="str">
        <f t="shared" si="3"/>
        <v>PURNA2025-PLG1</v>
      </c>
      <c r="H538" s="3" t="str">
        <f>VLOOKUP($C538,Userpass!$A$2:$L$3001,12,FALSE)</f>
        <v>PLG1</v>
      </c>
      <c r="I538" s="5" t="s">
        <v>14</v>
      </c>
      <c r="J538" s="3">
        <v>2022.0</v>
      </c>
      <c r="K538" s="4" t="str">
        <f>VLOOKUP($C538,Userpass!$A$2:$R$3001,2,FALSE)</f>
        <v>plg20227975.alumni@smkn12malang.sch.id</v>
      </c>
    </row>
    <row r="539" hidden="1">
      <c r="A539" s="3" t="str">
        <f t="shared" si="1"/>
        <v>OK</v>
      </c>
      <c r="B539" s="3" t="str">
        <f t="shared" si="2"/>
        <v>OK</v>
      </c>
      <c r="C539" s="3">
        <v>7976.0</v>
      </c>
      <c r="D539" s="4" t="s">
        <v>1086</v>
      </c>
      <c r="E539" s="3" t="s">
        <v>1087</v>
      </c>
      <c r="F539" s="3" t="s">
        <v>17</v>
      </c>
      <c r="G539" s="3" t="str">
        <f t="shared" si="3"/>
        <v>PURNA2025-PLG1</v>
      </c>
      <c r="H539" s="3" t="str">
        <f>VLOOKUP($C539,Userpass!$A$2:$L$3001,12,FALSE)</f>
        <v>PLG1</v>
      </c>
      <c r="I539" s="5" t="s">
        <v>14</v>
      </c>
      <c r="J539" s="3">
        <v>2022.0</v>
      </c>
      <c r="K539" s="4" t="str">
        <f>VLOOKUP($C539,Userpass!$A$2:$R$3001,2,FALSE)</f>
        <v>plg20227976.alumni@smkn12malang.sch.id</v>
      </c>
    </row>
    <row r="540" hidden="1">
      <c r="A540" s="3" t="str">
        <f t="shared" si="1"/>
        <v>OK</v>
      </c>
      <c r="B540" s="3" t="str">
        <f t="shared" si="2"/>
        <v>OK</v>
      </c>
      <c r="C540" s="3">
        <v>7985.0</v>
      </c>
      <c r="D540" s="4" t="s">
        <v>1088</v>
      </c>
      <c r="E540" s="3" t="s">
        <v>1089</v>
      </c>
      <c r="F540" s="3" t="s">
        <v>17</v>
      </c>
      <c r="G540" s="3" t="str">
        <f t="shared" si="3"/>
        <v>PURNA2025-PLG1</v>
      </c>
      <c r="H540" s="3" t="str">
        <f>VLOOKUP($C540,Userpass!$A$2:$L$3001,12,FALSE)</f>
        <v>PLG1</v>
      </c>
      <c r="I540" s="5" t="s">
        <v>14</v>
      </c>
      <c r="J540" s="3">
        <v>2022.0</v>
      </c>
      <c r="K540" s="4" t="str">
        <f>VLOOKUP($C540,Userpass!$A$2:$R$3001,2,FALSE)</f>
        <v>plg20227985.alumni@smkn12malang.sch.id</v>
      </c>
    </row>
    <row r="541" hidden="1">
      <c r="A541" s="3" t="str">
        <f t="shared" si="1"/>
        <v>OK</v>
      </c>
      <c r="B541" s="3" t="str">
        <f t="shared" si="2"/>
        <v>OK</v>
      </c>
      <c r="C541" s="3">
        <v>7988.0</v>
      </c>
      <c r="D541" s="4" t="s">
        <v>1090</v>
      </c>
      <c r="E541" s="3" t="s">
        <v>1091</v>
      </c>
      <c r="F541" s="3" t="s">
        <v>17</v>
      </c>
      <c r="G541" s="3" t="str">
        <f t="shared" si="3"/>
        <v>PURNA2025-PLG1</v>
      </c>
      <c r="H541" s="3" t="str">
        <f>VLOOKUP($C541,Userpass!$A$2:$L$3001,12,FALSE)</f>
        <v>PLG1</v>
      </c>
      <c r="I541" s="5" t="s">
        <v>14</v>
      </c>
      <c r="J541" s="3">
        <v>2022.0</v>
      </c>
      <c r="K541" s="4" t="str">
        <f>VLOOKUP($C541,Userpass!$A$2:$R$3001,2,FALSE)</f>
        <v>plg20227988.alumni@smkn12malang.sch.id</v>
      </c>
    </row>
    <row r="542" hidden="1">
      <c r="A542" s="3" t="str">
        <f t="shared" si="1"/>
        <v>OK</v>
      </c>
      <c r="B542" s="3" t="str">
        <f t="shared" si="2"/>
        <v>OK</v>
      </c>
      <c r="C542" s="3">
        <v>8008.0</v>
      </c>
      <c r="D542" s="4" t="s">
        <v>1092</v>
      </c>
      <c r="E542" s="3" t="s">
        <v>1093</v>
      </c>
      <c r="F542" s="3" t="s">
        <v>17</v>
      </c>
      <c r="G542" s="3" t="str">
        <f t="shared" si="3"/>
        <v>PURNA2025-PLG1</v>
      </c>
      <c r="H542" s="3" t="str">
        <f>VLOOKUP($C542,Userpass!$A$2:$L$3001,12,FALSE)</f>
        <v>PLG1</v>
      </c>
      <c r="I542" s="5" t="s">
        <v>14</v>
      </c>
      <c r="J542" s="3">
        <v>2022.0</v>
      </c>
      <c r="K542" s="4" t="str">
        <f>VLOOKUP($C542,Userpass!$A$2:$R$3001,2,FALSE)</f>
        <v>plg20228008.alumni@smkn12malang.sch.id</v>
      </c>
    </row>
    <row r="543" hidden="1">
      <c r="A543" s="3" t="str">
        <f t="shared" si="1"/>
        <v>OK</v>
      </c>
      <c r="B543" s="3" t="str">
        <f t="shared" si="2"/>
        <v>OK</v>
      </c>
      <c r="C543" s="3">
        <v>7469.0</v>
      </c>
      <c r="D543" s="4" t="s">
        <v>1094</v>
      </c>
      <c r="E543" s="3" t="s">
        <v>1095</v>
      </c>
      <c r="F543" s="3" t="s">
        <v>13</v>
      </c>
      <c r="G543" s="3" t="str">
        <f t="shared" si="3"/>
        <v>PURNA2025-PLG2</v>
      </c>
      <c r="H543" s="3" t="str">
        <f>VLOOKUP($C543,Userpass!$A$2:$L$3001,12,FALSE)</f>
        <v>PLG2</v>
      </c>
      <c r="I543" s="5" t="s">
        <v>14</v>
      </c>
      <c r="J543" s="3">
        <v>2022.0</v>
      </c>
      <c r="K543" s="4" t="str">
        <f>VLOOKUP($C543,Userpass!$A$2:$R$3001,2,FALSE)</f>
        <v>plg20227469.alumni@smkn12malang.sch.id</v>
      </c>
    </row>
    <row r="544" hidden="1">
      <c r="A544" s="3" t="str">
        <f t="shared" si="1"/>
        <v>OK</v>
      </c>
      <c r="B544" s="3" t="str">
        <f t="shared" si="2"/>
        <v>OK</v>
      </c>
      <c r="C544" s="3">
        <v>7502.0</v>
      </c>
      <c r="D544" s="4" t="s">
        <v>1096</v>
      </c>
      <c r="E544" s="3" t="s">
        <v>1097</v>
      </c>
      <c r="F544" s="3" t="s">
        <v>13</v>
      </c>
      <c r="G544" s="3" t="str">
        <f t="shared" si="3"/>
        <v>PURNA2025-PLG2</v>
      </c>
      <c r="H544" s="3" t="str">
        <f>VLOOKUP($C544,Userpass!$A$2:$L$3001,12,FALSE)</f>
        <v>PLG2</v>
      </c>
      <c r="I544" s="5" t="s">
        <v>14</v>
      </c>
      <c r="J544" s="3">
        <v>2022.0</v>
      </c>
      <c r="K544" s="4" t="str">
        <f>VLOOKUP($C544,Userpass!$A$2:$R$3001,2,FALSE)</f>
        <v>plg20227502.alumni@smkn12malang.sch.id</v>
      </c>
    </row>
    <row r="545" hidden="1">
      <c r="A545" s="3" t="str">
        <f t="shared" si="1"/>
        <v>OK</v>
      </c>
      <c r="B545" s="3" t="str">
        <f t="shared" si="2"/>
        <v>OK</v>
      </c>
      <c r="C545" s="3">
        <v>7536.0</v>
      </c>
      <c r="D545" s="4" t="s">
        <v>1098</v>
      </c>
      <c r="E545" s="3" t="s">
        <v>1099</v>
      </c>
      <c r="F545" s="3" t="s">
        <v>13</v>
      </c>
      <c r="G545" s="3" t="str">
        <f t="shared" si="3"/>
        <v>PURNA2025-PLG2</v>
      </c>
      <c r="H545" s="3" t="str">
        <f>VLOOKUP($C545,Userpass!$A$2:$L$3001,12,FALSE)</f>
        <v>PLG2</v>
      </c>
      <c r="I545" s="5" t="s">
        <v>14</v>
      </c>
      <c r="J545" s="3">
        <v>2022.0</v>
      </c>
      <c r="K545" s="4" t="str">
        <f>VLOOKUP($C545,Userpass!$A$2:$R$3001,2,FALSE)</f>
        <v>plg20227536.alumni@smkn12malang.sch.id</v>
      </c>
    </row>
    <row r="546" hidden="1">
      <c r="A546" s="3" t="str">
        <f t="shared" si="1"/>
        <v>OK</v>
      </c>
      <c r="B546" s="3" t="str">
        <f t="shared" si="2"/>
        <v>OK</v>
      </c>
      <c r="C546" s="3">
        <v>7549.0</v>
      </c>
      <c r="D546" s="4" t="s">
        <v>1100</v>
      </c>
      <c r="E546" s="3" t="s">
        <v>1101</v>
      </c>
      <c r="F546" s="3" t="s">
        <v>17</v>
      </c>
      <c r="G546" s="3" t="str">
        <f t="shared" si="3"/>
        <v>PURNA2025-PLG2</v>
      </c>
      <c r="H546" s="3" t="str">
        <f>VLOOKUP($C546,Userpass!$A$2:$L$3001,12,FALSE)</f>
        <v>PLG2</v>
      </c>
      <c r="I546" s="5" t="s">
        <v>14</v>
      </c>
      <c r="J546" s="3">
        <v>2022.0</v>
      </c>
      <c r="K546" s="4" t="str">
        <f>VLOOKUP($C546,Userpass!$A$2:$R$3001,2,FALSE)</f>
        <v>plg20227549.alumni@smkn12malang.sch.id</v>
      </c>
    </row>
    <row r="547" hidden="1">
      <c r="A547" s="3" t="str">
        <f t="shared" si="1"/>
        <v>OK</v>
      </c>
      <c r="B547" s="3" t="str">
        <f t="shared" si="2"/>
        <v>OK</v>
      </c>
      <c r="C547" s="3">
        <v>7566.0</v>
      </c>
      <c r="D547" s="4" t="s">
        <v>1102</v>
      </c>
      <c r="E547" s="3" t="s">
        <v>1103</v>
      </c>
      <c r="F547" s="3" t="s">
        <v>17</v>
      </c>
      <c r="G547" s="3" t="str">
        <f t="shared" si="3"/>
        <v>PURNA2025-PLG2</v>
      </c>
      <c r="H547" s="3" t="str">
        <f>VLOOKUP($C547,Userpass!$A$2:$L$3001,12,FALSE)</f>
        <v>PLG2</v>
      </c>
      <c r="I547" s="5" t="s">
        <v>14</v>
      </c>
      <c r="J547" s="3">
        <v>2022.0</v>
      </c>
      <c r="K547" s="4" t="str">
        <f>VLOOKUP($C547,Userpass!$A$2:$R$3001,2,FALSE)</f>
        <v>plg20227566.alumni@smkn12malang.sch.id</v>
      </c>
    </row>
    <row r="548" hidden="1">
      <c r="A548" s="3" t="str">
        <f t="shared" si="1"/>
        <v>OK</v>
      </c>
      <c r="B548" s="3" t="str">
        <f t="shared" si="2"/>
        <v>OK</v>
      </c>
      <c r="C548" s="3">
        <v>7573.0</v>
      </c>
      <c r="D548" s="4" t="s">
        <v>1104</v>
      </c>
      <c r="E548" s="3" t="s">
        <v>1105</v>
      </c>
      <c r="F548" s="3" t="s">
        <v>13</v>
      </c>
      <c r="G548" s="3" t="str">
        <f t="shared" si="3"/>
        <v>PURNA2025-PLG2</v>
      </c>
      <c r="H548" s="3" t="str">
        <f>VLOOKUP($C548,Userpass!$A$2:$L$3001,12,FALSE)</f>
        <v>PLG2</v>
      </c>
      <c r="I548" s="5" t="s">
        <v>14</v>
      </c>
      <c r="J548" s="3">
        <v>2022.0</v>
      </c>
      <c r="K548" s="4" t="str">
        <f>VLOOKUP($C548,Userpass!$A$2:$R$3001,2,FALSE)</f>
        <v>plg20227573.alumni@smkn12malang.sch.id</v>
      </c>
    </row>
    <row r="549" hidden="1">
      <c r="A549" s="3" t="str">
        <f t="shared" si="1"/>
        <v>OK</v>
      </c>
      <c r="B549" s="3" t="str">
        <f t="shared" si="2"/>
        <v>OK</v>
      </c>
      <c r="C549" s="3">
        <v>7582.0</v>
      </c>
      <c r="D549" s="4" t="s">
        <v>1106</v>
      </c>
      <c r="E549" s="3" t="s">
        <v>1107</v>
      </c>
      <c r="F549" s="3" t="s">
        <v>17</v>
      </c>
      <c r="G549" s="3" t="str">
        <f t="shared" si="3"/>
        <v>PURNA2025-PLG2</v>
      </c>
      <c r="H549" s="3" t="str">
        <f>VLOOKUP($C549,Userpass!$A$2:$L$3001,12,FALSE)</f>
        <v>PLG2</v>
      </c>
      <c r="I549" s="5" t="s">
        <v>14</v>
      </c>
      <c r="J549" s="3">
        <v>2022.0</v>
      </c>
      <c r="K549" s="4" t="str">
        <f>VLOOKUP($C549,Userpass!$A$2:$R$3001,2,FALSE)</f>
        <v>plg20227582.alumni@smkn12malang.sch.id</v>
      </c>
    </row>
    <row r="550" hidden="1">
      <c r="A550" s="3" t="str">
        <f t="shared" si="1"/>
        <v>OK</v>
      </c>
      <c r="B550" s="3" t="str">
        <f t="shared" si="2"/>
        <v>OK</v>
      </c>
      <c r="C550" s="3">
        <v>7597.0</v>
      </c>
      <c r="D550" s="4" t="s">
        <v>1108</v>
      </c>
      <c r="E550" s="3" t="s">
        <v>1109</v>
      </c>
      <c r="F550" s="3" t="s">
        <v>13</v>
      </c>
      <c r="G550" s="3" t="str">
        <f t="shared" si="3"/>
        <v>PURNA2025-PLG2</v>
      </c>
      <c r="H550" s="3" t="str">
        <f>VLOOKUP($C550,Userpass!$A$2:$L$3001,12,FALSE)</f>
        <v>PLG2</v>
      </c>
      <c r="I550" s="5" t="s">
        <v>14</v>
      </c>
      <c r="J550" s="3">
        <v>2022.0</v>
      </c>
      <c r="K550" s="4" t="str">
        <f>VLOOKUP($C550,Userpass!$A$2:$R$3001,2,FALSE)</f>
        <v>plg20227597.alumni@smkn12malang.sch.id</v>
      </c>
    </row>
    <row r="551" hidden="1">
      <c r="A551" s="3" t="str">
        <f t="shared" si="1"/>
        <v>OK</v>
      </c>
      <c r="B551" s="3" t="str">
        <f t="shared" si="2"/>
        <v>OK</v>
      </c>
      <c r="C551" s="3">
        <v>7610.0</v>
      </c>
      <c r="D551" s="4" t="s">
        <v>1110</v>
      </c>
      <c r="E551" s="3" t="s">
        <v>1111</v>
      </c>
      <c r="F551" s="3" t="s">
        <v>17</v>
      </c>
      <c r="G551" s="3" t="str">
        <f t="shared" si="3"/>
        <v>PURNA2025-PLG2</v>
      </c>
      <c r="H551" s="3" t="str">
        <f>VLOOKUP($C551,Userpass!$A$2:$L$3001,12,FALSE)</f>
        <v>PLG2</v>
      </c>
      <c r="I551" s="5" t="s">
        <v>14</v>
      </c>
      <c r="J551" s="3">
        <v>2022.0</v>
      </c>
      <c r="K551" s="4" t="str">
        <f>VLOOKUP($C551,Userpass!$A$2:$R$3001,2,FALSE)</f>
        <v>plg20227610.alumni@smkn12malang.sch.id</v>
      </c>
    </row>
    <row r="552" hidden="1">
      <c r="A552" s="3" t="str">
        <f t="shared" si="1"/>
        <v>OK</v>
      </c>
      <c r="B552" s="3" t="str">
        <f t="shared" si="2"/>
        <v>OK</v>
      </c>
      <c r="C552" s="3">
        <v>7635.0</v>
      </c>
      <c r="D552" s="4" t="s">
        <v>1112</v>
      </c>
      <c r="E552" s="3" t="s">
        <v>1113</v>
      </c>
      <c r="F552" s="3" t="s">
        <v>13</v>
      </c>
      <c r="G552" s="3" t="str">
        <f t="shared" si="3"/>
        <v>PURNA2025-PLG2</v>
      </c>
      <c r="H552" s="3" t="str">
        <f>VLOOKUP($C552,Userpass!$A$2:$L$3001,12,FALSE)</f>
        <v>PLG2</v>
      </c>
      <c r="I552" s="5" t="s">
        <v>14</v>
      </c>
      <c r="J552" s="3">
        <v>2022.0</v>
      </c>
      <c r="K552" s="4" t="str">
        <f>VLOOKUP($C552,Userpass!$A$2:$R$3001,2,FALSE)</f>
        <v>plg20227635.alumni@smkn12malang.sch.id</v>
      </c>
    </row>
    <row r="553" hidden="1">
      <c r="A553" s="3" t="str">
        <f t="shared" si="1"/>
        <v>OK</v>
      </c>
      <c r="B553" s="3" t="str">
        <f t="shared" si="2"/>
        <v>OK</v>
      </c>
      <c r="C553" s="3">
        <v>7682.0</v>
      </c>
      <c r="D553" s="4" t="s">
        <v>1114</v>
      </c>
      <c r="E553" s="3" t="s">
        <v>1115</v>
      </c>
      <c r="F553" s="3" t="s">
        <v>17</v>
      </c>
      <c r="G553" s="3" t="str">
        <f t="shared" si="3"/>
        <v>PURNA2025-PLG2</v>
      </c>
      <c r="H553" s="3" t="str">
        <f>VLOOKUP($C553,Userpass!$A$2:$L$3001,12,FALSE)</f>
        <v>PLG2</v>
      </c>
      <c r="I553" s="5" t="s">
        <v>14</v>
      </c>
      <c r="J553" s="3">
        <v>2022.0</v>
      </c>
      <c r="K553" s="4" t="str">
        <f>VLOOKUP($C553,Userpass!$A$2:$R$3001,2,FALSE)</f>
        <v>plg20227682.alumni@smkn12malang.sch.id</v>
      </c>
    </row>
    <row r="554" hidden="1">
      <c r="A554" s="3" t="str">
        <f t="shared" si="1"/>
        <v>OK</v>
      </c>
      <c r="B554" s="3" t="str">
        <f t="shared" si="2"/>
        <v>OK</v>
      </c>
      <c r="C554" s="3">
        <v>7693.0</v>
      </c>
      <c r="D554" s="4" t="s">
        <v>1116</v>
      </c>
      <c r="E554" s="3" t="s">
        <v>1117</v>
      </c>
      <c r="F554" s="3" t="s">
        <v>17</v>
      </c>
      <c r="G554" s="3" t="str">
        <f t="shared" si="3"/>
        <v>PURNA2025-PLG2</v>
      </c>
      <c r="H554" s="3" t="str">
        <f>VLOOKUP($C554,Userpass!$A$2:$L$3001,12,FALSE)</f>
        <v>PLG2</v>
      </c>
      <c r="I554" s="5" t="s">
        <v>14</v>
      </c>
      <c r="J554" s="3">
        <v>2022.0</v>
      </c>
      <c r="K554" s="4" t="str">
        <f>VLOOKUP($C554,Userpass!$A$2:$R$3001,2,FALSE)</f>
        <v>plg20227693.alumni@smkn12malang.sch.id</v>
      </c>
    </row>
    <row r="555" hidden="1">
      <c r="A555" s="3" t="str">
        <f t="shared" si="1"/>
        <v>OK</v>
      </c>
      <c r="B555" s="3" t="str">
        <f t="shared" si="2"/>
        <v>OK</v>
      </c>
      <c r="C555" s="3">
        <v>7705.0</v>
      </c>
      <c r="D555" s="4" t="s">
        <v>1118</v>
      </c>
      <c r="E555" s="3" t="s">
        <v>1119</v>
      </c>
      <c r="F555" s="3" t="s">
        <v>17</v>
      </c>
      <c r="G555" s="3" t="str">
        <f t="shared" si="3"/>
        <v>PURNA2025-PLG2</v>
      </c>
      <c r="H555" s="3" t="str">
        <f>VLOOKUP($C555,Userpass!$A$2:$L$3001,12,FALSE)</f>
        <v>PLG2</v>
      </c>
      <c r="I555" s="5" t="s">
        <v>14</v>
      </c>
      <c r="J555" s="3">
        <v>2022.0</v>
      </c>
      <c r="K555" s="4" t="str">
        <f>VLOOKUP($C555,Userpass!$A$2:$R$3001,2,FALSE)</f>
        <v>plg20227705.alumni@smkn12malang.sch.id</v>
      </c>
    </row>
    <row r="556" hidden="1">
      <c r="A556" s="3" t="str">
        <f t="shared" si="1"/>
        <v>OK</v>
      </c>
      <c r="B556" s="3" t="str">
        <f t="shared" si="2"/>
        <v>OK</v>
      </c>
      <c r="C556" s="3">
        <v>7728.0</v>
      </c>
      <c r="D556" s="4" t="s">
        <v>1120</v>
      </c>
      <c r="E556" s="3" t="s">
        <v>1121</v>
      </c>
      <c r="F556" s="3" t="s">
        <v>13</v>
      </c>
      <c r="G556" s="3" t="str">
        <f t="shared" si="3"/>
        <v>PURNA2025-PLG2</v>
      </c>
      <c r="H556" s="3" t="str">
        <f>VLOOKUP($C556,Userpass!$A$2:$L$3001,12,FALSE)</f>
        <v>PLG2</v>
      </c>
      <c r="I556" s="5" t="s">
        <v>14</v>
      </c>
      <c r="J556" s="3">
        <v>2022.0</v>
      </c>
      <c r="K556" s="4" t="str">
        <f>VLOOKUP($C556,Userpass!$A$2:$R$3001,2,FALSE)</f>
        <v>plg20227728.alumni@smkn12malang.sch.id</v>
      </c>
    </row>
    <row r="557" hidden="1">
      <c r="A557" s="3" t="str">
        <f t="shared" si="1"/>
        <v>OK</v>
      </c>
      <c r="B557" s="3" t="str">
        <f t="shared" si="2"/>
        <v>OK</v>
      </c>
      <c r="C557" s="3">
        <v>7771.0</v>
      </c>
      <c r="D557" s="4" t="s">
        <v>1122</v>
      </c>
      <c r="E557" s="3" t="s">
        <v>1123</v>
      </c>
      <c r="F557" s="3" t="s">
        <v>17</v>
      </c>
      <c r="G557" s="3" t="str">
        <f t="shared" si="3"/>
        <v>PURNA2025-PLG2</v>
      </c>
      <c r="H557" s="3" t="str">
        <f>VLOOKUP($C557,Userpass!$A$2:$L$3001,12,FALSE)</f>
        <v>PLG2</v>
      </c>
      <c r="I557" s="5" t="s">
        <v>14</v>
      </c>
      <c r="J557" s="3">
        <v>2022.0</v>
      </c>
      <c r="K557" s="4" t="str">
        <f>VLOOKUP($C557,Userpass!$A$2:$R$3001,2,FALSE)</f>
        <v>plg20227771.alumni@smkn12malang.sch.id</v>
      </c>
    </row>
    <row r="558" hidden="1">
      <c r="A558" s="3" t="str">
        <f t="shared" si="1"/>
        <v>OK</v>
      </c>
      <c r="B558" s="3" t="str">
        <f t="shared" si="2"/>
        <v>OK</v>
      </c>
      <c r="C558" s="3">
        <v>7776.0</v>
      </c>
      <c r="D558" s="4" t="s">
        <v>1124</v>
      </c>
      <c r="E558" s="3" t="s">
        <v>1125</v>
      </c>
      <c r="F558" s="3" t="s">
        <v>17</v>
      </c>
      <c r="G558" s="3" t="str">
        <f t="shared" si="3"/>
        <v>PURNA2025-PLG2</v>
      </c>
      <c r="H558" s="3" t="str">
        <f>VLOOKUP($C558,Userpass!$A$2:$L$3001,12,FALSE)</f>
        <v>PLG2</v>
      </c>
      <c r="I558" s="5" t="s">
        <v>14</v>
      </c>
      <c r="J558" s="3">
        <v>2022.0</v>
      </c>
      <c r="K558" s="4" t="str">
        <f>VLOOKUP($C558,Userpass!$A$2:$R$3001,2,FALSE)</f>
        <v>plg20227776.alumni@smkn12malang.sch.id</v>
      </c>
    </row>
    <row r="559" hidden="1">
      <c r="A559" s="3" t="str">
        <f t="shared" si="1"/>
        <v>OK</v>
      </c>
      <c r="B559" s="3" t="str">
        <f t="shared" si="2"/>
        <v>OK</v>
      </c>
      <c r="C559" s="3">
        <v>7792.0</v>
      </c>
      <c r="D559" s="4" t="s">
        <v>1126</v>
      </c>
      <c r="E559" s="3" t="s">
        <v>1127</v>
      </c>
      <c r="F559" s="3" t="s">
        <v>17</v>
      </c>
      <c r="G559" s="3" t="str">
        <f t="shared" si="3"/>
        <v>PURNA2025-PLG2</v>
      </c>
      <c r="H559" s="3" t="str">
        <f>VLOOKUP($C559,Userpass!$A$2:$L$3001,12,FALSE)</f>
        <v>PLG2</v>
      </c>
      <c r="I559" s="5" t="s">
        <v>14</v>
      </c>
      <c r="J559" s="3">
        <v>2022.0</v>
      </c>
      <c r="K559" s="4" t="str">
        <f>VLOOKUP($C559,Userpass!$A$2:$R$3001,2,FALSE)</f>
        <v>plg20227792.alumni@smkn12malang.sch.id</v>
      </c>
    </row>
    <row r="560" hidden="1">
      <c r="A560" s="3" t="str">
        <f t="shared" si="1"/>
        <v>OK</v>
      </c>
      <c r="B560" s="3" t="str">
        <f t="shared" si="2"/>
        <v>OK</v>
      </c>
      <c r="C560" s="3">
        <v>7821.0</v>
      </c>
      <c r="D560" s="4" t="s">
        <v>1128</v>
      </c>
      <c r="E560" s="3" t="s">
        <v>1129</v>
      </c>
      <c r="F560" s="3" t="s">
        <v>17</v>
      </c>
      <c r="G560" s="3" t="str">
        <f t="shared" si="3"/>
        <v>PURNA2025-PLG2</v>
      </c>
      <c r="H560" s="3" t="str">
        <f>VLOOKUP($C560,Userpass!$A$2:$L$3001,12,FALSE)</f>
        <v>PLG2</v>
      </c>
      <c r="I560" s="5" t="s">
        <v>14</v>
      </c>
      <c r="J560" s="3">
        <v>2022.0</v>
      </c>
      <c r="K560" s="4" t="str">
        <f>VLOOKUP($C560,Userpass!$A$2:$R$3001,2,FALSE)</f>
        <v>plg20227821.alumni@smkn12malang.sch.id</v>
      </c>
    </row>
    <row r="561" hidden="1">
      <c r="A561" s="3" t="str">
        <f t="shared" si="1"/>
        <v>OK</v>
      </c>
      <c r="B561" s="3" t="str">
        <f t="shared" si="2"/>
        <v>OK</v>
      </c>
      <c r="C561" s="3">
        <v>7833.0</v>
      </c>
      <c r="D561" s="4" t="s">
        <v>1130</v>
      </c>
      <c r="E561" s="3" t="s">
        <v>1131</v>
      </c>
      <c r="F561" s="3" t="s">
        <v>13</v>
      </c>
      <c r="G561" s="3" t="str">
        <f t="shared" si="3"/>
        <v>PURNA2025-PLG2</v>
      </c>
      <c r="H561" s="3" t="str">
        <f>VLOOKUP($C561,Userpass!$A$2:$L$3001,12,FALSE)</f>
        <v>PLG2</v>
      </c>
      <c r="I561" s="5" t="s">
        <v>14</v>
      </c>
      <c r="J561" s="3">
        <v>2022.0</v>
      </c>
      <c r="K561" s="4" t="str">
        <f>VLOOKUP($C561,Userpass!$A$2:$R$3001,2,FALSE)</f>
        <v>plg20227833.alumni@smkn12malang.sch.id</v>
      </c>
    </row>
    <row r="562" hidden="1">
      <c r="A562" s="3" t="str">
        <f t="shared" si="1"/>
        <v>OK</v>
      </c>
      <c r="B562" s="3" t="str">
        <f t="shared" si="2"/>
        <v>OK</v>
      </c>
      <c r="C562" s="3">
        <v>7836.0</v>
      </c>
      <c r="D562" s="4" t="s">
        <v>1132</v>
      </c>
      <c r="E562" s="3" t="s">
        <v>1133</v>
      </c>
      <c r="F562" s="3" t="s">
        <v>13</v>
      </c>
      <c r="G562" s="3" t="str">
        <f t="shared" si="3"/>
        <v>PURNA2025-PLG2</v>
      </c>
      <c r="H562" s="3" t="str">
        <f>VLOOKUP($C562,Userpass!$A$2:$L$3001,12,FALSE)</f>
        <v>PLG2</v>
      </c>
      <c r="I562" s="5" t="s">
        <v>14</v>
      </c>
      <c r="J562" s="3">
        <v>2022.0</v>
      </c>
      <c r="K562" s="4" t="str">
        <f>VLOOKUP($C562,Userpass!$A$2:$R$3001,2,FALSE)</f>
        <v>plg20227836.alumni@smkn12malang.sch.id</v>
      </c>
    </row>
    <row r="563" hidden="1">
      <c r="A563" s="3" t="str">
        <f t="shared" si="1"/>
        <v>OK</v>
      </c>
      <c r="B563" s="3" t="str">
        <f t="shared" si="2"/>
        <v>OK</v>
      </c>
      <c r="C563" s="3">
        <v>7861.0</v>
      </c>
      <c r="D563" s="4" t="s">
        <v>1134</v>
      </c>
      <c r="E563" s="3" t="s">
        <v>1135</v>
      </c>
      <c r="F563" s="3" t="s">
        <v>17</v>
      </c>
      <c r="G563" s="3" t="str">
        <f t="shared" si="3"/>
        <v>PURNA2025-PLG2</v>
      </c>
      <c r="H563" s="3" t="str">
        <f>VLOOKUP($C563,Userpass!$A$2:$L$3001,12,FALSE)</f>
        <v>PLG2</v>
      </c>
      <c r="I563" s="5" t="s">
        <v>14</v>
      </c>
      <c r="J563" s="3">
        <v>2022.0</v>
      </c>
      <c r="K563" s="4" t="str">
        <f>VLOOKUP($C563,Userpass!$A$2:$R$3001,2,FALSE)</f>
        <v>plg20227861.alumni@smkn12malang.sch.id</v>
      </c>
    </row>
    <row r="564" hidden="1">
      <c r="A564" s="3" t="str">
        <f t="shared" si="1"/>
        <v>OK</v>
      </c>
      <c r="B564" s="3" t="str">
        <f t="shared" si="2"/>
        <v>OK</v>
      </c>
      <c r="C564" s="3">
        <v>7884.0</v>
      </c>
      <c r="D564" s="4" t="s">
        <v>1136</v>
      </c>
      <c r="E564" s="3" t="s">
        <v>1137</v>
      </c>
      <c r="F564" s="3" t="s">
        <v>13</v>
      </c>
      <c r="G564" s="3" t="str">
        <f t="shared" si="3"/>
        <v>PURNA2025-PLG2</v>
      </c>
      <c r="H564" s="3" t="str">
        <f>VLOOKUP($C564,Userpass!$A$2:$L$3001,12,FALSE)</f>
        <v>PLG2</v>
      </c>
      <c r="I564" s="5" t="s">
        <v>14</v>
      </c>
      <c r="J564" s="3">
        <v>2022.0</v>
      </c>
      <c r="K564" s="4" t="str">
        <f>VLOOKUP($C564,Userpass!$A$2:$R$3001,2,FALSE)</f>
        <v>plg20227884.alumni@smkn12malang.sch.id</v>
      </c>
    </row>
    <row r="565" hidden="1">
      <c r="A565" s="3" t="str">
        <f t="shared" si="1"/>
        <v>OK</v>
      </c>
      <c r="B565" s="3" t="str">
        <f t="shared" si="2"/>
        <v>OK</v>
      </c>
      <c r="C565" s="3">
        <v>7905.0</v>
      </c>
      <c r="D565" s="4" t="s">
        <v>1138</v>
      </c>
      <c r="E565" s="3" t="s">
        <v>1139</v>
      </c>
      <c r="F565" s="3" t="s">
        <v>13</v>
      </c>
      <c r="G565" s="3" t="str">
        <f t="shared" si="3"/>
        <v>PURNA2025-PLG2</v>
      </c>
      <c r="H565" s="3" t="str">
        <f>VLOOKUP($C565,Userpass!$A$2:$L$3001,12,FALSE)</f>
        <v>PLG2</v>
      </c>
      <c r="I565" s="5" t="s">
        <v>14</v>
      </c>
      <c r="J565" s="3">
        <v>2022.0</v>
      </c>
      <c r="K565" s="4" t="str">
        <f>VLOOKUP($C565,Userpass!$A$2:$R$3001,2,FALSE)</f>
        <v>plg20227905.alumni@smkn12malang.sch.id</v>
      </c>
    </row>
    <row r="566" hidden="1">
      <c r="A566" s="3" t="str">
        <f t="shared" si="1"/>
        <v>OK</v>
      </c>
      <c r="B566" s="3" t="str">
        <f t="shared" si="2"/>
        <v>OK</v>
      </c>
      <c r="C566" s="3">
        <v>7909.0</v>
      </c>
      <c r="D566" s="4" t="s">
        <v>1140</v>
      </c>
      <c r="E566" s="3" t="s">
        <v>1141</v>
      </c>
      <c r="F566" s="3" t="s">
        <v>17</v>
      </c>
      <c r="G566" s="3" t="str">
        <f t="shared" si="3"/>
        <v>PURNA2025-PLG2</v>
      </c>
      <c r="H566" s="3" t="str">
        <f>VLOOKUP($C566,Userpass!$A$2:$L$3001,12,FALSE)</f>
        <v>PLG2</v>
      </c>
      <c r="I566" s="5" t="s">
        <v>14</v>
      </c>
      <c r="J566" s="3">
        <v>2022.0</v>
      </c>
      <c r="K566" s="4" t="str">
        <f>VLOOKUP($C566,Userpass!$A$2:$R$3001,2,FALSE)</f>
        <v>plg20227909.alumni@smkn12malang.sch.id</v>
      </c>
    </row>
    <row r="567" hidden="1">
      <c r="A567" s="3" t="str">
        <f t="shared" si="1"/>
        <v>OK</v>
      </c>
      <c r="B567" s="3" t="str">
        <f t="shared" si="2"/>
        <v>OK</v>
      </c>
      <c r="C567" s="3">
        <v>7913.0</v>
      </c>
      <c r="D567" s="4" t="s">
        <v>1142</v>
      </c>
      <c r="E567" s="3" t="s">
        <v>1143</v>
      </c>
      <c r="F567" s="3" t="s">
        <v>17</v>
      </c>
      <c r="G567" s="3" t="str">
        <f t="shared" si="3"/>
        <v>PURNA2025-PLG2</v>
      </c>
      <c r="H567" s="3" t="str">
        <f>VLOOKUP($C567,Userpass!$A$2:$L$3001,12,FALSE)</f>
        <v>PLG2</v>
      </c>
      <c r="I567" s="5" t="s">
        <v>14</v>
      </c>
      <c r="J567" s="3">
        <v>2022.0</v>
      </c>
      <c r="K567" s="4" t="str">
        <f>VLOOKUP($C567,Userpass!$A$2:$R$3001,2,FALSE)</f>
        <v>plg20227913.alumni@smkn12malang.sch.id</v>
      </c>
    </row>
    <row r="568" hidden="1">
      <c r="A568" s="3" t="str">
        <f t="shared" si="1"/>
        <v>OK</v>
      </c>
      <c r="B568" s="3" t="str">
        <f t="shared" si="2"/>
        <v>OK</v>
      </c>
      <c r="C568" s="3">
        <v>7915.0</v>
      </c>
      <c r="D568" s="4" t="s">
        <v>1144</v>
      </c>
      <c r="E568" s="3" t="s">
        <v>1145</v>
      </c>
      <c r="F568" s="3" t="s">
        <v>17</v>
      </c>
      <c r="G568" s="3" t="str">
        <f t="shared" si="3"/>
        <v>PURNA2025-PLG2</v>
      </c>
      <c r="H568" s="3" t="str">
        <f>VLOOKUP($C568,Userpass!$A$2:$L$3001,12,FALSE)</f>
        <v>PLG2</v>
      </c>
      <c r="I568" s="5" t="s">
        <v>14</v>
      </c>
      <c r="J568" s="3">
        <v>2022.0</v>
      </c>
      <c r="K568" s="4" t="str">
        <f>VLOOKUP($C568,Userpass!$A$2:$R$3001,2,FALSE)</f>
        <v>plg20227915.alumni@smkn12malang.sch.id</v>
      </c>
    </row>
    <row r="569" hidden="1">
      <c r="A569" s="3" t="str">
        <f t="shared" si="1"/>
        <v>OK</v>
      </c>
      <c r="B569" s="3" t="str">
        <f t="shared" si="2"/>
        <v>OK</v>
      </c>
      <c r="C569" s="3">
        <v>7918.0</v>
      </c>
      <c r="D569" s="4" t="s">
        <v>1146</v>
      </c>
      <c r="E569" s="3" t="s">
        <v>1147</v>
      </c>
      <c r="F569" s="3" t="s">
        <v>13</v>
      </c>
      <c r="G569" s="3" t="str">
        <f t="shared" si="3"/>
        <v>PURNA2025-PLG2</v>
      </c>
      <c r="H569" s="3" t="str">
        <f>VLOOKUP($C569,Userpass!$A$2:$L$3001,12,FALSE)</f>
        <v>PLG2</v>
      </c>
      <c r="I569" s="5" t="s">
        <v>14</v>
      </c>
      <c r="J569" s="3">
        <v>2022.0</v>
      </c>
      <c r="K569" s="4" t="str">
        <f>VLOOKUP($C569,Userpass!$A$2:$R$3001,2,FALSE)</f>
        <v>plg20227918.alumni@smkn12malang.sch.id</v>
      </c>
    </row>
    <row r="570" hidden="1">
      <c r="A570" s="3" t="str">
        <f t="shared" si="1"/>
        <v>OK</v>
      </c>
      <c r="B570" s="3" t="str">
        <f t="shared" si="2"/>
        <v>OK</v>
      </c>
      <c r="C570" s="3">
        <v>7936.0</v>
      </c>
      <c r="D570" s="4" t="s">
        <v>1148</v>
      </c>
      <c r="E570" s="3" t="s">
        <v>1149</v>
      </c>
      <c r="F570" s="3" t="s">
        <v>13</v>
      </c>
      <c r="G570" s="3" t="str">
        <f t="shared" si="3"/>
        <v>PURNA2025-PLG2</v>
      </c>
      <c r="H570" s="3" t="str">
        <f>VLOOKUP($C570,Userpass!$A$2:$L$3001,12,FALSE)</f>
        <v>PLG2</v>
      </c>
      <c r="I570" s="5" t="s">
        <v>14</v>
      </c>
      <c r="J570" s="3">
        <v>2022.0</v>
      </c>
      <c r="K570" s="4" t="str">
        <f>VLOOKUP($C570,Userpass!$A$2:$R$3001,2,FALSE)</f>
        <v>plg20227936.alumni@smkn12malang.sch.id</v>
      </c>
    </row>
    <row r="571" hidden="1">
      <c r="A571" s="3" t="str">
        <f t="shared" si="1"/>
        <v>OK</v>
      </c>
      <c r="B571" s="3" t="str">
        <f t="shared" si="2"/>
        <v>OK</v>
      </c>
      <c r="C571" s="3">
        <v>7952.0</v>
      </c>
      <c r="D571" s="4" t="s">
        <v>1150</v>
      </c>
      <c r="E571" s="3" t="s">
        <v>1151</v>
      </c>
      <c r="F571" s="3" t="s">
        <v>13</v>
      </c>
      <c r="G571" s="3" t="str">
        <f t="shared" si="3"/>
        <v>PURNA2025-PLG2</v>
      </c>
      <c r="H571" s="3" t="str">
        <f>VLOOKUP($C571,Userpass!$A$2:$L$3001,12,FALSE)</f>
        <v>PLG2</v>
      </c>
      <c r="I571" s="5" t="s">
        <v>14</v>
      </c>
      <c r="J571" s="3">
        <v>2022.0</v>
      </c>
      <c r="K571" s="4" t="str">
        <f>VLOOKUP($C571,Userpass!$A$2:$R$3001,2,FALSE)</f>
        <v>plg20227952.alumni@smkn12malang.sch.id</v>
      </c>
    </row>
    <row r="572" hidden="1">
      <c r="A572" s="3" t="str">
        <f t="shared" si="1"/>
        <v>OK</v>
      </c>
      <c r="B572" s="3" t="str">
        <f t="shared" si="2"/>
        <v>OK</v>
      </c>
      <c r="C572" s="3">
        <v>7978.0</v>
      </c>
      <c r="D572" s="4" t="s">
        <v>1152</v>
      </c>
      <c r="E572" s="3" t="s">
        <v>1153</v>
      </c>
      <c r="F572" s="3" t="s">
        <v>13</v>
      </c>
      <c r="G572" s="3" t="str">
        <f t="shared" si="3"/>
        <v>PURNA2025-PLG2</v>
      </c>
      <c r="H572" s="3" t="str">
        <f>VLOOKUP($C572,Userpass!$A$2:$L$3001,12,FALSE)</f>
        <v>PLG2</v>
      </c>
      <c r="I572" s="5" t="s">
        <v>14</v>
      </c>
      <c r="J572" s="3">
        <v>2022.0</v>
      </c>
      <c r="K572" s="4" t="str">
        <f>VLOOKUP($C572,Userpass!$A$2:$R$3001,2,FALSE)</f>
        <v>plg20227978.alumni@smkn12malang.sch.id</v>
      </c>
    </row>
    <row r="573" hidden="1">
      <c r="A573" s="3" t="str">
        <f t="shared" si="1"/>
        <v>OK</v>
      </c>
      <c r="B573" s="3" t="str">
        <f t="shared" si="2"/>
        <v>OK</v>
      </c>
      <c r="C573" s="3">
        <v>7991.0</v>
      </c>
      <c r="D573" s="4" t="s">
        <v>1154</v>
      </c>
      <c r="E573" s="3" t="s">
        <v>1155</v>
      </c>
      <c r="F573" s="3" t="s">
        <v>17</v>
      </c>
      <c r="G573" s="3" t="str">
        <f t="shared" si="3"/>
        <v>PURNA2025-PLG2</v>
      </c>
      <c r="H573" s="3" t="str">
        <f>VLOOKUP($C573,Userpass!$A$2:$L$3001,12,FALSE)</f>
        <v>PLG2</v>
      </c>
      <c r="I573" s="5" t="s">
        <v>14</v>
      </c>
      <c r="J573" s="3">
        <v>2022.0</v>
      </c>
      <c r="K573" s="4" t="str">
        <f>VLOOKUP($C573,Userpass!$A$2:$R$3001,2,FALSE)</f>
        <v>plg20227991.alumni@smkn12malang.sch.id</v>
      </c>
    </row>
    <row r="574" hidden="1">
      <c r="A574" s="3" t="str">
        <f t="shared" si="1"/>
        <v>OK</v>
      </c>
      <c r="B574" s="3" t="str">
        <f t="shared" si="2"/>
        <v>OK</v>
      </c>
      <c r="C574" s="3">
        <v>7993.0</v>
      </c>
      <c r="D574" s="4" t="s">
        <v>1156</v>
      </c>
      <c r="E574" s="3" t="s">
        <v>1157</v>
      </c>
      <c r="F574" s="3" t="s">
        <v>17</v>
      </c>
      <c r="G574" s="3" t="str">
        <f t="shared" si="3"/>
        <v>PURNA2025-PLG2</v>
      </c>
      <c r="H574" s="3" t="str">
        <f>VLOOKUP($C574,Userpass!$A$2:$L$3001,12,FALSE)</f>
        <v>PLG2</v>
      </c>
      <c r="I574" s="5" t="s">
        <v>14</v>
      </c>
      <c r="J574" s="3">
        <v>2022.0</v>
      </c>
      <c r="K574" s="4" t="str">
        <f>VLOOKUP($C574,Userpass!$A$2:$R$3001,2,FALSE)</f>
        <v>plg20227993.alumni@smkn12malang.sch.id</v>
      </c>
    </row>
    <row r="575" hidden="1">
      <c r="A575" s="3" t="str">
        <f t="shared" si="1"/>
        <v>OK</v>
      </c>
      <c r="B575" s="3" t="str">
        <f t="shared" si="2"/>
        <v>OK</v>
      </c>
      <c r="C575" s="3">
        <v>8001.0</v>
      </c>
      <c r="D575" s="4" t="s">
        <v>1158</v>
      </c>
      <c r="E575" s="3" t="s">
        <v>1159</v>
      </c>
      <c r="F575" s="3" t="s">
        <v>13</v>
      </c>
      <c r="G575" s="3" t="str">
        <f t="shared" si="3"/>
        <v>PURNA2025-PLG2</v>
      </c>
      <c r="H575" s="3" t="str">
        <f>VLOOKUP($C575,Userpass!$A$2:$L$3001,12,FALSE)</f>
        <v>PLG2</v>
      </c>
      <c r="I575" s="5" t="s">
        <v>14</v>
      </c>
      <c r="J575" s="3">
        <v>2022.0</v>
      </c>
      <c r="K575" s="4" t="str">
        <f>VLOOKUP($C575,Userpass!$A$2:$R$3001,2,FALSE)</f>
        <v>plg20228001.alumni@smkn12malang.sch.id</v>
      </c>
    </row>
    <row r="576" hidden="1">
      <c r="A576" s="3" t="str">
        <f t="shared" si="1"/>
        <v>OK</v>
      </c>
      <c r="B576" s="3" t="str">
        <f t="shared" si="2"/>
        <v>OK</v>
      </c>
      <c r="C576" s="3">
        <v>8009.0</v>
      </c>
      <c r="D576" s="4" t="s">
        <v>1160</v>
      </c>
      <c r="E576" s="3" t="s">
        <v>1161</v>
      </c>
      <c r="F576" s="3" t="s">
        <v>13</v>
      </c>
      <c r="G576" s="3" t="str">
        <f t="shared" si="3"/>
        <v>PURNA2025-PLG2</v>
      </c>
      <c r="H576" s="3" t="str">
        <f>VLOOKUP($C576,Userpass!$A$2:$L$3001,12,FALSE)</f>
        <v>PLG2</v>
      </c>
      <c r="I576" s="5" t="s">
        <v>14</v>
      </c>
      <c r="J576" s="3">
        <v>2022.0</v>
      </c>
      <c r="K576" s="4" t="str">
        <f>VLOOKUP($C576,Userpass!$A$2:$R$3001,2,FALSE)</f>
        <v>plg20228009.alumni@smkn12malang.sch.id</v>
      </c>
    </row>
    <row r="577" hidden="1">
      <c r="A577" s="3" t="str">
        <f t="shared" si="1"/>
        <v>OK</v>
      </c>
      <c r="B577" s="3" t="str">
        <f t="shared" si="2"/>
        <v>OK</v>
      </c>
      <c r="C577" s="3">
        <v>8011.0</v>
      </c>
      <c r="D577" s="4" t="s">
        <v>1162</v>
      </c>
      <c r="E577" s="3" t="s">
        <v>1163</v>
      </c>
      <c r="F577" s="3" t="s">
        <v>17</v>
      </c>
      <c r="G577" s="3" t="str">
        <f t="shared" si="3"/>
        <v>PURNA2025-PLG2</v>
      </c>
      <c r="H577" s="3" t="str">
        <f>VLOOKUP($C577,Userpass!$A$2:$L$3001,12,FALSE)</f>
        <v>PLG2</v>
      </c>
      <c r="I577" s="5" t="s">
        <v>14</v>
      </c>
      <c r="J577" s="3">
        <v>2022.0</v>
      </c>
      <c r="K577" s="4" t="str">
        <f>VLOOKUP($C577,Userpass!$A$2:$R$3001,2,FALSE)</f>
        <v>plg20228011.alumni@smkn12malang.sch.id</v>
      </c>
    </row>
    <row r="578" hidden="1">
      <c r="A578" s="3" t="str">
        <f t="shared" si="1"/>
        <v>OK</v>
      </c>
      <c r="B578" s="3" t="str">
        <f t="shared" si="2"/>
        <v>OK</v>
      </c>
      <c r="C578" s="3">
        <v>8669.0</v>
      </c>
      <c r="D578" s="4" t="s">
        <v>1164</v>
      </c>
      <c r="E578" s="3" t="s">
        <v>1165</v>
      </c>
      <c r="F578" s="3" t="s">
        <v>17</v>
      </c>
      <c r="G578" s="3" t="str">
        <f t="shared" si="3"/>
        <v>DROPOUT</v>
      </c>
      <c r="H578" s="3" t="str">
        <f>VLOOKUP($C578,Userpass!$A$2:$L$3001,12,FALSE)</f>
        <v>OUT</v>
      </c>
      <c r="I578" s="5" t="s">
        <v>1166</v>
      </c>
      <c r="J578" s="3">
        <v>2024.0</v>
      </c>
      <c r="K578" s="4" t="str">
        <f>VLOOKUP($C578,Userpass!$A$2:$R$3001,2,FALSE)</f>
        <v>oto20248669.siswa@smkn12malang.sch.id</v>
      </c>
    </row>
    <row r="579" hidden="1">
      <c r="A579" s="3" t="str">
        <f t="shared" si="1"/>
        <v>OK</v>
      </c>
      <c r="B579" s="3" t="str">
        <f t="shared" si="2"/>
        <v>OK</v>
      </c>
      <c r="C579" s="3">
        <v>8056.0</v>
      </c>
      <c r="D579" s="4" t="s">
        <v>1167</v>
      </c>
      <c r="E579" s="3" t="s">
        <v>1168</v>
      </c>
      <c r="F579" s="3" t="s">
        <v>17</v>
      </c>
      <c r="G579" s="3" t="str">
        <f t="shared" si="3"/>
        <v>DROPOUT</v>
      </c>
      <c r="H579" s="3" t="str">
        <f>VLOOKUP($C579,Userpass!$A$2:$L$3001,12,FALSE)</f>
        <v>OUT</v>
      </c>
      <c r="I579" s="5" t="s">
        <v>1166</v>
      </c>
      <c r="J579" s="3">
        <v>2023.0</v>
      </c>
      <c r="K579" s="4" t="str">
        <f>VLOOKUP($C579,Userpass!$A$2:$R$3001,2,FALSE)</f>
        <v>oto20238056.siswa@smkn12malang.sch.id</v>
      </c>
    </row>
    <row r="580" hidden="1">
      <c r="A580" s="3" t="str">
        <f t="shared" si="1"/>
        <v>OK</v>
      </c>
      <c r="B580" s="3" t="str">
        <f t="shared" si="2"/>
        <v>OK</v>
      </c>
      <c r="C580" s="3">
        <v>8109.0</v>
      </c>
      <c r="D580" s="4" t="s">
        <v>1169</v>
      </c>
      <c r="E580" s="3" t="s">
        <v>1170</v>
      </c>
      <c r="F580" s="3" t="s">
        <v>17</v>
      </c>
      <c r="G580" s="3" t="str">
        <f t="shared" si="3"/>
        <v>DROPOUT</v>
      </c>
      <c r="H580" s="3" t="str">
        <f>VLOOKUP($C580,Userpass!$A$2:$L$3001,12,FALSE)</f>
        <v>OUT</v>
      </c>
      <c r="I580" s="5" t="s">
        <v>1166</v>
      </c>
      <c r="J580" s="3">
        <v>2023.0</v>
      </c>
      <c r="K580" s="4" t="str">
        <f>VLOOKUP($C580,Userpass!$A$2:$R$3001,2,FALSE)</f>
        <v>oto20238109.siswa@smkn12malang.sch.id</v>
      </c>
    </row>
    <row r="581" hidden="1">
      <c r="A581" s="3" t="str">
        <f t="shared" si="1"/>
        <v>OK</v>
      </c>
      <c r="B581" s="3" t="str">
        <f t="shared" si="2"/>
        <v>OK</v>
      </c>
      <c r="C581" s="3">
        <v>8143.0</v>
      </c>
      <c r="D581" s="4" t="s">
        <v>1171</v>
      </c>
      <c r="E581" s="3" t="s">
        <v>1172</v>
      </c>
      <c r="F581" s="3" t="s">
        <v>13</v>
      </c>
      <c r="G581" s="3" t="str">
        <f t="shared" si="3"/>
        <v>DROPOUT</v>
      </c>
      <c r="H581" s="3" t="str">
        <f>VLOOKUP($C581,Userpass!$A$2:$L$3001,12,FALSE)</f>
        <v>OUT</v>
      </c>
      <c r="I581" s="5" t="s">
        <v>1166</v>
      </c>
      <c r="J581" s="3">
        <v>2023.0</v>
      </c>
      <c r="K581" s="4" t="str">
        <f>VLOOKUP($C581,Userpass!$A$2:$R$3001,2,FALSE)</f>
        <v>jkt20238143.siswa@smkn12malang.sch.id</v>
      </c>
    </row>
    <row r="582" hidden="1">
      <c r="A582" s="3" t="str">
        <f t="shared" si="1"/>
        <v>OK</v>
      </c>
      <c r="B582" s="3" t="str">
        <f t="shared" si="2"/>
        <v>OK</v>
      </c>
      <c r="C582" s="3">
        <v>8178.0</v>
      </c>
      <c r="D582" s="4" t="s">
        <v>1173</v>
      </c>
      <c r="E582" s="3" t="s">
        <v>1174</v>
      </c>
      <c r="F582" s="3" t="s">
        <v>17</v>
      </c>
      <c r="G582" s="3" t="str">
        <f t="shared" si="3"/>
        <v>DROPOUT</v>
      </c>
      <c r="H582" s="3" t="str">
        <f>VLOOKUP($C582,Userpass!$A$2:$L$3001,12,FALSE)</f>
        <v>OUT</v>
      </c>
      <c r="I582" s="5" t="s">
        <v>1166</v>
      </c>
      <c r="J582" s="3">
        <v>2023.0</v>
      </c>
      <c r="K582" s="4" t="str">
        <f>VLOOKUP($C582,Userpass!$A$2:$R$3001,2,FALSE)</f>
        <v>klr20238178.siswa@smkn12malang.sch.id</v>
      </c>
    </row>
    <row r="583" hidden="1">
      <c r="A583" s="3" t="str">
        <f t="shared" si="1"/>
        <v>OK</v>
      </c>
      <c r="B583" s="3" t="str">
        <f t="shared" si="2"/>
        <v>OK</v>
      </c>
      <c r="C583" s="3">
        <v>8799.0</v>
      </c>
      <c r="D583" s="4" t="s">
        <v>1175</v>
      </c>
      <c r="E583" s="3" t="s">
        <v>1176</v>
      </c>
      <c r="F583" s="3" t="s">
        <v>13</v>
      </c>
      <c r="G583" s="3" t="str">
        <f t="shared" si="3"/>
        <v>DROPOUT</v>
      </c>
      <c r="H583" s="3" t="str">
        <f>VLOOKUP($C583,Userpass!$A$2:$L$3001,12,FALSE)</f>
        <v>OUT</v>
      </c>
      <c r="I583" s="5" t="s">
        <v>1166</v>
      </c>
      <c r="J583" s="3">
        <v>2024.0</v>
      </c>
      <c r="K583" s="4" t="str">
        <f>VLOOKUP($C583,Userpass!$A$2:$R$3001,2,FALSE)</f>
        <v>jkt20248799.siswa@smkn12malang.sch.id</v>
      </c>
    </row>
    <row r="584" hidden="1">
      <c r="A584" s="3" t="str">
        <f t="shared" si="1"/>
        <v>OK</v>
      </c>
      <c r="B584" s="3" t="str">
        <f t="shared" si="2"/>
        <v>OK</v>
      </c>
      <c r="C584" s="3">
        <v>8800.0</v>
      </c>
      <c r="D584" s="4" t="s">
        <v>1177</v>
      </c>
      <c r="E584" s="3" t="s">
        <v>1178</v>
      </c>
      <c r="F584" s="3" t="s">
        <v>13</v>
      </c>
      <c r="G584" s="3" t="str">
        <f t="shared" si="3"/>
        <v>DROPOUT</v>
      </c>
      <c r="H584" s="3" t="str">
        <f>VLOOKUP($C584,Userpass!$A$2:$L$3001,12,FALSE)</f>
        <v>OUT</v>
      </c>
      <c r="I584" s="5" t="s">
        <v>1166</v>
      </c>
      <c r="J584" s="3">
        <v>2024.0</v>
      </c>
      <c r="K584" s="4" t="str">
        <f>VLOOKUP($C584,Userpass!$A$2:$R$3001,2,FALSE)</f>
        <v>jkt20248800.siswa@smkn12malang.sch.id</v>
      </c>
    </row>
    <row r="585" hidden="1">
      <c r="A585" s="3" t="str">
        <f t="shared" si="1"/>
        <v>OK</v>
      </c>
      <c r="B585" s="3" t="str">
        <f t="shared" si="2"/>
        <v>OK</v>
      </c>
      <c r="C585" s="3">
        <v>8199.0</v>
      </c>
      <c r="D585" s="4" t="s">
        <v>1179</v>
      </c>
      <c r="E585" s="3" t="s">
        <v>1180</v>
      </c>
      <c r="F585" s="3" t="s">
        <v>13</v>
      </c>
      <c r="G585" s="3" t="str">
        <f t="shared" si="3"/>
        <v>DROPOUT</v>
      </c>
      <c r="H585" s="3" t="str">
        <f>VLOOKUP($C585,Userpass!$A$2:$L$3001,12,FALSE)</f>
        <v>OUT</v>
      </c>
      <c r="I585" s="5" t="s">
        <v>1166</v>
      </c>
      <c r="J585" s="3">
        <v>2023.0</v>
      </c>
      <c r="K585" s="4" t="str">
        <f>VLOOKUP($C585,Userpass!$A$2:$R$3001,2,FALSE)</f>
        <v>jkt20238199.siswa@smkn12malang.sch.id</v>
      </c>
    </row>
    <row r="586" hidden="1">
      <c r="A586" s="3" t="str">
        <f t="shared" si="1"/>
        <v>OK</v>
      </c>
      <c r="B586" s="3" t="str">
        <f t="shared" si="2"/>
        <v>OK</v>
      </c>
      <c r="C586" s="3">
        <v>8809.0</v>
      </c>
      <c r="D586" s="4" t="s">
        <v>1181</v>
      </c>
      <c r="E586" s="3" t="s">
        <v>1182</v>
      </c>
      <c r="F586" s="3" t="s">
        <v>13</v>
      </c>
      <c r="G586" s="3" t="str">
        <f t="shared" si="3"/>
        <v>DROPOUT</v>
      </c>
      <c r="H586" s="3" t="str">
        <f>VLOOKUP($C586,Userpass!$A$2:$L$3001,12,FALSE)</f>
        <v>OUT</v>
      </c>
      <c r="I586" s="5" t="s">
        <v>1166</v>
      </c>
      <c r="J586" s="3">
        <v>2024.0</v>
      </c>
      <c r="K586" s="4" t="str">
        <f>VLOOKUP($C586,Userpass!$A$2:$R$3001,2,FALSE)</f>
        <v>klr20248809.siswa@smkn12malang.sch.id</v>
      </c>
    </row>
    <row r="587" hidden="1">
      <c r="A587" s="3" t="str">
        <f t="shared" si="1"/>
        <v>OK</v>
      </c>
      <c r="B587" s="3" t="str">
        <f t="shared" si="2"/>
        <v>OK</v>
      </c>
      <c r="C587" s="3">
        <v>8277.0</v>
      </c>
      <c r="D587" s="4" t="s">
        <v>1183</v>
      </c>
      <c r="E587" s="3" t="s">
        <v>1184</v>
      </c>
      <c r="F587" s="3" t="s">
        <v>17</v>
      </c>
      <c r="G587" s="3" t="str">
        <f t="shared" si="3"/>
        <v>DROPOUT</v>
      </c>
      <c r="H587" s="3" t="str">
        <f>VLOOKUP($C587,Userpass!$A$2:$L$3001,12,FALSE)</f>
        <v>OUT</v>
      </c>
      <c r="I587" s="5" t="s">
        <v>1166</v>
      </c>
      <c r="J587" s="3">
        <v>2023.0</v>
      </c>
      <c r="K587" s="4" t="str">
        <f>VLOOKUP($C587,Userpass!$A$2:$R$3001,2,FALSE)</f>
        <v>oto20238277.siswa@smkn12malang.sch.id</v>
      </c>
    </row>
    <row r="588" hidden="1">
      <c r="A588" s="3" t="str">
        <f t="shared" si="1"/>
        <v>OK</v>
      </c>
      <c r="B588" s="3" t="str">
        <f t="shared" si="2"/>
        <v>OK</v>
      </c>
      <c r="C588" s="3">
        <v>8887.0</v>
      </c>
      <c r="D588" s="4" t="s">
        <v>1185</v>
      </c>
      <c r="E588" s="3" t="s">
        <v>1186</v>
      </c>
      <c r="F588" s="3" t="s">
        <v>17</v>
      </c>
      <c r="G588" s="3" t="str">
        <f t="shared" si="3"/>
        <v>DROPOUT</v>
      </c>
      <c r="H588" s="3" t="str">
        <f>VLOOKUP($C588,Userpass!$A$2:$L$3001,12,FALSE)</f>
        <v>OUT</v>
      </c>
      <c r="I588" s="5" t="s">
        <v>1166</v>
      </c>
      <c r="J588" s="3">
        <v>2024.0</v>
      </c>
      <c r="K588" s="4" t="str">
        <f>VLOOKUP($C588,Userpass!$A$2:$R$3001,2,FALSE)</f>
        <v>bcf20248887.siswa@smkn12malang.sch.id</v>
      </c>
    </row>
    <row r="589" hidden="1">
      <c r="A589" s="3" t="str">
        <f t="shared" si="1"/>
        <v>OK</v>
      </c>
      <c r="B589" s="3" t="str">
        <f t="shared" si="2"/>
        <v>INVALID</v>
      </c>
      <c r="C589" s="3">
        <v>9244.0</v>
      </c>
      <c r="D589" s="4"/>
      <c r="E589" s="3" t="s">
        <v>1187</v>
      </c>
      <c r="F589" s="3" t="s">
        <v>13</v>
      </c>
      <c r="G589" s="3" t="str">
        <f t="shared" si="3"/>
        <v>DROPOUT</v>
      </c>
      <c r="H589" s="3" t="str">
        <f>VLOOKUP($C589,Userpass!$A$2:$L$3001,12,FALSE)</f>
        <v>OUT</v>
      </c>
      <c r="I589" s="5" t="s">
        <v>1166</v>
      </c>
      <c r="J589" s="3">
        <v>2023.0</v>
      </c>
      <c r="K589" s="4" t="str">
        <f>VLOOKUP($C589,Userpass!$A$2:$R$3001,2,FALSE)</f>
        <v>plg20239244.siswa@smkn12malang.sch.id</v>
      </c>
    </row>
    <row r="590" hidden="1">
      <c r="A590" s="3" t="str">
        <f t="shared" si="1"/>
        <v>OK</v>
      </c>
      <c r="B590" s="3" t="str">
        <f t="shared" si="2"/>
        <v>OK</v>
      </c>
      <c r="C590" s="3">
        <v>8962.0</v>
      </c>
      <c r="D590" s="4" t="s">
        <v>1188</v>
      </c>
      <c r="E590" s="3" t="s">
        <v>1189</v>
      </c>
      <c r="F590" s="3" t="s">
        <v>13</v>
      </c>
      <c r="G590" s="3" t="str">
        <f t="shared" si="3"/>
        <v>DROPOUT</v>
      </c>
      <c r="H590" s="3" t="str">
        <f>VLOOKUP($C590,Userpass!$A$2:$L$3001,12,FALSE)</f>
        <v>OUT</v>
      </c>
      <c r="I590" s="5" t="s">
        <v>1166</v>
      </c>
      <c r="J590" s="3">
        <v>2024.0</v>
      </c>
      <c r="K590" s="4" t="str">
        <f>VLOOKUP($C590,Userpass!$A$2:$R$3001,2,FALSE)</f>
        <v>klr20248962.siswa@smkn12malang.sch.id</v>
      </c>
    </row>
    <row r="591" hidden="1">
      <c r="A591" s="3" t="str">
        <f t="shared" si="1"/>
        <v>OK</v>
      </c>
      <c r="B591" s="3" t="str">
        <f t="shared" si="2"/>
        <v>OK</v>
      </c>
      <c r="C591" s="3">
        <v>8978.0</v>
      </c>
      <c r="D591" s="4" t="s">
        <v>1190</v>
      </c>
      <c r="E591" s="3" t="s">
        <v>1191</v>
      </c>
      <c r="F591" s="3" t="s">
        <v>17</v>
      </c>
      <c r="G591" s="3" t="str">
        <f t="shared" si="3"/>
        <v>DROPOUT</v>
      </c>
      <c r="H591" s="3" t="str">
        <f>VLOOKUP($C591,Userpass!$A$2:$L$3001,12,FALSE)</f>
        <v>OUT</v>
      </c>
      <c r="I591" s="5" t="s">
        <v>1166</v>
      </c>
      <c r="J591" s="3">
        <v>2024.0</v>
      </c>
      <c r="K591" s="4" t="str">
        <f>VLOOKUP($C591,Userpass!$A$2:$R$3001,2,FALSE)</f>
        <v>jkt20248978.siswa@smkn12malang.sch.id</v>
      </c>
    </row>
    <row r="592" hidden="1">
      <c r="A592" s="3" t="str">
        <f t="shared" si="1"/>
        <v>OK</v>
      </c>
      <c r="B592" s="3" t="str">
        <f t="shared" si="2"/>
        <v>OK</v>
      </c>
      <c r="C592" s="3">
        <v>8984.0</v>
      </c>
      <c r="D592" s="4" t="s">
        <v>1192</v>
      </c>
      <c r="E592" s="3" t="s">
        <v>1193</v>
      </c>
      <c r="F592" s="3" t="s">
        <v>17</v>
      </c>
      <c r="G592" s="3" t="str">
        <f t="shared" si="3"/>
        <v>DROPOUT</v>
      </c>
      <c r="H592" s="3" t="str">
        <f>VLOOKUP($C592,Userpass!$A$2:$L$3001,12,FALSE)</f>
        <v>OUT</v>
      </c>
      <c r="I592" s="5" t="s">
        <v>1166</v>
      </c>
      <c r="J592" s="3">
        <v>2024.0</v>
      </c>
      <c r="K592" s="4" t="str">
        <f>VLOOKUP($C592,Userpass!$A$2:$R$3001,2,FALSE)</f>
        <v>oto20248984.siswa@smkn12malang.sch.id</v>
      </c>
    </row>
    <row r="593" hidden="1">
      <c r="A593" s="3" t="str">
        <f t="shared" si="1"/>
        <v>OK</v>
      </c>
      <c r="B593" s="3" t="str">
        <f t="shared" si="2"/>
        <v>OK</v>
      </c>
      <c r="C593" s="3">
        <v>9001.0</v>
      </c>
      <c r="D593" s="4" t="s">
        <v>1194</v>
      </c>
      <c r="E593" s="3" t="s">
        <v>1195</v>
      </c>
      <c r="F593" s="3" t="s">
        <v>17</v>
      </c>
      <c r="G593" s="3" t="str">
        <f t="shared" si="3"/>
        <v>DROPOUT</v>
      </c>
      <c r="H593" s="3" t="str">
        <f>VLOOKUP($C593,Userpass!$A$2:$L$3001,12,FALSE)</f>
        <v>OUT</v>
      </c>
      <c r="I593" s="5" t="s">
        <v>1166</v>
      </c>
      <c r="J593" s="3">
        <v>2024.0</v>
      </c>
      <c r="K593" s="4" t="str">
        <f>VLOOKUP($C593,Userpass!$A$2:$R$3001,2,FALSE)</f>
        <v>dkv20249001.siswa@smkn12malang.sch.id</v>
      </c>
    </row>
    <row r="594" hidden="1">
      <c r="A594" s="3" t="str">
        <f t="shared" si="1"/>
        <v>OK</v>
      </c>
      <c r="B594" s="3" t="str">
        <f t="shared" si="2"/>
        <v>OK</v>
      </c>
      <c r="C594" s="3">
        <v>8426.0</v>
      </c>
      <c r="D594" s="4" t="s">
        <v>1196</v>
      </c>
      <c r="E594" s="3" t="s">
        <v>1197</v>
      </c>
      <c r="F594" s="3" t="s">
        <v>17</v>
      </c>
      <c r="G594" s="3" t="str">
        <f t="shared" si="3"/>
        <v>DROPOUT</v>
      </c>
      <c r="H594" s="3" t="str">
        <f>VLOOKUP($C594,Userpass!$A$2:$L$3001,12,FALSE)</f>
        <v>OUT</v>
      </c>
      <c r="I594" s="5" t="s">
        <v>1166</v>
      </c>
      <c r="J594" s="3">
        <v>2023.0</v>
      </c>
      <c r="K594" s="4" t="str">
        <f>VLOOKUP($C594,Userpass!$A$2:$R$3001,2,FALSE)</f>
        <v>jkt20238426.siswa@smkn12malang.sch.id</v>
      </c>
    </row>
    <row r="595" hidden="1">
      <c r="A595" s="3" t="str">
        <f t="shared" si="1"/>
        <v>OK</v>
      </c>
      <c r="B595" s="3" t="str">
        <f t="shared" si="2"/>
        <v>OK</v>
      </c>
      <c r="C595" s="3">
        <v>8464.0</v>
      </c>
      <c r="D595" s="4" t="s">
        <v>1198</v>
      </c>
      <c r="E595" s="3" t="s">
        <v>1199</v>
      </c>
      <c r="F595" s="3" t="s">
        <v>17</v>
      </c>
      <c r="G595" s="3" t="str">
        <f t="shared" si="3"/>
        <v>DROPOUT</v>
      </c>
      <c r="H595" s="3" t="str">
        <f>VLOOKUP($C595,Userpass!$A$2:$L$3001,12,FALSE)</f>
        <v>OUT</v>
      </c>
      <c r="I595" s="5" t="s">
        <v>1166</v>
      </c>
      <c r="J595" s="3">
        <v>2023.0</v>
      </c>
      <c r="K595" s="4" t="str">
        <f>VLOOKUP($C595,Userpass!$A$2:$R$3001,2,FALSE)</f>
        <v>oto20238464.siswa@smkn12malang.sch.id</v>
      </c>
    </row>
    <row r="596" hidden="1">
      <c r="A596" s="3" t="str">
        <f t="shared" si="1"/>
        <v>OK</v>
      </c>
      <c r="B596" s="3" t="str">
        <f t="shared" si="2"/>
        <v>OK</v>
      </c>
      <c r="C596" s="3">
        <v>9121.0</v>
      </c>
      <c r="D596" s="4" t="s">
        <v>1200</v>
      </c>
      <c r="E596" s="3" t="s">
        <v>1201</v>
      </c>
      <c r="F596" s="3" t="s">
        <v>17</v>
      </c>
      <c r="G596" s="3" t="str">
        <f t="shared" si="3"/>
        <v>DROPOUT</v>
      </c>
      <c r="H596" s="3" t="str">
        <f>VLOOKUP($C596,Userpass!$A$2:$L$3001,12,FALSE)</f>
        <v>OUT</v>
      </c>
      <c r="I596" s="5" t="s">
        <v>1166</v>
      </c>
      <c r="J596" s="3">
        <v>2024.0</v>
      </c>
      <c r="K596" s="4" t="str">
        <f>VLOOKUP($C596,Userpass!$A$2:$R$3001,2,FALSE)</f>
        <v>oto20249121.siswa@smkn12malang.sch.id</v>
      </c>
    </row>
    <row r="597" hidden="1">
      <c r="A597" s="3" t="str">
        <f t="shared" si="1"/>
        <v>OK</v>
      </c>
      <c r="B597" s="3" t="str">
        <f t="shared" si="2"/>
        <v>OK</v>
      </c>
      <c r="C597" s="3">
        <v>9144.0</v>
      </c>
      <c r="D597" s="4" t="s">
        <v>1202</v>
      </c>
      <c r="E597" s="3" t="s">
        <v>1203</v>
      </c>
      <c r="F597" s="3" t="s">
        <v>17</v>
      </c>
      <c r="G597" s="3" t="str">
        <f t="shared" si="3"/>
        <v>DROPOUT</v>
      </c>
      <c r="H597" s="3" t="str">
        <f>VLOOKUP($C597,Userpass!$A$2:$L$3001,12,FALSE)</f>
        <v>OUT</v>
      </c>
      <c r="I597" s="5" t="s">
        <v>1166</v>
      </c>
      <c r="J597" s="3">
        <v>2024.0</v>
      </c>
      <c r="K597" s="4" t="str">
        <f>VLOOKUP($C597,Userpass!$A$2:$R$3001,2,FALSE)</f>
        <v>jkt20249144.siswa@smkn12malang.sch.id</v>
      </c>
    </row>
    <row r="598" hidden="1">
      <c r="A598" s="3" t="str">
        <f t="shared" si="1"/>
        <v>OK</v>
      </c>
      <c r="B598" s="3" t="str">
        <f t="shared" si="2"/>
        <v>OK</v>
      </c>
      <c r="C598" s="3">
        <v>8578.0</v>
      </c>
      <c r="D598" s="4" t="s">
        <v>1204</v>
      </c>
      <c r="E598" s="3" t="s">
        <v>1205</v>
      </c>
      <c r="F598" s="3" t="s">
        <v>13</v>
      </c>
      <c r="G598" s="3" t="str">
        <f t="shared" si="3"/>
        <v>DROPOUT</v>
      </c>
      <c r="H598" s="3" t="str">
        <f>VLOOKUP($C598,Userpass!$A$2:$L$3001,12,FALSE)</f>
        <v>OUT</v>
      </c>
      <c r="I598" s="5" t="s">
        <v>1166</v>
      </c>
      <c r="J598" s="3">
        <v>2023.0</v>
      </c>
      <c r="K598" s="4" t="str">
        <f>VLOOKUP($C598,Userpass!$A$2:$R$3001,2,FALSE)</f>
        <v>bcf20238578.siswa@smkn12malang.sch.id</v>
      </c>
    </row>
    <row r="599" hidden="1">
      <c r="A599" s="3" t="str">
        <f t="shared" si="1"/>
        <v>OK</v>
      </c>
      <c r="B599" s="3" t="str">
        <f t="shared" si="2"/>
        <v>OK</v>
      </c>
      <c r="C599" s="3">
        <v>9210.0</v>
      </c>
      <c r="D599" s="4" t="s">
        <v>1206</v>
      </c>
      <c r="E599" s="3" t="s">
        <v>1207</v>
      </c>
      <c r="F599" s="3" t="s">
        <v>13</v>
      </c>
      <c r="G599" s="3" t="str">
        <f t="shared" si="3"/>
        <v>DROPOUT</v>
      </c>
      <c r="H599" s="3" t="str">
        <f>VLOOKUP($C599,Userpass!$A$2:$L$3001,12,FALSE)</f>
        <v>OUT</v>
      </c>
      <c r="I599" s="5" t="s">
        <v>1166</v>
      </c>
      <c r="J599" s="3">
        <v>2024.0</v>
      </c>
      <c r="K599" s="4" t="str">
        <f>VLOOKUP($C599,Userpass!$A$2:$R$3001,2,FALSE)</f>
        <v>plg20249210.siswa@smkn12malang.sch.id</v>
      </c>
    </row>
    <row r="600" hidden="1">
      <c r="A600" s="3" t="str">
        <f t="shared" si="1"/>
        <v>OK</v>
      </c>
      <c r="B600" s="3" t="str">
        <f t="shared" si="2"/>
        <v>OK</v>
      </c>
      <c r="C600" s="3">
        <v>9231.0</v>
      </c>
      <c r="D600" s="4" t="s">
        <v>1208</v>
      </c>
      <c r="E600" s="3" t="s">
        <v>1209</v>
      </c>
      <c r="F600" s="3" t="s">
        <v>17</v>
      </c>
      <c r="G600" s="3" t="str">
        <f t="shared" si="3"/>
        <v>DROPOUT</v>
      </c>
      <c r="H600" s="3" t="str">
        <f>VLOOKUP($C600,Userpass!$A$2:$L$3001,12,FALSE)</f>
        <v>OUT</v>
      </c>
      <c r="I600" s="5" t="s">
        <v>1166</v>
      </c>
      <c r="J600" s="3">
        <v>2024.0</v>
      </c>
      <c r="K600" s="4" t="str">
        <f>VLOOKUP($C600,Userpass!$A$2:$R$3001,2,FALSE)</f>
        <v>oto20249231.siswa@smkn12malang.sch.id</v>
      </c>
    </row>
    <row r="601" hidden="1">
      <c r="A601" s="3" t="str">
        <f t="shared" si="1"/>
        <v>OK</v>
      </c>
      <c r="B601" s="3" t="str">
        <f t="shared" si="2"/>
        <v>OK</v>
      </c>
      <c r="C601" s="5">
        <v>9253.0</v>
      </c>
      <c r="D601" s="6" t="s">
        <v>1210</v>
      </c>
      <c r="E601" s="5" t="s">
        <v>1211</v>
      </c>
      <c r="F601" s="7"/>
      <c r="G601" s="3" t="str">
        <f t="shared" si="3"/>
        <v>XAKN1</v>
      </c>
      <c r="H601" s="3" t="str">
        <f>VLOOKUP($C601,Userpass!$A$2:$L$3001,12,FALSE)</f>
        <v>AKN1</v>
      </c>
      <c r="I601" s="5" t="s">
        <v>1212</v>
      </c>
      <c r="J601" s="5">
        <v>2025.0</v>
      </c>
      <c r="K601" s="8" t="s">
        <v>1213</v>
      </c>
    </row>
    <row r="602" hidden="1">
      <c r="A602" s="3" t="str">
        <f t="shared" si="1"/>
        <v>OK</v>
      </c>
      <c r="B602" s="3" t="str">
        <f t="shared" si="2"/>
        <v>OK</v>
      </c>
      <c r="C602" s="5">
        <v>9263.0</v>
      </c>
      <c r="D602" s="6" t="s">
        <v>1214</v>
      </c>
      <c r="E602" s="5" t="s">
        <v>1215</v>
      </c>
      <c r="F602" s="7"/>
      <c r="G602" s="3" t="str">
        <f t="shared" si="3"/>
        <v>XAKN1</v>
      </c>
      <c r="H602" s="3" t="str">
        <f>VLOOKUP($C602,Userpass!$A$2:$L$3001,12,FALSE)</f>
        <v>AKN1</v>
      </c>
      <c r="I602" s="5" t="s">
        <v>1212</v>
      </c>
      <c r="J602" s="5">
        <v>2025.0</v>
      </c>
      <c r="K602" s="8" t="s">
        <v>1216</v>
      </c>
    </row>
    <row r="603" hidden="1">
      <c r="A603" s="3" t="str">
        <f t="shared" si="1"/>
        <v>OK</v>
      </c>
      <c r="B603" s="3" t="str">
        <f t="shared" si="2"/>
        <v>OK</v>
      </c>
      <c r="C603" s="5">
        <v>9271.0</v>
      </c>
      <c r="D603" s="6" t="s">
        <v>1217</v>
      </c>
      <c r="E603" s="5" t="s">
        <v>1218</v>
      </c>
      <c r="F603" s="7"/>
      <c r="G603" s="3" t="str">
        <f t="shared" si="3"/>
        <v>XAKN1</v>
      </c>
      <c r="H603" s="3" t="str">
        <f>VLOOKUP($C603,Userpass!$A$2:$L$3001,12,FALSE)</f>
        <v>AKN1</v>
      </c>
      <c r="I603" s="5" t="s">
        <v>1212</v>
      </c>
      <c r="J603" s="5">
        <v>2025.0</v>
      </c>
      <c r="K603" s="8" t="s">
        <v>1219</v>
      </c>
    </row>
    <row r="604" hidden="1">
      <c r="A604" s="3" t="str">
        <f t="shared" si="1"/>
        <v>OK</v>
      </c>
      <c r="B604" s="3" t="str">
        <f t="shared" si="2"/>
        <v>OK</v>
      </c>
      <c r="C604" s="5">
        <v>9289.0</v>
      </c>
      <c r="D604" s="6" t="s">
        <v>1220</v>
      </c>
      <c r="E604" s="5" t="s">
        <v>1221</v>
      </c>
      <c r="F604" s="7"/>
      <c r="G604" s="3" t="str">
        <f t="shared" si="3"/>
        <v>XAKN1</v>
      </c>
      <c r="H604" s="3" t="str">
        <f>VLOOKUP($C604,Userpass!$A$2:$L$3001,12,FALSE)</f>
        <v>AKN1</v>
      </c>
      <c r="I604" s="5" t="s">
        <v>1212</v>
      </c>
      <c r="J604" s="5">
        <v>2025.0</v>
      </c>
      <c r="K604" s="8" t="s">
        <v>1222</v>
      </c>
    </row>
    <row r="605" hidden="1">
      <c r="A605" s="3" t="str">
        <f t="shared" si="1"/>
        <v>OK</v>
      </c>
      <c r="B605" s="3" t="str">
        <f t="shared" si="2"/>
        <v>OK</v>
      </c>
      <c r="C605" s="5">
        <v>9314.0</v>
      </c>
      <c r="D605" s="6" t="s">
        <v>1223</v>
      </c>
      <c r="E605" s="5" t="s">
        <v>1224</v>
      </c>
      <c r="F605" s="7"/>
      <c r="G605" s="3" t="str">
        <f t="shared" si="3"/>
        <v>XAKN1</v>
      </c>
      <c r="H605" s="3" t="str">
        <f>VLOOKUP($C605,Userpass!$A$2:$L$3001,12,FALSE)</f>
        <v>AKN1</v>
      </c>
      <c r="I605" s="5" t="s">
        <v>1212</v>
      </c>
      <c r="J605" s="5">
        <v>2025.0</v>
      </c>
      <c r="K605" s="8" t="s">
        <v>1225</v>
      </c>
    </row>
    <row r="606" hidden="1">
      <c r="A606" s="3" t="str">
        <f t="shared" si="1"/>
        <v>OK</v>
      </c>
      <c r="B606" s="3" t="str">
        <f t="shared" si="2"/>
        <v>OK</v>
      </c>
      <c r="C606" s="5">
        <v>9331.0</v>
      </c>
      <c r="D606" s="6" t="s">
        <v>1226</v>
      </c>
      <c r="E606" s="5" t="s">
        <v>1227</v>
      </c>
      <c r="F606" s="7"/>
      <c r="G606" s="3" t="str">
        <f t="shared" si="3"/>
        <v>XAKN1</v>
      </c>
      <c r="H606" s="3" t="str">
        <f>VLOOKUP($C606,Userpass!$A$2:$L$3001,12,FALSE)</f>
        <v>AKN1</v>
      </c>
      <c r="I606" s="5" t="s">
        <v>1212</v>
      </c>
      <c r="J606" s="5">
        <v>2025.0</v>
      </c>
      <c r="K606" s="8" t="s">
        <v>1228</v>
      </c>
    </row>
    <row r="607" hidden="1">
      <c r="A607" s="3" t="str">
        <f t="shared" si="1"/>
        <v>OK</v>
      </c>
      <c r="B607" s="3" t="str">
        <f t="shared" si="2"/>
        <v>OK</v>
      </c>
      <c r="C607" s="5">
        <v>9342.0</v>
      </c>
      <c r="D607" s="6" t="s">
        <v>1229</v>
      </c>
      <c r="E607" s="5" t="s">
        <v>1230</v>
      </c>
      <c r="F607" s="7"/>
      <c r="G607" s="3" t="str">
        <f t="shared" si="3"/>
        <v>XAKN1</v>
      </c>
      <c r="H607" s="3" t="str">
        <f>VLOOKUP($C607,Userpass!$A$2:$L$3001,12,FALSE)</f>
        <v>AKN1</v>
      </c>
      <c r="I607" s="5" t="s">
        <v>1212</v>
      </c>
      <c r="J607" s="5">
        <v>2025.0</v>
      </c>
      <c r="K607" s="8" t="s">
        <v>1231</v>
      </c>
    </row>
    <row r="608" hidden="1">
      <c r="A608" s="3" t="str">
        <f t="shared" si="1"/>
        <v>OK</v>
      </c>
      <c r="B608" s="3" t="str">
        <f t="shared" si="2"/>
        <v>OK</v>
      </c>
      <c r="C608" s="5">
        <v>9357.0</v>
      </c>
      <c r="D608" s="6" t="s">
        <v>1232</v>
      </c>
      <c r="E608" s="5" t="s">
        <v>1233</v>
      </c>
      <c r="F608" s="7"/>
      <c r="G608" s="3" t="str">
        <f t="shared" si="3"/>
        <v>XAKN1</v>
      </c>
      <c r="H608" s="3" t="str">
        <f>VLOOKUP($C608,Userpass!$A$2:$L$3001,12,FALSE)</f>
        <v>AKN1</v>
      </c>
      <c r="I608" s="5" t="s">
        <v>1212</v>
      </c>
      <c r="J608" s="5">
        <v>2025.0</v>
      </c>
      <c r="K608" s="8" t="s">
        <v>1234</v>
      </c>
    </row>
    <row r="609" hidden="1">
      <c r="A609" s="3" t="str">
        <f t="shared" si="1"/>
        <v>OK</v>
      </c>
      <c r="B609" s="3" t="str">
        <f t="shared" si="2"/>
        <v>OK</v>
      </c>
      <c r="C609" s="5">
        <v>9382.0</v>
      </c>
      <c r="D609" s="6" t="s">
        <v>1235</v>
      </c>
      <c r="E609" s="5" t="s">
        <v>1236</v>
      </c>
      <c r="F609" s="7"/>
      <c r="G609" s="3" t="str">
        <f t="shared" si="3"/>
        <v>XAKN1</v>
      </c>
      <c r="H609" s="3" t="str">
        <f>VLOOKUP($C609,Userpass!$A$2:$L$3001,12,FALSE)</f>
        <v>AKN1</v>
      </c>
      <c r="I609" s="5" t="s">
        <v>1212</v>
      </c>
      <c r="J609" s="5">
        <v>2025.0</v>
      </c>
      <c r="K609" s="8" t="s">
        <v>1237</v>
      </c>
    </row>
    <row r="610" hidden="1">
      <c r="A610" s="3" t="str">
        <f t="shared" si="1"/>
        <v>OK</v>
      </c>
      <c r="B610" s="3" t="str">
        <f t="shared" si="2"/>
        <v>OK</v>
      </c>
      <c r="C610" s="5">
        <v>9394.0</v>
      </c>
      <c r="D610" s="6" t="s">
        <v>1238</v>
      </c>
      <c r="E610" s="5" t="s">
        <v>1239</v>
      </c>
      <c r="F610" s="7"/>
      <c r="G610" s="3" t="str">
        <f t="shared" si="3"/>
        <v>XAKN1</v>
      </c>
      <c r="H610" s="3" t="str">
        <f>VLOOKUP($C610,Userpass!$A$2:$L$3001,12,FALSE)</f>
        <v>AKN1</v>
      </c>
      <c r="I610" s="5" t="s">
        <v>1212</v>
      </c>
      <c r="J610" s="5">
        <v>2025.0</v>
      </c>
      <c r="K610" s="8" t="s">
        <v>1240</v>
      </c>
    </row>
    <row r="611" hidden="1">
      <c r="A611" s="3" t="str">
        <f t="shared" si="1"/>
        <v>OK</v>
      </c>
      <c r="B611" s="3" t="str">
        <f t="shared" si="2"/>
        <v>OK</v>
      </c>
      <c r="C611" s="5">
        <v>9407.0</v>
      </c>
      <c r="D611" s="6" t="s">
        <v>1241</v>
      </c>
      <c r="E611" s="5" t="s">
        <v>1242</v>
      </c>
      <c r="F611" s="7"/>
      <c r="G611" s="3" t="str">
        <f t="shared" si="3"/>
        <v>XAKN1</v>
      </c>
      <c r="H611" s="3" t="str">
        <f>VLOOKUP($C611,Userpass!$A$2:$L$3001,12,FALSE)</f>
        <v>AKN1</v>
      </c>
      <c r="I611" s="5" t="s">
        <v>1212</v>
      </c>
      <c r="J611" s="5">
        <v>2025.0</v>
      </c>
      <c r="K611" s="8" t="s">
        <v>1243</v>
      </c>
    </row>
    <row r="612" hidden="1">
      <c r="A612" s="3" t="str">
        <f t="shared" si="1"/>
        <v>OK</v>
      </c>
      <c r="B612" s="3" t="str">
        <f t="shared" si="2"/>
        <v>OK</v>
      </c>
      <c r="C612" s="5">
        <v>9414.0</v>
      </c>
      <c r="D612" s="6" t="s">
        <v>1244</v>
      </c>
      <c r="E612" s="5" t="s">
        <v>1245</v>
      </c>
      <c r="F612" s="7"/>
      <c r="G612" s="3" t="str">
        <f t="shared" si="3"/>
        <v>XAKN1</v>
      </c>
      <c r="H612" s="3" t="str">
        <f>VLOOKUP($C612,Userpass!$A$2:$L$3001,12,FALSE)</f>
        <v>AKN1</v>
      </c>
      <c r="I612" s="5" t="s">
        <v>1212</v>
      </c>
      <c r="J612" s="5">
        <v>2025.0</v>
      </c>
      <c r="K612" s="8" t="s">
        <v>1246</v>
      </c>
    </row>
    <row r="613" hidden="1">
      <c r="A613" s="3" t="str">
        <f t="shared" si="1"/>
        <v>OK</v>
      </c>
      <c r="B613" s="3" t="str">
        <f t="shared" si="2"/>
        <v>OK</v>
      </c>
      <c r="C613" s="5">
        <v>9426.0</v>
      </c>
      <c r="D613" s="6" t="s">
        <v>1247</v>
      </c>
      <c r="E613" s="5" t="s">
        <v>1248</v>
      </c>
      <c r="F613" s="7"/>
      <c r="G613" s="3" t="str">
        <f t="shared" si="3"/>
        <v>XAKN1</v>
      </c>
      <c r="H613" s="3" t="str">
        <f>VLOOKUP($C613,Userpass!$A$2:$L$3001,12,FALSE)</f>
        <v>AKN1</v>
      </c>
      <c r="I613" s="5" t="s">
        <v>1212</v>
      </c>
      <c r="J613" s="5">
        <v>2025.0</v>
      </c>
      <c r="K613" s="8" t="s">
        <v>1249</v>
      </c>
    </row>
    <row r="614" hidden="1">
      <c r="A614" s="3" t="str">
        <f t="shared" si="1"/>
        <v>OK</v>
      </c>
      <c r="B614" s="3" t="str">
        <f t="shared" si="2"/>
        <v>OK</v>
      </c>
      <c r="C614" s="5">
        <v>9435.0</v>
      </c>
      <c r="D614" s="6" t="s">
        <v>1250</v>
      </c>
      <c r="E614" s="5" t="s">
        <v>1251</v>
      </c>
      <c r="F614" s="7"/>
      <c r="G614" s="3" t="str">
        <f t="shared" si="3"/>
        <v>XAKN1</v>
      </c>
      <c r="H614" s="3" t="str">
        <f>VLOOKUP($C614,Userpass!$A$2:$L$3001,12,FALSE)</f>
        <v>AKN1</v>
      </c>
      <c r="I614" s="5" t="s">
        <v>1212</v>
      </c>
      <c r="J614" s="5">
        <v>2025.0</v>
      </c>
      <c r="K614" s="8" t="s">
        <v>1252</v>
      </c>
    </row>
    <row r="615" hidden="1">
      <c r="A615" s="3" t="str">
        <f t="shared" si="1"/>
        <v>OK</v>
      </c>
      <c r="B615" s="3" t="str">
        <f t="shared" si="2"/>
        <v>OK</v>
      </c>
      <c r="C615" s="5">
        <v>9451.0</v>
      </c>
      <c r="D615" s="6" t="s">
        <v>1253</v>
      </c>
      <c r="E615" s="5" t="s">
        <v>1254</v>
      </c>
      <c r="F615" s="7"/>
      <c r="G615" s="3" t="str">
        <f t="shared" si="3"/>
        <v>XAKN1</v>
      </c>
      <c r="H615" s="3" t="str">
        <f>VLOOKUP($C615,Userpass!$A$2:$L$3001,12,FALSE)</f>
        <v>AKN1</v>
      </c>
      <c r="I615" s="5" t="s">
        <v>1212</v>
      </c>
      <c r="J615" s="5">
        <v>2025.0</v>
      </c>
      <c r="K615" s="8" t="s">
        <v>1255</v>
      </c>
    </row>
    <row r="616" hidden="1">
      <c r="A616" s="3" t="str">
        <f t="shared" si="1"/>
        <v>OK</v>
      </c>
      <c r="B616" s="3" t="str">
        <f t="shared" si="2"/>
        <v>OK</v>
      </c>
      <c r="C616" s="5">
        <v>9463.0</v>
      </c>
      <c r="D616" s="6" t="s">
        <v>1256</v>
      </c>
      <c r="E616" s="5" t="s">
        <v>1257</v>
      </c>
      <c r="F616" s="7"/>
      <c r="G616" s="3" t="str">
        <f t="shared" si="3"/>
        <v>XAKN1</v>
      </c>
      <c r="H616" s="3" t="str">
        <f>VLOOKUP($C616,Userpass!$A$2:$L$3001,12,FALSE)</f>
        <v>AKN1</v>
      </c>
      <c r="I616" s="5" t="s">
        <v>1212</v>
      </c>
      <c r="J616" s="5">
        <v>2025.0</v>
      </c>
      <c r="K616" s="8" t="s">
        <v>1258</v>
      </c>
    </row>
    <row r="617" hidden="1">
      <c r="A617" s="3" t="str">
        <f t="shared" si="1"/>
        <v>OK</v>
      </c>
      <c r="B617" s="3" t="str">
        <f t="shared" si="2"/>
        <v>OK</v>
      </c>
      <c r="C617" s="5">
        <v>9488.0</v>
      </c>
      <c r="D617" s="6" t="s">
        <v>1259</v>
      </c>
      <c r="E617" s="5" t="s">
        <v>1260</v>
      </c>
      <c r="F617" s="7"/>
      <c r="G617" s="3" t="str">
        <f t="shared" si="3"/>
        <v>XAKN1</v>
      </c>
      <c r="H617" s="3" t="str">
        <f>VLOOKUP($C617,Userpass!$A$2:$L$3001,12,FALSE)</f>
        <v>AKN1</v>
      </c>
      <c r="I617" s="5" t="s">
        <v>1212</v>
      </c>
      <c r="J617" s="5">
        <v>2025.0</v>
      </c>
      <c r="K617" s="8" t="s">
        <v>1261</v>
      </c>
    </row>
    <row r="618" hidden="1">
      <c r="A618" s="3" t="str">
        <f t="shared" si="1"/>
        <v>OK</v>
      </c>
      <c r="B618" s="3" t="str">
        <f t="shared" si="2"/>
        <v>OK</v>
      </c>
      <c r="C618" s="5">
        <v>9515.0</v>
      </c>
      <c r="D618" s="6" t="s">
        <v>1262</v>
      </c>
      <c r="E618" s="5" t="s">
        <v>1263</v>
      </c>
      <c r="F618" s="7"/>
      <c r="G618" s="3" t="str">
        <f t="shared" si="3"/>
        <v>XAKN1</v>
      </c>
      <c r="H618" s="3" t="str">
        <f>VLOOKUP($C618,Userpass!$A$2:$L$3001,12,FALSE)</f>
        <v>AKN1</v>
      </c>
      <c r="I618" s="5" t="s">
        <v>1212</v>
      </c>
      <c r="J618" s="5">
        <v>2025.0</v>
      </c>
      <c r="K618" s="8" t="s">
        <v>1264</v>
      </c>
    </row>
    <row r="619" hidden="1">
      <c r="A619" s="3" t="str">
        <f t="shared" si="1"/>
        <v>OK</v>
      </c>
      <c r="B619" s="3" t="str">
        <f t="shared" si="2"/>
        <v>OK</v>
      </c>
      <c r="C619" s="5">
        <v>9527.0</v>
      </c>
      <c r="D619" s="6" t="s">
        <v>1265</v>
      </c>
      <c r="E619" s="5" t="s">
        <v>193</v>
      </c>
      <c r="F619" s="7"/>
      <c r="G619" s="3" t="str">
        <f t="shared" si="3"/>
        <v>XAKN1</v>
      </c>
      <c r="H619" s="3" t="str">
        <f>VLOOKUP($C619,Userpass!$A$2:$L$3001,12,FALSE)</f>
        <v>AKN1</v>
      </c>
      <c r="I619" s="5" t="s">
        <v>1212</v>
      </c>
      <c r="J619" s="5">
        <v>2025.0</v>
      </c>
      <c r="K619" s="8" t="s">
        <v>1266</v>
      </c>
    </row>
    <row r="620" hidden="1">
      <c r="A620" s="3" t="str">
        <f t="shared" si="1"/>
        <v>OK</v>
      </c>
      <c r="B620" s="3" t="str">
        <f t="shared" si="2"/>
        <v>OK</v>
      </c>
      <c r="C620" s="5">
        <v>9531.0</v>
      </c>
      <c r="D620" s="6" t="s">
        <v>1267</v>
      </c>
      <c r="E620" s="5" t="s">
        <v>1268</v>
      </c>
      <c r="F620" s="7"/>
      <c r="G620" s="3" t="str">
        <f t="shared" si="3"/>
        <v>XAKN1</v>
      </c>
      <c r="H620" s="3" t="str">
        <f>VLOOKUP($C620,Userpass!$A$2:$L$3001,12,FALSE)</f>
        <v>AKN1</v>
      </c>
      <c r="I620" s="5" t="s">
        <v>1212</v>
      </c>
      <c r="J620" s="5">
        <v>2025.0</v>
      </c>
      <c r="K620" s="8" t="s">
        <v>1269</v>
      </c>
    </row>
    <row r="621" hidden="1">
      <c r="A621" s="3" t="str">
        <f t="shared" si="1"/>
        <v>OK</v>
      </c>
      <c r="B621" s="3" t="str">
        <f t="shared" si="2"/>
        <v>OK</v>
      </c>
      <c r="C621" s="5">
        <v>9539.0</v>
      </c>
      <c r="D621" s="6" t="s">
        <v>1270</v>
      </c>
      <c r="E621" s="5" t="s">
        <v>1271</v>
      </c>
      <c r="F621" s="7"/>
      <c r="G621" s="3" t="str">
        <f t="shared" si="3"/>
        <v>XAKN1</v>
      </c>
      <c r="H621" s="3" t="str">
        <f>VLOOKUP($C621,Userpass!$A$2:$L$3001,12,FALSE)</f>
        <v>AKN1</v>
      </c>
      <c r="I621" s="5" t="s">
        <v>1212</v>
      </c>
      <c r="J621" s="5">
        <v>2025.0</v>
      </c>
      <c r="K621" s="8" t="s">
        <v>1272</v>
      </c>
    </row>
    <row r="622" hidden="1">
      <c r="A622" s="3" t="str">
        <f t="shared" si="1"/>
        <v>OK</v>
      </c>
      <c r="B622" s="3" t="str">
        <f t="shared" si="2"/>
        <v>OK</v>
      </c>
      <c r="C622" s="5">
        <v>9555.0</v>
      </c>
      <c r="D622" s="6" t="s">
        <v>1273</v>
      </c>
      <c r="E622" s="5" t="s">
        <v>1274</v>
      </c>
      <c r="F622" s="7"/>
      <c r="G622" s="3" t="str">
        <f t="shared" si="3"/>
        <v>XAKN1</v>
      </c>
      <c r="H622" s="3" t="str">
        <f>VLOOKUP($C622,Userpass!$A$2:$L$3001,12,FALSE)</f>
        <v>AKN1</v>
      </c>
      <c r="I622" s="5" t="s">
        <v>1212</v>
      </c>
      <c r="J622" s="5">
        <v>2025.0</v>
      </c>
      <c r="K622" s="8" t="s">
        <v>1275</v>
      </c>
    </row>
    <row r="623" hidden="1">
      <c r="A623" s="3" t="str">
        <f t="shared" si="1"/>
        <v>OK</v>
      </c>
      <c r="B623" s="3" t="str">
        <f t="shared" si="2"/>
        <v>OK</v>
      </c>
      <c r="C623" s="5">
        <v>9617.0</v>
      </c>
      <c r="D623" s="6" t="s">
        <v>1276</v>
      </c>
      <c r="E623" s="5" t="s">
        <v>1277</v>
      </c>
      <c r="F623" s="7"/>
      <c r="G623" s="3" t="str">
        <f t="shared" si="3"/>
        <v>XAKN1</v>
      </c>
      <c r="H623" s="3" t="str">
        <f>VLOOKUP($C623,Userpass!$A$2:$L$3001,12,FALSE)</f>
        <v>AKN1</v>
      </c>
      <c r="I623" s="5" t="s">
        <v>1212</v>
      </c>
      <c r="J623" s="5">
        <v>2025.0</v>
      </c>
      <c r="K623" s="8" t="s">
        <v>1278</v>
      </c>
    </row>
    <row r="624" hidden="1">
      <c r="A624" s="3" t="str">
        <f t="shared" si="1"/>
        <v>OK</v>
      </c>
      <c r="B624" s="3" t="str">
        <f t="shared" si="2"/>
        <v>OK</v>
      </c>
      <c r="C624" s="5">
        <v>9647.0</v>
      </c>
      <c r="D624" s="6" t="s">
        <v>1279</v>
      </c>
      <c r="E624" s="5" t="s">
        <v>1280</v>
      </c>
      <c r="F624" s="7"/>
      <c r="G624" s="3" t="str">
        <f t="shared" si="3"/>
        <v>XAKN1</v>
      </c>
      <c r="H624" s="3" t="str">
        <f>VLOOKUP($C624,Userpass!$A$2:$L$3001,12,FALSE)</f>
        <v>AKN1</v>
      </c>
      <c r="I624" s="5" t="s">
        <v>1212</v>
      </c>
      <c r="J624" s="5">
        <v>2025.0</v>
      </c>
      <c r="K624" s="8" t="s">
        <v>1281</v>
      </c>
    </row>
    <row r="625" hidden="1">
      <c r="A625" s="3" t="str">
        <f t="shared" si="1"/>
        <v>OK</v>
      </c>
      <c r="B625" s="3" t="str">
        <f t="shared" si="2"/>
        <v>OK</v>
      </c>
      <c r="C625" s="5">
        <v>9658.0</v>
      </c>
      <c r="D625" s="6" t="s">
        <v>1282</v>
      </c>
      <c r="E625" s="5" t="s">
        <v>1283</v>
      </c>
      <c r="F625" s="7"/>
      <c r="G625" s="3" t="str">
        <f t="shared" si="3"/>
        <v>XAKN1</v>
      </c>
      <c r="H625" s="3" t="str">
        <f>VLOOKUP($C625,Userpass!$A$2:$L$3001,12,FALSE)</f>
        <v>AKN1</v>
      </c>
      <c r="I625" s="5" t="s">
        <v>1212</v>
      </c>
      <c r="J625" s="5">
        <v>2025.0</v>
      </c>
      <c r="K625" s="8" t="s">
        <v>1284</v>
      </c>
    </row>
    <row r="626" hidden="1">
      <c r="A626" s="3" t="str">
        <f t="shared" si="1"/>
        <v>OK</v>
      </c>
      <c r="B626" s="3" t="str">
        <f t="shared" si="2"/>
        <v>OK</v>
      </c>
      <c r="C626" s="5">
        <v>9680.0</v>
      </c>
      <c r="D626" s="6" t="s">
        <v>1285</v>
      </c>
      <c r="E626" s="5" t="s">
        <v>1286</v>
      </c>
      <c r="F626" s="7"/>
      <c r="G626" s="3" t="str">
        <f t="shared" si="3"/>
        <v>XAKN1</v>
      </c>
      <c r="H626" s="3" t="str">
        <f>VLOOKUP($C626,Userpass!$A$2:$L$3001,12,FALSE)</f>
        <v>AKN1</v>
      </c>
      <c r="I626" s="5" t="s">
        <v>1212</v>
      </c>
      <c r="J626" s="5">
        <v>2025.0</v>
      </c>
      <c r="K626" s="8" t="s">
        <v>1287</v>
      </c>
    </row>
    <row r="627" hidden="1">
      <c r="A627" s="3" t="str">
        <f t="shared" si="1"/>
        <v>OK</v>
      </c>
      <c r="B627" s="3" t="str">
        <f t="shared" si="2"/>
        <v>OK</v>
      </c>
      <c r="C627" s="5">
        <v>9702.0</v>
      </c>
      <c r="D627" s="6" t="s">
        <v>1288</v>
      </c>
      <c r="E627" s="5" t="s">
        <v>1289</v>
      </c>
      <c r="F627" s="7"/>
      <c r="G627" s="3" t="str">
        <f t="shared" si="3"/>
        <v>XAKN1</v>
      </c>
      <c r="H627" s="3" t="str">
        <f>VLOOKUP($C627,Userpass!$A$2:$L$3001,12,FALSE)</f>
        <v>AKN1</v>
      </c>
      <c r="I627" s="5" t="s">
        <v>1212</v>
      </c>
      <c r="J627" s="5">
        <v>2025.0</v>
      </c>
      <c r="K627" s="8" t="s">
        <v>1290</v>
      </c>
    </row>
    <row r="628" hidden="1">
      <c r="A628" s="3" t="str">
        <f t="shared" si="1"/>
        <v>OK</v>
      </c>
      <c r="B628" s="3" t="str">
        <f t="shared" si="2"/>
        <v>OK</v>
      </c>
      <c r="C628" s="5">
        <v>9719.0</v>
      </c>
      <c r="D628" s="6" t="s">
        <v>1291</v>
      </c>
      <c r="E628" s="5" t="s">
        <v>1292</v>
      </c>
      <c r="F628" s="7"/>
      <c r="G628" s="3" t="str">
        <f t="shared" si="3"/>
        <v>XAKN1</v>
      </c>
      <c r="H628" s="3" t="str">
        <f>VLOOKUP($C628,Userpass!$A$2:$L$3001,12,FALSE)</f>
        <v>AKN1</v>
      </c>
      <c r="I628" s="5" t="s">
        <v>1212</v>
      </c>
      <c r="J628" s="5">
        <v>2025.0</v>
      </c>
      <c r="K628" s="8" t="s">
        <v>1293</v>
      </c>
    </row>
    <row r="629" hidden="1">
      <c r="A629" s="3" t="str">
        <f t="shared" si="1"/>
        <v>OK</v>
      </c>
      <c r="B629" s="3" t="str">
        <f t="shared" si="2"/>
        <v>OK</v>
      </c>
      <c r="C629" s="5">
        <v>9755.0</v>
      </c>
      <c r="D629" s="6" t="s">
        <v>1294</v>
      </c>
      <c r="E629" s="5" t="s">
        <v>1295</v>
      </c>
      <c r="F629" s="7"/>
      <c r="G629" s="3" t="str">
        <f t="shared" si="3"/>
        <v>XAKN1</v>
      </c>
      <c r="H629" s="3" t="str">
        <f>VLOOKUP($C629,Userpass!$A$2:$L$3001,12,FALSE)</f>
        <v>AKN1</v>
      </c>
      <c r="I629" s="5" t="s">
        <v>1212</v>
      </c>
      <c r="J629" s="5">
        <v>2025.0</v>
      </c>
      <c r="K629" s="8" t="s">
        <v>1296</v>
      </c>
    </row>
    <row r="630" hidden="1">
      <c r="A630" s="3" t="str">
        <f t="shared" si="1"/>
        <v>OK</v>
      </c>
      <c r="B630" s="3" t="str">
        <f t="shared" si="2"/>
        <v>OK</v>
      </c>
      <c r="C630" s="5">
        <v>9762.0</v>
      </c>
      <c r="D630" s="6" t="s">
        <v>1297</v>
      </c>
      <c r="E630" s="5" t="s">
        <v>1298</v>
      </c>
      <c r="F630" s="7"/>
      <c r="G630" s="3" t="str">
        <f t="shared" si="3"/>
        <v>XAKN1</v>
      </c>
      <c r="H630" s="3" t="str">
        <f>VLOOKUP($C630,Userpass!$A$2:$L$3001,12,FALSE)</f>
        <v>AKN1</v>
      </c>
      <c r="I630" s="5" t="s">
        <v>1212</v>
      </c>
      <c r="J630" s="5">
        <v>2025.0</v>
      </c>
      <c r="K630" s="8" t="s">
        <v>1299</v>
      </c>
    </row>
    <row r="631" hidden="1">
      <c r="A631" s="3" t="str">
        <f t="shared" si="1"/>
        <v>OK</v>
      </c>
      <c r="B631" s="3" t="str">
        <f t="shared" si="2"/>
        <v>OK</v>
      </c>
      <c r="C631" s="5">
        <v>9770.0</v>
      </c>
      <c r="D631" s="6" t="s">
        <v>1300</v>
      </c>
      <c r="E631" s="5" t="s">
        <v>1301</v>
      </c>
      <c r="F631" s="7"/>
      <c r="G631" s="3" t="str">
        <f t="shared" si="3"/>
        <v>XAKN1</v>
      </c>
      <c r="H631" s="3" t="str">
        <f>VLOOKUP($C631,Userpass!$A$2:$L$3001,12,FALSE)</f>
        <v>AKN1</v>
      </c>
      <c r="I631" s="5" t="s">
        <v>1212</v>
      </c>
      <c r="J631" s="5">
        <v>2025.0</v>
      </c>
      <c r="K631" s="8" t="s">
        <v>1302</v>
      </c>
    </row>
    <row r="632" hidden="1">
      <c r="A632" s="3" t="str">
        <f t="shared" si="1"/>
        <v>OK</v>
      </c>
      <c r="B632" s="3" t="str">
        <f t="shared" si="2"/>
        <v>OK</v>
      </c>
      <c r="C632" s="5">
        <v>9781.0</v>
      </c>
      <c r="D632" s="6" t="s">
        <v>1303</v>
      </c>
      <c r="E632" s="5" t="s">
        <v>1304</v>
      </c>
      <c r="F632" s="7"/>
      <c r="G632" s="3" t="str">
        <f t="shared" si="3"/>
        <v>XAKN1</v>
      </c>
      <c r="H632" s="3" t="str">
        <f>VLOOKUP($C632,Userpass!$A$2:$L$3001,12,FALSE)</f>
        <v>AKN1</v>
      </c>
      <c r="I632" s="5" t="s">
        <v>1212</v>
      </c>
      <c r="J632" s="5">
        <v>2025.0</v>
      </c>
      <c r="K632" s="8" t="s">
        <v>1305</v>
      </c>
    </row>
    <row r="633" hidden="1">
      <c r="A633" s="3" t="str">
        <f t="shared" si="1"/>
        <v>OK</v>
      </c>
      <c r="B633" s="3" t="str">
        <f t="shared" si="2"/>
        <v>OK</v>
      </c>
      <c r="C633" s="5">
        <v>9794.0</v>
      </c>
      <c r="D633" s="6" t="s">
        <v>1306</v>
      </c>
      <c r="E633" s="5" t="s">
        <v>1307</v>
      </c>
      <c r="F633" s="7"/>
      <c r="G633" s="3" t="str">
        <f t="shared" si="3"/>
        <v>XAKN1</v>
      </c>
      <c r="H633" s="3" t="str">
        <f>VLOOKUP($C633,Userpass!$A$2:$L$3001,12,FALSE)</f>
        <v>AKN1</v>
      </c>
      <c r="I633" s="5" t="s">
        <v>1212</v>
      </c>
      <c r="J633" s="5">
        <v>2025.0</v>
      </c>
      <c r="K633" s="8" t="s">
        <v>1308</v>
      </c>
    </row>
    <row r="634" hidden="1">
      <c r="A634" s="3" t="str">
        <f t="shared" si="1"/>
        <v>OK</v>
      </c>
      <c r="B634" s="3" t="str">
        <f t="shared" si="2"/>
        <v>OK</v>
      </c>
      <c r="C634" s="5">
        <v>9800.0</v>
      </c>
      <c r="D634" s="6" t="s">
        <v>1309</v>
      </c>
      <c r="E634" s="5" t="s">
        <v>1310</v>
      </c>
      <c r="F634" s="7"/>
      <c r="G634" s="3" t="str">
        <f t="shared" si="3"/>
        <v>XAKN1</v>
      </c>
      <c r="H634" s="3" t="str">
        <f>VLOOKUP($C634,Userpass!$A$2:$L$3001,12,FALSE)</f>
        <v>AKN1</v>
      </c>
      <c r="I634" s="5" t="s">
        <v>1212</v>
      </c>
      <c r="J634" s="5">
        <v>2025.0</v>
      </c>
      <c r="K634" s="8" t="s">
        <v>1311</v>
      </c>
    </row>
    <row r="635" hidden="1">
      <c r="A635" s="3" t="str">
        <f t="shared" si="1"/>
        <v>OK</v>
      </c>
      <c r="B635" s="3" t="str">
        <f t="shared" si="2"/>
        <v>OK</v>
      </c>
      <c r="C635" s="5">
        <v>9815.0</v>
      </c>
      <c r="D635" s="6" t="s">
        <v>1312</v>
      </c>
      <c r="E635" s="5" t="s">
        <v>1313</v>
      </c>
      <c r="F635" s="7"/>
      <c r="G635" s="3" t="str">
        <f t="shared" si="3"/>
        <v>XAKN1</v>
      </c>
      <c r="H635" s="3" t="str">
        <f>VLOOKUP($C635,Userpass!$A$2:$L$3001,12,FALSE)</f>
        <v>AKN1</v>
      </c>
      <c r="I635" s="5" t="s">
        <v>1212</v>
      </c>
      <c r="J635" s="5">
        <v>2025.0</v>
      </c>
      <c r="K635" s="8" t="s">
        <v>1314</v>
      </c>
    </row>
    <row r="636" hidden="1">
      <c r="A636" s="3" t="str">
        <f t="shared" si="1"/>
        <v>OK</v>
      </c>
      <c r="B636" s="3" t="str">
        <f t="shared" si="2"/>
        <v>OK</v>
      </c>
      <c r="C636" s="5">
        <v>9839.0</v>
      </c>
      <c r="D636" s="6" t="s">
        <v>1315</v>
      </c>
      <c r="E636" s="5" t="s">
        <v>1316</v>
      </c>
      <c r="F636" s="7"/>
      <c r="G636" s="3" t="str">
        <f t="shared" si="3"/>
        <v>XAKN1</v>
      </c>
      <c r="H636" s="3" t="str">
        <f>VLOOKUP($C636,Userpass!$A$2:$L$3001,12,FALSE)</f>
        <v>AKN1</v>
      </c>
      <c r="I636" s="5" t="s">
        <v>1212</v>
      </c>
      <c r="J636" s="5">
        <v>2025.0</v>
      </c>
      <c r="K636" s="8" t="s">
        <v>1317</v>
      </c>
    </row>
    <row r="637" hidden="1">
      <c r="A637" s="3" t="str">
        <f t="shared" si="1"/>
        <v>OK</v>
      </c>
      <c r="B637" s="3" t="str">
        <f t="shared" si="2"/>
        <v>OK</v>
      </c>
      <c r="C637" s="5">
        <v>9249.0</v>
      </c>
      <c r="D637" s="6" t="s">
        <v>1318</v>
      </c>
      <c r="E637" s="5" t="s">
        <v>1319</v>
      </c>
      <c r="F637" s="7"/>
      <c r="G637" s="3" t="str">
        <f t="shared" si="3"/>
        <v>XAKN2</v>
      </c>
      <c r="H637" s="3" t="str">
        <f>VLOOKUP($C637,Userpass!$A$2:$L$3001,12,FALSE)</f>
        <v>AKN2</v>
      </c>
      <c r="I637" s="5" t="s">
        <v>1212</v>
      </c>
      <c r="J637" s="5">
        <v>2025.0</v>
      </c>
      <c r="K637" s="8" t="s">
        <v>1320</v>
      </c>
    </row>
    <row r="638" hidden="1">
      <c r="A638" s="3" t="str">
        <f t="shared" si="1"/>
        <v>OK</v>
      </c>
      <c r="B638" s="3" t="str">
        <f t="shared" si="2"/>
        <v>OK</v>
      </c>
      <c r="C638" s="5">
        <v>9264.0</v>
      </c>
      <c r="D638" s="6" t="s">
        <v>1321</v>
      </c>
      <c r="E638" s="5" t="s">
        <v>1322</v>
      </c>
      <c r="F638" s="7"/>
      <c r="G638" s="3" t="str">
        <f t="shared" si="3"/>
        <v>XAKN2</v>
      </c>
      <c r="H638" s="3" t="str">
        <f>VLOOKUP($C638,Userpass!$A$2:$L$3001,12,FALSE)</f>
        <v>AKN2</v>
      </c>
      <c r="I638" s="5" t="s">
        <v>1212</v>
      </c>
      <c r="J638" s="5">
        <v>2025.0</v>
      </c>
      <c r="K638" s="8" t="s">
        <v>1323</v>
      </c>
    </row>
    <row r="639" hidden="1">
      <c r="A639" s="3" t="str">
        <f t="shared" si="1"/>
        <v>OK</v>
      </c>
      <c r="B639" s="3" t="str">
        <f t="shared" si="2"/>
        <v>OK</v>
      </c>
      <c r="C639" s="5">
        <v>9281.0</v>
      </c>
      <c r="D639" s="6" t="s">
        <v>1324</v>
      </c>
      <c r="E639" s="5" t="s">
        <v>1325</v>
      </c>
      <c r="F639" s="7"/>
      <c r="G639" s="3" t="str">
        <f t="shared" si="3"/>
        <v>XAKN2</v>
      </c>
      <c r="H639" s="3" t="str">
        <f>VLOOKUP($C639,Userpass!$A$2:$L$3001,12,FALSE)</f>
        <v>AKN2</v>
      </c>
      <c r="I639" s="5" t="s">
        <v>1212</v>
      </c>
      <c r="J639" s="5">
        <v>2025.0</v>
      </c>
      <c r="K639" s="8" t="s">
        <v>1326</v>
      </c>
    </row>
    <row r="640" hidden="1">
      <c r="A640" s="3" t="str">
        <f t="shared" si="1"/>
        <v>OK</v>
      </c>
      <c r="B640" s="3" t="str">
        <f t="shared" si="2"/>
        <v>OK</v>
      </c>
      <c r="C640" s="5">
        <v>9290.0</v>
      </c>
      <c r="D640" s="6" t="s">
        <v>1327</v>
      </c>
      <c r="E640" s="5" t="s">
        <v>1328</v>
      </c>
      <c r="F640" s="7"/>
      <c r="G640" s="3" t="str">
        <f t="shared" si="3"/>
        <v>XAKN2</v>
      </c>
      <c r="H640" s="3" t="str">
        <f>VLOOKUP($C640,Userpass!$A$2:$L$3001,12,FALSE)</f>
        <v>AKN2</v>
      </c>
      <c r="I640" s="5" t="s">
        <v>1212</v>
      </c>
      <c r="J640" s="5">
        <v>2025.0</v>
      </c>
      <c r="K640" s="8" t="s">
        <v>1329</v>
      </c>
    </row>
    <row r="641" hidden="1">
      <c r="A641" s="3" t="str">
        <f t="shared" si="1"/>
        <v>OK</v>
      </c>
      <c r="B641" s="3" t="str">
        <f t="shared" si="2"/>
        <v>OK</v>
      </c>
      <c r="C641" s="5">
        <v>9315.0</v>
      </c>
      <c r="D641" s="6" t="s">
        <v>1330</v>
      </c>
      <c r="E641" s="5" t="s">
        <v>1331</v>
      </c>
      <c r="F641" s="7"/>
      <c r="G641" s="3" t="str">
        <f t="shared" si="3"/>
        <v>XAKN2</v>
      </c>
      <c r="H641" s="3" t="str">
        <f>VLOOKUP($C641,Userpass!$A$2:$L$3001,12,FALSE)</f>
        <v>AKN2</v>
      </c>
      <c r="I641" s="5" t="s">
        <v>1212</v>
      </c>
      <c r="J641" s="5">
        <v>2025.0</v>
      </c>
      <c r="K641" s="8" t="s">
        <v>1332</v>
      </c>
    </row>
    <row r="642" hidden="1">
      <c r="A642" s="3" t="str">
        <f t="shared" si="1"/>
        <v>OK</v>
      </c>
      <c r="B642" s="3" t="str">
        <f t="shared" si="2"/>
        <v>OK</v>
      </c>
      <c r="C642" s="5">
        <v>9330.0</v>
      </c>
      <c r="D642" s="6" t="s">
        <v>1333</v>
      </c>
      <c r="E642" s="5" t="s">
        <v>1334</v>
      </c>
      <c r="F642" s="7"/>
      <c r="G642" s="3" t="str">
        <f t="shared" si="3"/>
        <v>XAKN2</v>
      </c>
      <c r="H642" s="3" t="str">
        <f>VLOOKUP($C642,Userpass!$A$2:$L$3001,12,FALSE)</f>
        <v>AKN2</v>
      </c>
      <c r="I642" s="5" t="s">
        <v>1212</v>
      </c>
      <c r="J642" s="5">
        <v>2025.0</v>
      </c>
      <c r="K642" s="8" t="s">
        <v>1335</v>
      </c>
    </row>
    <row r="643" hidden="1">
      <c r="A643" s="3" t="str">
        <f t="shared" si="1"/>
        <v>OK</v>
      </c>
      <c r="B643" s="3" t="str">
        <f t="shared" si="2"/>
        <v>OK</v>
      </c>
      <c r="C643" s="5">
        <v>9346.0</v>
      </c>
      <c r="D643" s="6" t="s">
        <v>1336</v>
      </c>
      <c r="E643" s="5" t="s">
        <v>1337</v>
      </c>
      <c r="F643" s="7"/>
      <c r="G643" s="3" t="str">
        <f t="shared" si="3"/>
        <v>XAKN2</v>
      </c>
      <c r="H643" s="3" t="str">
        <f>VLOOKUP($C643,Userpass!$A$2:$L$3001,12,FALSE)</f>
        <v>AKN2</v>
      </c>
      <c r="I643" s="5" t="s">
        <v>1212</v>
      </c>
      <c r="J643" s="5">
        <v>2025.0</v>
      </c>
      <c r="K643" s="8" t="s">
        <v>1338</v>
      </c>
    </row>
    <row r="644" hidden="1">
      <c r="A644" s="3" t="str">
        <f t="shared" si="1"/>
        <v>OK</v>
      </c>
      <c r="B644" s="3" t="str">
        <f t="shared" si="2"/>
        <v>OK</v>
      </c>
      <c r="C644" s="5">
        <v>9358.0</v>
      </c>
      <c r="D644" s="6" t="s">
        <v>1339</v>
      </c>
      <c r="E644" s="5" t="s">
        <v>1340</v>
      </c>
      <c r="F644" s="7"/>
      <c r="G644" s="3" t="str">
        <f t="shared" si="3"/>
        <v>XAKN2</v>
      </c>
      <c r="H644" s="3" t="str">
        <f>VLOOKUP($C644,Userpass!$A$2:$L$3001,12,FALSE)</f>
        <v>AKN2</v>
      </c>
      <c r="I644" s="5" t="s">
        <v>1212</v>
      </c>
      <c r="J644" s="5">
        <v>2025.0</v>
      </c>
      <c r="K644" s="8" t="s">
        <v>1341</v>
      </c>
    </row>
    <row r="645" hidden="1">
      <c r="A645" s="3" t="str">
        <f t="shared" si="1"/>
        <v>OK</v>
      </c>
      <c r="B645" s="3" t="str">
        <f t="shared" si="2"/>
        <v>OK</v>
      </c>
      <c r="C645" s="5">
        <v>9384.0</v>
      </c>
      <c r="D645" s="6" t="s">
        <v>1342</v>
      </c>
      <c r="E645" s="5" t="s">
        <v>1343</v>
      </c>
      <c r="F645" s="7"/>
      <c r="G645" s="3" t="str">
        <f t="shared" si="3"/>
        <v>XAKN2</v>
      </c>
      <c r="H645" s="3" t="str">
        <f>VLOOKUP($C645,Userpass!$A$2:$L$3001,12,FALSE)</f>
        <v>AKN2</v>
      </c>
      <c r="I645" s="5" t="s">
        <v>1212</v>
      </c>
      <c r="J645" s="5">
        <v>2025.0</v>
      </c>
      <c r="K645" s="8" t="s">
        <v>1344</v>
      </c>
    </row>
    <row r="646" hidden="1">
      <c r="A646" s="3" t="str">
        <f t="shared" si="1"/>
        <v>OK</v>
      </c>
      <c r="B646" s="3" t="str">
        <f t="shared" si="2"/>
        <v>OK</v>
      </c>
      <c r="C646" s="5">
        <v>9402.0</v>
      </c>
      <c r="D646" s="6" t="s">
        <v>1345</v>
      </c>
      <c r="E646" s="5" t="s">
        <v>1346</v>
      </c>
      <c r="F646" s="7"/>
      <c r="G646" s="3" t="str">
        <f t="shared" si="3"/>
        <v>XAKN2</v>
      </c>
      <c r="H646" s="3" t="str">
        <f>VLOOKUP($C646,Userpass!$A$2:$L$3001,12,FALSE)</f>
        <v>AKN2</v>
      </c>
      <c r="I646" s="5" t="s">
        <v>1212</v>
      </c>
      <c r="J646" s="5">
        <v>2025.0</v>
      </c>
      <c r="K646" s="8" t="s">
        <v>1347</v>
      </c>
    </row>
    <row r="647" hidden="1">
      <c r="A647" s="3" t="str">
        <f t="shared" si="1"/>
        <v>OK</v>
      </c>
      <c r="B647" s="3" t="str">
        <f t="shared" si="2"/>
        <v>OK</v>
      </c>
      <c r="C647" s="5">
        <v>9410.0</v>
      </c>
      <c r="D647" s="6" t="s">
        <v>1348</v>
      </c>
      <c r="E647" s="5" t="s">
        <v>1349</v>
      </c>
      <c r="F647" s="7"/>
      <c r="G647" s="3" t="str">
        <f t="shared" si="3"/>
        <v>XAKN2</v>
      </c>
      <c r="H647" s="3" t="str">
        <f>VLOOKUP($C647,Userpass!$A$2:$L$3001,12,FALSE)</f>
        <v>AKN2</v>
      </c>
      <c r="I647" s="5" t="s">
        <v>1212</v>
      </c>
      <c r="J647" s="5">
        <v>2025.0</v>
      </c>
      <c r="K647" s="8" t="s">
        <v>1350</v>
      </c>
    </row>
    <row r="648" hidden="1">
      <c r="A648" s="3" t="str">
        <f t="shared" si="1"/>
        <v>OK</v>
      </c>
      <c r="B648" s="3" t="str">
        <f t="shared" si="2"/>
        <v>OK</v>
      </c>
      <c r="C648" s="5">
        <v>9416.0</v>
      </c>
      <c r="D648" s="6" t="s">
        <v>1351</v>
      </c>
      <c r="E648" s="5" t="s">
        <v>1352</v>
      </c>
      <c r="F648" s="7"/>
      <c r="G648" s="3" t="str">
        <f t="shared" si="3"/>
        <v>XAKN2</v>
      </c>
      <c r="H648" s="3" t="str">
        <f>VLOOKUP($C648,Userpass!$A$2:$L$3001,12,FALSE)</f>
        <v>AKN2</v>
      </c>
      <c r="I648" s="5" t="s">
        <v>1212</v>
      </c>
      <c r="J648" s="5">
        <v>2025.0</v>
      </c>
      <c r="K648" s="8" t="s">
        <v>1353</v>
      </c>
    </row>
    <row r="649" hidden="1">
      <c r="A649" s="3" t="str">
        <f t="shared" si="1"/>
        <v>OK</v>
      </c>
      <c r="B649" s="3" t="str">
        <f t="shared" si="2"/>
        <v>OK</v>
      </c>
      <c r="C649" s="5">
        <v>9430.0</v>
      </c>
      <c r="D649" s="6" t="s">
        <v>1354</v>
      </c>
      <c r="E649" s="5" t="s">
        <v>1355</v>
      </c>
      <c r="F649" s="7"/>
      <c r="G649" s="3" t="str">
        <f t="shared" si="3"/>
        <v>XAKN2</v>
      </c>
      <c r="H649" s="3" t="str">
        <f>VLOOKUP($C649,Userpass!$A$2:$L$3001,12,FALSE)</f>
        <v>AKN2</v>
      </c>
      <c r="I649" s="5" t="s">
        <v>1212</v>
      </c>
      <c r="J649" s="5">
        <v>2025.0</v>
      </c>
      <c r="K649" s="8" t="s">
        <v>1356</v>
      </c>
    </row>
    <row r="650" hidden="1">
      <c r="A650" s="3" t="str">
        <f t="shared" si="1"/>
        <v>OK</v>
      </c>
      <c r="B650" s="3" t="str">
        <f t="shared" si="2"/>
        <v>OK</v>
      </c>
      <c r="C650" s="5">
        <v>9436.0</v>
      </c>
      <c r="D650" s="6" t="s">
        <v>1357</v>
      </c>
      <c r="E650" s="5" t="s">
        <v>1358</v>
      </c>
      <c r="F650" s="7"/>
      <c r="G650" s="3" t="str">
        <f t="shared" si="3"/>
        <v>XAKN2</v>
      </c>
      <c r="H650" s="3" t="str">
        <f>VLOOKUP($C650,Userpass!$A$2:$L$3001,12,FALSE)</f>
        <v>AKN2</v>
      </c>
      <c r="I650" s="5" t="s">
        <v>1212</v>
      </c>
      <c r="J650" s="5">
        <v>2025.0</v>
      </c>
      <c r="K650" s="8" t="s">
        <v>1359</v>
      </c>
    </row>
    <row r="651" hidden="1">
      <c r="A651" s="3" t="str">
        <f t="shared" si="1"/>
        <v>OK</v>
      </c>
      <c r="B651" s="3" t="str">
        <f t="shared" si="2"/>
        <v>OK</v>
      </c>
      <c r="C651" s="5">
        <v>9457.0</v>
      </c>
      <c r="D651" s="6" t="s">
        <v>1360</v>
      </c>
      <c r="E651" s="5" t="s">
        <v>1361</v>
      </c>
      <c r="F651" s="7"/>
      <c r="G651" s="3" t="str">
        <f t="shared" si="3"/>
        <v>XAKN2</v>
      </c>
      <c r="H651" s="3" t="str">
        <f>VLOOKUP($C651,Userpass!$A$2:$L$3001,12,FALSE)</f>
        <v>AKN2</v>
      </c>
      <c r="I651" s="5" t="s">
        <v>1212</v>
      </c>
      <c r="J651" s="5">
        <v>2025.0</v>
      </c>
      <c r="K651" s="8" t="s">
        <v>1362</v>
      </c>
    </row>
    <row r="652" hidden="1">
      <c r="A652" s="3" t="str">
        <f t="shared" si="1"/>
        <v>OK</v>
      </c>
      <c r="B652" s="3" t="str">
        <f t="shared" si="2"/>
        <v>OK</v>
      </c>
      <c r="C652" s="5">
        <v>9476.0</v>
      </c>
      <c r="D652" s="6" t="s">
        <v>1363</v>
      </c>
      <c r="E652" s="5" t="s">
        <v>1364</v>
      </c>
      <c r="F652" s="7"/>
      <c r="G652" s="3" t="str">
        <f t="shared" si="3"/>
        <v>XAKN2</v>
      </c>
      <c r="H652" s="3" t="str">
        <f>VLOOKUP($C652,Userpass!$A$2:$L$3001,12,FALSE)</f>
        <v>AKN2</v>
      </c>
      <c r="I652" s="5" t="s">
        <v>1212</v>
      </c>
      <c r="J652" s="5">
        <v>2025.0</v>
      </c>
      <c r="K652" s="8" t="s">
        <v>1365</v>
      </c>
    </row>
    <row r="653" hidden="1">
      <c r="A653" s="3" t="str">
        <f t="shared" si="1"/>
        <v>OK</v>
      </c>
      <c r="B653" s="3" t="str">
        <f t="shared" si="2"/>
        <v>OK</v>
      </c>
      <c r="C653" s="5">
        <v>9496.0</v>
      </c>
      <c r="D653" s="6" t="s">
        <v>1366</v>
      </c>
      <c r="E653" s="5" t="s">
        <v>1367</v>
      </c>
      <c r="F653" s="7"/>
      <c r="G653" s="3" t="str">
        <f t="shared" si="3"/>
        <v>XAKN2</v>
      </c>
      <c r="H653" s="3" t="str">
        <f>VLOOKUP($C653,Userpass!$A$2:$L$3001,12,FALSE)</f>
        <v>AKN2</v>
      </c>
      <c r="I653" s="5" t="s">
        <v>1212</v>
      </c>
      <c r="J653" s="5">
        <v>2025.0</v>
      </c>
      <c r="K653" s="8" t="s">
        <v>1368</v>
      </c>
    </row>
    <row r="654" hidden="1">
      <c r="A654" s="3" t="str">
        <f t="shared" si="1"/>
        <v>OK</v>
      </c>
      <c r="B654" s="3" t="str">
        <f t="shared" si="2"/>
        <v>OK</v>
      </c>
      <c r="C654" s="5">
        <v>9517.0</v>
      </c>
      <c r="D654" s="6" t="s">
        <v>1369</v>
      </c>
      <c r="E654" s="5" t="s">
        <v>1370</v>
      </c>
      <c r="F654" s="7"/>
      <c r="G654" s="3" t="str">
        <f t="shared" si="3"/>
        <v>XAKN2</v>
      </c>
      <c r="H654" s="3" t="str">
        <f>VLOOKUP($C654,Userpass!$A$2:$L$3001,12,FALSE)</f>
        <v>AKN2</v>
      </c>
      <c r="I654" s="5" t="s">
        <v>1212</v>
      </c>
      <c r="J654" s="5">
        <v>2025.0</v>
      </c>
      <c r="K654" s="8" t="s">
        <v>1371</v>
      </c>
    </row>
    <row r="655" hidden="1">
      <c r="A655" s="3" t="str">
        <f t="shared" si="1"/>
        <v>OK</v>
      </c>
      <c r="B655" s="3" t="str">
        <f t="shared" si="2"/>
        <v>OK</v>
      </c>
      <c r="C655" s="5">
        <v>9528.0</v>
      </c>
      <c r="D655" s="6" t="s">
        <v>1372</v>
      </c>
      <c r="E655" s="5" t="s">
        <v>1373</v>
      </c>
      <c r="F655" s="7"/>
      <c r="G655" s="3" t="str">
        <f t="shared" si="3"/>
        <v>XAKN2</v>
      </c>
      <c r="H655" s="3" t="str">
        <f>VLOOKUP($C655,Userpass!$A$2:$L$3001,12,FALSE)</f>
        <v>AKN2</v>
      </c>
      <c r="I655" s="5" t="s">
        <v>1212</v>
      </c>
      <c r="J655" s="5">
        <v>2025.0</v>
      </c>
      <c r="K655" s="8" t="s">
        <v>1374</v>
      </c>
    </row>
    <row r="656" hidden="1">
      <c r="A656" s="3" t="str">
        <f t="shared" si="1"/>
        <v>OK</v>
      </c>
      <c r="B656" s="3" t="str">
        <f t="shared" si="2"/>
        <v>OK</v>
      </c>
      <c r="C656" s="5">
        <v>9533.0</v>
      </c>
      <c r="D656" s="6" t="s">
        <v>1375</v>
      </c>
      <c r="E656" s="5" t="s">
        <v>1376</v>
      </c>
      <c r="F656" s="7"/>
      <c r="G656" s="3" t="str">
        <f t="shared" si="3"/>
        <v>XAKN2</v>
      </c>
      <c r="H656" s="3" t="str">
        <f>VLOOKUP($C656,Userpass!$A$2:$L$3001,12,FALSE)</f>
        <v>AKN2</v>
      </c>
      <c r="I656" s="5" t="s">
        <v>1212</v>
      </c>
      <c r="J656" s="5">
        <v>2025.0</v>
      </c>
      <c r="K656" s="8" t="s">
        <v>1377</v>
      </c>
    </row>
    <row r="657" hidden="1">
      <c r="A657" s="3" t="str">
        <f t="shared" si="1"/>
        <v>OK</v>
      </c>
      <c r="B657" s="3" t="str">
        <f t="shared" si="2"/>
        <v>OK</v>
      </c>
      <c r="C657" s="5">
        <v>9546.0</v>
      </c>
      <c r="D657" s="6" t="s">
        <v>1378</v>
      </c>
      <c r="E657" s="5" t="s">
        <v>1379</v>
      </c>
      <c r="F657" s="7"/>
      <c r="G657" s="3" t="str">
        <f t="shared" si="3"/>
        <v>XAKN2</v>
      </c>
      <c r="H657" s="3" t="str">
        <f>VLOOKUP($C657,Userpass!$A$2:$L$3001,12,FALSE)</f>
        <v>AKN2</v>
      </c>
      <c r="I657" s="5" t="s">
        <v>1212</v>
      </c>
      <c r="J657" s="5">
        <v>2025.0</v>
      </c>
      <c r="K657" s="8" t="s">
        <v>1380</v>
      </c>
    </row>
    <row r="658" hidden="1">
      <c r="A658" s="3" t="str">
        <f t="shared" si="1"/>
        <v>OK</v>
      </c>
      <c r="B658" s="3" t="str">
        <f t="shared" si="2"/>
        <v>OK</v>
      </c>
      <c r="C658" s="5">
        <v>9558.0</v>
      </c>
      <c r="D658" s="6" t="s">
        <v>1381</v>
      </c>
      <c r="E658" s="5" t="s">
        <v>1382</v>
      </c>
      <c r="F658" s="7"/>
      <c r="G658" s="3" t="str">
        <f t="shared" si="3"/>
        <v>XAKN2</v>
      </c>
      <c r="H658" s="3" t="str">
        <f>VLOOKUP($C658,Userpass!$A$2:$L$3001,12,FALSE)</f>
        <v>AKN2</v>
      </c>
      <c r="I658" s="5" t="s">
        <v>1212</v>
      </c>
      <c r="J658" s="5">
        <v>2025.0</v>
      </c>
      <c r="K658" s="8" t="s">
        <v>1383</v>
      </c>
    </row>
    <row r="659" hidden="1">
      <c r="A659" s="3" t="str">
        <f t="shared" si="1"/>
        <v>OK</v>
      </c>
      <c r="B659" s="3" t="str">
        <f t="shared" si="2"/>
        <v>OK</v>
      </c>
      <c r="C659" s="5">
        <v>9632.0</v>
      </c>
      <c r="D659" s="6" t="s">
        <v>1384</v>
      </c>
      <c r="E659" s="5" t="s">
        <v>1385</v>
      </c>
      <c r="F659" s="7"/>
      <c r="G659" s="3" t="str">
        <f t="shared" si="3"/>
        <v>XAKN2</v>
      </c>
      <c r="H659" s="3" t="str">
        <f>VLOOKUP($C659,Userpass!$A$2:$L$3001,12,FALSE)</f>
        <v>AKN2</v>
      </c>
      <c r="I659" s="5" t="s">
        <v>1212</v>
      </c>
      <c r="J659" s="5">
        <v>2025.0</v>
      </c>
      <c r="K659" s="8" t="s">
        <v>1386</v>
      </c>
    </row>
    <row r="660" hidden="1">
      <c r="A660" s="3" t="str">
        <f t="shared" si="1"/>
        <v>OK</v>
      </c>
      <c r="B660" s="3" t="str">
        <f t="shared" si="2"/>
        <v>OK</v>
      </c>
      <c r="C660" s="5">
        <v>9648.0</v>
      </c>
      <c r="D660" s="6" t="s">
        <v>1387</v>
      </c>
      <c r="E660" s="5" t="s">
        <v>1388</v>
      </c>
      <c r="F660" s="7"/>
      <c r="G660" s="3" t="str">
        <f t="shared" si="3"/>
        <v>XAKN2</v>
      </c>
      <c r="H660" s="3" t="str">
        <f>VLOOKUP($C660,Userpass!$A$2:$L$3001,12,FALSE)</f>
        <v>AKN2</v>
      </c>
      <c r="I660" s="5" t="s">
        <v>1212</v>
      </c>
      <c r="J660" s="5">
        <v>2025.0</v>
      </c>
      <c r="K660" s="8" t="s">
        <v>1389</v>
      </c>
    </row>
    <row r="661" hidden="1">
      <c r="A661" s="3" t="str">
        <f t="shared" si="1"/>
        <v>OK</v>
      </c>
      <c r="B661" s="3" t="str">
        <f t="shared" si="2"/>
        <v>OK</v>
      </c>
      <c r="C661" s="5">
        <v>9665.0</v>
      </c>
      <c r="D661" s="6" t="s">
        <v>1390</v>
      </c>
      <c r="E661" s="5" t="s">
        <v>1391</v>
      </c>
      <c r="F661" s="7"/>
      <c r="G661" s="3" t="str">
        <f t="shared" si="3"/>
        <v>XAKN2</v>
      </c>
      <c r="H661" s="3" t="str">
        <f>VLOOKUP($C661,Userpass!$A$2:$L$3001,12,FALSE)</f>
        <v>AKN2</v>
      </c>
      <c r="I661" s="5" t="s">
        <v>1212</v>
      </c>
      <c r="J661" s="5">
        <v>2025.0</v>
      </c>
      <c r="K661" s="8" t="s">
        <v>1392</v>
      </c>
    </row>
    <row r="662" hidden="1">
      <c r="A662" s="3" t="str">
        <f t="shared" si="1"/>
        <v>OK</v>
      </c>
      <c r="B662" s="3" t="str">
        <f t="shared" si="2"/>
        <v>OK</v>
      </c>
      <c r="C662" s="5">
        <v>9684.0</v>
      </c>
      <c r="D662" s="6" t="s">
        <v>1393</v>
      </c>
      <c r="E662" s="5" t="s">
        <v>1394</v>
      </c>
      <c r="F662" s="7"/>
      <c r="G662" s="3" t="str">
        <f t="shared" si="3"/>
        <v>XAKN2</v>
      </c>
      <c r="H662" s="3" t="str">
        <f>VLOOKUP($C662,Userpass!$A$2:$L$3001,12,FALSE)</f>
        <v>AKN2</v>
      </c>
      <c r="I662" s="5" t="s">
        <v>1212</v>
      </c>
      <c r="J662" s="5">
        <v>2025.0</v>
      </c>
      <c r="K662" s="8" t="s">
        <v>1395</v>
      </c>
    </row>
    <row r="663" hidden="1">
      <c r="A663" s="3" t="str">
        <f t="shared" si="1"/>
        <v>OK</v>
      </c>
      <c r="B663" s="3" t="str">
        <f t="shared" si="2"/>
        <v>OK</v>
      </c>
      <c r="C663" s="5">
        <v>9707.0</v>
      </c>
      <c r="D663" s="6" t="s">
        <v>1396</v>
      </c>
      <c r="E663" s="5" t="s">
        <v>1397</v>
      </c>
      <c r="F663" s="7"/>
      <c r="G663" s="3" t="str">
        <f t="shared" si="3"/>
        <v>XAKN2</v>
      </c>
      <c r="H663" s="3" t="str">
        <f>VLOOKUP($C663,Userpass!$A$2:$L$3001,12,FALSE)</f>
        <v>AKN2</v>
      </c>
      <c r="I663" s="5" t="s">
        <v>1212</v>
      </c>
      <c r="J663" s="5">
        <v>2025.0</v>
      </c>
      <c r="K663" s="8" t="s">
        <v>1398</v>
      </c>
    </row>
    <row r="664" hidden="1">
      <c r="A664" s="3" t="str">
        <f t="shared" si="1"/>
        <v>OK</v>
      </c>
      <c r="B664" s="3" t="str">
        <f t="shared" si="2"/>
        <v>OK</v>
      </c>
      <c r="C664" s="5">
        <v>9731.0</v>
      </c>
      <c r="D664" s="6" t="s">
        <v>1399</v>
      </c>
      <c r="E664" s="5" t="s">
        <v>1400</v>
      </c>
      <c r="F664" s="7"/>
      <c r="G664" s="3" t="str">
        <f t="shared" si="3"/>
        <v>XAKN2</v>
      </c>
      <c r="H664" s="3" t="str">
        <f>VLOOKUP($C664,Userpass!$A$2:$L$3001,12,FALSE)</f>
        <v>AKN2</v>
      </c>
      <c r="I664" s="5" t="s">
        <v>1212</v>
      </c>
      <c r="J664" s="5">
        <v>2025.0</v>
      </c>
      <c r="K664" s="8" t="s">
        <v>1401</v>
      </c>
    </row>
    <row r="665" hidden="1">
      <c r="A665" s="3" t="str">
        <f t="shared" si="1"/>
        <v>OK</v>
      </c>
      <c r="B665" s="3" t="str">
        <f t="shared" si="2"/>
        <v>OK</v>
      </c>
      <c r="C665" s="5">
        <v>9756.0</v>
      </c>
      <c r="D665" s="6" t="s">
        <v>1402</v>
      </c>
      <c r="E665" s="5" t="s">
        <v>1403</v>
      </c>
      <c r="F665" s="7"/>
      <c r="G665" s="3" t="str">
        <f t="shared" si="3"/>
        <v>XAKN2</v>
      </c>
      <c r="H665" s="3" t="str">
        <f>VLOOKUP($C665,Userpass!$A$2:$L$3001,12,FALSE)</f>
        <v>AKN2</v>
      </c>
      <c r="I665" s="5" t="s">
        <v>1212</v>
      </c>
      <c r="J665" s="5">
        <v>2025.0</v>
      </c>
      <c r="K665" s="8" t="s">
        <v>1404</v>
      </c>
    </row>
    <row r="666" hidden="1">
      <c r="A666" s="3" t="str">
        <f t="shared" si="1"/>
        <v>OK</v>
      </c>
      <c r="B666" s="3" t="str">
        <f t="shared" si="2"/>
        <v>OK</v>
      </c>
      <c r="C666" s="5">
        <v>9763.0</v>
      </c>
      <c r="D666" s="6" t="s">
        <v>1405</v>
      </c>
      <c r="E666" s="5" t="s">
        <v>1406</v>
      </c>
      <c r="F666" s="7"/>
      <c r="G666" s="3" t="str">
        <f t="shared" si="3"/>
        <v>XAKN2</v>
      </c>
      <c r="H666" s="3" t="str">
        <f>VLOOKUP($C666,Userpass!$A$2:$L$3001,12,FALSE)</f>
        <v>AKN2</v>
      </c>
      <c r="I666" s="5" t="s">
        <v>1212</v>
      </c>
      <c r="J666" s="5">
        <v>2025.0</v>
      </c>
      <c r="K666" s="8" t="s">
        <v>1407</v>
      </c>
    </row>
    <row r="667" hidden="1">
      <c r="A667" s="3" t="str">
        <f t="shared" si="1"/>
        <v>OK</v>
      </c>
      <c r="B667" s="3" t="str">
        <f t="shared" si="2"/>
        <v>OK</v>
      </c>
      <c r="C667" s="5">
        <v>9775.0</v>
      </c>
      <c r="D667" s="6" t="s">
        <v>1408</v>
      </c>
      <c r="E667" s="5" t="s">
        <v>1409</v>
      </c>
      <c r="F667" s="7"/>
      <c r="G667" s="3" t="str">
        <f t="shared" si="3"/>
        <v>XAKN2</v>
      </c>
      <c r="H667" s="3" t="str">
        <f>VLOOKUP($C667,Userpass!$A$2:$L$3001,12,FALSE)</f>
        <v>AKN2</v>
      </c>
      <c r="I667" s="5" t="s">
        <v>1212</v>
      </c>
      <c r="J667" s="5">
        <v>2025.0</v>
      </c>
      <c r="K667" s="8" t="s">
        <v>1410</v>
      </c>
    </row>
    <row r="668" hidden="1">
      <c r="A668" s="3" t="str">
        <f t="shared" si="1"/>
        <v>OK</v>
      </c>
      <c r="B668" s="3" t="str">
        <f t="shared" si="2"/>
        <v>OK</v>
      </c>
      <c r="C668" s="5">
        <v>9782.0</v>
      </c>
      <c r="D668" s="6" t="s">
        <v>1411</v>
      </c>
      <c r="E668" s="5" t="s">
        <v>1412</v>
      </c>
      <c r="F668" s="7"/>
      <c r="G668" s="3" t="str">
        <f t="shared" si="3"/>
        <v>XAKN2</v>
      </c>
      <c r="H668" s="3" t="str">
        <f>VLOOKUP($C668,Userpass!$A$2:$L$3001,12,FALSE)</f>
        <v>AKN2</v>
      </c>
      <c r="I668" s="5" t="s">
        <v>1212</v>
      </c>
      <c r="J668" s="5">
        <v>2025.0</v>
      </c>
      <c r="K668" s="8" t="s">
        <v>1413</v>
      </c>
    </row>
    <row r="669" hidden="1">
      <c r="A669" s="3" t="str">
        <f t="shared" si="1"/>
        <v>OK</v>
      </c>
      <c r="B669" s="3" t="str">
        <f t="shared" si="2"/>
        <v>OK</v>
      </c>
      <c r="C669" s="5">
        <v>9795.0</v>
      </c>
      <c r="D669" s="6" t="s">
        <v>1414</v>
      </c>
      <c r="E669" s="5" t="s">
        <v>1415</v>
      </c>
      <c r="F669" s="7"/>
      <c r="G669" s="3" t="str">
        <f t="shared" si="3"/>
        <v>XAKN2</v>
      </c>
      <c r="H669" s="3" t="str">
        <f>VLOOKUP($C669,Userpass!$A$2:$L$3001,12,FALSE)</f>
        <v>AKN2</v>
      </c>
      <c r="I669" s="5" t="s">
        <v>1212</v>
      </c>
      <c r="J669" s="5">
        <v>2025.0</v>
      </c>
      <c r="K669" s="8" t="s">
        <v>1416</v>
      </c>
    </row>
    <row r="670" hidden="1">
      <c r="A670" s="3" t="str">
        <f t="shared" si="1"/>
        <v>OK</v>
      </c>
      <c r="B670" s="3" t="str">
        <f t="shared" si="2"/>
        <v>OK</v>
      </c>
      <c r="C670" s="5">
        <v>9809.0</v>
      </c>
      <c r="D670" s="6" t="s">
        <v>1417</v>
      </c>
      <c r="E670" s="5" t="s">
        <v>1418</v>
      </c>
      <c r="F670" s="7"/>
      <c r="G670" s="3" t="str">
        <f t="shared" si="3"/>
        <v>XAKN2</v>
      </c>
      <c r="H670" s="3" t="str">
        <f>VLOOKUP($C670,Userpass!$A$2:$L$3001,12,FALSE)</f>
        <v>AKN2</v>
      </c>
      <c r="I670" s="5" t="s">
        <v>1212</v>
      </c>
      <c r="J670" s="5">
        <v>2025.0</v>
      </c>
      <c r="K670" s="8" t="s">
        <v>1419</v>
      </c>
    </row>
    <row r="671" hidden="1">
      <c r="A671" s="3" t="str">
        <f t="shared" si="1"/>
        <v>OK</v>
      </c>
      <c r="B671" s="3" t="str">
        <f t="shared" si="2"/>
        <v>OK</v>
      </c>
      <c r="C671" s="5">
        <v>9819.0</v>
      </c>
      <c r="D671" s="6" t="s">
        <v>1420</v>
      </c>
      <c r="E671" s="5" t="s">
        <v>1421</v>
      </c>
      <c r="F671" s="7"/>
      <c r="G671" s="3" t="str">
        <f t="shared" si="3"/>
        <v>XAKN2</v>
      </c>
      <c r="H671" s="3" t="str">
        <f>VLOOKUP($C671,Userpass!$A$2:$L$3001,12,FALSE)</f>
        <v>AKN2</v>
      </c>
      <c r="I671" s="5" t="s">
        <v>1212</v>
      </c>
      <c r="J671" s="5">
        <v>2025.0</v>
      </c>
      <c r="K671" s="8" t="s">
        <v>1422</v>
      </c>
    </row>
    <row r="672" hidden="1">
      <c r="A672" s="3" t="str">
        <f t="shared" si="1"/>
        <v>OK</v>
      </c>
      <c r="B672" s="3" t="str">
        <f t="shared" si="2"/>
        <v>OK</v>
      </c>
      <c r="C672" s="5">
        <v>9840.0</v>
      </c>
      <c r="D672" s="6" t="s">
        <v>1423</v>
      </c>
      <c r="E672" s="5" t="s">
        <v>1424</v>
      </c>
      <c r="F672" s="7"/>
      <c r="G672" s="3" t="str">
        <f t="shared" si="3"/>
        <v>XAKN2</v>
      </c>
      <c r="H672" s="3" t="str">
        <f>VLOOKUP($C672,Userpass!$A$2:$L$3001,12,FALSE)</f>
        <v>AKN2</v>
      </c>
      <c r="I672" s="5" t="s">
        <v>1212</v>
      </c>
      <c r="J672" s="5">
        <v>2025.0</v>
      </c>
      <c r="K672" s="8" t="s">
        <v>1425</v>
      </c>
    </row>
    <row r="673" hidden="1">
      <c r="A673" s="3" t="str">
        <f t="shared" si="1"/>
        <v>OK</v>
      </c>
      <c r="B673" s="3" t="str">
        <f t="shared" si="2"/>
        <v>OK</v>
      </c>
      <c r="C673" s="5">
        <v>9250.0</v>
      </c>
      <c r="D673" s="6" t="s">
        <v>1426</v>
      </c>
      <c r="E673" s="5" t="s">
        <v>1427</v>
      </c>
      <c r="F673" s="7"/>
      <c r="G673" s="3" t="str">
        <f t="shared" si="3"/>
        <v>XAKN3</v>
      </c>
      <c r="H673" s="3" t="str">
        <f>VLOOKUP($C673,Userpass!$A$2:$L$3001,12,FALSE)</f>
        <v>AKN3</v>
      </c>
      <c r="I673" s="5" t="s">
        <v>1212</v>
      </c>
      <c r="J673" s="5">
        <v>2025.0</v>
      </c>
      <c r="K673" s="8" t="s">
        <v>1428</v>
      </c>
    </row>
    <row r="674" hidden="1">
      <c r="A674" s="3" t="str">
        <f t="shared" si="1"/>
        <v>OK</v>
      </c>
      <c r="B674" s="3" t="str">
        <f t="shared" si="2"/>
        <v>OK</v>
      </c>
      <c r="C674" s="5">
        <v>9266.0</v>
      </c>
      <c r="D674" s="6" t="s">
        <v>1429</v>
      </c>
      <c r="E674" s="5" t="s">
        <v>1430</v>
      </c>
      <c r="F674" s="7"/>
      <c r="G674" s="3" t="str">
        <f t="shared" si="3"/>
        <v>XAKN3</v>
      </c>
      <c r="H674" s="3" t="str">
        <f>VLOOKUP($C674,Userpass!$A$2:$L$3001,12,FALSE)</f>
        <v>AKN3</v>
      </c>
      <c r="I674" s="5" t="s">
        <v>1212</v>
      </c>
      <c r="J674" s="5">
        <v>2025.0</v>
      </c>
      <c r="K674" s="8" t="s">
        <v>1431</v>
      </c>
    </row>
    <row r="675" hidden="1">
      <c r="A675" s="3" t="str">
        <f t="shared" si="1"/>
        <v>OK</v>
      </c>
      <c r="B675" s="3" t="str">
        <f t="shared" si="2"/>
        <v>OK</v>
      </c>
      <c r="C675" s="5">
        <v>9286.0</v>
      </c>
      <c r="D675" s="6" t="s">
        <v>1432</v>
      </c>
      <c r="E675" s="5" t="s">
        <v>1433</v>
      </c>
      <c r="F675" s="7"/>
      <c r="G675" s="3" t="str">
        <f t="shared" si="3"/>
        <v>XAKN3</v>
      </c>
      <c r="H675" s="3" t="str">
        <f>VLOOKUP($C675,Userpass!$A$2:$L$3001,12,FALSE)</f>
        <v>AKN3</v>
      </c>
      <c r="I675" s="5" t="s">
        <v>1212</v>
      </c>
      <c r="J675" s="5">
        <v>2025.0</v>
      </c>
      <c r="K675" s="8" t="s">
        <v>1434</v>
      </c>
    </row>
    <row r="676" hidden="1">
      <c r="A676" s="3" t="str">
        <f t="shared" si="1"/>
        <v>OK</v>
      </c>
      <c r="B676" s="3" t="str">
        <f t="shared" si="2"/>
        <v>OK</v>
      </c>
      <c r="C676" s="5">
        <v>9291.0</v>
      </c>
      <c r="D676" s="6" t="s">
        <v>1435</v>
      </c>
      <c r="E676" s="5" t="s">
        <v>1436</v>
      </c>
      <c r="F676" s="7"/>
      <c r="G676" s="3" t="str">
        <f t="shared" si="3"/>
        <v>XAKN3</v>
      </c>
      <c r="H676" s="3" t="str">
        <f>VLOOKUP($C676,Userpass!$A$2:$L$3001,12,FALSE)</f>
        <v>AKN3</v>
      </c>
      <c r="I676" s="5" t="s">
        <v>1212</v>
      </c>
      <c r="J676" s="5">
        <v>2025.0</v>
      </c>
      <c r="K676" s="8" t="s">
        <v>1437</v>
      </c>
    </row>
    <row r="677" hidden="1">
      <c r="A677" s="3" t="str">
        <f t="shared" si="1"/>
        <v>OK</v>
      </c>
      <c r="B677" s="3" t="str">
        <f t="shared" si="2"/>
        <v>OK</v>
      </c>
      <c r="C677" s="5">
        <v>9322.0</v>
      </c>
      <c r="D677" s="6" t="s">
        <v>1438</v>
      </c>
      <c r="E677" s="5" t="s">
        <v>1439</v>
      </c>
      <c r="F677" s="7"/>
      <c r="G677" s="3" t="str">
        <f t="shared" si="3"/>
        <v>XAKN3</v>
      </c>
      <c r="H677" s="3" t="str">
        <f>VLOOKUP($C677,Userpass!$A$2:$L$3001,12,FALSE)</f>
        <v>AKN3</v>
      </c>
      <c r="I677" s="5" t="s">
        <v>1212</v>
      </c>
      <c r="J677" s="5">
        <v>2025.0</v>
      </c>
      <c r="K677" s="8" t="s">
        <v>1440</v>
      </c>
    </row>
    <row r="678" hidden="1">
      <c r="A678" s="3" t="str">
        <f t="shared" si="1"/>
        <v>OK</v>
      </c>
      <c r="B678" s="3" t="str">
        <f t="shared" si="2"/>
        <v>OK</v>
      </c>
      <c r="C678" s="5">
        <v>9335.0</v>
      </c>
      <c r="D678" s="6" t="s">
        <v>1441</v>
      </c>
      <c r="E678" s="5" t="s">
        <v>1442</v>
      </c>
      <c r="F678" s="7"/>
      <c r="G678" s="3" t="str">
        <f t="shared" si="3"/>
        <v>XAKN3</v>
      </c>
      <c r="H678" s="3" t="str">
        <f>VLOOKUP($C678,Userpass!$A$2:$L$3001,12,FALSE)</f>
        <v>AKN3</v>
      </c>
      <c r="I678" s="5" t="s">
        <v>1212</v>
      </c>
      <c r="J678" s="5">
        <v>2025.0</v>
      </c>
      <c r="K678" s="8" t="s">
        <v>1443</v>
      </c>
    </row>
    <row r="679" hidden="1">
      <c r="A679" s="3" t="str">
        <f t="shared" si="1"/>
        <v>OK</v>
      </c>
      <c r="B679" s="3" t="str">
        <f t="shared" si="2"/>
        <v>OK</v>
      </c>
      <c r="C679" s="5">
        <v>9351.0</v>
      </c>
      <c r="D679" s="6" t="s">
        <v>1444</v>
      </c>
      <c r="E679" s="5" t="s">
        <v>1445</v>
      </c>
      <c r="F679" s="7"/>
      <c r="G679" s="3" t="str">
        <f t="shared" si="3"/>
        <v>XAKN3</v>
      </c>
      <c r="H679" s="3" t="str">
        <f>VLOOKUP($C679,Userpass!$A$2:$L$3001,12,FALSE)</f>
        <v>AKN3</v>
      </c>
      <c r="I679" s="5" t="s">
        <v>1212</v>
      </c>
      <c r="J679" s="5">
        <v>2025.0</v>
      </c>
      <c r="K679" s="8" t="s">
        <v>1446</v>
      </c>
    </row>
    <row r="680" hidden="1">
      <c r="A680" s="3" t="str">
        <f t="shared" si="1"/>
        <v>OK</v>
      </c>
      <c r="B680" s="3" t="str">
        <f t="shared" si="2"/>
        <v>OK</v>
      </c>
      <c r="C680" s="5">
        <v>9368.0</v>
      </c>
      <c r="D680" s="6" t="s">
        <v>1447</v>
      </c>
      <c r="E680" s="5" t="s">
        <v>1448</v>
      </c>
      <c r="F680" s="7"/>
      <c r="G680" s="3" t="str">
        <f t="shared" si="3"/>
        <v>XAKN3</v>
      </c>
      <c r="H680" s="3" t="str">
        <f>VLOOKUP($C680,Userpass!$A$2:$L$3001,12,FALSE)</f>
        <v>AKN3</v>
      </c>
      <c r="I680" s="5" t="s">
        <v>1212</v>
      </c>
      <c r="J680" s="5">
        <v>2025.0</v>
      </c>
      <c r="K680" s="8" t="s">
        <v>1449</v>
      </c>
    </row>
    <row r="681" hidden="1">
      <c r="A681" s="3" t="str">
        <f t="shared" si="1"/>
        <v>OK</v>
      </c>
      <c r="B681" s="3" t="str">
        <f t="shared" si="2"/>
        <v>OK</v>
      </c>
      <c r="C681" s="5">
        <v>9387.0</v>
      </c>
      <c r="D681" s="6" t="s">
        <v>1450</v>
      </c>
      <c r="E681" s="5" t="s">
        <v>1451</v>
      </c>
      <c r="F681" s="7"/>
      <c r="G681" s="3" t="str">
        <f t="shared" si="3"/>
        <v>XAKN3</v>
      </c>
      <c r="H681" s="3" t="str">
        <f>VLOOKUP($C681,Userpass!$A$2:$L$3001,12,FALSE)</f>
        <v>AKN3</v>
      </c>
      <c r="I681" s="5" t="s">
        <v>1212</v>
      </c>
      <c r="J681" s="5">
        <v>2025.0</v>
      </c>
      <c r="K681" s="8" t="s">
        <v>1452</v>
      </c>
    </row>
    <row r="682" hidden="1">
      <c r="A682" s="3" t="str">
        <f t="shared" si="1"/>
        <v>OK</v>
      </c>
      <c r="B682" s="3" t="str">
        <f t="shared" si="2"/>
        <v>OK</v>
      </c>
      <c r="C682" s="5">
        <v>9405.0</v>
      </c>
      <c r="D682" s="6" t="s">
        <v>1453</v>
      </c>
      <c r="E682" s="5" t="s">
        <v>1454</v>
      </c>
      <c r="F682" s="7"/>
      <c r="G682" s="3" t="str">
        <f t="shared" si="3"/>
        <v>XAKN3</v>
      </c>
      <c r="H682" s="3" t="str">
        <f>VLOOKUP($C682,Userpass!$A$2:$L$3001,12,FALSE)</f>
        <v>AKN3</v>
      </c>
      <c r="I682" s="5" t="s">
        <v>1212</v>
      </c>
      <c r="J682" s="5">
        <v>2025.0</v>
      </c>
      <c r="K682" s="8" t="s">
        <v>1455</v>
      </c>
    </row>
    <row r="683" hidden="1">
      <c r="A683" s="3" t="str">
        <f t="shared" si="1"/>
        <v>OK</v>
      </c>
      <c r="B683" s="3" t="str">
        <f t="shared" si="2"/>
        <v>OK</v>
      </c>
      <c r="C683" s="5">
        <v>9412.0</v>
      </c>
      <c r="D683" s="6" t="s">
        <v>1456</v>
      </c>
      <c r="E683" s="5" t="s">
        <v>1457</v>
      </c>
      <c r="F683" s="7"/>
      <c r="G683" s="3" t="str">
        <f t="shared" si="3"/>
        <v>XAKN3</v>
      </c>
      <c r="H683" s="3" t="str">
        <f>VLOOKUP($C683,Userpass!$A$2:$L$3001,12,FALSE)</f>
        <v>AKN3</v>
      </c>
      <c r="I683" s="5" t="s">
        <v>1212</v>
      </c>
      <c r="J683" s="5">
        <v>2025.0</v>
      </c>
      <c r="K683" s="8" t="s">
        <v>1458</v>
      </c>
    </row>
    <row r="684" hidden="1">
      <c r="A684" s="3" t="str">
        <f t="shared" si="1"/>
        <v>OK</v>
      </c>
      <c r="B684" s="3" t="str">
        <f t="shared" si="2"/>
        <v>OK</v>
      </c>
      <c r="C684" s="5">
        <v>9419.0</v>
      </c>
      <c r="D684" s="6" t="s">
        <v>1459</v>
      </c>
      <c r="E684" s="5" t="s">
        <v>1460</v>
      </c>
      <c r="F684" s="7"/>
      <c r="G684" s="3" t="str">
        <f t="shared" si="3"/>
        <v>XAKN3</v>
      </c>
      <c r="H684" s="3" t="str">
        <f>VLOOKUP($C684,Userpass!$A$2:$L$3001,12,FALSE)</f>
        <v>AKN3</v>
      </c>
      <c r="I684" s="5" t="s">
        <v>1212</v>
      </c>
      <c r="J684" s="5">
        <v>2025.0</v>
      </c>
      <c r="K684" s="8" t="s">
        <v>1461</v>
      </c>
    </row>
    <row r="685" hidden="1">
      <c r="A685" s="3" t="str">
        <f t="shared" si="1"/>
        <v>OK</v>
      </c>
      <c r="B685" s="3" t="str">
        <f t="shared" si="2"/>
        <v>OK</v>
      </c>
      <c r="C685" s="5">
        <v>9433.0</v>
      </c>
      <c r="D685" s="6" t="s">
        <v>1462</v>
      </c>
      <c r="E685" s="5" t="s">
        <v>1463</v>
      </c>
      <c r="F685" s="7"/>
      <c r="G685" s="3" t="str">
        <f t="shared" si="3"/>
        <v>XAKN3</v>
      </c>
      <c r="H685" s="3" t="str">
        <f>VLOOKUP($C685,Userpass!$A$2:$L$3001,12,FALSE)</f>
        <v>AKN3</v>
      </c>
      <c r="I685" s="5" t="s">
        <v>1212</v>
      </c>
      <c r="J685" s="5">
        <v>2025.0</v>
      </c>
      <c r="K685" s="8" t="s">
        <v>1464</v>
      </c>
    </row>
    <row r="686" hidden="1">
      <c r="A686" s="3" t="str">
        <f t="shared" si="1"/>
        <v>OK</v>
      </c>
      <c r="B686" s="3" t="str">
        <f t="shared" si="2"/>
        <v>OK</v>
      </c>
      <c r="C686" s="5">
        <v>9437.0</v>
      </c>
      <c r="D686" s="6" t="s">
        <v>1465</v>
      </c>
      <c r="E686" s="5" t="s">
        <v>1466</v>
      </c>
      <c r="F686" s="7"/>
      <c r="G686" s="3" t="str">
        <f t="shared" si="3"/>
        <v>XAKN3</v>
      </c>
      <c r="H686" s="3" t="str">
        <f>VLOOKUP($C686,Userpass!$A$2:$L$3001,12,FALSE)</f>
        <v>AKN3</v>
      </c>
      <c r="I686" s="5" t="s">
        <v>1212</v>
      </c>
      <c r="J686" s="5">
        <v>2025.0</v>
      </c>
      <c r="K686" s="8" t="s">
        <v>1467</v>
      </c>
    </row>
    <row r="687" hidden="1">
      <c r="A687" s="3" t="str">
        <f t="shared" si="1"/>
        <v>OK</v>
      </c>
      <c r="B687" s="3" t="str">
        <f t="shared" si="2"/>
        <v>OK</v>
      </c>
      <c r="C687" s="5">
        <v>9459.0</v>
      </c>
      <c r="D687" s="6" t="s">
        <v>1468</v>
      </c>
      <c r="E687" s="5" t="s">
        <v>1469</v>
      </c>
      <c r="F687" s="7"/>
      <c r="G687" s="3" t="str">
        <f t="shared" si="3"/>
        <v>XAKN3</v>
      </c>
      <c r="H687" s="3" t="str">
        <f>VLOOKUP($C687,Userpass!$A$2:$L$3001,12,FALSE)</f>
        <v>AKN3</v>
      </c>
      <c r="I687" s="5" t="s">
        <v>1212</v>
      </c>
      <c r="J687" s="5">
        <v>2025.0</v>
      </c>
      <c r="K687" s="8" t="s">
        <v>1470</v>
      </c>
    </row>
    <row r="688" hidden="1">
      <c r="A688" s="3" t="str">
        <f t="shared" si="1"/>
        <v>OK</v>
      </c>
      <c r="B688" s="3" t="str">
        <f t="shared" si="2"/>
        <v>OK</v>
      </c>
      <c r="C688" s="5">
        <v>9477.0</v>
      </c>
      <c r="D688" s="6" t="s">
        <v>1471</v>
      </c>
      <c r="E688" s="5" t="s">
        <v>1472</v>
      </c>
      <c r="F688" s="7"/>
      <c r="G688" s="3" t="str">
        <f t="shared" si="3"/>
        <v>XAKN3</v>
      </c>
      <c r="H688" s="3" t="str">
        <f>VLOOKUP($C688,Userpass!$A$2:$L$3001,12,FALSE)</f>
        <v>AKN3</v>
      </c>
      <c r="I688" s="5" t="s">
        <v>1212</v>
      </c>
      <c r="J688" s="5">
        <v>2025.0</v>
      </c>
      <c r="K688" s="8" t="s">
        <v>1473</v>
      </c>
    </row>
    <row r="689" hidden="1">
      <c r="A689" s="3" t="str">
        <f t="shared" si="1"/>
        <v>OK</v>
      </c>
      <c r="B689" s="3" t="str">
        <f t="shared" si="2"/>
        <v>OK</v>
      </c>
      <c r="C689" s="5">
        <v>9503.0</v>
      </c>
      <c r="D689" s="6" t="s">
        <v>1474</v>
      </c>
      <c r="E689" s="5" t="s">
        <v>1475</v>
      </c>
      <c r="F689" s="7"/>
      <c r="G689" s="3" t="str">
        <f t="shared" si="3"/>
        <v>XAKN3</v>
      </c>
      <c r="H689" s="3" t="str">
        <f>VLOOKUP($C689,Userpass!$A$2:$L$3001,12,FALSE)</f>
        <v>AKN3</v>
      </c>
      <c r="I689" s="5" t="s">
        <v>1212</v>
      </c>
      <c r="J689" s="5">
        <v>2025.0</v>
      </c>
      <c r="K689" s="8" t="s">
        <v>1476</v>
      </c>
    </row>
    <row r="690" hidden="1">
      <c r="A690" s="3" t="str">
        <f t="shared" si="1"/>
        <v>OK</v>
      </c>
      <c r="B690" s="3" t="str">
        <f t="shared" si="2"/>
        <v>OK</v>
      </c>
      <c r="C690" s="5">
        <v>9518.0</v>
      </c>
      <c r="D690" s="6" t="s">
        <v>1477</v>
      </c>
      <c r="E690" s="5" t="s">
        <v>1478</v>
      </c>
      <c r="F690" s="7"/>
      <c r="G690" s="3" t="str">
        <f t="shared" si="3"/>
        <v>XAKN3</v>
      </c>
      <c r="H690" s="3" t="str">
        <f>VLOOKUP($C690,Userpass!$A$2:$L$3001,12,FALSE)</f>
        <v>AKN3</v>
      </c>
      <c r="I690" s="5" t="s">
        <v>1212</v>
      </c>
      <c r="J690" s="5">
        <v>2025.0</v>
      </c>
      <c r="K690" s="8" t="s">
        <v>1479</v>
      </c>
    </row>
    <row r="691" hidden="1">
      <c r="A691" s="3" t="str">
        <f t="shared" si="1"/>
        <v>OK</v>
      </c>
      <c r="B691" s="3" t="str">
        <f t="shared" si="2"/>
        <v>OK</v>
      </c>
      <c r="C691" s="5">
        <v>9529.0</v>
      </c>
      <c r="D691" s="6" t="s">
        <v>1480</v>
      </c>
      <c r="E691" s="5" t="s">
        <v>1481</v>
      </c>
      <c r="F691" s="7"/>
      <c r="G691" s="3" t="str">
        <f t="shared" si="3"/>
        <v>XAKN3</v>
      </c>
      <c r="H691" s="3" t="str">
        <f>VLOOKUP($C691,Userpass!$A$2:$L$3001,12,FALSE)</f>
        <v>AKN3</v>
      </c>
      <c r="I691" s="5" t="s">
        <v>1212</v>
      </c>
      <c r="J691" s="5">
        <v>2025.0</v>
      </c>
      <c r="K691" s="8" t="s">
        <v>1482</v>
      </c>
    </row>
    <row r="692" hidden="1">
      <c r="A692" s="3" t="str">
        <f t="shared" si="1"/>
        <v>OK</v>
      </c>
      <c r="B692" s="3" t="str">
        <f t="shared" si="2"/>
        <v>OK</v>
      </c>
      <c r="C692" s="5">
        <v>9534.0</v>
      </c>
      <c r="D692" s="6" t="s">
        <v>1483</v>
      </c>
      <c r="E692" s="5" t="s">
        <v>1484</v>
      </c>
      <c r="F692" s="7"/>
      <c r="G692" s="3" t="str">
        <f t="shared" si="3"/>
        <v>XAKN3</v>
      </c>
      <c r="H692" s="3" t="str">
        <f>VLOOKUP($C692,Userpass!$A$2:$L$3001,12,FALSE)</f>
        <v>AKN3</v>
      </c>
      <c r="I692" s="5" t="s">
        <v>1212</v>
      </c>
      <c r="J692" s="5">
        <v>2025.0</v>
      </c>
      <c r="K692" s="8" t="s">
        <v>1485</v>
      </c>
    </row>
    <row r="693" hidden="1">
      <c r="A693" s="3" t="str">
        <f t="shared" si="1"/>
        <v>OK</v>
      </c>
      <c r="B693" s="3" t="str">
        <f t="shared" si="2"/>
        <v>OK</v>
      </c>
      <c r="C693" s="5">
        <v>9551.0</v>
      </c>
      <c r="D693" s="6" t="s">
        <v>1486</v>
      </c>
      <c r="E693" s="5" t="s">
        <v>1487</v>
      </c>
      <c r="F693" s="7"/>
      <c r="G693" s="3" t="str">
        <f t="shared" si="3"/>
        <v>XAKN3</v>
      </c>
      <c r="H693" s="3" t="str">
        <f>VLOOKUP($C693,Userpass!$A$2:$L$3001,12,FALSE)</f>
        <v>AKN3</v>
      </c>
      <c r="I693" s="5" t="s">
        <v>1212</v>
      </c>
      <c r="J693" s="5">
        <v>2025.0</v>
      </c>
      <c r="K693" s="8" t="s">
        <v>1488</v>
      </c>
    </row>
    <row r="694" hidden="1">
      <c r="A694" s="3" t="str">
        <f t="shared" si="1"/>
        <v>OK</v>
      </c>
      <c r="B694" s="3" t="str">
        <f t="shared" si="2"/>
        <v>OK</v>
      </c>
      <c r="C694" s="5">
        <v>9562.0</v>
      </c>
      <c r="D694" s="6" t="s">
        <v>1489</v>
      </c>
      <c r="E694" s="5" t="s">
        <v>1490</v>
      </c>
      <c r="F694" s="7"/>
      <c r="G694" s="3" t="str">
        <f t="shared" si="3"/>
        <v>XAKN3</v>
      </c>
      <c r="H694" s="3" t="str">
        <f>VLOOKUP($C694,Userpass!$A$2:$L$3001,12,FALSE)</f>
        <v>AKN3</v>
      </c>
      <c r="I694" s="5" t="s">
        <v>1212</v>
      </c>
      <c r="J694" s="5">
        <v>2025.0</v>
      </c>
      <c r="K694" s="8" t="s">
        <v>1491</v>
      </c>
    </row>
    <row r="695" hidden="1">
      <c r="A695" s="3" t="str">
        <f t="shared" si="1"/>
        <v>OK</v>
      </c>
      <c r="B695" s="3" t="str">
        <f t="shared" si="2"/>
        <v>OK</v>
      </c>
      <c r="C695" s="5">
        <v>9644.0</v>
      </c>
      <c r="D695" s="6" t="s">
        <v>1492</v>
      </c>
      <c r="E695" s="5" t="s">
        <v>1493</v>
      </c>
      <c r="F695" s="7"/>
      <c r="G695" s="3" t="str">
        <f t="shared" si="3"/>
        <v>XAKN3</v>
      </c>
      <c r="H695" s="3" t="str">
        <f>VLOOKUP($C695,Userpass!$A$2:$L$3001,12,FALSE)</f>
        <v>AKN3</v>
      </c>
      <c r="I695" s="5" t="s">
        <v>1212</v>
      </c>
      <c r="J695" s="5">
        <v>2025.0</v>
      </c>
      <c r="K695" s="8" t="s">
        <v>1494</v>
      </c>
    </row>
    <row r="696" hidden="1">
      <c r="A696" s="3" t="str">
        <f t="shared" si="1"/>
        <v>OK</v>
      </c>
      <c r="B696" s="3" t="str">
        <f t="shared" si="2"/>
        <v>OK</v>
      </c>
      <c r="C696" s="5">
        <v>9649.0</v>
      </c>
      <c r="D696" s="6" t="s">
        <v>1495</v>
      </c>
      <c r="E696" s="5" t="s">
        <v>1496</v>
      </c>
      <c r="F696" s="7"/>
      <c r="G696" s="3" t="str">
        <f t="shared" si="3"/>
        <v>XAKN3</v>
      </c>
      <c r="H696" s="3" t="str">
        <f>VLOOKUP($C696,Userpass!$A$2:$L$3001,12,FALSE)</f>
        <v>AKN3</v>
      </c>
      <c r="I696" s="5" t="s">
        <v>1212</v>
      </c>
      <c r="J696" s="5">
        <v>2025.0</v>
      </c>
      <c r="K696" s="8" t="s">
        <v>1497</v>
      </c>
    </row>
    <row r="697" hidden="1">
      <c r="A697" s="3" t="str">
        <f t="shared" si="1"/>
        <v>OK</v>
      </c>
      <c r="B697" s="3" t="str">
        <f t="shared" si="2"/>
        <v>OK</v>
      </c>
      <c r="C697" s="5">
        <v>9667.0</v>
      </c>
      <c r="D697" s="6" t="s">
        <v>1498</v>
      </c>
      <c r="E697" s="5" t="s">
        <v>1499</v>
      </c>
      <c r="F697" s="7"/>
      <c r="G697" s="3" t="str">
        <f t="shared" si="3"/>
        <v>XAKN3</v>
      </c>
      <c r="H697" s="3" t="str">
        <f>VLOOKUP($C697,Userpass!$A$2:$L$3001,12,FALSE)</f>
        <v>AKN3</v>
      </c>
      <c r="I697" s="5" t="s">
        <v>1212</v>
      </c>
      <c r="J697" s="5">
        <v>2025.0</v>
      </c>
      <c r="K697" s="8" t="s">
        <v>1500</v>
      </c>
    </row>
    <row r="698" hidden="1">
      <c r="A698" s="3" t="str">
        <f t="shared" si="1"/>
        <v>OK</v>
      </c>
      <c r="B698" s="3" t="str">
        <f t="shared" si="2"/>
        <v>OK</v>
      </c>
      <c r="C698" s="5">
        <v>9691.0</v>
      </c>
      <c r="D698" s="6" t="s">
        <v>1501</v>
      </c>
      <c r="E698" s="5" t="s">
        <v>1502</v>
      </c>
      <c r="F698" s="7"/>
      <c r="G698" s="3" t="str">
        <f t="shared" si="3"/>
        <v>XAKN3</v>
      </c>
      <c r="H698" s="3" t="str">
        <f>VLOOKUP($C698,Userpass!$A$2:$L$3001,12,FALSE)</f>
        <v>AKN3</v>
      </c>
      <c r="I698" s="5" t="s">
        <v>1212</v>
      </c>
      <c r="J698" s="5">
        <v>2025.0</v>
      </c>
      <c r="K698" s="8" t="s">
        <v>1503</v>
      </c>
    </row>
    <row r="699" hidden="1">
      <c r="A699" s="3" t="str">
        <f t="shared" si="1"/>
        <v>OK</v>
      </c>
      <c r="B699" s="3" t="str">
        <f t="shared" si="2"/>
        <v>OK</v>
      </c>
      <c r="C699" s="5">
        <v>9710.0</v>
      </c>
      <c r="D699" s="6" t="s">
        <v>1504</v>
      </c>
      <c r="E699" s="5" t="s">
        <v>1505</v>
      </c>
      <c r="F699" s="7"/>
      <c r="G699" s="3" t="str">
        <f t="shared" si="3"/>
        <v>XAKN3</v>
      </c>
      <c r="H699" s="3" t="str">
        <f>VLOOKUP($C699,Userpass!$A$2:$L$3001,12,FALSE)</f>
        <v>AKN3</v>
      </c>
      <c r="I699" s="5" t="s">
        <v>1212</v>
      </c>
      <c r="J699" s="5">
        <v>2025.0</v>
      </c>
      <c r="K699" s="8" t="s">
        <v>1506</v>
      </c>
    </row>
    <row r="700" hidden="1">
      <c r="A700" s="3" t="str">
        <f t="shared" si="1"/>
        <v>OK</v>
      </c>
      <c r="B700" s="3" t="str">
        <f t="shared" si="2"/>
        <v>OK</v>
      </c>
      <c r="C700" s="5">
        <v>9732.0</v>
      </c>
      <c r="D700" s="6" t="s">
        <v>1507</v>
      </c>
      <c r="E700" s="5" t="s">
        <v>1508</v>
      </c>
      <c r="F700" s="7"/>
      <c r="G700" s="3" t="str">
        <f t="shared" si="3"/>
        <v>XAKN3</v>
      </c>
      <c r="H700" s="3" t="str">
        <f>VLOOKUP($C700,Userpass!$A$2:$L$3001,12,FALSE)</f>
        <v>AKN3</v>
      </c>
      <c r="I700" s="5" t="s">
        <v>1212</v>
      </c>
      <c r="J700" s="5">
        <v>2025.0</v>
      </c>
      <c r="K700" s="8" t="s">
        <v>1509</v>
      </c>
    </row>
    <row r="701" hidden="1">
      <c r="A701" s="3" t="str">
        <f t="shared" si="1"/>
        <v>OK</v>
      </c>
      <c r="B701" s="3" t="str">
        <f t="shared" si="2"/>
        <v>OK</v>
      </c>
      <c r="C701" s="5">
        <v>9757.0</v>
      </c>
      <c r="D701" s="6" t="s">
        <v>1510</v>
      </c>
      <c r="E701" s="5" t="s">
        <v>1511</v>
      </c>
      <c r="F701" s="7"/>
      <c r="G701" s="3" t="str">
        <f t="shared" si="3"/>
        <v>XAKN3</v>
      </c>
      <c r="H701" s="3" t="str">
        <f>VLOOKUP($C701,Userpass!$A$2:$L$3001,12,FALSE)</f>
        <v>AKN3</v>
      </c>
      <c r="I701" s="5" t="s">
        <v>1212</v>
      </c>
      <c r="J701" s="5">
        <v>2025.0</v>
      </c>
      <c r="K701" s="8" t="s">
        <v>1512</v>
      </c>
    </row>
    <row r="702" hidden="1">
      <c r="A702" s="3" t="str">
        <f t="shared" si="1"/>
        <v>OK</v>
      </c>
      <c r="B702" s="3" t="str">
        <f t="shared" si="2"/>
        <v>OK</v>
      </c>
      <c r="C702" s="5">
        <v>9764.0</v>
      </c>
      <c r="D702" s="6" t="s">
        <v>1513</v>
      </c>
      <c r="E702" s="5" t="s">
        <v>1514</v>
      </c>
      <c r="F702" s="7"/>
      <c r="G702" s="3" t="str">
        <f t="shared" si="3"/>
        <v>XAKN3</v>
      </c>
      <c r="H702" s="3" t="str">
        <f>VLOOKUP($C702,Userpass!$A$2:$L$3001,12,FALSE)</f>
        <v>AKN3</v>
      </c>
      <c r="I702" s="5" t="s">
        <v>1212</v>
      </c>
      <c r="J702" s="5">
        <v>2025.0</v>
      </c>
      <c r="K702" s="8" t="s">
        <v>1515</v>
      </c>
    </row>
    <row r="703" hidden="1">
      <c r="A703" s="3" t="str">
        <f t="shared" si="1"/>
        <v>OK</v>
      </c>
      <c r="B703" s="3" t="str">
        <f t="shared" si="2"/>
        <v>OK</v>
      </c>
      <c r="C703" s="5">
        <v>9777.0</v>
      </c>
      <c r="D703" s="6" t="s">
        <v>1516</v>
      </c>
      <c r="E703" s="5" t="s">
        <v>1517</v>
      </c>
      <c r="F703" s="7"/>
      <c r="G703" s="3" t="str">
        <f t="shared" si="3"/>
        <v>XAKN3</v>
      </c>
      <c r="H703" s="3" t="str">
        <f>VLOOKUP($C703,Userpass!$A$2:$L$3001,12,FALSE)</f>
        <v>AKN3</v>
      </c>
      <c r="I703" s="5" t="s">
        <v>1212</v>
      </c>
      <c r="J703" s="5">
        <v>2025.0</v>
      </c>
      <c r="K703" s="8" t="s">
        <v>1518</v>
      </c>
    </row>
    <row r="704" hidden="1">
      <c r="A704" s="3" t="str">
        <f t="shared" si="1"/>
        <v>OK</v>
      </c>
      <c r="B704" s="3" t="str">
        <f t="shared" si="2"/>
        <v>OK</v>
      </c>
      <c r="C704" s="5">
        <v>9785.0</v>
      </c>
      <c r="D704" s="6" t="s">
        <v>1519</v>
      </c>
      <c r="E704" s="5" t="s">
        <v>1520</v>
      </c>
      <c r="F704" s="7"/>
      <c r="G704" s="3" t="str">
        <f t="shared" si="3"/>
        <v>XAKN3</v>
      </c>
      <c r="H704" s="3" t="str">
        <f>VLOOKUP($C704,Userpass!$A$2:$L$3001,12,FALSE)</f>
        <v>AKN3</v>
      </c>
      <c r="I704" s="5" t="s">
        <v>1212</v>
      </c>
      <c r="J704" s="5">
        <v>2025.0</v>
      </c>
      <c r="K704" s="8" t="s">
        <v>1521</v>
      </c>
    </row>
    <row r="705" hidden="1">
      <c r="A705" s="3" t="str">
        <f t="shared" si="1"/>
        <v>OK</v>
      </c>
      <c r="B705" s="3" t="str">
        <f t="shared" si="2"/>
        <v>OK</v>
      </c>
      <c r="C705" s="5">
        <v>9797.0</v>
      </c>
      <c r="D705" s="6" t="s">
        <v>1522</v>
      </c>
      <c r="E705" s="5" t="s">
        <v>1523</v>
      </c>
      <c r="F705" s="7"/>
      <c r="G705" s="3" t="str">
        <f t="shared" si="3"/>
        <v>XAKN3</v>
      </c>
      <c r="H705" s="3" t="str">
        <f>VLOOKUP($C705,Userpass!$A$2:$L$3001,12,FALSE)</f>
        <v>AKN3</v>
      </c>
      <c r="I705" s="5" t="s">
        <v>1212</v>
      </c>
      <c r="J705" s="5">
        <v>2025.0</v>
      </c>
      <c r="K705" s="8" t="s">
        <v>1524</v>
      </c>
    </row>
    <row r="706" hidden="1">
      <c r="A706" s="3" t="str">
        <f t="shared" si="1"/>
        <v>OK</v>
      </c>
      <c r="B706" s="3" t="str">
        <f t="shared" si="2"/>
        <v>OK</v>
      </c>
      <c r="C706" s="5">
        <v>9810.0</v>
      </c>
      <c r="D706" s="6" t="s">
        <v>1525</v>
      </c>
      <c r="E706" s="5" t="s">
        <v>1526</v>
      </c>
      <c r="F706" s="7"/>
      <c r="G706" s="3" t="str">
        <f t="shared" si="3"/>
        <v>XAKN3</v>
      </c>
      <c r="H706" s="3" t="str">
        <f>VLOOKUP($C706,Userpass!$A$2:$L$3001,12,FALSE)</f>
        <v>AKN3</v>
      </c>
      <c r="I706" s="5" t="s">
        <v>1212</v>
      </c>
      <c r="J706" s="5">
        <v>2025.0</v>
      </c>
      <c r="K706" s="8" t="s">
        <v>1527</v>
      </c>
    </row>
    <row r="707" hidden="1">
      <c r="A707" s="3" t="str">
        <f t="shared" si="1"/>
        <v>OK</v>
      </c>
      <c r="B707" s="3" t="str">
        <f t="shared" si="2"/>
        <v>OK</v>
      </c>
      <c r="C707" s="5">
        <v>9827.0</v>
      </c>
      <c r="D707" s="6" t="s">
        <v>1528</v>
      </c>
      <c r="E707" s="5" t="s">
        <v>1529</v>
      </c>
      <c r="F707" s="7"/>
      <c r="G707" s="3" t="str">
        <f t="shared" si="3"/>
        <v>XAKN3</v>
      </c>
      <c r="H707" s="3" t="str">
        <f>VLOOKUP($C707,Userpass!$A$2:$L$3001,12,FALSE)</f>
        <v>AKN3</v>
      </c>
      <c r="I707" s="5" t="s">
        <v>1212</v>
      </c>
      <c r="J707" s="5">
        <v>2025.0</v>
      </c>
      <c r="K707" s="8" t="s">
        <v>1530</v>
      </c>
    </row>
    <row r="708" hidden="1">
      <c r="A708" s="3" t="str">
        <f t="shared" si="1"/>
        <v>OK</v>
      </c>
      <c r="B708" s="3" t="str">
        <f t="shared" si="2"/>
        <v>OK</v>
      </c>
      <c r="C708" s="5">
        <v>9843.0</v>
      </c>
      <c r="D708" s="6" t="s">
        <v>1531</v>
      </c>
      <c r="E708" s="5" t="s">
        <v>1532</v>
      </c>
      <c r="F708" s="7"/>
      <c r="G708" s="3" t="str">
        <f t="shared" si="3"/>
        <v>XAKN3</v>
      </c>
      <c r="H708" s="3" t="str">
        <f>VLOOKUP($C708,Userpass!$A$2:$L$3001,12,FALSE)</f>
        <v>AKN3</v>
      </c>
      <c r="I708" s="5" t="s">
        <v>1212</v>
      </c>
      <c r="J708" s="5">
        <v>2025.0</v>
      </c>
      <c r="K708" s="8" t="s">
        <v>1533</v>
      </c>
    </row>
    <row r="709" hidden="1">
      <c r="A709" s="3" t="str">
        <f t="shared" si="1"/>
        <v>OK</v>
      </c>
      <c r="B709" s="3" t="str">
        <f t="shared" si="2"/>
        <v>OK</v>
      </c>
      <c r="C709" s="5">
        <v>9265.0</v>
      </c>
      <c r="D709" s="6" t="s">
        <v>1534</v>
      </c>
      <c r="E709" s="5" t="s">
        <v>1535</v>
      </c>
      <c r="F709" s="7"/>
      <c r="G709" s="3" t="str">
        <f t="shared" si="3"/>
        <v>XAKN4</v>
      </c>
      <c r="H709" s="3" t="str">
        <f>VLOOKUP($C709,Userpass!$A$2:$L$3001,12,FALSE)</f>
        <v>AKN4</v>
      </c>
      <c r="I709" s="5" t="s">
        <v>1212</v>
      </c>
      <c r="J709" s="5">
        <v>2025.0</v>
      </c>
      <c r="K709" s="8" t="s">
        <v>1536</v>
      </c>
    </row>
    <row r="710" hidden="1">
      <c r="A710" s="3" t="str">
        <f t="shared" si="1"/>
        <v>OK</v>
      </c>
      <c r="B710" s="3" t="str">
        <f t="shared" si="2"/>
        <v>OK</v>
      </c>
      <c r="C710" s="5">
        <v>9267.0</v>
      </c>
      <c r="D710" s="6" t="s">
        <v>1537</v>
      </c>
      <c r="E710" s="5" t="s">
        <v>1538</v>
      </c>
      <c r="F710" s="7"/>
      <c r="G710" s="3" t="str">
        <f t="shared" si="3"/>
        <v>XAKN4</v>
      </c>
      <c r="H710" s="3" t="str">
        <f>VLOOKUP($C710,Userpass!$A$2:$L$3001,12,FALSE)</f>
        <v>AKN4</v>
      </c>
      <c r="I710" s="5" t="s">
        <v>1212</v>
      </c>
      <c r="J710" s="5">
        <v>2025.0</v>
      </c>
      <c r="K710" s="8" t="s">
        <v>1539</v>
      </c>
    </row>
    <row r="711" hidden="1">
      <c r="A711" s="3" t="str">
        <f t="shared" si="1"/>
        <v>OK</v>
      </c>
      <c r="B711" s="3" t="str">
        <f t="shared" si="2"/>
        <v>OK</v>
      </c>
      <c r="C711" s="5">
        <v>9288.0</v>
      </c>
      <c r="D711" s="6" t="s">
        <v>1540</v>
      </c>
      <c r="E711" s="5" t="s">
        <v>1541</v>
      </c>
      <c r="F711" s="7"/>
      <c r="G711" s="3" t="str">
        <f t="shared" si="3"/>
        <v>XAKN4</v>
      </c>
      <c r="H711" s="3" t="str">
        <f>VLOOKUP($C711,Userpass!$A$2:$L$3001,12,FALSE)</f>
        <v>AKN4</v>
      </c>
      <c r="I711" s="5" t="s">
        <v>1212</v>
      </c>
      <c r="J711" s="5">
        <v>2025.0</v>
      </c>
      <c r="K711" s="8" t="s">
        <v>1542</v>
      </c>
    </row>
    <row r="712" hidden="1">
      <c r="A712" s="3" t="str">
        <f t="shared" si="1"/>
        <v>OK</v>
      </c>
      <c r="B712" s="3" t="str">
        <f t="shared" si="2"/>
        <v>OK</v>
      </c>
      <c r="C712" s="5">
        <v>9302.0</v>
      </c>
      <c r="D712" s="6" t="s">
        <v>1543</v>
      </c>
      <c r="E712" s="5" t="s">
        <v>1544</v>
      </c>
      <c r="F712" s="7"/>
      <c r="G712" s="3" t="str">
        <f t="shared" si="3"/>
        <v>XAKN4</v>
      </c>
      <c r="H712" s="3" t="str">
        <f>VLOOKUP($C712,Userpass!$A$2:$L$3001,12,FALSE)</f>
        <v>AKN4</v>
      </c>
      <c r="I712" s="5" t="s">
        <v>1212</v>
      </c>
      <c r="J712" s="5">
        <v>2025.0</v>
      </c>
      <c r="K712" s="8" t="s">
        <v>1545</v>
      </c>
    </row>
    <row r="713" hidden="1">
      <c r="A713" s="3" t="str">
        <f t="shared" si="1"/>
        <v>OK</v>
      </c>
      <c r="B713" s="3" t="str">
        <f t="shared" si="2"/>
        <v>OK</v>
      </c>
      <c r="C713" s="5">
        <v>9324.0</v>
      </c>
      <c r="D713" s="6" t="s">
        <v>1546</v>
      </c>
      <c r="E713" s="5" t="s">
        <v>1547</v>
      </c>
      <c r="F713" s="7"/>
      <c r="G713" s="3" t="str">
        <f t="shared" si="3"/>
        <v>XAKN4</v>
      </c>
      <c r="H713" s="3" t="str">
        <f>VLOOKUP($C713,Userpass!$A$2:$L$3001,12,FALSE)</f>
        <v>AKN4</v>
      </c>
      <c r="I713" s="5" t="s">
        <v>1212</v>
      </c>
      <c r="J713" s="5">
        <v>2025.0</v>
      </c>
      <c r="K713" s="8" t="s">
        <v>1548</v>
      </c>
    </row>
    <row r="714" hidden="1">
      <c r="A714" s="3" t="str">
        <f t="shared" si="1"/>
        <v>OK</v>
      </c>
      <c r="B714" s="3" t="str">
        <f t="shared" si="2"/>
        <v>OK</v>
      </c>
      <c r="C714" s="5">
        <v>9336.0</v>
      </c>
      <c r="D714" s="6" t="s">
        <v>1549</v>
      </c>
      <c r="E714" s="5" t="s">
        <v>1550</v>
      </c>
      <c r="F714" s="7"/>
      <c r="G714" s="3" t="str">
        <f t="shared" si="3"/>
        <v>XAKN4</v>
      </c>
      <c r="H714" s="3" t="str">
        <f>VLOOKUP($C714,Userpass!$A$2:$L$3001,12,FALSE)</f>
        <v>AKN4</v>
      </c>
      <c r="I714" s="5" t="s">
        <v>1212</v>
      </c>
      <c r="J714" s="5">
        <v>2025.0</v>
      </c>
      <c r="K714" s="8" t="s">
        <v>1551</v>
      </c>
    </row>
    <row r="715" hidden="1">
      <c r="A715" s="3" t="str">
        <f t="shared" si="1"/>
        <v>OK</v>
      </c>
      <c r="B715" s="3" t="str">
        <f t="shared" si="2"/>
        <v>OK</v>
      </c>
      <c r="C715" s="5">
        <v>9356.0</v>
      </c>
      <c r="D715" s="6" t="s">
        <v>1552</v>
      </c>
      <c r="E715" s="5" t="s">
        <v>1553</v>
      </c>
      <c r="F715" s="7"/>
      <c r="G715" s="3" t="str">
        <f t="shared" si="3"/>
        <v>XAKN4</v>
      </c>
      <c r="H715" s="3" t="str">
        <f>VLOOKUP($C715,Userpass!$A$2:$L$3001,12,FALSE)</f>
        <v>AKN4</v>
      </c>
      <c r="I715" s="5" t="s">
        <v>1212</v>
      </c>
      <c r="J715" s="5">
        <v>2025.0</v>
      </c>
      <c r="K715" s="8" t="s">
        <v>1554</v>
      </c>
    </row>
    <row r="716" hidden="1">
      <c r="A716" s="3" t="str">
        <f t="shared" si="1"/>
        <v>OK</v>
      </c>
      <c r="B716" s="3" t="str">
        <f t="shared" si="2"/>
        <v>OK</v>
      </c>
      <c r="C716" s="5">
        <v>9370.0</v>
      </c>
      <c r="D716" s="6" t="s">
        <v>1555</v>
      </c>
      <c r="E716" s="5" t="s">
        <v>1556</v>
      </c>
      <c r="F716" s="7"/>
      <c r="G716" s="3" t="str">
        <f t="shared" si="3"/>
        <v>XAKN4</v>
      </c>
      <c r="H716" s="3" t="str">
        <f>VLOOKUP($C716,Userpass!$A$2:$L$3001,12,FALSE)</f>
        <v>AKN4</v>
      </c>
      <c r="I716" s="5" t="s">
        <v>1212</v>
      </c>
      <c r="J716" s="5">
        <v>2025.0</v>
      </c>
      <c r="K716" s="8" t="s">
        <v>1557</v>
      </c>
    </row>
    <row r="717" hidden="1">
      <c r="A717" s="3" t="str">
        <f t="shared" si="1"/>
        <v>OK</v>
      </c>
      <c r="B717" s="3" t="str">
        <f t="shared" si="2"/>
        <v>OK</v>
      </c>
      <c r="C717" s="5">
        <v>9393.0</v>
      </c>
      <c r="D717" s="6" t="s">
        <v>1558</v>
      </c>
      <c r="E717" s="5" t="s">
        <v>1559</v>
      </c>
      <c r="F717" s="7"/>
      <c r="G717" s="3" t="str">
        <f t="shared" si="3"/>
        <v>XAKN4</v>
      </c>
      <c r="H717" s="3" t="str">
        <f>VLOOKUP($C717,Userpass!$A$2:$L$3001,12,FALSE)</f>
        <v>AKN4</v>
      </c>
      <c r="I717" s="5" t="s">
        <v>1212</v>
      </c>
      <c r="J717" s="5">
        <v>2025.0</v>
      </c>
      <c r="K717" s="8" t="s">
        <v>1560</v>
      </c>
    </row>
    <row r="718" hidden="1">
      <c r="A718" s="3" t="str">
        <f t="shared" si="1"/>
        <v>OK</v>
      </c>
      <c r="B718" s="3" t="str">
        <f t="shared" si="2"/>
        <v>OK</v>
      </c>
      <c r="C718" s="5">
        <v>9406.0</v>
      </c>
      <c r="D718" s="6" t="s">
        <v>1561</v>
      </c>
      <c r="E718" s="5" t="s">
        <v>1562</v>
      </c>
      <c r="F718" s="7"/>
      <c r="G718" s="3" t="str">
        <f t="shared" si="3"/>
        <v>XAKN4</v>
      </c>
      <c r="H718" s="3" t="str">
        <f>VLOOKUP($C718,Userpass!$A$2:$L$3001,12,FALSE)</f>
        <v>AKN4</v>
      </c>
      <c r="I718" s="5" t="s">
        <v>1212</v>
      </c>
      <c r="J718" s="5">
        <v>2025.0</v>
      </c>
      <c r="K718" s="8" t="s">
        <v>1563</v>
      </c>
    </row>
    <row r="719" hidden="1">
      <c r="A719" s="3" t="str">
        <f t="shared" si="1"/>
        <v>OK</v>
      </c>
      <c r="B719" s="3" t="str">
        <f t="shared" si="2"/>
        <v>OK</v>
      </c>
      <c r="C719" s="5">
        <v>9413.0</v>
      </c>
      <c r="D719" s="6" t="s">
        <v>1564</v>
      </c>
      <c r="E719" s="5" t="s">
        <v>1565</v>
      </c>
      <c r="F719" s="7"/>
      <c r="G719" s="3" t="str">
        <f t="shared" si="3"/>
        <v>XAKN4</v>
      </c>
      <c r="H719" s="3" t="str">
        <f>VLOOKUP($C719,Userpass!$A$2:$L$3001,12,FALSE)</f>
        <v>AKN4</v>
      </c>
      <c r="I719" s="5" t="s">
        <v>1212</v>
      </c>
      <c r="J719" s="5">
        <v>2025.0</v>
      </c>
      <c r="K719" s="8" t="s">
        <v>1566</v>
      </c>
    </row>
    <row r="720" hidden="1">
      <c r="A720" s="3" t="str">
        <f t="shared" si="1"/>
        <v>OK</v>
      </c>
      <c r="B720" s="3" t="str">
        <f t="shared" si="2"/>
        <v>OK</v>
      </c>
      <c r="C720" s="5">
        <v>9421.0</v>
      </c>
      <c r="D720" s="6" t="s">
        <v>1567</v>
      </c>
      <c r="E720" s="5" t="s">
        <v>1568</v>
      </c>
      <c r="F720" s="7"/>
      <c r="G720" s="3" t="str">
        <f t="shared" si="3"/>
        <v>XAKN4</v>
      </c>
      <c r="H720" s="3" t="str">
        <f>VLOOKUP($C720,Userpass!$A$2:$L$3001,12,FALSE)</f>
        <v>AKN4</v>
      </c>
      <c r="I720" s="5" t="s">
        <v>1212</v>
      </c>
      <c r="J720" s="5">
        <v>2025.0</v>
      </c>
      <c r="K720" s="8" t="s">
        <v>1569</v>
      </c>
    </row>
    <row r="721" hidden="1">
      <c r="A721" s="3" t="str">
        <f t="shared" si="1"/>
        <v>OK</v>
      </c>
      <c r="B721" s="3" t="str">
        <f t="shared" si="2"/>
        <v>OK</v>
      </c>
      <c r="C721" s="5">
        <v>9434.0</v>
      </c>
      <c r="D721" s="6" t="s">
        <v>1570</v>
      </c>
      <c r="E721" s="5" t="s">
        <v>1571</v>
      </c>
      <c r="F721" s="7"/>
      <c r="G721" s="3" t="str">
        <f t="shared" si="3"/>
        <v>XAKN4</v>
      </c>
      <c r="H721" s="3" t="str">
        <f>VLOOKUP($C721,Userpass!$A$2:$L$3001,12,FALSE)</f>
        <v>AKN4</v>
      </c>
      <c r="I721" s="5" t="s">
        <v>1212</v>
      </c>
      <c r="J721" s="5">
        <v>2025.0</v>
      </c>
      <c r="K721" s="8" t="s">
        <v>1572</v>
      </c>
    </row>
    <row r="722" hidden="1">
      <c r="A722" s="3" t="str">
        <f t="shared" si="1"/>
        <v>OK</v>
      </c>
      <c r="B722" s="3" t="str">
        <f t="shared" si="2"/>
        <v>OK</v>
      </c>
      <c r="C722" s="5">
        <v>9450.0</v>
      </c>
      <c r="D722" s="6" t="s">
        <v>1573</v>
      </c>
      <c r="E722" s="5" t="s">
        <v>1574</v>
      </c>
      <c r="F722" s="7"/>
      <c r="G722" s="3" t="str">
        <f t="shared" si="3"/>
        <v>XAKN4</v>
      </c>
      <c r="H722" s="3" t="str">
        <f>VLOOKUP($C722,Userpass!$A$2:$L$3001,12,FALSE)</f>
        <v>AKN4</v>
      </c>
      <c r="I722" s="5" t="s">
        <v>1212</v>
      </c>
      <c r="J722" s="5">
        <v>2025.0</v>
      </c>
      <c r="K722" s="8" t="s">
        <v>1575</v>
      </c>
    </row>
    <row r="723" hidden="1">
      <c r="A723" s="3" t="str">
        <f t="shared" si="1"/>
        <v>OK</v>
      </c>
      <c r="B723" s="3" t="str">
        <f t="shared" si="2"/>
        <v>OK</v>
      </c>
      <c r="C723" s="5">
        <v>9460.0</v>
      </c>
      <c r="D723" s="6" t="s">
        <v>1576</v>
      </c>
      <c r="E723" s="5" t="s">
        <v>1577</v>
      </c>
      <c r="F723" s="7"/>
      <c r="G723" s="3" t="str">
        <f t="shared" si="3"/>
        <v>XAKN4</v>
      </c>
      <c r="H723" s="3" t="str">
        <f>VLOOKUP($C723,Userpass!$A$2:$L$3001,12,FALSE)</f>
        <v>AKN4</v>
      </c>
      <c r="I723" s="5" t="s">
        <v>1212</v>
      </c>
      <c r="J723" s="5">
        <v>2025.0</v>
      </c>
      <c r="K723" s="8" t="s">
        <v>1578</v>
      </c>
    </row>
    <row r="724" hidden="1">
      <c r="A724" s="3" t="str">
        <f t="shared" si="1"/>
        <v>OK</v>
      </c>
      <c r="B724" s="3" t="str">
        <f t="shared" si="2"/>
        <v>OK</v>
      </c>
      <c r="C724" s="5">
        <v>9481.0</v>
      </c>
      <c r="D724" s="6" t="s">
        <v>1579</v>
      </c>
      <c r="E724" s="5" t="s">
        <v>1580</v>
      </c>
      <c r="F724" s="7"/>
      <c r="G724" s="3" t="str">
        <f t="shared" si="3"/>
        <v>XAKN4</v>
      </c>
      <c r="H724" s="3" t="str">
        <f>VLOOKUP($C724,Userpass!$A$2:$L$3001,12,FALSE)</f>
        <v>AKN4</v>
      </c>
      <c r="I724" s="5" t="s">
        <v>1212</v>
      </c>
      <c r="J724" s="5">
        <v>2025.0</v>
      </c>
      <c r="K724" s="8" t="s">
        <v>1581</v>
      </c>
    </row>
    <row r="725" hidden="1">
      <c r="A725" s="3" t="str">
        <f t="shared" si="1"/>
        <v>OK</v>
      </c>
      <c r="B725" s="3" t="str">
        <f t="shared" si="2"/>
        <v>OK</v>
      </c>
      <c r="C725" s="5">
        <v>9514.0</v>
      </c>
      <c r="D725" s="6" t="s">
        <v>1582</v>
      </c>
      <c r="E725" s="5" t="s">
        <v>1583</v>
      </c>
      <c r="F725" s="7"/>
      <c r="G725" s="3" t="str">
        <f t="shared" si="3"/>
        <v>XAKN4</v>
      </c>
      <c r="H725" s="3" t="str">
        <f>VLOOKUP($C725,Userpass!$A$2:$L$3001,12,FALSE)</f>
        <v>AKN4</v>
      </c>
      <c r="I725" s="5" t="s">
        <v>1212</v>
      </c>
      <c r="J725" s="5">
        <v>2025.0</v>
      </c>
      <c r="K725" s="8" t="s">
        <v>1584</v>
      </c>
    </row>
    <row r="726" hidden="1">
      <c r="A726" s="3" t="str">
        <f t="shared" si="1"/>
        <v>OK</v>
      </c>
      <c r="B726" s="3" t="str">
        <f t="shared" si="2"/>
        <v>OK</v>
      </c>
      <c r="C726" s="5">
        <v>9526.0</v>
      </c>
      <c r="D726" s="6" t="s">
        <v>1585</v>
      </c>
      <c r="E726" s="5" t="s">
        <v>1586</v>
      </c>
      <c r="F726" s="7"/>
      <c r="G726" s="3" t="str">
        <f t="shared" si="3"/>
        <v>XAKN4</v>
      </c>
      <c r="H726" s="3" t="str">
        <f>VLOOKUP($C726,Userpass!$A$2:$L$3001,12,FALSE)</f>
        <v>AKN4</v>
      </c>
      <c r="I726" s="5" t="s">
        <v>1212</v>
      </c>
      <c r="J726" s="5">
        <v>2025.0</v>
      </c>
      <c r="K726" s="8" t="s">
        <v>1587</v>
      </c>
    </row>
    <row r="727" hidden="1">
      <c r="A727" s="3" t="str">
        <f t="shared" si="1"/>
        <v>OK</v>
      </c>
      <c r="B727" s="3" t="str">
        <f t="shared" si="2"/>
        <v>OK</v>
      </c>
      <c r="C727" s="5">
        <v>9530.0</v>
      </c>
      <c r="D727" s="6" t="s">
        <v>1588</v>
      </c>
      <c r="E727" s="5" t="s">
        <v>1589</v>
      </c>
      <c r="F727" s="7"/>
      <c r="G727" s="3" t="str">
        <f t="shared" si="3"/>
        <v>XAKN4</v>
      </c>
      <c r="H727" s="3" t="str">
        <f>VLOOKUP($C727,Userpass!$A$2:$L$3001,12,FALSE)</f>
        <v>AKN4</v>
      </c>
      <c r="I727" s="5" t="s">
        <v>1212</v>
      </c>
      <c r="J727" s="5">
        <v>2025.0</v>
      </c>
      <c r="K727" s="8" t="s">
        <v>1590</v>
      </c>
    </row>
    <row r="728" hidden="1">
      <c r="A728" s="3" t="str">
        <f t="shared" si="1"/>
        <v>OK</v>
      </c>
      <c r="B728" s="3" t="str">
        <f t="shared" si="2"/>
        <v>OK</v>
      </c>
      <c r="C728" s="5">
        <v>9537.0</v>
      </c>
      <c r="D728" s="6" t="s">
        <v>1591</v>
      </c>
      <c r="E728" s="5" t="s">
        <v>1592</v>
      </c>
      <c r="F728" s="7"/>
      <c r="G728" s="3" t="str">
        <f t="shared" si="3"/>
        <v>XAKN4</v>
      </c>
      <c r="H728" s="3" t="str">
        <f>VLOOKUP($C728,Userpass!$A$2:$L$3001,12,FALSE)</f>
        <v>AKN4</v>
      </c>
      <c r="I728" s="5" t="s">
        <v>1212</v>
      </c>
      <c r="J728" s="5">
        <v>2025.0</v>
      </c>
      <c r="K728" s="8" t="s">
        <v>1593</v>
      </c>
    </row>
    <row r="729" hidden="1">
      <c r="A729" s="3" t="str">
        <f t="shared" si="1"/>
        <v>OK</v>
      </c>
      <c r="B729" s="3" t="str">
        <f t="shared" si="2"/>
        <v>OK</v>
      </c>
      <c r="C729" s="5">
        <v>9552.0</v>
      </c>
      <c r="D729" s="6" t="s">
        <v>1594</v>
      </c>
      <c r="E729" s="5" t="s">
        <v>1595</v>
      </c>
      <c r="F729" s="7"/>
      <c r="G729" s="3" t="str">
        <f t="shared" si="3"/>
        <v>XAKN4</v>
      </c>
      <c r="H729" s="3" t="str">
        <f>VLOOKUP($C729,Userpass!$A$2:$L$3001,12,FALSE)</f>
        <v>AKN4</v>
      </c>
      <c r="I729" s="5" t="s">
        <v>1212</v>
      </c>
      <c r="J729" s="5">
        <v>2025.0</v>
      </c>
      <c r="K729" s="8" t="s">
        <v>1596</v>
      </c>
    </row>
    <row r="730" hidden="1">
      <c r="A730" s="3" t="str">
        <f t="shared" si="1"/>
        <v>OK</v>
      </c>
      <c r="B730" s="3" t="str">
        <f t="shared" si="2"/>
        <v>OK</v>
      </c>
      <c r="C730" s="5">
        <v>9566.0</v>
      </c>
      <c r="D730" s="6" t="s">
        <v>1597</v>
      </c>
      <c r="E730" s="5" t="s">
        <v>1598</v>
      </c>
      <c r="F730" s="7"/>
      <c r="G730" s="3" t="str">
        <f t="shared" si="3"/>
        <v>XAKN4</v>
      </c>
      <c r="H730" s="3" t="str">
        <f>VLOOKUP($C730,Userpass!$A$2:$L$3001,12,FALSE)</f>
        <v>AKN4</v>
      </c>
      <c r="I730" s="5" t="s">
        <v>1212</v>
      </c>
      <c r="J730" s="5">
        <v>2025.0</v>
      </c>
      <c r="K730" s="8" t="s">
        <v>1599</v>
      </c>
    </row>
    <row r="731" hidden="1">
      <c r="A731" s="3" t="str">
        <f t="shared" si="1"/>
        <v>OK</v>
      </c>
      <c r="B731" s="3" t="str">
        <f t="shared" si="2"/>
        <v>OK</v>
      </c>
      <c r="C731" s="5">
        <v>9646.0</v>
      </c>
      <c r="D731" s="6" t="s">
        <v>1600</v>
      </c>
      <c r="E731" s="5" t="s">
        <v>1601</v>
      </c>
      <c r="F731" s="7"/>
      <c r="G731" s="3" t="str">
        <f t="shared" si="3"/>
        <v>XAKN4</v>
      </c>
      <c r="H731" s="3" t="str">
        <f>VLOOKUP($C731,Userpass!$A$2:$L$3001,12,FALSE)</f>
        <v>AKN4</v>
      </c>
      <c r="I731" s="5" t="s">
        <v>1212</v>
      </c>
      <c r="J731" s="5">
        <v>2025.0</v>
      </c>
      <c r="K731" s="8" t="s">
        <v>1602</v>
      </c>
    </row>
    <row r="732" hidden="1">
      <c r="A732" s="3" t="str">
        <f t="shared" si="1"/>
        <v>OK</v>
      </c>
      <c r="B732" s="3" t="str">
        <f t="shared" si="2"/>
        <v>OK</v>
      </c>
      <c r="C732" s="5">
        <v>9655.0</v>
      </c>
      <c r="D732" s="6" t="s">
        <v>1603</v>
      </c>
      <c r="E732" s="5" t="s">
        <v>1604</v>
      </c>
      <c r="F732" s="7"/>
      <c r="G732" s="3" t="str">
        <f t="shared" si="3"/>
        <v>XAKN4</v>
      </c>
      <c r="H732" s="3" t="str">
        <f>VLOOKUP($C732,Userpass!$A$2:$L$3001,12,FALSE)</f>
        <v>AKN4</v>
      </c>
      <c r="I732" s="5" t="s">
        <v>1212</v>
      </c>
      <c r="J732" s="5">
        <v>2025.0</v>
      </c>
      <c r="K732" s="8" t="s">
        <v>1605</v>
      </c>
    </row>
    <row r="733" hidden="1">
      <c r="A733" s="3" t="str">
        <f t="shared" si="1"/>
        <v>OK</v>
      </c>
      <c r="B733" s="3" t="str">
        <f t="shared" si="2"/>
        <v>OK</v>
      </c>
      <c r="C733" s="5">
        <v>9670.0</v>
      </c>
      <c r="D733" s="6" t="s">
        <v>1606</v>
      </c>
      <c r="E733" s="5" t="s">
        <v>1607</v>
      </c>
      <c r="F733" s="7"/>
      <c r="G733" s="3" t="str">
        <f t="shared" si="3"/>
        <v>XAKN4</v>
      </c>
      <c r="H733" s="3" t="str">
        <f>VLOOKUP($C733,Userpass!$A$2:$L$3001,12,FALSE)</f>
        <v>AKN4</v>
      </c>
      <c r="I733" s="5" t="s">
        <v>1212</v>
      </c>
      <c r="J733" s="5">
        <v>2025.0</v>
      </c>
      <c r="K733" s="8" t="s">
        <v>1608</v>
      </c>
    </row>
    <row r="734" hidden="1">
      <c r="A734" s="3" t="str">
        <f t="shared" si="1"/>
        <v>OK</v>
      </c>
      <c r="B734" s="3" t="str">
        <f t="shared" si="2"/>
        <v>OK</v>
      </c>
      <c r="C734" s="5">
        <v>9692.0</v>
      </c>
      <c r="D734" s="6" t="s">
        <v>1609</v>
      </c>
      <c r="E734" s="5" t="s">
        <v>1610</v>
      </c>
      <c r="F734" s="7"/>
      <c r="G734" s="3" t="str">
        <f t="shared" si="3"/>
        <v>XAKN4</v>
      </c>
      <c r="H734" s="3" t="str">
        <f>VLOOKUP($C734,Userpass!$A$2:$L$3001,12,FALSE)</f>
        <v>AKN4</v>
      </c>
      <c r="I734" s="5" t="s">
        <v>1212</v>
      </c>
      <c r="J734" s="5">
        <v>2025.0</v>
      </c>
      <c r="K734" s="8" t="s">
        <v>1611</v>
      </c>
    </row>
    <row r="735" hidden="1">
      <c r="A735" s="3" t="str">
        <f t="shared" si="1"/>
        <v>OK</v>
      </c>
      <c r="B735" s="3" t="str">
        <f t="shared" si="2"/>
        <v>OK</v>
      </c>
      <c r="C735" s="5">
        <v>9714.0</v>
      </c>
      <c r="D735" s="6" t="s">
        <v>1612</v>
      </c>
      <c r="E735" s="5" t="s">
        <v>1613</v>
      </c>
      <c r="F735" s="7"/>
      <c r="G735" s="3" t="str">
        <f t="shared" si="3"/>
        <v>XAKN4</v>
      </c>
      <c r="H735" s="3" t="str">
        <f>VLOOKUP($C735,Userpass!$A$2:$L$3001,12,FALSE)</f>
        <v>AKN4</v>
      </c>
      <c r="I735" s="5" t="s">
        <v>1212</v>
      </c>
      <c r="J735" s="5">
        <v>2025.0</v>
      </c>
      <c r="K735" s="8" t="s">
        <v>1614</v>
      </c>
    </row>
    <row r="736" hidden="1">
      <c r="A736" s="3" t="str">
        <f t="shared" si="1"/>
        <v>OK</v>
      </c>
      <c r="B736" s="3" t="str">
        <f t="shared" si="2"/>
        <v>OK</v>
      </c>
      <c r="C736" s="5">
        <v>9749.0</v>
      </c>
      <c r="D736" s="6" t="s">
        <v>1615</v>
      </c>
      <c r="E736" s="5" t="s">
        <v>1616</v>
      </c>
      <c r="F736" s="7"/>
      <c r="G736" s="3" t="str">
        <f t="shared" si="3"/>
        <v>XAKN4</v>
      </c>
      <c r="H736" s="3" t="str">
        <f>VLOOKUP($C736,Userpass!$A$2:$L$3001,12,FALSE)</f>
        <v>AKN4</v>
      </c>
      <c r="I736" s="5" t="s">
        <v>1212</v>
      </c>
      <c r="J736" s="5">
        <v>2025.0</v>
      </c>
      <c r="K736" s="8" t="s">
        <v>1617</v>
      </c>
    </row>
    <row r="737" hidden="1">
      <c r="A737" s="3" t="str">
        <f t="shared" si="1"/>
        <v>OK</v>
      </c>
      <c r="B737" s="3" t="str">
        <f t="shared" si="2"/>
        <v>OK</v>
      </c>
      <c r="C737" s="5">
        <v>9758.0</v>
      </c>
      <c r="D737" s="6" t="s">
        <v>1618</v>
      </c>
      <c r="E737" s="5" t="s">
        <v>1619</v>
      </c>
      <c r="F737" s="7"/>
      <c r="G737" s="3" t="str">
        <f t="shared" si="3"/>
        <v>XAKN4</v>
      </c>
      <c r="H737" s="3" t="str">
        <f>VLOOKUP($C737,Userpass!$A$2:$L$3001,12,FALSE)</f>
        <v>AKN4</v>
      </c>
      <c r="I737" s="5" t="s">
        <v>1212</v>
      </c>
      <c r="J737" s="5">
        <v>2025.0</v>
      </c>
      <c r="K737" s="8" t="s">
        <v>1620</v>
      </c>
    </row>
    <row r="738" hidden="1">
      <c r="A738" s="3" t="str">
        <f t="shared" si="1"/>
        <v>OK</v>
      </c>
      <c r="B738" s="3" t="str">
        <f t="shared" si="2"/>
        <v>OK</v>
      </c>
      <c r="C738" s="5">
        <v>9769.0</v>
      </c>
      <c r="D738" s="6" t="s">
        <v>1621</v>
      </c>
      <c r="E738" s="5" t="s">
        <v>1622</v>
      </c>
      <c r="F738" s="7"/>
      <c r="G738" s="3" t="str">
        <f t="shared" si="3"/>
        <v>XAKN4</v>
      </c>
      <c r="H738" s="3" t="str">
        <f>VLOOKUP($C738,Userpass!$A$2:$L$3001,12,FALSE)</f>
        <v>AKN4</v>
      </c>
      <c r="I738" s="5" t="s">
        <v>1212</v>
      </c>
      <c r="J738" s="5">
        <v>2025.0</v>
      </c>
      <c r="K738" s="8" t="s">
        <v>1623</v>
      </c>
    </row>
    <row r="739" hidden="1">
      <c r="A739" s="3" t="str">
        <f t="shared" si="1"/>
        <v>OK</v>
      </c>
      <c r="B739" s="3" t="str">
        <f t="shared" si="2"/>
        <v>OK</v>
      </c>
      <c r="C739" s="5">
        <v>9778.0</v>
      </c>
      <c r="D739" s="6" t="s">
        <v>1624</v>
      </c>
      <c r="E739" s="5" t="s">
        <v>1625</v>
      </c>
      <c r="F739" s="7"/>
      <c r="G739" s="3" t="str">
        <f t="shared" si="3"/>
        <v>XAKN4</v>
      </c>
      <c r="H739" s="3" t="str">
        <f>VLOOKUP($C739,Userpass!$A$2:$L$3001,12,FALSE)</f>
        <v>AKN4</v>
      </c>
      <c r="I739" s="5" t="s">
        <v>1212</v>
      </c>
      <c r="J739" s="5">
        <v>2025.0</v>
      </c>
      <c r="K739" s="8" t="s">
        <v>1626</v>
      </c>
    </row>
    <row r="740" hidden="1">
      <c r="A740" s="3" t="str">
        <f t="shared" si="1"/>
        <v>OK</v>
      </c>
      <c r="B740" s="3" t="str">
        <f t="shared" si="2"/>
        <v>OK</v>
      </c>
      <c r="C740" s="5">
        <v>9787.0</v>
      </c>
      <c r="D740" s="6" t="s">
        <v>1627</v>
      </c>
      <c r="E740" s="5" t="s">
        <v>1628</v>
      </c>
      <c r="F740" s="7"/>
      <c r="G740" s="3" t="str">
        <f t="shared" si="3"/>
        <v>XAKN4</v>
      </c>
      <c r="H740" s="3" t="str">
        <f>VLOOKUP($C740,Userpass!$A$2:$L$3001,12,FALSE)</f>
        <v>AKN4</v>
      </c>
      <c r="I740" s="5" t="s">
        <v>1212</v>
      </c>
      <c r="J740" s="5">
        <v>2025.0</v>
      </c>
      <c r="K740" s="8" t="s">
        <v>1629</v>
      </c>
    </row>
    <row r="741" hidden="1">
      <c r="A741" s="3" t="str">
        <f t="shared" si="1"/>
        <v>OK</v>
      </c>
      <c r="B741" s="3" t="str">
        <f t="shared" si="2"/>
        <v>OK</v>
      </c>
      <c r="C741" s="5">
        <v>9798.0</v>
      </c>
      <c r="D741" s="6" t="s">
        <v>1630</v>
      </c>
      <c r="E741" s="5" t="s">
        <v>1631</v>
      </c>
      <c r="F741" s="7"/>
      <c r="G741" s="3" t="str">
        <f t="shared" si="3"/>
        <v>XAKN4</v>
      </c>
      <c r="H741" s="3" t="str">
        <f>VLOOKUP($C741,Userpass!$A$2:$L$3001,12,FALSE)</f>
        <v>AKN4</v>
      </c>
      <c r="I741" s="5" t="s">
        <v>1212</v>
      </c>
      <c r="J741" s="5">
        <v>2025.0</v>
      </c>
      <c r="K741" s="8" t="s">
        <v>1632</v>
      </c>
    </row>
    <row r="742" hidden="1">
      <c r="A742" s="3" t="str">
        <f t="shared" si="1"/>
        <v>OK</v>
      </c>
      <c r="B742" s="3" t="str">
        <f t="shared" si="2"/>
        <v>OK</v>
      </c>
      <c r="C742" s="5">
        <v>9813.0</v>
      </c>
      <c r="D742" s="6" t="s">
        <v>1633</v>
      </c>
      <c r="E742" s="5" t="s">
        <v>1634</v>
      </c>
      <c r="F742" s="7"/>
      <c r="G742" s="3" t="str">
        <f t="shared" si="3"/>
        <v>XAKN4</v>
      </c>
      <c r="H742" s="3" t="str">
        <f>VLOOKUP($C742,Userpass!$A$2:$L$3001,12,FALSE)</f>
        <v>AKN4</v>
      </c>
      <c r="I742" s="5" t="s">
        <v>1212</v>
      </c>
      <c r="J742" s="5">
        <v>2025.0</v>
      </c>
      <c r="K742" s="8" t="s">
        <v>1635</v>
      </c>
    </row>
    <row r="743" hidden="1">
      <c r="A743" s="3" t="str">
        <f t="shared" si="1"/>
        <v>OK</v>
      </c>
      <c r="B743" s="3" t="str">
        <f t="shared" si="2"/>
        <v>OK</v>
      </c>
      <c r="C743" s="5">
        <v>9831.0</v>
      </c>
      <c r="D743" s="6" t="s">
        <v>1636</v>
      </c>
      <c r="E743" s="5" t="s">
        <v>1637</v>
      </c>
      <c r="F743" s="7"/>
      <c r="G743" s="3" t="str">
        <f t="shared" si="3"/>
        <v>XAKN4</v>
      </c>
      <c r="H743" s="3" t="str">
        <f>VLOOKUP($C743,Userpass!$A$2:$L$3001,12,FALSE)</f>
        <v>AKN4</v>
      </c>
      <c r="I743" s="5" t="s">
        <v>1212</v>
      </c>
      <c r="J743" s="5">
        <v>2025.0</v>
      </c>
      <c r="K743" s="8" t="s">
        <v>1638</v>
      </c>
    </row>
    <row r="744" hidden="1">
      <c r="A744" s="3" t="str">
        <f t="shared" si="1"/>
        <v>OK</v>
      </c>
      <c r="B744" s="3" t="str">
        <f t="shared" si="2"/>
        <v>OK</v>
      </c>
      <c r="C744" s="5">
        <v>9845.0</v>
      </c>
      <c r="D744" s="6" t="s">
        <v>1639</v>
      </c>
      <c r="E744" s="5" t="s">
        <v>1640</v>
      </c>
      <c r="F744" s="7"/>
      <c r="G744" s="3" t="str">
        <f t="shared" si="3"/>
        <v>XAKN4</v>
      </c>
      <c r="H744" s="3" t="str">
        <f>VLOOKUP($C744,Userpass!$A$2:$L$3001,12,FALSE)</f>
        <v>AKN4</v>
      </c>
      <c r="I744" s="5" t="s">
        <v>1212</v>
      </c>
      <c r="J744" s="5">
        <v>2025.0</v>
      </c>
      <c r="K744" s="8" t="s">
        <v>1641</v>
      </c>
    </row>
    <row r="745" hidden="1">
      <c r="A745" s="3" t="str">
        <f t="shared" si="1"/>
        <v>OK</v>
      </c>
      <c r="B745" s="3" t="str">
        <f t="shared" si="2"/>
        <v>OK</v>
      </c>
      <c r="C745" s="5">
        <v>9280.0</v>
      </c>
      <c r="D745" s="6" t="s">
        <v>1642</v>
      </c>
      <c r="E745" s="5" t="s">
        <v>1643</v>
      </c>
      <c r="F745" s="7"/>
      <c r="G745" s="3" t="str">
        <f t="shared" si="3"/>
        <v>XDKV1</v>
      </c>
      <c r="H745" s="3" t="str">
        <f>VLOOKUP($C745,Userpass!$A$2:$L$3001,12,FALSE)</f>
        <v>DKV1</v>
      </c>
      <c r="I745" s="5" t="s">
        <v>1212</v>
      </c>
      <c r="J745" s="5">
        <v>2025.0</v>
      </c>
      <c r="K745" s="8" t="s">
        <v>1644</v>
      </c>
    </row>
    <row r="746" hidden="1">
      <c r="A746" s="3" t="str">
        <f t="shared" si="1"/>
        <v>OK</v>
      </c>
      <c r="B746" s="3" t="str">
        <f t="shared" si="2"/>
        <v>OK</v>
      </c>
      <c r="C746" s="5">
        <v>9308.0</v>
      </c>
      <c r="D746" s="6" t="s">
        <v>1645</v>
      </c>
      <c r="E746" s="5" t="s">
        <v>1646</v>
      </c>
      <c r="F746" s="7"/>
      <c r="G746" s="3" t="str">
        <f t="shared" si="3"/>
        <v>XDKV1</v>
      </c>
      <c r="H746" s="3" t="str">
        <f>VLOOKUP($C746,Userpass!$A$2:$L$3001,12,FALSE)</f>
        <v>DKV1</v>
      </c>
      <c r="I746" s="5" t="s">
        <v>1212</v>
      </c>
      <c r="J746" s="5">
        <v>2025.0</v>
      </c>
      <c r="K746" s="8" t="s">
        <v>1647</v>
      </c>
    </row>
    <row r="747" hidden="1">
      <c r="A747" s="3" t="str">
        <f t="shared" si="1"/>
        <v>OK</v>
      </c>
      <c r="B747" s="3" t="str">
        <f t="shared" si="2"/>
        <v>OK</v>
      </c>
      <c r="C747" s="5">
        <v>9316.0</v>
      </c>
      <c r="D747" s="6" t="s">
        <v>1648</v>
      </c>
      <c r="E747" s="5" t="s">
        <v>1649</v>
      </c>
      <c r="F747" s="7"/>
      <c r="G747" s="3" t="str">
        <f t="shared" si="3"/>
        <v>XDKV1</v>
      </c>
      <c r="H747" s="3" t="str">
        <f>VLOOKUP($C747,Userpass!$A$2:$L$3001,12,FALSE)</f>
        <v>DKV1</v>
      </c>
      <c r="I747" s="5" t="s">
        <v>1212</v>
      </c>
      <c r="J747" s="5">
        <v>2025.0</v>
      </c>
      <c r="K747" s="8" t="s">
        <v>1650</v>
      </c>
    </row>
    <row r="748" hidden="1">
      <c r="A748" s="3" t="str">
        <f t="shared" si="1"/>
        <v>OK</v>
      </c>
      <c r="B748" s="3" t="str">
        <f t="shared" si="2"/>
        <v>OK</v>
      </c>
      <c r="C748" s="5">
        <v>9347.0</v>
      </c>
      <c r="D748" s="6" t="s">
        <v>1651</v>
      </c>
      <c r="E748" s="5" t="s">
        <v>1652</v>
      </c>
      <c r="F748" s="7"/>
      <c r="G748" s="3" t="str">
        <f t="shared" si="3"/>
        <v>XDKV1</v>
      </c>
      <c r="H748" s="3" t="str">
        <f>VLOOKUP($C748,Userpass!$A$2:$L$3001,12,FALSE)</f>
        <v>DKV1</v>
      </c>
      <c r="I748" s="5" t="s">
        <v>1212</v>
      </c>
      <c r="J748" s="5">
        <v>2025.0</v>
      </c>
      <c r="K748" s="8" t="s">
        <v>1653</v>
      </c>
    </row>
    <row r="749" hidden="1">
      <c r="A749" s="3" t="str">
        <f t="shared" si="1"/>
        <v>OK</v>
      </c>
      <c r="B749" s="3" t="str">
        <f t="shared" si="2"/>
        <v>OK</v>
      </c>
      <c r="C749" s="5">
        <v>9352.0</v>
      </c>
      <c r="D749" s="6" t="s">
        <v>1654</v>
      </c>
      <c r="E749" s="5" t="s">
        <v>1655</v>
      </c>
      <c r="F749" s="7"/>
      <c r="G749" s="3" t="str">
        <f t="shared" si="3"/>
        <v>XDKV1</v>
      </c>
      <c r="H749" s="3" t="str">
        <f>VLOOKUP($C749,Userpass!$A$2:$L$3001,12,FALSE)</f>
        <v>DKV1</v>
      </c>
      <c r="I749" s="5" t="s">
        <v>1212</v>
      </c>
      <c r="J749" s="5">
        <v>2025.0</v>
      </c>
      <c r="K749" s="8" t="s">
        <v>1656</v>
      </c>
    </row>
    <row r="750" hidden="1">
      <c r="A750" s="3" t="str">
        <f t="shared" si="1"/>
        <v>OK</v>
      </c>
      <c r="B750" s="3" t="str">
        <f t="shared" si="2"/>
        <v>OK</v>
      </c>
      <c r="C750" s="5">
        <v>9353.0</v>
      </c>
      <c r="D750" s="6" t="s">
        <v>1657</v>
      </c>
      <c r="E750" s="5" t="s">
        <v>1658</v>
      </c>
      <c r="F750" s="7"/>
      <c r="G750" s="3" t="str">
        <f t="shared" si="3"/>
        <v>XDKV1</v>
      </c>
      <c r="H750" s="3" t="str">
        <f>VLOOKUP($C750,Userpass!$A$2:$L$3001,12,FALSE)</f>
        <v>DKV1</v>
      </c>
      <c r="I750" s="5" t="s">
        <v>1212</v>
      </c>
      <c r="J750" s="5">
        <v>2025.0</v>
      </c>
      <c r="K750" s="8" t="s">
        <v>1659</v>
      </c>
    </row>
    <row r="751" hidden="1">
      <c r="A751" s="3" t="str">
        <f t="shared" si="1"/>
        <v>OK</v>
      </c>
      <c r="B751" s="3" t="str">
        <f t="shared" si="2"/>
        <v>OK</v>
      </c>
      <c r="C751" s="5">
        <v>9361.0</v>
      </c>
      <c r="D751" s="6" t="s">
        <v>1660</v>
      </c>
      <c r="E751" s="5" t="s">
        <v>1661</v>
      </c>
      <c r="F751" s="7"/>
      <c r="G751" s="3" t="str">
        <f t="shared" si="3"/>
        <v>XDKV1</v>
      </c>
      <c r="H751" s="3" t="str">
        <f>VLOOKUP($C751,Userpass!$A$2:$L$3001,12,FALSE)</f>
        <v>DKV1</v>
      </c>
      <c r="I751" s="5" t="s">
        <v>1212</v>
      </c>
      <c r="J751" s="5">
        <v>2025.0</v>
      </c>
      <c r="K751" s="8" t="s">
        <v>1662</v>
      </c>
    </row>
    <row r="752" hidden="1">
      <c r="A752" s="3" t="str">
        <f t="shared" si="1"/>
        <v>OK</v>
      </c>
      <c r="B752" s="3" t="str">
        <f t="shared" si="2"/>
        <v>OK</v>
      </c>
      <c r="C752" s="5">
        <v>9392.0</v>
      </c>
      <c r="D752" s="6" t="s">
        <v>1663</v>
      </c>
      <c r="E752" s="5" t="s">
        <v>1664</v>
      </c>
      <c r="F752" s="7"/>
      <c r="G752" s="3" t="str">
        <f t="shared" si="3"/>
        <v>XDKV1</v>
      </c>
      <c r="H752" s="3" t="str">
        <f>VLOOKUP($C752,Userpass!$A$2:$L$3001,12,FALSE)</f>
        <v>DKV1</v>
      </c>
      <c r="I752" s="5" t="s">
        <v>1212</v>
      </c>
      <c r="J752" s="5">
        <v>2025.0</v>
      </c>
      <c r="K752" s="8" t="s">
        <v>1665</v>
      </c>
    </row>
    <row r="753" hidden="1">
      <c r="A753" s="3" t="str">
        <f t="shared" si="1"/>
        <v>OK</v>
      </c>
      <c r="B753" s="3" t="str">
        <f t="shared" si="2"/>
        <v>OK</v>
      </c>
      <c r="C753" s="5">
        <v>9423.0</v>
      </c>
      <c r="D753" s="6" t="s">
        <v>1666</v>
      </c>
      <c r="E753" s="5" t="s">
        <v>1667</v>
      </c>
      <c r="F753" s="7"/>
      <c r="G753" s="3" t="str">
        <f t="shared" si="3"/>
        <v>XDKV1</v>
      </c>
      <c r="H753" s="3" t="str">
        <f>VLOOKUP($C753,Userpass!$A$2:$L$3001,12,FALSE)</f>
        <v>DKV1</v>
      </c>
      <c r="I753" s="5" t="s">
        <v>1212</v>
      </c>
      <c r="J753" s="5">
        <v>2025.0</v>
      </c>
      <c r="K753" s="8" t="s">
        <v>1668</v>
      </c>
    </row>
    <row r="754" hidden="1">
      <c r="A754" s="3" t="str">
        <f t="shared" si="1"/>
        <v>OK</v>
      </c>
      <c r="B754" s="3" t="str">
        <f t="shared" si="2"/>
        <v>OK</v>
      </c>
      <c r="C754" s="5">
        <v>9425.0</v>
      </c>
      <c r="D754" s="6" t="s">
        <v>1669</v>
      </c>
      <c r="E754" s="5" t="s">
        <v>1670</v>
      </c>
      <c r="F754" s="7"/>
      <c r="G754" s="3" t="str">
        <f t="shared" si="3"/>
        <v>XDKV1</v>
      </c>
      <c r="H754" s="3" t="str">
        <f>VLOOKUP($C754,Userpass!$A$2:$L$3001,12,FALSE)</f>
        <v>DKV1</v>
      </c>
      <c r="I754" s="5" t="s">
        <v>1212</v>
      </c>
      <c r="J754" s="5">
        <v>2025.0</v>
      </c>
      <c r="K754" s="8" t="s">
        <v>1671</v>
      </c>
    </row>
    <row r="755" hidden="1">
      <c r="A755" s="3" t="str">
        <f t="shared" si="1"/>
        <v>OK</v>
      </c>
      <c r="B755" s="3" t="str">
        <f t="shared" si="2"/>
        <v>OK</v>
      </c>
      <c r="C755" s="5">
        <v>9448.0</v>
      </c>
      <c r="D755" s="6" t="s">
        <v>1672</v>
      </c>
      <c r="E755" s="5" t="s">
        <v>1673</v>
      </c>
      <c r="F755" s="7"/>
      <c r="G755" s="3" t="str">
        <f t="shared" si="3"/>
        <v>XDKV1</v>
      </c>
      <c r="H755" s="3" t="str">
        <f>VLOOKUP($C755,Userpass!$A$2:$L$3001,12,FALSE)</f>
        <v>DKV1</v>
      </c>
      <c r="I755" s="5" t="s">
        <v>1212</v>
      </c>
      <c r="J755" s="5">
        <v>2025.0</v>
      </c>
      <c r="K755" s="8" t="s">
        <v>1674</v>
      </c>
    </row>
    <row r="756" hidden="1">
      <c r="A756" s="3" t="str">
        <f t="shared" si="1"/>
        <v>OK</v>
      </c>
      <c r="B756" s="3" t="str">
        <f t="shared" si="2"/>
        <v>OK</v>
      </c>
      <c r="C756" s="5">
        <v>9470.0</v>
      </c>
      <c r="D756" s="6" t="s">
        <v>1675</v>
      </c>
      <c r="E756" s="5" t="s">
        <v>1676</v>
      </c>
      <c r="F756" s="7"/>
      <c r="G756" s="3" t="str">
        <f t="shared" si="3"/>
        <v>XDKV1</v>
      </c>
      <c r="H756" s="3" t="str">
        <f>VLOOKUP($C756,Userpass!$A$2:$L$3001,12,FALSE)</f>
        <v>DKV1</v>
      </c>
      <c r="I756" s="5" t="s">
        <v>1212</v>
      </c>
      <c r="J756" s="5">
        <v>2025.0</v>
      </c>
      <c r="K756" s="8" t="s">
        <v>1677</v>
      </c>
    </row>
    <row r="757" hidden="1">
      <c r="A757" s="3" t="str">
        <f t="shared" si="1"/>
        <v>OK</v>
      </c>
      <c r="B757" s="3" t="str">
        <f t="shared" si="2"/>
        <v>OK</v>
      </c>
      <c r="C757" s="5">
        <v>9482.0</v>
      </c>
      <c r="D757" s="6" t="s">
        <v>1678</v>
      </c>
      <c r="E757" s="5" t="s">
        <v>1679</v>
      </c>
      <c r="F757" s="7"/>
      <c r="G757" s="3" t="str">
        <f t="shared" si="3"/>
        <v>XDKV1</v>
      </c>
      <c r="H757" s="3" t="str">
        <f>VLOOKUP($C757,Userpass!$A$2:$L$3001,12,FALSE)</f>
        <v>DKV1</v>
      </c>
      <c r="I757" s="5" t="s">
        <v>1212</v>
      </c>
      <c r="J757" s="5">
        <v>2025.0</v>
      </c>
      <c r="K757" s="8" t="s">
        <v>1680</v>
      </c>
    </row>
    <row r="758" hidden="1">
      <c r="A758" s="3" t="str">
        <f t="shared" si="1"/>
        <v>OK</v>
      </c>
      <c r="B758" s="3" t="str">
        <f t="shared" si="2"/>
        <v>OK</v>
      </c>
      <c r="C758" s="5">
        <v>9487.0</v>
      </c>
      <c r="D758" s="6" t="s">
        <v>1681</v>
      </c>
      <c r="E758" s="5" t="s">
        <v>1682</v>
      </c>
      <c r="F758" s="7"/>
      <c r="G758" s="3" t="str">
        <f t="shared" si="3"/>
        <v>XDKV1</v>
      </c>
      <c r="H758" s="3" t="str">
        <f>VLOOKUP($C758,Userpass!$A$2:$L$3001,12,FALSE)</f>
        <v>DKV1</v>
      </c>
      <c r="I758" s="5" t="s">
        <v>1212</v>
      </c>
      <c r="J758" s="5">
        <v>2025.0</v>
      </c>
      <c r="K758" s="8" t="s">
        <v>1683</v>
      </c>
    </row>
    <row r="759" hidden="1">
      <c r="A759" s="3" t="str">
        <f t="shared" si="1"/>
        <v>OK</v>
      </c>
      <c r="B759" s="3" t="str">
        <f t="shared" si="2"/>
        <v>OK</v>
      </c>
      <c r="C759" s="5">
        <v>9497.0</v>
      </c>
      <c r="D759" s="6" t="s">
        <v>1684</v>
      </c>
      <c r="E759" s="5" t="s">
        <v>1685</v>
      </c>
      <c r="F759" s="7"/>
      <c r="G759" s="3" t="str">
        <f t="shared" si="3"/>
        <v>XDKV1</v>
      </c>
      <c r="H759" s="3" t="str">
        <f>VLOOKUP($C759,Userpass!$A$2:$L$3001,12,FALSE)</f>
        <v>DKV1</v>
      </c>
      <c r="I759" s="5" t="s">
        <v>1212</v>
      </c>
      <c r="J759" s="5">
        <v>2025.0</v>
      </c>
      <c r="K759" s="8" t="s">
        <v>1686</v>
      </c>
    </row>
    <row r="760" hidden="1">
      <c r="A760" s="3" t="str">
        <f t="shared" si="1"/>
        <v>OK</v>
      </c>
      <c r="B760" s="3" t="str">
        <f t="shared" si="2"/>
        <v>OK</v>
      </c>
      <c r="C760" s="5">
        <v>9508.0</v>
      </c>
      <c r="D760" s="6" t="s">
        <v>1687</v>
      </c>
      <c r="E760" s="5" t="s">
        <v>1688</v>
      </c>
      <c r="F760" s="7"/>
      <c r="G760" s="3" t="str">
        <f t="shared" si="3"/>
        <v>XDKV1</v>
      </c>
      <c r="H760" s="3" t="str">
        <f>VLOOKUP($C760,Userpass!$A$2:$L$3001,12,FALSE)</f>
        <v>DKV1</v>
      </c>
      <c r="I760" s="5" t="s">
        <v>1212</v>
      </c>
      <c r="J760" s="5">
        <v>2025.0</v>
      </c>
      <c r="K760" s="8" t="s">
        <v>1689</v>
      </c>
    </row>
    <row r="761" hidden="1">
      <c r="A761" s="3" t="str">
        <f t="shared" si="1"/>
        <v>OK</v>
      </c>
      <c r="B761" s="3" t="str">
        <f t="shared" si="2"/>
        <v>OK</v>
      </c>
      <c r="C761" s="5">
        <v>9549.0</v>
      </c>
      <c r="D761" s="6" t="s">
        <v>1690</v>
      </c>
      <c r="E761" s="5" t="s">
        <v>1691</v>
      </c>
      <c r="F761" s="7"/>
      <c r="G761" s="3" t="str">
        <f t="shared" si="3"/>
        <v>XDKV1</v>
      </c>
      <c r="H761" s="3" t="str">
        <f>VLOOKUP($C761,Userpass!$A$2:$L$3001,12,FALSE)</f>
        <v>DKV1</v>
      </c>
      <c r="I761" s="5" t="s">
        <v>1212</v>
      </c>
      <c r="J761" s="5">
        <v>2025.0</v>
      </c>
      <c r="K761" s="8" t="s">
        <v>1692</v>
      </c>
    </row>
    <row r="762" hidden="1">
      <c r="A762" s="3" t="str">
        <f t="shared" si="1"/>
        <v>OK</v>
      </c>
      <c r="B762" s="3" t="str">
        <f t="shared" si="2"/>
        <v>OK</v>
      </c>
      <c r="C762" s="5">
        <v>9560.0</v>
      </c>
      <c r="D762" s="6" t="s">
        <v>1693</v>
      </c>
      <c r="E762" s="5" t="s">
        <v>1694</v>
      </c>
      <c r="F762" s="7"/>
      <c r="G762" s="3" t="str">
        <f t="shared" si="3"/>
        <v>XDKV1</v>
      </c>
      <c r="H762" s="3" t="str">
        <f>VLOOKUP($C762,Userpass!$A$2:$L$3001,12,FALSE)</f>
        <v>DKV1</v>
      </c>
      <c r="I762" s="5" t="s">
        <v>1212</v>
      </c>
      <c r="J762" s="5">
        <v>2025.0</v>
      </c>
      <c r="K762" s="8" t="s">
        <v>1695</v>
      </c>
    </row>
    <row r="763" hidden="1">
      <c r="A763" s="3" t="str">
        <f t="shared" si="1"/>
        <v>OK</v>
      </c>
      <c r="B763" s="3" t="str">
        <f t="shared" si="2"/>
        <v>OK</v>
      </c>
      <c r="C763" s="5">
        <v>9563.0</v>
      </c>
      <c r="D763" s="6" t="s">
        <v>1696</v>
      </c>
      <c r="E763" s="5" t="s">
        <v>1697</v>
      </c>
      <c r="F763" s="7"/>
      <c r="G763" s="3" t="str">
        <f t="shared" si="3"/>
        <v>XDKV1</v>
      </c>
      <c r="H763" s="3" t="str">
        <f>VLOOKUP($C763,Userpass!$A$2:$L$3001,12,FALSE)</f>
        <v>DKV1</v>
      </c>
      <c r="I763" s="5" t="s">
        <v>1212</v>
      </c>
      <c r="J763" s="5">
        <v>2025.0</v>
      </c>
      <c r="K763" s="8" t="s">
        <v>1698</v>
      </c>
    </row>
    <row r="764" hidden="1">
      <c r="A764" s="3" t="str">
        <f t="shared" si="1"/>
        <v>OK</v>
      </c>
      <c r="B764" s="3" t="str">
        <f t="shared" si="2"/>
        <v>OK</v>
      </c>
      <c r="C764" s="5">
        <v>9577.0</v>
      </c>
      <c r="D764" s="6" t="s">
        <v>1699</v>
      </c>
      <c r="E764" s="5" t="s">
        <v>1700</v>
      </c>
      <c r="F764" s="7"/>
      <c r="G764" s="3" t="str">
        <f t="shared" si="3"/>
        <v>XDKV1</v>
      </c>
      <c r="H764" s="3" t="str">
        <f>VLOOKUP($C764,Userpass!$A$2:$L$3001,12,FALSE)</f>
        <v>DKV1</v>
      </c>
      <c r="I764" s="5" t="s">
        <v>1212</v>
      </c>
      <c r="J764" s="5">
        <v>2025.0</v>
      </c>
      <c r="K764" s="8" t="s">
        <v>1701</v>
      </c>
    </row>
    <row r="765" hidden="1">
      <c r="A765" s="3" t="str">
        <f t="shared" si="1"/>
        <v>OK</v>
      </c>
      <c r="B765" s="3" t="str">
        <f t="shared" si="2"/>
        <v>OK</v>
      </c>
      <c r="C765" s="5">
        <v>9656.0</v>
      </c>
      <c r="D765" s="6" t="s">
        <v>1702</v>
      </c>
      <c r="E765" s="5" t="s">
        <v>1703</v>
      </c>
      <c r="F765" s="7"/>
      <c r="G765" s="3" t="str">
        <f t="shared" si="3"/>
        <v>XDKV1</v>
      </c>
      <c r="H765" s="3" t="str">
        <f>VLOOKUP($C765,Userpass!$A$2:$L$3001,12,FALSE)</f>
        <v>DKV1</v>
      </c>
      <c r="I765" s="5" t="s">
        <v>1212</v>
      </c>
      <c r="J765" s="5">
        <v>2025.0</v>
      </c>
      <c r="K765" s="8" t="s">
        <v>1704</v>
      </c>
    </row>
    <row r="766" hidden="1">
      <c r="A766" s="3" t="str">
        <f t="shared" si="1"/>
        <v>OK</v>
      </c>
      <c r="B766" s="3" t="str">
        <f t="shared" si="2"/>
        <v>OK</v>
      </c>
      <c r="C766" s="5">
        <v>9678.0</v>
      </c>
      <c r="D766" s="6" t="s">
        <v>1705</v>
      </c>
      <c r="E766" s="5" t="s">
        <v>1706</v>
      </c>
      <c r="F766" s="7"/>
      <c r="G766" s="3" t="str">
        <f t="shared" si="3"/>
        <v>XDKV1</v>
      </c>
      <c r="H766" s="3" t="str">
        <f>VLOOKUP($C766,Userpass!$A$2:$L$3001,12,FALSE)</f>
        <v>DKV1</v>
      </c>
      <c r="I766" s="5" t="s">
        <v>1212</v>
      </c>
      <c r="J766" s="5">
        <v>2025.0</v>
      </c>
      <c r="K766" s="8" t="s">
        <v>1707</v>
      </c>
    </row>
    <row r="767" hidden="1">
      <c r="A767" s="3" t="str">
        <f t="shared" si="1"/>
        <v>OK</v>
      </c>
      <c r="B767" s="3" t="str">
        <f t="shared" si="2"/>
        <v>OK</v>
      </c>
      <c r="C767" s="5">
        <v>9683.0</v>
      </c>
      <c r="D767" s="6" t="s">
        <v>1708</v>
      </c>
      <c r="E767" s="5" t="s">
        <v>1709</v>
      </c>
      <c r="F767" s="7"/>
      <c r="G767" s="3" t="str">
        <f t="shared" si="3"/>
        <v>XDKV1</v>
      </c>
      <c r="H767" s="3" t="str">
        <f>VLOOKUP($C767,Userpass!$A$2:$L$3001,12,FALSE)</f>
        <v>DKV1</v>
      </c>
      <c r="I767" s="5" t="s">
        <v>1212</v>
      </c>
      <c r="J767" s="5">
        <v>2025.0</v>
      </c>
      <c r="K767" s="8" t="s">
        <v>1710</v>
      </c>
    </row>
    <row r="768" hidden="1">
      <c r="A768" s="3" t="str">
        <f t="shared" si="1"/>
        <v>OK</v>
      </c>
      <c r="B768" s="3" t="str">
        <f t="shared" si="2"/>
        <v>OK</v>
      </c>
      <c r="C768" s="5">
        <v>9687.0</v>
      </c>
      <c r="D768" s="6" t="s">
        <v>1711</v>
      </c>
      <c r="E768" s="5" t="s">
        <v>1712</v>
      </c>
      <c r="F768" s="7"/>
      <c r="G768" s="3" t="str">
        <f t="shared" si="3"/>
        <v>XDKV1</v>
      </c>
      <c r="H768" s="3" t="str">
        <f>VLOOKUP($C768,Userpass!$A$2:$L$3001,12,FALSE)</f>
        <v>DKV1</v>
      </c>
      <c r="I768" s="5" t="s">
        <v>1212</v>
      </c>
      <c r="J768" s="5">
        <v>2025.0</v>
      </c>
      <c r="K768" s="8" t="s">
        <v>1713</v>
      </c>
    </row>
    <row r="769" hidden="1">
      <c r="A769" s="3" t="str">
        <f t="shared" si="1"/>
        <v>OK</v>
      </c>
      <c r="B769" s="3" t="str">
        <f t="shared" si="2"/>
        <v>OK</v>
      </c>
      <c r="C769" s="5">
        <v>9689.0</v>
      </c>
      <c r="D769" s="6" t="s">
        <v>1714</v>
      </c>
      <c r="E769" s="5" t="s">
        <v>1715</v>
      </c>
      <c r="F769" s="7"/>
      <c r="G769" s="3" t="str">
        <f t="shared" si="3"/>
        <v>XDKV1</v>
      </c>
      <c r="H769" s="3" t="str">
        <f>VLOOKUP($C769,Userpass!$A$2:$L$3001,12,FALSE)</f>
        <v>DKV1</v>
      </c>
      <c r="I769" s="5" t="s">
        <v>1212</v>
      </c>
      <c r="J769" s="5">
        <v>2025.0</v>
      </c>
      <c r="K769" s="8" t="s">
        <v>1716</v>
      </c>
    </row>
    <row r="770" hidden="1">
      <c r="A770" s="3" t="str">
        <f t="shared" si="1"/>
        <v>OK</v>
      </c>
      <c r="B770" s="3" t="str">
        <f t="shared" si="2"/>
        <v>OK</v>
      </c>
      <c r="C770" s="5">
        <v>9694.0</v>
      </c>
      <c r="D770" s="6" t="s">
        <v>1717</v>
      </c>
      <c r="E770" s="5" t="s">
        <v>1718</v>
      </c>
      <c r="F770" s="7"/>
      <c r="G770" s="3" t="str">
        <f t="shared" si="3"/>
        <v>XDKV1</v>
      </c>
      <c r="H770" s="3" t="str">
        <f>VLOOKUP($C770,Userpass!$A$2:$L$3001,12,FALSE)</f>
        <v>DKV1</v>
      </c>
      <c r="I770" s="5" t="s">
        <v>1212</v>
      </c>
      <c r="J770" s="5">
        <v>2025.0</v>
      </c>
      <c r="K770" s="8" t="s">
        <v>1719</v>
      </c>
    </row>
    <row r="771" hidden="1">
      <c r="A771" s="3" t="str">
        <f t="shared" si="1"/>
        <v>OK</v>
      </c>
      <c r="B771" s="3" t="str">
        <f t="shared" si="2"/>
        <v>OK</v>
      </c>
      <c r="C771" s="5">
        <v>9708.0</v>
      </c>
      <c r="D771" s="6" t="s">
        <v>1720</v>
      </c>
      <c r="E771" s="5" t="s">
        <v>1721</v>
      </c>
      <c r="F771" s="7"/>
      <c r="G771" s="3" t="str">
        <f t="shared" si="3"/>
        <v>XDKV1</v>
      </c>
      <c r="H771" s="3" t="str">
        <f>VLOOKUP($C771,Userpass!$A$2:$L$3001,12,FALSE)</f>
        <v>DKV1</v>
      </c>
      <c r="I771" s="5" t="s">
        <v>1212</v>
      </c>
      <c r="J771" s="5">
        <v>2025.0</v>
      </c>
      <c r="K771" s="8" t="s">
        <v>1722</v>
      </c>
    </row>
    <row r="772" hidden="1">
      <c r="A772" s="3" t="str">
        <f t="shared" si="1"/>
        <v>OK</v>
      </c>
      <c r="B772" s="3" t="str">
        <f t="shared" si="2"/>
        <v>OK</v>
      </c>
      <c r="C772" s="5">
        <v>9720.0</v>
      </c>
      <c r="D772" s="6" t="s">
        <v>1723</v>
      </c>
      <c r="E772" s="5" t="s">
        <v>1724</v>
      </c>
      <c r="F772" s="7"/>
      <c r="G772" s="3" t="str">
        <f t="shared" si="3"/>
        <v>XDKV1</v>
      </c>
      <c r="H772" s="3" t="str">
        <f>VLOOKUP($C772,Userpass!$A$2:$L$3001,12,FALSE)</f>
        <v>DKV1</v>
      </c>
      <c r="I772" s="5" t="s">
        <v>1212</v>
      </c>
      <c r="J772" s="5">
        <v>2025.0</v>
      </c>
      <c r="K772" s="8" t="s">
        <v>1725</v>
      </c>
    </row>
    <row r="773" hidden="1">
      <c r="A773" s="3" t="str">
        <f t="shared" si="1"/>
        <v>OK</v>
      </c>
      <c r="B773" s="3" t="str">
        <f t="shared" si="2"/>
        <v>OK</v>
      </c>
      <c r="C773" s="5">
        <v>9737.0</v>
      </c>
      <c r="D773" s="6" t="s">
        <v>1726</v>
      </c>
      <c r="E773" s="5" t="s">
        <v>1727</v>
      </c>
      <c r="F773" s="7"/>
      <c r="G773" s="3" t="str">
        <f t="shared" si="3"/>
        <v>XDKV1</v>
      </c>
      <c r="H773" s="3" t="str">
        <f>VLOOKUP($C773,Userpass!$A$2:$L$3001,12,FALSE)</f>
        <v>DKV1</v>
      </c>
      <c r="I773" s="5" t="s">
        <v>1212</v>
      </c>
      <c r="J773" s="5">
        <v>2025.0</v>
      </c>
      <c r="K773" s="8" t="s">
        <v>1728</v>
      </c>
    </row>
    <row r="774" hidden="1">
      <c r="A774" s="3" t="str">
        <f t="shared" si="1"/>
        <v>OK</v>
      </c>
      <c r="B774" s="3" t="str">
        <f t="shared" si="2"/>
        <v>OK</v>
      </c>
      <c r="C774" s="5">
        <v>9746.0</v>
      </c>
      <c r="D774" s="6" t="s">
        <v>1729</v>
      </c>
      <c r="E774" s="5" t="s">
        <v>1730</v>
      </c>
      <c r="F774" s="7"/>
      <c r="G774" s="3" t="str">
        <f t="shared" si="3"/>
        <v>XDKV1</v>
      </c>
      <c r="H774" s="3" t="str">
        <f>VLOOKUP($C774,Userpass!$A$2:$L$3001,12,FALSE)</f>
        <v>DKV1</v>
      </c>
      <c r="I774" s="5" t="s">
        <v>1212</v>
      </c>
      <c r="J774" s="5">
        <v>2025.0</v>
      </c>
      <c r="K774" s="8" t="s">
        <v>1731</v>
      </c>
    </row>
    <row r="775" hidden="1">
      <c r="A775" s="3" t="str">
        <f t="shared" si="1"/>
        <v>OK</v>
      </c>
      <c r="B775" s="3" t="str">
        <f t="shared" si="2"/>
        <v>OK</v>
      </c>
      <c r="C775" s="5">
        <v>9750.0</v>
      </c>
      <c r="D775" s="6" t="s">
        <v>1732</v>
      </c>
      <c r="E775" s="5" t="s">
        <v>1733</v>
      </c>
      <c r="F775" s="7"/>
      <c r="G775" s="3" t="str">
        <f t="shared" si="3"/>
        <v>XDKV1</v>
      </c>
      <c r="H775" s="3" t="str">
        <f>VLOOKUP($C775,Userpass!$A$2:$L$3001,12,FALSE)</f>
        <v>DKV1</v>
      </c>
      <c r="I775" s="5" t="s">
        <v>1212</v>
      </c>
      <c r="J775" s="5">
        <v>2025.0</v>
      </c>
      <c r="K775" s="8" t="s">
        <v>1734</v>
      </c>
    </row>
    <row r="776" hidden="1">
      <c r="A776" s="3" t="str">
        <f t="shared" si="1"/>
        <v>OK</v>
      </c>
      <c r="B776" s="3" t="str">
        <f t="shared" si="2"/>
        <v>OK</v>
      </c>
      <c r="C776" s="5">
        <v>9766.0</v>
      </c>
      <c r="D776" s="6" t="s">
        <v>1735</v>
      </c>
      <c r="E776" s="5" t="s">
        <v>1736</v>
      </c>
      <c r="F776" s="7"/>
      <c r="G776" s="3" t="str">
        <f t="shared" si="3"/>
        <v>XDKV1</v>
      </c>
      <c r="H776" s="3" t="str">
        <f>VLOOKUP($C776,Userpass!$A$2:$L$3001,12,FALSE)</f>
        <v>DKV1</v>
      </c>
      <c r="I776" s="5" t="s">
        <v>1212</v>
      </c>
      <c r="J776" s="5">
        <v>2025.0</v>
      </c>
      <c r="K776" s="8" t="s">
        <v>1737</v>
      </c>
    </row>
    <row r="777" hidden="1">
      <c r="A777" s="3" t="str">
        <f t="shared" si="1"/>
        <v>OK</v>
      </c>
      <c r="B777" s="3" t="str">
        <f t="shared" si="2"/>
        <v>OK</v>
      </c>
      <c r="C777" s="5">
        <v>9791.0</v>
      </c>
      <c r="D777" s="6" t="s">
        <v>1738</v>
      </c>
      <c r="E777" s="5" t="s">
        <v>1739</v>
      </c>
      <c r="F777" s="7"/>
      <c r="G777" s="3" t="str">
        <f t="shared" si="3"/>
        <v>XDKV1</v>
      </c>
      <c r="H777" s="3" t="str">
        <f>VLOOKUP($C777,Userpass!$A$2:$L$3001,12,FALSE)</f>
        <v>DKV1</v>
      </c>
      <c r="I777" s="5" t="s">
        <v>1212</v>
      </c>
      <c r="J777" s="5">
        <v>2025.0</v>
      </c>
      <c r="K777" s="8" t="s">
        <v>1740</v>
      </c>
    </row>
    <row r="778" hidden="1">
      <c r="A778" s="3" t="str">
        <f t="shared" si="1"/>
        <v>OK</v>
      </c>
      <c r="B778" s="3" t="str">
        <f t="shared" si="2"/>
        <v>OK</v>
      </c>
      <c r="C778" s="5">
        <v>9804.0</v>
      </c>
      <c r="D778" s="6" t="s">
        <v>1741</v>
      </c>
      <c r="E778" s="5" t="s">
        <v>1742</v>
      </c>
      <c r="F778" s="7"/>
      <c r="G778" s="3" t="str">
        <f t="shared" si="3"/>
        <v>XDKV1</v>
      </c>
      <c r="H778" s="3" t="str">
        <f>VLOOKUP($C778,Userpass!$A$2:$L$3001,12,FALSE)</f>
        <v>DKV1</v>
      </c>
      <c r="I778" s="5" t="s">
        <v>1212</v>
      </c>
      <c r="J778" s="5">
        <v>2025.0</v>
      </c>
      <c r="K778" s="8" t="s">
        <v>1743</v>
      </c>
    </row>
    <row r="779" hidden="1">
      <c r="A779" s="3" t="str">
        <f t="shared" si="1"/>
        <v>OK</v>
      </c>
      <c r="B779" s="3" t="str">
        <f t="shared" si="2"/>
        <v>OK</v>
      </c>
      <c r="C779" s="5">
        <v>9820.0</v>
      </c>
      <c r="D779" s="6" t="s">
        <v>1744</v>
      </c>
      <c r="E779" s="5" t="s">
        <v>1745</v>
      </c>
      <c r="F779" s="7"/>
      <c r="G779" s="3" t="str">
        <f t="shared" si="3"/>
        <v>XDKV1</v>
      </c>
      <c r="H779" s="3" t="str">
        <f>VLOOKUP($C779,Userpass!$A$2:$L$3001,12,FALSE)</f>
        <v>DKV1</v>
      </c>
      <c r="I779" s="5" t="s">
        <v>1212</v>
      </c>
      <c r="J779" s="5">
        <v>2025.0</v>
      </c>
      <c r="K779" s="8" t="s">
        <v>1746</v>
      </c>
    </row>
    <row r="780" hidden="1">
      <c r="A780" s="3" t="str">
        <f t="shared" si="1"/>
        <v>OK</v>
      </c>
      <c r="B780" s="3" t="str">
        <f t="shared" si="2"/>
        <v>OK</v>
      </c>
      <c r="C780" s="5">
        <v>9832.0</v>
      </c>
      <c r="D780" s="6" t="s">
        <v>1747</v>
      </c>
      <c r="E780" s="5" t="s">
        <v>1748</v>
      </c>
      <c r="F780" s="7"/>
      <c r="G780" s="3" t="str">
        <f t="shared" si="3"/>
        <v>XDKV1</v>
      </c>
      <c r="H780" s="3" t="str">
        <f>VLOOKUP($C780,Userpass!$A$2:$L$3001,12,FALSE)</f>
        <v>DKV1</v>
      </c>
      <c r="I780" s="5" t="s">
        <v>1212</v>
      </c>
      <c r="J780" s="5">
        <v>2025.0</v>
      </c>
      <c r="K780" s="8" t="s">
        <v>1749</v>
      </c>
    </row>
    <row r="781" hidden="1">
      <c r="A781" s="3" t="str">
        <f t="shared" si="1"/>
        <v>OK</v>
      </c>
      <c r="B781" s="3" t="str">
        <f t="shared" si="2"/>
        <v>OK</v>
      </c>
      <c r="C781" s="5">
        <v>9305.0</v>
      </c>
      <c r="D781" s="6" t="s">
        <v>1750</v>
      </c>
      <c r="E781" s="5" t="s">
        <v>1751</v>
      </c>
      <c r="F781" s="7"/>
      <c r="G781" s="3" t="str">
        <f t="shared" si="3"/>
        <v>XDKV2</v>
      </c>
      <c r="H781" s="3" t="str">
        <f>VLOOKUP($C781,Userpass!$A$2:$L$3001,12,FALSE)</f>
        <v>DKV2</v>
      </c>
      <c r="I781" s="5" t="s">
        <v>1212</v>
      </c>
      <c r="J781" s="5">
        <v>2025.0</v>
      </c>
      <c r="K781" s="8" t="s">
        <v>1752</v>
      </c>
    </row>
    <row r="782" hidden="1">
      <c r="A782" s="3" t="str">
        <f t="shared" si="1"/>
        <v>OK</v>
      </c>
      <c r="B782" s="3" t="str">
        <f t="shared" si="2"/>
        <v>OK</v>
      </c>
      <c r="C782" s="5">
        <v>9312.0</v>
      </c>
      <c r="D782" s="6" t="s">
        <v>1753</v>
      </c>
      <c r="E782" s="5" t="s">
        <v>1754</v>
      </c>
      <c r="F782" s="7"/>
      <c r="G782" s="3" t="str">
        <f t="shared" si="3"/>
        <v>XDKV2</v>
      </c>
      <c r="H782" s="3" t="str">
        <f>VLOOKUP($C782,Userpass!$A$2:$L$3001,12,FALSE)</f>
        <v>DKV2</v>
      </c>
      <c r="I782" s="5" t="s">
        <v>1212</v>
      </c>
      <c r="J782" s="5">
        <v>2025.0</v>
      </c>
      <c r="K782" s="8" t="s">
        <v>1755</v>
      </c>
    </row>
    <row r="783" hidden="1">
      <c r="A783" s="3" t="str">
        <f t="shared" si="1"/>
        <v>OK</v>
      </c>
      <c r="B783" s="3" t="str">
        <f t="shared" si="2"/>
        <v>OK</v>
      </c>
      <c r="C783" s="5">
        <v>9326.0</v>
      </c>
      <c r="D783" s="6" t="s">
        <v>1756</v>
      </c>
      <c r="E783" s="5" t="s">
        <v>1757</v>
      </c>
      <c r="F783" s="7"/>
      <c r="G783" s="3" t="str">
        <f t="shared" si="3"/>
        <v>XDKV2</v>
      </c>
      <c r="H783" s="3" t="str">
        <f>VLOOKUP($C783,Userpass!$A$2:$L$3001,12,FALSE)</f>
        <v>DKV2</v>
      </c>
      <c r="I783" s="5" t="s">
        <v>1212</v>
      </c>
      <c r="J783" s="5">
        <v>2025.0</v>
      </c>
      <c r="K783" s="8" t="s">
        <v>1758</v>
      </c>
    </row>
    <row r="784" hidden="1">
      <c r="A784" s="3" t="str">
        <f t="shared" si="1"/>
        <v>OK</v>
      </c>
      <c r="B784" s="3" t="str">
        <f t="shared" si="2"/>
        <v>OK</v>
      </c>
      <c r="C784" s="5">
        <v>9348.0</v>
      </c>
      <c r="D784" s="6" t="s">
        <v>1759</v>
      </c>
      <c r="E784" s="5" t="s">
        <v>1760</v>
      </c>
      <c r="F784" s="7"/>
      <c r="G784" s="3" t="str">
        <f t="shared" si="3"/>
        <v>XDKV2</v>
      </c>
      <c r="H784" s="3" t="str">
        <f>VLOOKUP($C784,Userpass!$A$2:$L$3001,12,FALSE)</f>
        <v>DKV2</v>
      </c>
      <c r="I784" s="5" t="s">
        <v>1212</v>
      </c>
      <c r="J784" s="5">
        <v>2025.0</v>
      </c>
      <c r="K784" s="8" t="s">
        <v>1761</v>
      </c>
    </row>
    <row r="785" hidden="1">
      <c r="A785" s="3" t="str">
        <f t="shared" si="1"/>
        <v>OK</v>
      </c>
      <c r="B785" s="3" t="str">
        <f t="shared" si="2"/>
        <v>OK</v>
      </c>
      <c r="C785" s="5">
        <v>9360.0</v>
      </c>
      <c r="D785" s="6" t="s">
        <v>1762</v>
      </c>
      <c r="E785" s="5" t="s">
        <v>1763</v>
      </c>
      <c r="F785" s="7"/>
      <c r="G785" s="3" t="str">
        <f t="shared" si="3"/>
        <v>XDKV2</v>
      </c>
      <c r="H785" s="3" t="str">
        <f>VLOOKUP($C785,Userpass!$A$2:$L$3001,12,FALSE)</f>
        <v>DKV2</v>
      </c>
      <c r="I785" s="5" t="s">
        <v>1212</v>
      </c>
      <c r="J785" s="5">
        <v>2025.0</v>
      </c>
      <c r="K785" s="8" t="s">
        <v>1764</v>
      </c>
    </row>
    <row r="786" hidden="1">
      <c r="A786" s="3" t="str">
        <f t="shared" si="1"/>
        <v>OK</v>
      </c>
      <c r="B786" s="3" t="str">
        <f t="shared" si="2"/>
        <v>OK</v>
      </c>
      <c r="C786" s="5">
        <v>9366.0</v>
      </c>
      <c r="D786" s="6" t="s">
        <v>1765</v>
      </c>
      <c r="E786" s="5" t="s">
        <v>1766</v>
      </c>
      <c r="F786" s="7"/>
      <c r="G786" s="3" t="str">
        <f t="shared" si="3"/>
        <v>XDKV2</v>
      </c>
      <c r="H786" s="3" t="str">
        <f>VLOOKUP($C786,Userpass!$A$2:$L$3001,12,FALSE)</f>
        <v>DKV2</v>
      </c>
      <c r="I786" s="5" t="s">
        <v>1212</v>
      </c>
      <c r="J786" s="5">
        <v>2025.0</v>
      </c>
      <c r="K786" s="8" t="s">
        <v>1767</v>
      </c>
    </row>
    <row r="787" hidden="1">
      <c r="A787" s="3" t="str">
        <f t="shared" si="1"/>
        <v>OK</v>
      </c>
      <c r="B787" s="3" t="str">
        <f t="shared" si="2"/>
        <v>OK</v>
      </c>
      <c r="C787" s="5">
        <v>9401.0</v>
      </c>
      <c r="D787" s="6" t="s">
        <v>1768</v>
      </c>
      <c r="E787" s="5" t="s">
        <v>1769</v>
      </c>
      <c r="F787" s="7"/>
      <c r="G787" s="3" t="str">
        <f t="shared" si="3"/>
        <v>XDKV2</v>
      </c>
      <c r="H787" s="3" t="str">
        <f>VLOOKUP($C787,Userpass!$A$2:$L$3001,12,FALSE)</f>
        <v>DKV2</v>
      </c>
      <c r="I787" s="5" t="s">
        <v>1212</v>
      </c>
      <c r="J787" s="5">
        <v>2025.0</v>
      </c>
      <c r="K787" s="8" t="s">
        <v>1770</v>
      </c>
    </row>
    <row r="788" hidden="1">
      <c r="A788" s="3" t="str">
        <f t="shared" si="1"/>
        <v>OK</v>
      </c>
      <c r="B788" s="3" t="str">
        <f t="shared" si="2"/>
        <v>OK</v>
      </c>
      <c r="C788" s="5">
        <v>9424.0</v>
      </c>
      <c r="D788" s="6" t="s">
        <v>1771</v>
      </c>
      <c r="E788" s="5" t="s">
        <v>1772</v>
      </c>
      <c r="F788" s="7"/>
      <c r="G788" s="3" t="str">
        <f t="shared" si="3"/>
        <v>XDKV2</v>
      </c>
      <c r="H788" s="3" t="str">
        <f>VLOOKUP($C788,Userpass!$A$2:$L$3001,12,FALSE)</f>
        <v>DKV2</v>
      </c>
      <c r="I788" s="5" t="s">
        <v>1212</v>
      </c>
      <c r="J788" s="5">
        <v>2025.0</v>
      </c>
      <c r="K788" s="8" t="s">
        <v>1773</v>
      </c>
    </row>
    <row r="789" hidden="1">
      <c r="A789" s="3" t="str">
        <f t="shared" si="1"/>
        <v>OK</v>
      </c>
      <c r="B789" s="3" t="str">
        <f t="shared" si="2"/>
        <v>OK</v>
      </c>
      <c r="C789" s="5">
        <v>9439.0</v>
      </c>
      <c r="D789" s="6" t="s">
        <v>1774</v>
      </c>
      <c r="E789" s="5" t="s">
        <v>1775</v>
      </c>
      <c r="F789" s="7"/>
      <c r="G789" s="3" t="str">
        <f t="shared" si="3"/>
        <v>XDKV2</v>
      </c>
      <c r="H789" s="3" t="str">
        <f>VLOOKUP($C789,Userpass!$A$2:$L$3001,12,FALSE)</f>
        <v>DKV2</v>
      </c>
      <c r="I789" s="5" t="s">
        <v>1212</v>
      </c>
      <c r="J789" s="5">
        <v>2025.0</v>
      </c>
      <c r="K789" s="8" t="s">
        <v>1776</v>
      </c>
    </row>
    <row r="790" hidden="1">
      <c r="A790" s="3" t="str">
        <f t="shared" si="1"/>
        <v>OK</v>
      </c>
      <c r="B790" s="3" t="str">
        <f t="shared" si="2"/>
        <v>OK</v>
      </c>
      <c r="C790" s="5">
        <v>9456.0</v>
      </c>
      <c r="D790" s="6" t="s">
        <v>1777</v>
      </c>
      <c r="E790" s="5" t="s">
        <v>1778</v>
      </c>
      <c r="F790" s="7"/>
      <c r="G790" s="3" t="str">
        <f t="shared" si="3"/>
        <v>XDKV2</v>
      </c>
      <c r="H790" s="3" t="str">
        <f>VLOOKUP($C790,Userpass!$A$2:$L$3001,12,FALSE)</f>
        <v>DKV2</v>
      </c>
      <c r="I790" s="5" t="s">
        <v>1212</v>
      </c>
      <c r="J790" s="5">
        <v>2025.0</v>
      </c>
      <c r="K790" s="8" t="s">
        <v>1779</v>
      </c>
    </row>
    <row r="791" hidden="1">
      <c r="A791" s="3" t="str">
        <f t="shared" si="1"/>
        <v>OK</v>
      </c>
      <c r="B791" s="3" t="str">
        <f t="shared" si="2"/>
        <v>OK</v>
      </c>
      <c r="C791" s="5">
        <v>9478.0</v>
      </c>
      <c r="D791" s="6" t="s">
        <v>1780</v>
      </c>
      <c r="E791" s="5" t="s">
        <v>1781</v>
      </c>
      <c r="F791" s="7"/>
      <c r="G791" s="3" t="str">
        <f t="shared" si="3"/>
        <v>XDKV2</v>
      </c>
      <c r="H791" s="3" t="str">
        <f>VLOOKUP($C791,Userpass!$A$2:$L$3001,12,FALSE)</f>
        <v>DKV2</v>
      </c>
      <c r="I791" s="5" t="s">
        <v>1212</v>
      </c>
      <c r="J791" s="5">
        <v>2025.0</v>
      </c>
      <c r="K791" s="8" t="s">
        <v>1782</v>
      </c>
    </row>
    <row r="792" hidden="1">
      <c r="A792" s="3" t="str">
        <f t="shared" si="1"/>
        <v>OK</v>
      </c>
      <c r="B792" s="3" t="str">
        <f t="shared" si="2"/>
        <v>OK</v>
      </c>
      <c r="C792" s="5">
        <v>9484.0</v>
      </c>
      <c r="D792" s="6" t="s">
        <v>1783</v>
      </c>
      <c r="E792" s="5" t="s">
        <v>1784</v>
      </c>
      <c r="F792" s="7"/>
      <c r="G792" s="3" t="str">
        <f t="shared" si="3"/>
        <v>XDKV2</v>
      </c>
      <c r="H792" s="3" t="str">
        <f>VLOOKUP($C792,Userpass!$A$2:$L$3001,12,FALSE)</f>
        <v>DKV2</v>
      </c>
      <c r="I792" s="5" t="s">
        <v>1212</v>
      </c>
      <c r="J792" s="5">
        <v>2025.0</v>
      </c>
      <c r="K792" s="8" t="s">
        <v>1785</v>
      </c>
    </row>
    <row r="793" hidden="1">
      <c r="A793" s="3" t="str">
        <f t="shared" si="1"/>
        <v>OK</v>
      </c>
      <c r="B793" s="3" t="str">
        <f t="shared" si="2"/>
        <v>OK</v>
      </c>
      <c r="C793" s="5">
        <v>9494.0</v>
      </c>
      <c r="D793" s="6" t="s">
        <v>1786</v>
      </c>
      <c r="E793" s="5" t="s">
        <v>1787</v>
      </c>
      <c r="F793" s="7"/>
      <c r="G793" s="3" t="str">
        <f t="shared" si="3"/>
        <v>XDKV2</v>
      </c>
      <c r="H793" s="3" t="str">
        <f>VLOOKUP($C793,Userpass!$A$2:$L$3001,12,FALSE)</f>
        <v>DKV2</v>
      </c>
      <c r="I793" s="5" t="s">
        <v>1212</v>
      </c>
      <c r="J793" s="5">
        <v>2025.0</v>
      </c>
      <c r="K793" s="8" t="s">
        <v>1788</v>
      </c>
    </row>
    <row r="794" hidden="1">
      <c r="A794" s="3" t="str">
        <f t="shared" si="1"/>
        <v>OK</v>
      </c>
      <c r="B794" s="3" t="str">
        <f t="shared" si="2"/>
        <v>OK</v>
      </c>
      <c r="C794" s="5">
        <v>9498.0</v>
      </c>
      <c r="D794" s="6" t="s">
        <v>1789</v>
      </c>
      <c r="E794" s="5" t="s">
        <v>1790</v>
      </c>
      <c r="F794" s="7"/>
      <c r="G794" s="3" t="str">
        <f t="shared" si="3"/>
        <v>XDKV2</v>
      </c>
      <c r="H794" s="3" t="str">
        <f>VLOOKUP($C794,Userpass!$A$2:$L$3001,12,FALSE)</f>
        <v>DKV2</v>
      </c>
      <c r="I794" s="5" t="s">
        <v>1212</v>
      </c>
      <c r="J794" s="5">
        <v>2025.0</v>
      </c>
      <c r="K794" s="8" t="s">
        <v>1791</v>
      </c>
    </row>
    <row r="795" hidden="1">
      <c r="A795" s="3" t="str">
        <f t="shared" si="1"/>
        <v>OK</v>
      </c>
      <c r="B795" s="3" t="str">
        <f t="shared" si="2"/>
        <v>OK</v>
      </c>
      <c r="C795" s="5">
        <v>9524.0</v>
      </c>
      <c r="D795" s="6" t="s">
        <v>1792</v>
      </c>
      <c r="E795" s="5" t="s">
        <v>1793</v>
      </c>
      <c r="F795" s="7"/>
      <c r="G795" s="3" t="str">
        <f t="shared" si="3"/>
        <v>XDKV2</v>
      </c>
      <c r="H795" s="3" t="str">
        <f>VLOOKUP($C795,Userpass!$A$2:$L$3001,12,FALSE)</f>
        <v>DKV2</v>
      </c>
      <c r="I795" s="5" t="s">
        <v>1212</v>
      </c>
      <c r="J795" s="5">
        <v>2025.0</v>
      </c>
      <c r="K795" s="8" t="s">
        <v>1794</v>
      </c>
    </row>
    <row r="796" hidden="1">
      <c r="A796" s="3" t="str">
        <f t="shared" si="1"/>
        <v>OK</v>
      </c>
      <c r="B796" s="3" t="str">
        <f t="shared" si="2"/>
        <v>OK</v>
      </c>
      <c r="C796" s="5">
        <v>9557.0</v>
      </c>
      <c r="D796" s="6" t="s">
        <v>1795</v>
      </c>
      <c r="E796" s="5" t="s">
        <v>1796</v>
      </c>
      <c r="F796" s="7"/>
      <c r="G796" s="3" t="str">
        <f t="shared" si="3"/>
        <v>XDKV2</v>
      </c>
      <c r="H796" s="3" t="str">
        <f>VLOOKUP($C796,Userpass!$A$2:$L$3001,12,FALSE)</f>
        <v>DKV2</v>
      </c>
      <c r="I796" s="5" t="s">
        <v>1212</v>
      </c>
      <c r="J796" s="5">
        <v>2025.0</v>
      </c>
      <c r="K796" s="8" t="s">
        <v>1797</v>
      </c>
    </row>
    <row r="797" hidden="1">
      <c r="A797" s="3" t="str">
        <f t="shared" si="1"/>
        <v>OK</v>
      </c>
      <c r="B797" s="3" t="str">
        <f t="shared" si="2"/>
        <v>OK</v>
      </c>
      <c r="C797" s="5">
        <v>9561.0</v>
      </c>
      <c r="D797" s="6" t="s">
        <v>1798</v>
      </c>
      <c r="E797" s="5" t="s">
        <v>1799</v>
      </c>
      <c r="F797" s="7"/>
      <c r="G797" s="3" t="str">
        <f t="shared" si="3"/>
        <v>XDKV2</v>
      </c>
      <c r="H797" s="3" t="str">
        <f>VLOOKUP($C797,Userpass!$A$2:$L$3001,12,FALSE)</f>
        <v>DKV2</v>
      </c>
      <c r="I797" s="5" t="s">
        <v>1212</v>
      </c>
      <c r="J797" s="5">
        <v>2025.0</v>
      </c>
      <c r="K797" s="8" t="s">
        <v>1800</v>
      </c>
    </row>
    <row r="798" hidden="1">
      <c r="A798" s="3" t="str">
        <f t="shared" si="1"/>
        <v>OK</v>
      </c>
      <c r="B798" s="3" t="str">
        <f t="shared" si="2"/>
        <v>OK</v>
      </c>
      <c r="C798" s="5">
        <v>9568.0</v>
      </c>
      <c r="D798" s="6" t="s">
        <v>1801</v>
      </c>
      <c r="E798" s="5" t="s">
        <v>1802</v>
      </c>
      <c r="F798" s="7"/>
      <c r="G798" s="3" t="str">
        <f t="shared" si="3"/>
        <v>XDKV2</v>
      </c>
      <c r="H798" s="3" t="str">
        <f>VLOOKUP($C798,Userpass!$A$2:$L$3001,12,FALSE)</f>
        <v>DKV2</v>
      </c>
      <c r="I798" s="5" t="s">
        <v>1212</v>
      </c>
      <c r="J798" s="5">
        <v>2025.0</v>
      </c>
      <c r="K798" s="8" t="s">
        <v>1803</v>
      </c>
    </row>
    <row r="799" hidden="1">
      <c r="A799" s="3" t="str">
        <f t="shared" si="1"/>
        <v>OK</v>
      </c>
      <c r="B799" s="3" t="str">
        <f t="shared" si="2"/>
        <v>OK</v>
      </c>
      <c r="C799" s="5">
        <v>9629.0</v>
      </c>
      <c r="D799" s="6" t="s">
        <v>1804</v>
      </c>
      <c r="E799" s="5" t="s">
        <v>1805</v>
      </c>
      <c r="F799" s="7"/>
      <c r="G799" s="3" t="str">
        <f t="shared" si="3"/>
        <v>XDKV2</v>
      </c>
      <c r="H799" s="3" t="str">
        <f>VLOOKUP($C799,Userpass!$A$2:$L$3001,12,FALSE)</f>
        <v>DKV2</v>
      </c>
      <c r="I799" s="5" t="s">
        <v>1212</v>
      </c>
      <c r="J799" s="5">
        <v>2025.0</v>
      </c>
      <c r="K799" s="8" t="s">
        <v>1806</v>
      </c>
    </row>
    <row r="800" hidden="1">
      <c r="A800" s="3" t="str">
        <f t="shared" si="1"/>
        <v>OK</v>
      </c>
      <c r="B800" s="3" t="str">
        <f t="shared" si="2"/>
        <v>OK</v>
      </c>
      <c r="C800" s="5">
        <v>9663.0</v>
      </c>
      <c r="D800" s="6" t="s">
        <v>1807</v>
      </c>
      <c r="E800" s="5" t="s">
        <v>1808</v>
      </c>
      <c r="F800" s="7"/>
      <c r="G800" s="3" t="str">
        <f t="shared" si="3"/>
        <v>XDKV2</v>
      </c>
      <c r="H800" s="3" t="str">
        <f>VLOOKUP($C800,Userpass!$A$2:$L$3001,12,FALSE)</f>
        <v>DKV2</v>
      </c>
      <c r="I800" s="5" t="s">
        <v>1212</v>
      </c>
      <c r="J800" s="5">
        <v>2025.0</v>
      </c>
      <c r="K800" s="8" t="s">
        <v>1809</v>
      </c>
    </row>
    <row r="801" hidden="1">
      <c r="A801" s="3" t="str">
        <f t="shared" si="1"/>
        <v>OK</v>
      </c>
      <c r="B801" s="3" t="str">
        <f t="shared" si="2"/>
        <v>OK</v>
      </c>
      <c r="C801" s="5">
        <v>9682.0</v>
      </c>
      <c r="D801" s="6" t="s">
        <v>1810</v>
      </c>
      <c r="E801" s="5" t="s">
        <v>1811</v>
      </c>
      <c r="F801" s="7"/>
      <c r="G801" s="3" t="str">
        <f t="shared" si="3"/>
        <v>XDKV2</v>
      </c>
      <c r="H801" s="3" t="str">
        <f>VLOOKUP($C801,Userpass!$A$2:$L$3001,12,FALSE)</f>
        <v>DKV2</v>
      </c>
      <c r="I801" s="5" t="s">
        <v>1212</v>
      </c>
      <c r="J801" s="5">
        <v>2025.0</v>
      </c>
      <c r="K801" s="8" t="s">
        <v>1812</v>
      </c>
    </row>
    <row r="802" hidden="1">
      <c r="A802" s="3" t="str">
        <f t="shared" si="1"/>
        <v>OK</v>
      </c>
      <c r="B802" s="3" t="str">
        <f t="shared" si="2"/>
        <v>OK</v>
      </c>
      <c r="C802" s="5">
        <v>9685.0</v>
      </c>
      <c r="D802" s="6" t="s">
        <v>1813</v>
      </c>
      <c r="E802" s="5" t="s">
        <v>1814</v>
      </c>
      <c r="F802" s="7"/>
      <c r="G802" s="3" t="str">
        <f t="shared" si="3"/>
        <v>XDKV2</v>
      </c>
      <c r="H802" s="3" t="str">
        <f>VLOOKUP($C802,Userpass!$A$2:$L$3001,12,FALSE)</f>
        <v>DKV2</v>
      </c>
      <c r="I802" s="5" t="s">
        <v>1212</v>
      </c>
      <c r="J802" s="5">
        <v>2025.0</v>
      </c>
      <c r="K802" s="8" t="s">
        <v>1815</v>
      </c>
    </row>
    <row r="803" hidden="1">
      <c r="A803" s="3" t="str">
        <f t="shared" si="1"/>
        <v>OK</v>
      </c>
      <c r="B803" s="3" t="str">
        <f t="shared" si="2"/>
        <v>OK</v>
      </c>
      <c r="C803" s="5">
        <v>9688.0</v>
      </c>
      <c r="D803" s="6" t="s">
        <v>1816</v>
      </c>
      <c r="E803" s="5" t="s">
        <v>1817</v>
      </c>
      <c r="F803" s="7"/>
      <c r="G803" s="3" t="str">
        <f t="shared" si="3"/>
        <v>XDKV2</v>
      </c>
      <c r="H803" s="3" t="str">
        <f>VLOOKUP($C803,Userpass!$A$2:$L$3001,12,FALSE)</f>
        <v>DKV2</v>
      </c>
      <c r="I803" s="5" t="s">
        <v>1212</v>
      </c>
      <c r="J803" s="5">
        <v>2025.0</v>
      </c>
      <c r="K803" s="8" t="s">
        <v>1818</v>
      </c>
    </row>
    <row r="804" hidden="1">
      <c r="A804" s="3" t="str">
        <f t="shared" si="1"/>
        <v>OK</v>
      </c>
      <c r="B804" s="3" t="str">
        <f t="shared" si="2"/>
        <v>OK</v>
      </c>
      <c r="C804" s="5">
        <v>9690.0</v>
      </c>
      <c r="D804" s="6" t="s">
        <v>1819</v>
      </c>
      <c r="E804" s="5" t="s">
        <v>1820</v>
      </c>
      <c r="F804" s="7"/>
      <c r="G804" s="3" t="str">
        <f t="shared" si="3"/>
        <v>XDKV2</v>
      </c>
      <c r="H804" s="3" t="str">
        <f>VLOOKUP($C804,Userpass!$A$2:$L$3001,12,FALSE)</f>
        <v>DKV2</v>
      </c>
      <c r="I804" s="5" t="s">
        <v>1212</v>
      </c>
      <c r="J804" s="5">
        <v>2025.0</v>
      </c>
      <c r="K804" s="8" t="s">
        <v>1821</v>
      </c>
    </row>
    <row r="805" hidden="1">
      <c r="A805" s="3" t="str">
        <f t="shared" si="1"/>
        <v>OK</v>
      </c>
      <c r="B805" s="3" t="str">
        <f t="shared" si="2"/>
        <v>OK</v>
      </c>
      <c r="C805" s="5">
        <v>9700.0</v>
      </c>
      <c r="D805" s="6" t="s">
        <v>1822</v>
      </c>
      <c r="E805" s="5" t="s">
        <v>1823</v>
      </c>
      <c r="F805" s="7"/>
      <c r="G805" s="3" t="str">
        <f t="shared" si="3"/>
        <v>XDKV2</v>
      </c>
      <c r="H805" s="3" t="str">
        <f>VLOOKUP($C805,Userpass!$A$2:$L$3001,12,FALSE)</f>
        <v>DKV2</v>
      </c>
      <c r="I805" s="5" t="s">
        <v>1212</v>
      </c>
      <c r="J805" s="5">
        <v>2025.0</v>
      </c>
      <c r="K805" s="8" t="s">
        <v>1824</v>
      </c>
    </row>
    <row r="806" hidden="1">
      <c r="A806" s="3" t="str">
        <f t="shared" si="1"/>
        <v>OK</v>
      </c>
      <c r="B806" s="3" t="str">
        <f t="shared" si="2"/>
        <v>OK</v>
      </c>
      <c r="C806" s="5">
        <v>9718.0</v>
      </c>
      <c r="D806" s="6" t="s">
        <v>1825</v>
      </c>
      <c r="E806" s="5" t="s">
        <v>1826</v>
      </c>
      <c r="F806" s="7"/>
      <c r="G806" s="3" t="str">
        <f t="shared" si="3"/>
        <v>XDKV2</v>
      </c>
      <c r="H806" s="3" t="str">
        <f>VLOOKUP($C806,Userpass!$A$2:$L$3001,12,FALSE)</f>
        <v>DKV2</v>
      </c>
      <c r="I806" s="5" t="s">
        <v>1212</v>
      </c>
      <c r="J806" s="5">
        <v>2025.0</v>
      </c>
      <c r="K806" s="8" t="s">
        <v>1827</v>
      </c>
    </row>
    <row r="807" hidden="1">
      <c r="A807" s="3" t="str">
        <f t="shared" si="1"/>
        <v>OK</v>
      </c>
      <c r="B807" s="3" t="str">
        <f t="shared" si="2"/>
        <v>OK</v>
      </c>
      <c r="C807" s="5">
        <v>9736.0</v>
      </c>
      <c r="D807" s="6" t="s">
        <v>1828</v>
      </c>
      <c r="E807" s="5" t="s">
        <v>1829</v>
      </c>
      <c r="F807" s="7"/>
      <c r="G807" s="3" t="str">
        <f t="shared" si="3"/>
        <v>XDKV2</v>
      </c>
      <c r="H807" s="3" t="str">
        <f>VLOOKUP($C807,Userpass!$A$2:$L$3001,12,FALSE)</f>
        <v>DKV2</v>
      </c>
      <c r="I807" s="5" t="s">
        <v>1212</v>
      </c>
      <c r="J807" s="5">
        <v>2025.0</v>
      </c>
      <c r="K807" s="8" t="s">
        <v>1830</v>
      </c>
    </row>
    <row r="808" hidden="1">
      <c r="A808" s="3" t="str">
        <f t="shared" si="1"/>
        <v>OK</v>
      </c>
      <c r="B808" s="3" t="str">
        <f t="shared" si="2"/>
        <v>OK</v>
      </c>
      <c r="C808" s="5">
        <v>9738.0</v>
      </c>
      <c r="D808" s="6" t="s">
        <v>1831</v>
      </c>
      <c r="E808" s="5" t="s">
        <v>1832</v>
      </c>
      <c r="F808" s="7"/>
      <c r="G808" s="3" t="str">
        <f t="shared" si="3"/>
        <v>XDKV2</v>
      </c>
      <c r="H808" s="3" t="str">
        <f>VLOOKUP($C808,Userpass!$A$2:$L$3001,12,FALSE)</f>
        <v>DKV2</v>
      </c>
      <c r="I808" s="5" t="s">
        <v>1212</v>
      </c>
      <c r="J808" s="5">
        <v>2025.0</v>
      </c>
      <c r="K808" s="8" t="s">
        <v>1833</v>
      </c>
    </row>
    <row r="809" hidden="1">
      <c r="A809" s="3" t="str">
        <f t="shared" si="1"/>
        <v>OK</v>
      </c>
      <c r="B809" s="3" t="str">
        <f t="shared" si="2"/>
        <v>OK</v>
      </c>
      <c r="C809" s="5">
        <v>9748.0</v>
      </c>
      <c r="D809" s="6" t="s">
        <v>1834</v>
      </c>
      <c r="E809" s="5" t="s">
        <v>1835</v>
      </c>
      <c r="F809" s="7"/>
      <c r="G809" s="3" t="str">
        <f t="shared" si="3"/>
        <v>XDKV2</v>
      </c>
      <c r="H809" s="3" t="str">
        <f>VLOOKUP($C809,Userpass!$A$2:$L$3001,12,FALSE)</f>
        <v>DKV2</v>
      </c>
      <c r="I809" s="5" t="s">
        <v>1212</v>
      </c>
      <c r="J809" s="5">
        <v>2025.0</v>
      </c>
      <c r="K809" s="8" t="s">
        <v>1836</v>
      </c>
    </row>
    <row r="810" hidden="1">
      <c r="A810" s="3" t="str">
        <f t="shared" si="1"/>
        <v>OK</v>
      </c>
      <c r="B810" s="3" t="str">
        <f t="shared" si="2"/>
        <v>OK</v>
      </c>
      <c r="C810" s="5">
        <v>9759.0</v>
      </c>
      <c r="D810" s="6" t="s">
        <v>1837</v>
      </c>
      <c r="E810" s="5" t="s">
        <v>1838</v>
      </c>
      <c r="F810" s="7"/>
      <c r="G810" s="3" t="str">
        <f t="shared" si="3"/>
        <v>XDKV2</v>
      </c>
      <c r="H810" s="3" t="str">
        <f>VLOOKUP($C810,Userpass!$A$2:$L$3001,12,FALSE)</f>
        <v>DKV2</v>
      </c>
      <c r="I810" s="5" t="s">
        <v>1212</v>
      </c>
      <c r="J810" s="5">
        <v>2025.0</v>
      </c>
      <c r="K810" s="8" t="s">
        <v>1839</v>
      </c>
    </row>
    <row r="811" hidden="1">
      <c r="A811" s="3" t="str">
        <f t="shared" si="1"/>
        <v>OK</v>
      </c>
      <c r="B811" s="3" t="str">
        <f t="shared" si="2"/>
        <v>OK</v>
      </c>
      <c r="C811" s="5">
        <v>9786.0</v>
      </c>
      <c r="D811" s="6" t="s">
        <v>1840</v>
      </c>
      <c r="E811" s="5" t="s">
        <v>1841</v>
      </c>
      <c r="F811" s="7"/>
      <c r="G811" s="3" t="str">
        <f t="shared" si="3"/>
        <v>XDKV2</v>
      </c>
      <c r="H811" s="3" t="str">
        <f>VLOOKUP($C811,Userpass!$A$2:$L$3001,12,FALSE)</f>
        <v>DKV2</v>
      </c>
      <c r="I811" s="5" t="s">
        <v>1212</v>
      </c>
      <c r="J811" s="5">
        <v>2025.0</v>
      </c>
      <c r="K811" s="8" t="s">
        <v>1842</v>
      </c>
    </row>
    <row r="812" hidden="1">
      <c r="A812" s="3" t="str">
        <f t="shared" si="1"/>
        <v>OK</v>
      </c>
      <c r="B812" s="3" t="str">
        <f t="shared" si="2"/>
        <v>OK</v>
      </c>
      <c r="C812" s="5">
        <v>9802.0</v>
      </c>
      <c r="D812" s="6" t="s">
        <v>1843</v>
      </c>
      <c r="E812" s="5" t="s">
        <v>1844</v>
      </c>
      <c r="F812" s="7"/>
      <c r="G812" s="3" t="str">
        <f t="shared" si="3"/>
        <v>XDKV2</v>
      </c>
      <c r="H812" s="3" t="str">
        <f>VLOOKUP($C812,Userpass!$A$2:$L$3001,12,FALSE)</f>
        <v>DKV2</v>
      </c>
      <c r="I812" s="5" t="s">
        <v>1212</v>
      </c>
      <c r="J812" s="5">
        <v>2025.0</v>
      </c>
      <c r="K812" s="8" t="s">
        <v>1845</v>
      </c>
    </row>
    <row r="813" hidden="1">
      <c r="A813" s="3" t="str">
        <f t="shared" si="1"/>
        <v>OK</v>
      </c>
      <c r="B813" s="3" t="str">
        <f t="shared" si="2"/>
        <v>OK</v>
      </c>
      <c r="C813" s="5">
        <v>9811.0</v>
      </c>
      <c r="D813" s="6" t="s">
        <v>1846</v>
      </c>
      <c r="E813" s="5" t="s">
        <v>1847</v>
      </c>
      <c r="F813" s="7"/>
      <c r="G813" s="3" t="str">
        <f t="shared" si="3"/>
        <v>XDKV2</v>
      </c>
      <c r="H813" s="3" t="str">
        <f>VLOOKUP($C813,Userpass!$A$2:$L$3001,12,FALSE)</f>
        <v>DKV2</v>
      </c>
      <c r="I813" s="5" t="s">
        <v>1212</v>
      </c>
      <c r="J813" s="5">
        <v>2025.0</v>
      </c>
      <c r="K813" s="8" t="s">
        <v>1848</v>
      </c>
    </row>
    <row r="814" hidden="1">
      <c r="A814" s="3" t="str">
        <f t="shared" si="1"/>
        <v>OK</v>
      </c>
      <c r="B814" s="3" t="str">
        <f t="shared" si="2"/>
        <v>OK</v>
      </c>
      <c r="C814" s="5">
        <v>9821.0</v>
      </c>
      <c r="D814" s="6" t="s">
        <v>1849</v>
      </c>
      <c r="E814" s="5" t="s">
        <v>1850</v>
      </c>
      <c r="F814" s="7"/>
      <c r="G814" s="3" t="str">
        <f t="shared" si="3"/>
        <v>XDKV2</v>
      </c>
      <c r="H814" s="3" t="str">
        <f>VLOOKUP($C814,Userpass!$A$2:$L$3001,12,FALSE)</f>
        <v>DKV2</v>
      </c>
      <c r="I814" s="5" t="s">
        <v>1212</v>
      </c>
      <c r="J814" s="5">
        <v>2025.0</v>
      </c>
      <c r="K814" s="8" t="s">
        <v>1851</v>
      </c>
    </row>
    <row r="815" hidden="1">
      <c r="A815" s="3" t="str">
        <f t="shared" si="1"/>
        <v>OK</v>
      </c>
      <c r="B815" s="3" t="str">
        <f t="shared" si="2"/>
        <v>OK</v>
      </c>
      <c r="C815" s="5">
        <v>9837.0</v>
      </c>
      <c r="D815" s="6" t="s">
        <v>1741</v>
      </c>
      <c r="E815" s="5" t="s">
        <v>1852</v>
      </c>
      <c r="F815" s="7"/>
      <c r="G815" s="3" t="str">
        <f t="shared" si="3"/>
        <v>XDKV2</v>
      </c>
      <c r="H815" s="3" t="str">
        <f>VLOOKUP($C815,Userpass!$A$2:$L$3001,12,FALSE)</f>
        <v>DKV2</v>
      </c>
      <c r="I815" s="5" t="s">
        <v>1212</v>
      </c>
      <c r="J815" s="5">
        <v>2025.0</v>
      </c>
      <c r="K815" s="8" t="s">
        <v>1853</v>
      </c>
    </row>
    <row r="816" hidden="1">
      <c r="A816" s="3" t="str">
        <f t="shared" si="1"/>
        <v>OK</v>
      </c>
      <c r="B816" s="3" t="str">
        <f t="shared" si="2"/>
        <v>OK</v>
      </c>
      <c r="C816" s="5">
        <v>9841.0</v>
      </c>
      <c r="D816" s="6" t="s">
        <v>1854</v>
      </c>
      <c r="E816" s="5" t="s">
        <v>1855</v>
      </c>
      <c r="F816" s="7"/>
      <c r="G816" s="3" t="str">
        <f t="shared" si="3"/>
        <v>XDKV2</v>
      </c>
      <c r="H816" s="3" t="str">
        <f>VLOOKUP($C816,Userpass!$A$2:$L$3001,12,FALSE)</f>
        <v>DKV2</v>
      </c>
      <c r="I816" s="5" t="s">
        <v>1212</v>
      </c>
      <c r="J816" s="5">
        <v>2025.0</v>
      </c>
      <c r="K816" s="8" t="s">
        <v>1856</v>
      </c>
    </row>
    <row r="817" hidden="1">
      <c r="A817" s="3" t="str">
        <f t="shared" si="1"/>
        <v>OK</v>
      </c>
      <c r="B817" s="3" t="str">
        <f t="shared" si="2"/>
        <v>OK</v>
      </c>
      <c r="C817" s="5">
        <v>9272.0</v>
      </c>
      <c r="D817" s="6" t="s">
        <v>1857</v>
      </c>
      <c r="E817" s="5" t="s">
        <v>1858</v>
      </c>
      <c r="F817" s="7"/>
      <c r="G817" s="3" t="str">
        <f t="shared" si="3"/>
        <v>XKLR1</v>
      </c>
      <c r="H817" s="3" t="str">
        <f>VLOOKUP($C817,Userpass!$A$2:$L$3001,12,FALSE)</f>
        <v>KLR1</v>
      </c>
      <c r="I817" s="5" t="s">
        <v>1212</v>
      </c>
      <c r="J817" s="5">
        <v>2025.0</v>
      </c>
      <c r="K817" s="8" t="s">
        <v>1859</v>
      </c>
    </row>
    <row r="818" hidden="1">
      <c r="A818" s="3" t="str">
        <f t="shared" si="1"/>
        <v>OK</v>
      </c>
      <c r="B818" s="3" t="str">
        <f t="shared" si="2"/>
        <v>OK</v>
      </c>
      <c r="C818" s="5">
        <v>9279.0</v>
      </c>
      <c r="D818" s="6" t="s">
        <v>1860</v>
      </c>
      <c r="E818" s="5" t="s">
        <v>1861</v>
      </c>
      <c r="F818" s="7"/>
      <c r="G818" s="3" t="str">
        <f t="shared" si="3"/>
        <v>XKLR1</v>
      </c>
      <c r="H818" s="3" t="str">
        <f>VLOOKUP($C818,Userpass!$A$2:$L$3001,12,FALSE)</f>
        <v>KLR1</v>
      </c>
      <c r="I818" s="5" t="s">
        <v>1212</v>
      </c>
      <c r="J818" s="5">
        <v>2025.0</v>
      </c>
      <c r="K818" s="8" t="s">
        <v>1862</v>
      </c>
    </row>
    <row r="819" hidden="1">
      <c r="A819" s="3" t="str">
        <f t="shared" si="1"/>
        <v>OK</v>
      </c>
      <c r="B819" s="3" t="str">
        <f t="shared" si="2"/>
        <v>OK</v>
      </c>
      <c r="C819" s="5">
        <v>9292.0</v>
      </c>
      <c r="D819" s="6" t="s">
        <v>1863</v>
      </c>
      <c r="E819" s="5" t="s">
        <v>1864</v>
      </c>
      <c r="F819" s="7"/>
      <c r="G819" s="3" t="str">
        <f t="shared" si="3"/>
        <v>XKLR1</v>
      </c>
      <c r="H819" s="3" t="str">
        <f>VLOOKUP($C819,Userpass!$A$2:$L$3001,12,FALSE)</f>
        <v>KLR1</v>
      </c>
      <c r="I819" s="5" t="s">
        <v>1212</v>
      </c>
      <c r="J819" s="5">
        <v>2025.0</v>
      </c>
      <c r="K819" s="8" t="s">
        <v>1865</v>
      </c>
    </row>
    <row r="820" hidden="1">
      <c r="A820" s="3" t="str">
        <f t="shared" si="1"/>
        <v>OK</v>
      </c>
      <c r="B820" s="3" t="str">
        <f t="shared" si="2"/>
        <v>OK</v>
      </c>
      <c r="C820" s="5">
        <v>9317.0</v>
      </c>
      <c r="D820" s="6" t="s">
        <v>1866</v>
      </c>
      <c r="E820" s="5" t="s">
        <v>1867</v>
      </c>
      <c r="F820" s="7"/>
      <c r="G820" s="3" t="str">
        <f t="shared" si="3"/>
        <v>XKLR1</v>
      </c>
      <c r="H820" s="3" t="str">
        <f>VLOOKUP($C820,Userpass!$A$2:$L$3001,12,FALSE)</f>
        <v>KLR1</v>
      </c>
      <c r="I820" s="5" t="s">
        <v>1212</v>
      </c>
      <c r="J820" s="5">
        <v>2025.0</v>
      </c>
      <c r="K820" s="8" t="s">
        <v>1868</v>
      </c>
    </row>
    <row r="821" hidden="1">
      <c r="A821" s="3" t="str">
        <f t="shared" si="1"/>
        <v>OK</v>
      </c>
      <c r="B821" s="3" t="str">
        <f t="shared" si="2"/>
        <v>OK</v>
      </c>
      <c r="C821" s="5">
        <v>9318.0</v>
      </c>
      <c r="D821" s="6" t="s">
        <v>1869</v>
      </c>
      <c r="E821" s="5" t="s">
        <v>1870</v>
      </c>
      <c r="F821" s="7"/>
      <c r="G821" s="3" t="str">
        <f t="shared" si="3"/>
        <v>XKLR1</v>
      </c>
      <c r="H821" s="3" t="str">
        <f>VLOOKUP($C821,Userpass!$A$2:$L$3001,12,FALSE)</f>
        <v>KLR1</v>
      </c>
      <c r="I821" s="5" t="s">
        <v>1212</v>
      </c>
      <c r="J821" s="5">
        <v>2025.0</v>
      </c>
      <c r="K821" s="8" t="s">
        <v>1871</v>
      </c>
    </row>
    <row r="822" hidden="1">
      <c r="A822" s="3" t="str">
        <f t="shared" si="1"/>
        <v>OK</v>
      </c>
      <c r="B822" s="3" t="str">
        <f t="shared" si="2"/>
        <v>OK</v>
      </c>
      <c r="C822" s="5">
        <v>9333.0</v>
      </c>
      <c r="D822" s="6" t="s">
        <v>1872</v>
      </c>
      <c r="E822" s="5" t="s">
        <v>1873</v>
      </c>
      <c r="F822" s="7"/>
      <c r="G822" s="3" t="str">
        <f t="shared" si="3"/>
        <v>XKLR1</v>
      </c>
      <c r="H822" s="3" t="str">
        <f>VLOOKUP($C822,Userpass!$A$2:$L$3001,12,FALSE)</f>
        <v>KLR1</v>
      </c>
      <c r="I822" s="5" t="s">
        <v>1212</v>
      </c>
      <c r="J822" s="5">
        <v>2025.0</v>
      </c>
      <c r="K822" s="8" t="s">
        <v>1874</v>
      </c>
    </row>
    <row r="823" hidden="1">
      <c r="A823" s="3" t="str">
        <f t="shared" si="1"/>
        <v>OK</v>
      </c>
      <c r="B823" s="3" t="str">
        <f t="shared" si="2"/>
        <v>OK</v>
      </c>
      <c r="C823" s="5">
        <v>9334.0</v>
      </c>
      <c r="D823" s="6" t="s">
        <v>1875</v>
      </c>
      <c r="E823" s="5" t="s">
        <v>1876</v>
      </c>
      <c r="F823" s="7"/>
      <c r="G823" s="3" t="str">
        <f t="shared" si="3"/>
        <v>XKLR1</v>
      </c>
      <c r="H823" s="3" t="str">
        <f>VLOOKUP($C823,Userpass!$A$2:$L$3001,12,FALSE)</f>
        <v>KLR1</v>
      </c>
      <c r="I823" s="5" t="s">
        <v>1212</v>
      </c>
      <c r="J823" s="5">
        <v>2025.0</v>
      </c>
      <c r="K823" s="8" t="s">
        <v>1877</v>
      </c>
    </row>
    <row r="824" hidden="1">
      <c r="A824" s="3" t="str">
        <f t="shared" si="1"/>
        <v>OK</v>
      </c>
      <c r="B824" s="3" t="str">
        <f t="shared" si="2"/>
        <v>OK</v>
      </c>
      <c r="C824" s="5">
        <v>9367.0</v>
      </c>
      <c r="D824" s="6" t="s">
        <v>1878</v>
      </c>
      <c r="E824" s="5" t="s">
        <v>1879</v>
      </c>
      <c r="F824" s="7"/>
      <c r="G824" s="3" t="str">
        <f t="shared" si="3"/>
        <v>XKLR1</v>
      </c>
      <c r="H824" s="3" t="str">
        <f>VLOOKUP($C824,Userpass!$A$2:$L$3001,12,FALSE)</f>
        <v>KLR1</v>
      </c>
      <c r="I824" s="5" t="s">
        <v>1212</v>
      </c>
      <c r="J824" s="5">
        <v>2025.0</v>
      </c>
      <c r="K824" s="8" t="s">
        <v>1880</v>
      </c>
    </row>
    <row r="825" hidden="1">
      <c r="A825" s="3" t="str">
        <f t="shared" si="1"/>
        <v>OK</v>
      </c>
      <c r="B825" s="3" t="str">
        <f t="shared" si="2"/>
        <v>OK</v>
      </c>
      <c r="C825" s="5">
        <v>9376.0</v>
      </c>
      <c r="D825" s="6" t="s">
        <v>1881</v>
      </c>
      <c r="E825" s="5" t="s">
        <v>1882</v>
      </c>
      <c r="F825" s="7"/>
      <c r="G825" s="3" t="str">
        <f t="shared" si="3"/>
        <v>XKLR1</v>
      </c>
      <c r="H825" s="3" t="str">
        <f>VLOOKUP($C825,Userpass!$A$2:$L$3001,12,FALSE)</f>
        <v>KLR1</v>
      </c>
      <c r="I825" s="5" t="s">
        <v>1212</v>
      </c>
      <c r="J825" s="5">
        <v>2025.0</v>
      </c>
      <c r="K825" s="8" t="s">
        <v>1883</v>
      </c>
    </row>
    <row r="826" hidden="1">
      <c r="A826" s="3" t="str">
        <f t="shared" si="1"/>
        <v>OK</v>
      </c>
      <c r="B826" s="3" t="str">
        <f t="shared" si="2"/>
        <v>OK</v>
      </c>
      <c r="C826" s="5">
        <v>9431.0</v>
      </c>
      <c r="D826" s="6" t="s">
        <v>1884</v>
      </c>
      <c r="E826" s="5" t="s">
        <v>1885</v>
      </c>
      <c r="F826" s="7"/>
      <c r="G826" s="3" t="str">
        <f t="shared" si="3"/>
        <v>XKLR1</v>
      </c>
      <c r="H826" s="3" t="str">
        <f>VLOOKUP($C826,Userpass!$A$2:$L$3001,12,FALSE)</f>
        <v>KLR1</v>
      </c>
      <c r="I826" s="5" t="s">
        <v>1212</v>
      </c>
      <c r="J826" s="5">
        <v>2025.0</v>
      </c>
      <c r="K826" s="8" t="s">
        <v>1886</v>
      </c>
    </row>
    <row r="827" hidden="1">
      <c r="A827" s="3" t="str">
        <f t="shared" si="1"/>
        <v>OK</v>
      </c>
      <c r="B827" s="3" t="str">
        <f t="shared" si="2"/>
        <v>OK</v>
      </c>
      <c r="C827" s="5">
        <v>9438.0</v>
      </c>
      <c r="D827" s="6" t="s">
        <v>1887</v>
      </c>
      <c r="E827" s="5" t="s">
        <v>1888</v>
      </c>
      <c r="F827" s="7"/>
      <c r="G827" s="3" t="str">
        <f t="shared" si="3"/>
        <v>XKLR1</v>
      </c>
      <c r="H827" s="3" t="str">
        <f>VLOOKUP($C827,Userpass!$A$2:$L$3001,12,FALSE)</f>
        <v>KLR1</v>
      </c>
      <c r="I827" s="5" t="s">
        <v>1212</v>
      </c>
      <c r="J827" s="5">
        <v>2025.0</v>
      </c>
      <c r="K827" s="8" t="s">
        <v>1889</v>
      </c>
    </row>
    <row r="828" hidden="1">
      <c r="A828" s="3" t="str">
        <f t="shared" si="1"/>
        <v>OK</v>
      </c>
      <c r="B828" s="3" t="str">
        <f t="shared" si="2"/>
        <v>OK</v>
      </c>
      <c r="C828" s="5">
        <v>9466.0</v>
      </c>
      <c r="D828" s="6" t="s">
        <v>1890</v>
      </c>
      <c r="E828" s="5" t="s">
        <v>1891</v>
      </c>
      <c r="F828" s="7"/>
      <c r="G828" s="3" t="str">
        <f t="shared" si="3"/>
        <v>XKLR1</v>
      </c>
      <c r="H828" s="3" t="str">
        <f>VLOOKUP($C828,Userpass!$A$2:$L$3001,12,FALSE)</f>
        <v>KLR1</v>
      </c>
      <c r="I828" s="5" t="s">
        <v>1212</v>
      </c>
      <c r="J828" s="5">
        <v>2025.0</v>
      </c>
      <c r="K828" s="8" t="s">
        <v>1892</v>
      </c>
    </row>
    <row r="829" hidden="1">
      <c r="A829" s="3" t="str">
        <f t="shared" si="1"/>
        <v>OK</v>
      </c>
      <c r="B829" s="3" t="str">
        <f t="shared" si="2"/>
        <v>OK</v>
      </c>
      <c r="C829" s="5">
        <v>9471.0</v>
      </c>
      <c r="D829" s="6" t="s">
        <v>1893</v>
      </c>
      <c r="E829" s="5" t="s">
        <v>1894</v>
      </c>
      <c r="F829" s="7"/>
      <c r="G829" s="3" t="str">
        <f t="shared" si="3"/>
        <v>XKLR1</v>
      </c>
      <c r="H829" s="3" t="str">
        <f>VLOOKUP($C829,Userpass!$A$2:$L$3001,12,FALSE)</f>
        <v>KLR1</v>
      </c>
      <c r="I829" s="5" t="s">
        <v>1212</v>
      </c>
      <c r="J829" s="5">
        <v>2025.0</v>
      </c>
      <c r="K829" s="8" t="s">
        <v>1895</v>
      </c>
    </row>
    <row r="830" hidden="1">
      <c r="A830" s="3" t="str">
        <f t="shared" si="1"/>
        <v>OK</v>
      </c>
      <c r="B830" s="3" t="str">
        <f t="shared" si="2"/>
        <v>OK</v>
      </c>
      <c r="C830" s="5">
        <v>9483.0</v>
      </c>
      <c r="D830" s="6" t="s">
        <v>1896</v>
      </c>
      <c r="E830" s="5" t="s">
        <v>1897</v>
      </c>
      <c r="F830" s="7"/>
      <c r="G830" s="3" t="str">
        <f t="shared" si="3"/>
        <v>XKLR1</v>
      </c>
      <c r="H830" s="3" t="str">
        <f>VLOOKUP($C830,Userpass!$A$2:$L$3001,12,FALSE)</f>
        <v>KLR1</v>
      </c>
      <c r="I830" s="5" t="s">
        <v>1212</v>
      </c>
      <c r="J830" s="5">
        <v>2025.0</v>
      </c>
      <c r="K830" s="8" t="s">
        <v>1898</v>
      </c>
    </row>
    <row r="831" hidden="1">
      <c r="A831" s="3" t="str">
        <f t="shared" si="1"/>
        <v>OK</v>
      </c>
      <c r="B831" s="3" t="str">
        <f t="shared" si="2"/>
        <v>OK</v>
      </c>
      <c r="C831" s="5">
        <v>9499.0</v>
      </c>
      <c r="D831" s="6" t="s">
        <v>1899</v>
      </c>
      <c r="E831" s="5" t="s">
        <v>1900</v>
      </c>
      <c r="F831" s="7"/>
      <c r="G831" s="3" t="str">
        <f t="shared" si="3"/>
        <v>XKLR1</v>
      </c>
      <c r="H831" s="3" t="str">
        <f>VLOOKUP($C831,Userpass!$A$2:$L$3001,12,FALSE)</f>
        <v>KLR1</v>
      </c>
      <c r="I831" s="5" t="s">
        <v>1212</v>
      </c>
      <c r="J831" s="5">
        <v>2025.0</v>
      </c>
      <c r="K831" s="8" t="s">
        <v>1901</v>
      </c>
    </row>
    <row r="832" hidden="1">
      <c r="A832" s="3" t="str">
        <f t="shared" si="1"/>
        <v>OK</v>
      </c>
      <c r="B832" s="3" t="str">
        <f t="shared" si="2"/>
        <v>OK</v>
      </c>
      <c r="C832" s="5">
        <v>9500.0</v>
      </c>
      <c r="D832" s="6" t="s">
        <v>1902</v>
      </c>
      <c r="E832" s="5" t="s">
        <v>1903</v>
      </c>
      <c r="F832" s="7"/>
      <c r="G832" s="3" t="str">
        <f t="shared" si="3"/>
        <v>XKLR1</v>
      </c>
      <c r="H832" s="3" t="str">
        <f>VLOOKUP($C832,Userpass!$A$2:$L$3001,12,FALSE)</f>
        <v>KLR1</v>
      </c>
      <c r="I832" s="5" t="s">
        <v>1212</v>
      </c>
      <c r="J832" s="5">
        <v>2025.0</v>
      </c>
      <c r="K832" s="8" t="s">
        <v>1904</v>
      </c>
    </row>
    <row r="833" hidden="1">
      <c r="A833" s="3" t="str">
        <f t="shared" si="1"/>
        <v>OK</v>
      </c>
      <c r="B833" s="3" t="str">
        <f t="shared" si="2"/>
        <v>OK</v>
      </c>
      <c r="C833" s="5">
        <v>9502.0</v>
      </c>
      <c r="D833" s="6" t="s">
        <v>1905</v>
      </c>
      <c r="E833" s="5" t="s">
        <v>1906</v>
      </c>
      <c r="F833" s="7"/>
      <c r="G833" s="3" t="str">
        <f t="shared" si="3"/>
        <v>XKLR1</v>
      </c>
      <c r="H833" s="3" t="str">
        <f>VLOOKUP($C833,Userpass!$A$2:$L$3001,12,FALSE)</f>
        <v>KLR1</v>
      </c>
      <c r="I833" s="5" t="s">
        <v>1212</v>
      </c>
      <c r="J833" s="5">
        <v>2025.0</v>
      </c>
      <c r="K833" s="8" t="s">
        <v>1907</v>
      </c>
    </row>
    <row r="834" hidden="1">
      <c r="A834" s="3" t="str">
        <f t="shared" si="1"/>
        <v>OK</v>
      </c>
      <c r="B834" s="3" t="str">
        <f t="shared" si="2"/>
        <v>OK</v>
      </c>
      <c r="C834" s="5">
        <v>9540.0</v>
      </c>
      <c r="D834" s="6" t="s">
        <v>1908</v>
      </c>
      <c r="E834" s="5" t="s">
        <v>1909</v>
      </c>
      <c r="F834" s="7"/>
      <c r="G834" s="3" t="str">
        <f t="shared" si="3"/>
        <v>XKLR1</v>
      </c>
      <c r="H834" s="3" t="str">
        <f>VLOOKUP($C834,Userpass!$A$2:$L$3001,12,FALSE)</f>
        <v>KLR1</v>
      </c>
      <c r="I834" s="5" t="s">
        <v>1212</v>
      </c>
      <c r="J834" s="5">
        <v>2025.0</v>
      </c>
      <c r="K834" s="8" t="s">
        <v>1910</v>
      </c>
    </row>
    <row r="835" hidden="1">
      <c r="A835" s="3" t="str">
        <f t="shared" si="1"/>
        <v>OK</v>
      </c>
      <c r="B835" s="3" t="str">
        <f t="shared" si="2"/>
        <v>OK</v>
      </c>
      <c r="C835" s="5">
        <v>9542.0</v>
      </c>
      <c r="D835" s="6" t="s">
        <v>1911</v>
      </c>
      <c r="E835" s="5" t="s">
        <v>1912</v>
      </c>
      <c r="F835" s="7"/>
      <c r="G835" s="3" t="str">
        <f t="shared" si="3"/>
        <v>XKLR1</v>
      </c>
      <c r="H835" s="3" t="str">
        <f>VLOOKUP($C835,Userpass!$A$2:$L$3001,12,FALSE)</f>
        <v>KLR1</v>
      </c>
      <c r="I835" s="5" t="s">
        <v>1212</v>
      </c>
      <c r="J835" s="5">
        <v>2025.0</v>
      </c>
      <c r="K835" s="8" t="s">
        <v>1913</v>
      </c>
    </row>
    <row r="836" hidden="1">
      <c r="A836" s="3" t="str">
        <f t="shared" si="1"/>
        <v>OK</v>
      </c>
      <c r="B836" s="3" t="str">
        <f t="shared" si="2"/>
        <v>OK</v>
      </c>
      <c r="C836" s="5">
        <v>9553.0</v>
      </c>
      <c r="D836" s="6" t="s">
        <v>1914</v>
      </c>
      <c r="E836" s="5" t="s">
        <v>1915</v>
      </c>
      <c r="F836" s="7"/>
      <c r="G836" s="3" t="str">
        <f t="shared" si="3"/>
        <v>XKLR1</v>
      </c>
      <c r="H836" s="3" t="str">
        <f>VLOOKUP($C836,Userpass!$A$2:$L$3001,12,FALSE)</f>
        <v>KLR1</v>
      </c>
      <c r="I836" s="5" t="s">
        <v>1212</v>
      </c>
      <c r="J836" s="5">
        <v>2025.0</v>
      </c>
      <c r="K836" s="8" t="s">
        <v>1916</v>
      </c>
    </row>
    <row r="837" hidden="1">
      <c r="A837" s="3" t="str">
        <f t="shared" si="1"/>
        <v>OK</v>
      </c>
      <c r="B837" s="3" t="str">
        <f t="shared" si="2"/>
        <v>OK</v>
      </c>
      <c r="C837" s="5">
        <v>9607.0</v>
      </c>
      <c r="D837" s="6" t="s">
        <v>1917</v>
      </c>
      <c r="E837" s="5" t="s">
        <v>1918</v>
      </c>
      <c r="F837" s="7"/>
      <c r="G837" s="3" t="str">
        <f t="shared" si="3"/>
        <v>XKLR1</v>
      </c>
      <c r="H837" s="3" t="str">
        <f>VLOOKUP($C837,Userpass!$A$2:$L$3001,12,FALSE)</f>
        <v>KLR1</v>
      </c>
      <c r="I837" s="5" t="s">
        <v>1212</v>
      </c>
      <c r="J837" s="5">
        <v>2025.0</v>
      </c>
      <c r="K837" s="8" t="s">
        <v>1919</v>
      </c>
    </row>
    <row r="838" hidden="1">
      <c r="A838" s="3" t="str">
        <f t="shared" si="1"/>
        <v>OK</v>
      </c>
      <c r="B838" s="3" t="str">
        <f t="shared" si="2"/>
        <v>OK</v>
      </c>
      <c r="C838" s="5">
        <v>9618.0</v>
      </c>
      <c r="D838" s="6" t="s">
        <v>1920</v>
      </c>
      <c r="E838" s="5" t="s">
        <v>1921</v>
      </c>
      <c r="F838" s="7"/>
      <c r="G838" s="3" t="str">
        <f t="shared" si="3"/>
        <v>XKLR1</v>
      </c>
      <c r="H838" s="3" t="str">
        <f>VLOOKUP($C838,Userpass!$A$2:$L$3001,12,FALSE)</f>
        <v>KLR1</v>
      </c>
      <c r="I838" s="5" t="s">
        <v>1212</v>
      </c>
      <c r="J838" s="5">
        <v>2025.0</v>
      </c>
      <c r="K838" s="8" t="s">
        <v>1922</v>
      </c>
    </row>
    <row r="839" hidden="1">
      <c r="A839" s="3" t="str">
        <f t="shared" si="1"/>
        <v>OK</v>
      </c>
      <c r="B839" s="3" t="str">
        <f t="shared" si="2"/>
        <v>OK</v>
      </c>
      <c r="C839" s="5">
        <v>9657.0</v>
      </c>
      <c r="D839" s="6" t="s">
        <v>1923</v>
      </c>
      <c r="E839" s="5" t="s">
        <v>1924</v>
      </c>
      <c r="F839" s="7"/>
      <c r="G839" s="3" t="str">
        <f t="shared" si="3"/>
        <v>XKLR1</v>
      </c>
      <c r="H839" s="3" t="str">
        <f>VLOOKUP($C839,Userpass!$A$2:$L$3001,12,FALSE)</f>
        <v>KLR1</v>
      </c>
      <c r="I839" s="5" t="s">
        <v>1212</v>
      </c>
      <c r="J839" s="5">
        <v>2025.0</v>
      </c>
      <c r="K839" s="8" t="s">
        <v>1925</v>
      </c>
    </row>
    <row r="840" hidden="1">
      <c r="A840" s="3" t="str">
        <f t="shared" si="1"/>
        <v>OK</v>
      </c>
      <c r="B840" s="3" t="str">
        <f t="shared" si="2"/>
        <v>OK</v>
      </c>
      <c r="C840" s="5">
        <v>9664.0</v>
      </c>
      <c r="D840" s="6" t="s">
        <v>1926</v>
      </c>
      <c r="E840" s="5" t="s">
        <v>1927</v>
      </c>
      <c r="F840" s="7"/>
      <c r="G840" s="3" t="str">
        <f t="shared" si="3"/>
        <v>XKLR1</v>
      </c>
      <c r="H840" s="3" t="str">
        <f>VLOOKUP($C840,Userpass!$A$2:$L$3001,12,FALSE)</f>
        <v>KLR1</v>
      </c>
      <c r="I840" s="5" t="s">
        <v>1212</v>
      </c>
      <c r="J840" s="5">
        <v>2025.0</v>
      </c>
      <c r="K840" s="8" t="s">
        <v>1928</v>
      </c>
    </row>
    <row r="841" hidden="1">
      <c r="A841" s="3" t="str">
        <f t="shared" si="1"/>
        <v>OK</v>
      </c>
      <c r="B841" s="3" t="str">
        <f t="shared" si="2"/>
        <v>OK</v>
      </c>
      <c r="C841" s="5">
        <v>9693.0</v>
      </c>
      <c r="D841" s="6" t="s">
        <v>1929</v>
      </c>
      <c r="E841" s="5" t="s">
        <v>1930</v>
      </c>
      <c r="F841" s="7"/>
      <c r="G841" s="3" t="str">
        <f t="shared" si="3"/>
        <v>XKLR1</v>
      </c>
      <c r="H841" s="3" t="str">
        <f>VLOOKUP($C841,Userpass!$A$2:$L$3001,12,FALSE)</f>
        <v>KLR1</v>
      </c>
      <c r="I841" s="5" t="s">
        <v>1212</v>
      </c>
      <c r="J841" s="5">
        <v>2025.0</v>
      </c>
      <c r="K841" s="8" t="s">
        <v>1931</v>
      </c>
    </row>
    <row r="842" hidden="1">
      <c r="A842" s="3" t="str">
        <f t="shared" si="1"/>
        <v>OK</v>
      </c>
      <c r="B842" s="3" t="str">
        <f t="shared" si="2"/>
        <v>OK</v>
      </c>
      <c r="C842" s="5">
        <v>9696.0</v>
      </c>
      <c r="D842" s="6" t="s">
        <v>1932</v>
      </c>
      <c r="E842" s="5" t="s">
        <v>1933</v>
      </c>
      <c r="F842" s="7"/>
      <c r="G842" s="3" t="str">
        <f t="shared" si="3"/>
        <v>XKLR1</v>
      </c>
      <c r="H842" s="3" t="str">
        <f>VLOOKUP($C842,Userpass!$A$2:$L$3001,12,FALSE)</f>
        <v>KLR1</v>
      </c>
      <c r="I842" s="5" t="s">
        <v>1212</v>
      </c>
      <c r="J842" s="5">
        <v>2025.0</v>
      </c>
      <c r="K842" s="8" t="s">
        <v>1934</v>
      </c>
    </row>
    <row r="843" hidden="1">
      <c r="A843" s="3" t="str">
        <f t="shared" si="1"/>
        <v>OK</v>
      </c>
      <c r="B843" s="3" t="str">
        <f t="shared" si="2"/>
        <v>OK</v>
      </c>
      <c r="C843" s="5">
        <v>9698.0</v>
      </c>
      <c r="D843" s="6" t="s">
        <v>1935</v>
      </c>
      <c r="E843" s="5" t="s">
        <v>1936</v>
      </c>
      <c r="F843" s="7"/>
      <c r="G843" s="3" t="str">
        <f t="shared" si="3"/>
        <v>XKLR1</v>
      </c>
      <c r="H843" s="3" t="str">
        <f>VLOOKUP($C843,Userpass!$A$2:$L$3001,12,FALSE)</f>
        <v>KLR1</v>
      </c>
      <c r="I843" s="5" t="s">
        <v>1212</v>
      </c>
      <c r="J843" s="5">
        <v>2025.0</v>
      </c>
      <c r="K843" s="8" t="s">
        <v>1937</v>
      </c>
    </row>
    <row r="844" hidden="1">
      <c r="A844" s="3" t="str">
        <f t="shared" si="1"/>
        <v>OK</v>
      </c>
      <c r="B844" s="3" t="str">
        <f t="shared" si="2"/>
        <v>OK</v>
      </c>
      <c r="C844" s="5">
        <v>9711.0</v>
      </c>
      <c r="D844" s="6" t="s">
        <v>1938</v>
      </c>
      <c r="E844" s="5" t="s">
        <v>1939</v>
      </c>
      <c r="F844" s="7"/>
      <c r="G844" s="3" t="str">
        <f t="shared" si="3"/>
        <v>XKLR1</v>
      </c>
      <c r="H844" s="3" t="str">
        <f>VLOOKUP($C844,Userpass!$A$2:$L$3001,12,FALSE)</f>
        <v>KLR1</v>
      </c>
      <c r="I844" s="5" t="s">
        <v>1212</v>
      </c>
      <c r="J844" s="5">
        <v>2025.0</v>
      </c>
      <c r="K844" s="8" t="s">
        <v>1940</v>
      </c>
    </row>
    <row r="845" hidden="1">
      <c r="A845" s="3" t="str">
        <f t="shared" si="1"/>
        <v>OK</v>
      </c>
      <c r="B845" s="3" t="str">
        <f t="shared" si="2"/>
        <v>OK</v>
      </c>
      <c r="C845" s="5">
        <v>9715.0</v>
      </c>
      <c r="D845" s="6" t="s">
        <v>1941</v>
      </c>
      <c r="E845" s="5" t="s">
        <v>1942</v>
      </c>
      <c r="F845" s="7"/>
      <c r="G845" s="3" t="str">
        <f t="shared" si="3"/>
        <v>XKLR1</v>
      </c>
      <c r="H845" s="3" t="str">
        <f>VLOOKUP($C845,Userpass!$A$2:$L$3001,12,FALSE)</f>
        <v>KLR1</v>
      </c>
      <c r="I845" s="5" t="s">
        <v>1212</v>
      </c>
      <c r="J845" s="5">
        <v>2025.0</v>
      </c>
      <c r="K845" s="8" t="s">
        <v>1943</v>
      </c>
    </row>
    <row r="846" hidden="1">
      <c r="A846" s="3" t="str">
        <f t="shared" si="1"/>
        <v>OK</v>
      </c>
      <c r="B846" s="3" t="str">
        <f t="shared" si="2"/>
        <v>OK</v>
      </c>
      <c r="C846" s="5">
        <v>9739.0</v>
      </c>
      <c r="D846" s="6" t="s">
        <v>1944</v>
      </c>
      <c r="E846" s="5" t="s">
        <v>1945</v>
      </c>
      <c r="F846" s="7"/>
      <c r="G846" s="3" t="str">
        <f t="shared" si="3"/>
        <v>XKLR1</v>
      </c>
      <c r="H846" s="3" t="str">
        <f>VLOOKUP($C846,Userpass!$A$2:$L$3001,12,FALSE)</f>
        <v>KLR1</v>
      </c>
      <c r="I846" s="5" t="s">
        <v>1212</v>
      </c>
      <c r="J846" s="5">
        <v>2025.0</v>
      </c>
      <c r="K846" s="8" t="s">
        <v>1946</v>
      </c>
    </row>
    <row r="847" hidden="1">
      <c r="A847" s="3" t="str">
        <f t="shared" si="1"/>
        <v>OK</v>
      </c>
      <c r="B847" s="3" t="str">
        <f t="shared" si="2"/>
        <v>OK</v>
      </c>
      <c r="C847" s="5">
        <v>9773.0</v>
      </c>
      <c r="D847" s="6" t="s">
        <v>1947</v>
      </c>
      <c r="E847" s="5" t="s">
        <v>1948</v>
      </c>
      <c r="F847" s="7"/>
      <c r="G847" s="3" t="str">
        <f t="shared" si="3"/>
        <v>XKLR1</v>
      </c>
      <c r="H847" s="3" t="str">
        <f>VLOOKUP($C847,Userpass!$A$2:$L$3001,12,FALSE)</f>
        <v>KLR1</v>
      </c>
      <c r="I847" s="5" t="s">
        <v>1212</v>
      </c>
      <c r="J847" s="5">
        <v>2025.0</v>
      </c>
      <c r="K847" s="8" t="s">
        <v>1949</v>
      </c>
    </row>
    <row r="848" hidden="1">
      <c r="A848" s="3" t="str">
        <f t="shared" si="1"/>
        <v>OK</v>
      </c>
      <c r="B848" s="3" t="str">
        <f t="shared" si="2"/>
        <v>OK</v>
      </c>
      <c r="C848" s="5">
        <v>9774.0</v>
      </c>
      <c r="D848" s="6" t="s">
        <v>1950</v>
      </c>
      <c r="E848" s="5" t="s">
        <v>1951</v>
      </c>
      <c r="F848" s="7"/>
      <c r="G848" s="3" t="str">
        <f t="shared" si="3"/>
        <v>XKLR1</v>
      </c>
      <c r="H848" s="3" t="str">
        <f>VLOOKUP($C848,Userpass!$A$2:$L$3001,12,FALSE)</f>
        <v>KLR1</v>
      </c>
      <c r="I848" s="5" t="s">
        <v>1212</v>
      </c>
      <c r="J848" s="5">
        <v>2025.0</v>
      </c>
      <c r="K848" s="8" t="s">
        <v>1952</v>
      </c>
    </row>
    <row r="849" hidden="1">
      <c r="A849" s="3" t="str">
        <f t="shared" si="1"/>
        <v>OK</v>
      </c>
      <c r="B849" s="3" t="str">
        <f t="shared" si="2"/>
        <v>OK</v>
      </c>
      <c r="C849" s="5">
        <v>9776.0</v>
      </c>
      <c r="D849" s="6" t="s">
        <v>1953</v>
      </c>
      <c r="E849" s="5" t="s">
        <v>1954</v>
      </c>
      <c r="F849" s="7"/>
      <c r="G849" s="3" t="str">
        <f t="shared" si="3"/>
        <v>XKLR1</v>
      </c>
      <c r="H849" s="3" t="str">
        <f>VLOOKUP($C849,Userpass!$A$2:$L$3001,12,FALSE)</f>
        <v>KLR1</v>
      </c>
      <c r="I849" s="5" t="s">
        <v>1212</v>
      </c>
      <c r="J849" s="5">
        <v>2025.0</v>
      </c>
      <c r="K849" s="8" t="s">
        <v>1955</v>
      </c>
    </row>
    <row r="850" hidden="1">
      <c r="A850" s="3" t="str">
        <f t="shared" si="1"/>
        <v>OK</v>
      </c>
      <c r="B850" s="3" t="str">
        <f t="shared" si="2"/>
        <v>OK</v>
      </c>
      <c r="C850" s="5">
        <v>9816.0</v>
      </c>
      <c r="D850" s="6" t="s">
        <v>1956</v>
      </c>
      <c r="E850" s="5" t="s">
        <v>1957</v>
      </c>
      <c r="F850" s="7"/>
      <c r="G850" s="3" t="str">
        <f t="shared" si="3"/>
        <v>XKLR1</v>
      </c>
      <c r="H850" s="3" t="str">
        <f>VLOOKUP($C850,Userpass!$A$2:$L$3001,12,FALSE)</f>
        <v>KLR1</v>
      </c>
      <c r="I850" s="5" t="s">
        <v>1212</v>
      </c>
      <c r="J850" s="5">
        <v>2025.0</v>
      </c>
      <c r="K850" s="8" t="s">
        <v>1958</v>
      </c>
    </row>
    <row r="851" hidden="1">
      <c r="A851" s="3" t="str">
        <f t="shared" si="1"/>
        <v>OK</v>
      </c>
      <c r="B851" s="3" t="str">
        <f t="shared" si="2"/>
        <v>OK</v>
      </c>
      <c r="C851" s="5">
        <v>9829.0</v>
      </c>
      <c r="D851" s="6" t="s">
        <v>1959</v>
      </c>
      <c r="E851" s="5" t="s">
        <v>1960</v>
      </c>
      <c r="F851" s="7"/>
      <c r="G851" s="3" t="str">
        <f t="shared" si="3"/>
        <v>XKLR1</v>
      </c>
      <c r="H851" s="3" t="str">
        <f>VLOOKUP($C851,Userpass!$A$2:$L$3001,12,FALSE)</f>
        <v>KLR1</v>
      </c>
      <c r="I851" s="5" t="s">
        <v>1212</v>
      </c>
      <c r="J851" s="5">
        <v>2025.0</v>
      </c>
      <c r="K851" s="8" t="s">
        <v>1961</v>
      </c>
    </row>
    <row r="852" hidden="1">
      <c r="A852" s="3" t="str">
        <f t="shared" si="1"/>
        <v>OK</v>
      </c>
      <c r="B852" s="3" t="str">
        <f t="shared" si="2"/>
        <v>OK</v>
      </c>
      <c r="C852" s="5">
        <v>9838.0</v>
      </c>
      <c r="D852" s="6" t="s">
        <v>1962</v>
      </c>
      <c r="E852" s="5" t="s">
        <v>1963</v>
      </c>
      <c r="F852" s="7"/>
      <c r="G852" s="3" t="str">
        <f t="shared" si="3"/>
        <v>XKLR1</v>
      </c>
      <c r="H852" s="3" t="str">
        <f>VLOOKUP($C852,Userpass!$A$2:$L$3001,12,FALSE)</f>
        <v>KLR1</v>
      </c>
      <c r="I852" s="5" t="s">
        <v>1212</v>
      </c>
      <c r="J852" s="5">
        <v>2025.0</v>
      </c>
      <c r="K852" s="8" t="s">
        <v>1964</v>
      </c>
    </row>
    <row r="853" hidden="1">
      <c r="A853" s="3" t="str">
        <f t="shared" si="1"/>
        <v>OK</v>
      </c>
      <c r="B853" s="3" t="str">
        <f t="shared" si="2"/>
        <v>OK</v>
      </c>
      <c r="C853" s="5">
        <v>9245.0</v>
      </c>
      <c r="D853" s="6" t="s">
        <v>1965</v>
      </c>
      <c r="E853" s="5" t="s">
        <v>1966</v>
      </c>
      <c r="F853" s="7"/>
      <c r="G853" s="3" t="str">
        <f t="shared" si="3"/>
        <v>XPFL1</v>
      </c>
      <c r="H853" s="3" t="str">
        <f>VLOOKUP($C853,Userpass!$A$2:$L$3000,12,FALSE)</f>
        <v>PFL1</v>
      </c>
      <c r="I853" s="5" t="s">
        <v>1212</v>
      </c>
      <c r="J853" s="5">
        <v>2025.0</v>
      </c>
      <c r="K853" s="8" t="s">
        <v>1967</v>
      </c>
    </row>
    <row r="854" hidden="1">
      <c r="A854" s="3" t="str">
        <f t="shared" si="1"/>
        <v>OK</v>
      </c>
      <c r="B854" s="3" t="str">
        <f t="shared" si="2"/>
        <v>OK</v>
      </c>
      <c r="C854" s="5">
        <v>9258.0</v>
      </c>
      <c r="D854" s="6" t="s">
        <v>1968</v>
      </c>
      <c r="E854" s="5" t="s">
        <v>1969</v>
      </c>
      <c r="F854" s="7"/>
      <c r="G854" s="3" t="str">
        <f t="shared" si="3"/>
        <v>XPFL1</v>
      </c>
      <c r="H854" s="3" t="str">
        <f>VLOOKUP($C854,Userpass!$A$2:$L$3001,12,FALSE)</f>
        <v>PFL1</v>
      </c>
      <c r="I854" s="5" t="s">
        <v>1212</v>
      </c>
      <c r="J854" s="5">
        <v>2025.0</v>
      </c>
      <c r="K854" s="8" t="s">
        <v>1970</v>
      </c>
    </row>
    <row r="855" hidden="1">
      <c r="A855" s="3" t="str">
        <f t="shared" si="1"/>
        <v>OK</v>
      </c>
      <c r="B855" s="3" t="str">
        <f t="shared" si="2"/>
        <v>OK</v>
      </c>
      <c r="C855" s="5">
        <v>9262.0</v>
      </c>
      <c r="D855" s="6" t="s">
        <v>1971</v>
      </c>
      <c r="E855" s="5" t="s">
        <v>1972</v>
      </c>
      <c r="F855" s="7"/>
      <c r="G855" s="3" t="str">
        <f t="shared" si="3"/>
        <v>XPFL1</v>
      </c>
      <c r="H855" s="3" t="str">
        <f>VLOOKUP($C855,Userpass!$A$2:$L$3001,12,FALSE)</f>
        <v>PFL1</v>
      </c>
      <c r="I855" s="5" t="s">
        <v>1212</v>
      </c>
      <c r="J855" s="5">
        <v>2025.0</v>
      </c>
      <c r="K855" s="8" t="s">
        <v>1973</v>
      </c>
    </row>
    <row r="856" hidden="1">
      <c r="A856" s="3" t="str">
        <f t="shared" si="1"/>
        <v>OK</v>
      </c>
      <c r="B856" s="3" t="str">
        <f t="shared" si="2"/>
        <v>OK</v>
      </c>
      <c r="C856" s="5">
        <v>9276.0</v>
      </c>
      <c r="D856" s="6" t="s">
        <v>1974</v>
      </c>
      <c r="E856" s="5" t="s">
        <v>1975</v>
      </c>
      <c r="F856" s="7"/>
      <c r="G856" s="3" t="str">
        <f t="shared" si="3"/>
        <v>XPFL1</v>
      </c>
      <c r="H856" s="3" t="str">
        <f>VLOOKUP($C856,Userpass!$A$2:$L$3001,12,FALSE)</f>
        <v>PFL1</v>
      </c>
      <c r="I856" s="5" t="s">
        <v>1212</v>
      </c>
      <c r="J856" s="5">
        <v>2025.0</v>
      </c>
      <c r="K856" s="8" t="s">
        <v>1976</v>
      </c>
    </row>
    <row r="857" hidden="1">
      <c r="A857" s="3" t="str">
        <f t="shared" si="1"/>
        <v>OK</v>
      </c>
      <c r="B857" s="3" t="str">
        <f t="shared" si="2"/>
        <v>OK</v>
      </c>
      <c r="C857" s="5">
        <v>9298.0</v>
      </c>
      <c r="D857" s="6" t="s">
        <v>1977</v>
      </c>
      <c r="E857" s="5" t="s">
        <v>1978</v>
      </c>
      <c r="F857" s="7"/>
      <c r="G857" s="3" t="str">
        <f t="shared" si="3"/>
        <v>XPFL1</v>
      </c>
      <c r="H857" s="3" t="str">
        <f>VLOOKUP($C857,Userpass!$A$2:$L$3001,12,FALSE)</f>
        <v>PFL1</v>
      </c>
      <c r="I857" s="5" t="s">
        <v>1212</v>
      </c>
      <c r="J857" s="5">
        <v>2025.0</v>
      </c>
      <c r="K857" s="8" t="s">
        <v>1979</v>
      </c>
    </row>
    <row r="858" hidden="1">
      <c r="A858" s="3" t="str">
        <f t="shared" si="1"/>
        <v>OK</v>
      </c>
      <c r="B858" s="3" t="str">
        <f t="shared" si="2"/>
        <v>OK</v>
      </c>
      <c r="C858" s="5">
        <v>9303.0</v>
      </c>
      <c r="D858" s="6" t="s">
        <v>1980</v>
      </c>
      <c r="E858" s="5" t="s">
        <v>1981</v>
      </c>
      <c r="F858" s="7"/>
      <c r="G858" s="3" t="str">
        <f t="shared" si="3"/>
        <v>XPFL1</v>
      </c>
      <c r="H858" s="3" t="str">
        <f>VLOOKUP($C858,Userpass!$A$2:$L$3001,12,FALSE)</f>
        <v>PFL1</v>
      </c>
      <c r="I858" s="5" t="s">
        <v>1212</v>
      </c>
      <c r="J858" s="5">
        <v>2025.0</v>
      </c>
      <c r="K858" s="8" t="s">
        <v>1982</v>
      </c>
    </row>
    <row r="859" hidden="1">
      <c r="A859" s="3" t="str">
        <f t="shared" si="1"/>
        <v>OK</v>
      </c>
      <c r="B859" s="3" t="str">
        <f t="shared" si="2"/>
        <v>OK</v>
      </c>
      <c r="C859" s="5">
        <v>9306.0</v>
      </c>
      <c r="D859" s="6" t="s">
        <v>1983</v>
      </c>
      <c r="E859" s="5" t="s">
        <v>1984</v>
      </c>
      <c r="F859" s="7"/>
      <c r="G859" s="3" t="str">
        <f t="shared" si="3"/>
        <v>XPFL1</v>
      </c>
      <c r="H859" s="3" t="str">
        <f>VLOOKUP($C859,Userpass!$A$2:$L$3001,12,FALSE)</f>
        <v>PFL1</v>
      </c>
      <c r="I859" s="5" t="s">
        <v>1212</v>
      </c>
      <c r="J859" s="5">
        <v>2025.0</v>
      </c>
      <c r="K859" s="8" t="s">
        <v>1985</v>
      </c>
    </row>
    <row r="860" hidden="1">
      <c r="A860" s="3" t="str">
        <f t="shared" si="1"/>
        <v>OK</v>
      </c>
      <c r="B860" s="3" t="str">
        <f t="shared" si="2"/>
        <v>OK</v>
      </c>
      <c r="C860" s="5">
        <v>9359.0</v>
      </c>
      <c r="D860" s="6" t="s">
        <v>1986</v>
      </c>
      <c r="E860" s="5" t="s">
        <v>1987</v>
      </c>
      <c r="F860" s="7"/>
      <c r="G860" s="3" t="str">
        <f t="shared" si="3"/>
        <v>XPFL1</v>
      </c>
      <c r="H860" s="3" t="str">
        <f>VLOOKUP($C860,Userpass!$A$2:$L$3001,12,FALSE)</f>
        <v>PFL1</v>
      </c>
      <c r="I860" s="5" t="s">
        <v>1212</v>
      </c>
      <c r="J860" s="5">
        <v>2025.0</v>
      </c>
      <c r="K860" s="8" t="s">
        <v>1988</v>
      </c>
    </row>
    <row r="861" hidden="1">
      <c r="A861" s="3" t="str">
        <f t="shared" si="1"/>
        <v>OK</v>
      </c>
      <c r="B861" s="3" t="str">
        <f t="shared" si="2"/>
        <v>OK</v>
      </c>
      <c r="C861" s="5">
        <v>9404.0</v>
      </c>
      <c r="D861" s="6" t="s">
        <v>1989</v>
      </c>
      <c r="E861" s="5" t="s">
        <v>1990</v>
      </c>
      <c r="F861" s="7"/>
      <c r="G861" s="3" t="str">
        <f t="shared" si="3"/>
        <v>XPFL1</v>
      </c>
      <c r="H861" s="3" t="str">
        <f>VLOOKUP($C861,Userpass!$A$2:$L$3001,12,FALSE)</f>
        <v>PFL1</v>
      </c>
      <c r="I861" s="5" t="s">
        <v>1212</v>
      </c>
      <c r="J861" s="5">
        <v>2025.0</v>
      </c>
      <c r="K861" s="8" t="s">
        <v>1991</v>
      </c>
    </row>
    <row r="862" hidden="1">
      <c r="A862" s="3" t="str">
        <f t="shared" si="1"/>
        <v>OK</v>
      </c>
      <c r="B862" s="3" t="str">
        <f t="shared" si="2"/>
        <v>OK</v>
      </c>
      <c r="C862" s="3">
        <v>8826.0</v>
      </c>
      <c r="D862" s="4" t="s">
        <v>1992</v>
      </c>
      <c r="E862" s="3" t="s">
        <v>1993</v>
      </c>
      <c r="F862" s="3" t="s">
        <v>17</v>
      </c>
      <c r="G862" s="3" t="str">
        <f t="shared" si="3"/>
        <v>XPFL1</v>
      </c>
      <c r="H862" s="3" t="str">
        <f>VLOOKUP($C862,Userpass!$A$2:$L$3001,12,FALSE)</f>
        <v>PFL1</v>
      </c>
      <c r="I862" s="5" t="s">
        <v>1212</v>
      </c>
      <c r="J862" s="3">
        <v>2024.0</v>
      </c>
      <c r="K862" s="4" t="s">
        <v>1994</v>
      </c>
    </row>
    <row r="863" hidden="1">
      <c r="A863" s="3" t="str">
        <f t="shared" si="1"/>
        <v>OK</v>
      </c>
      <c r="B863" s="3" t="str">
        <f t="shared" si="2"/>
        <v>OK</v>
      </c>
      <c r="C863" s="5">
        <v>9446.0</v>
      </c>
      <c r="D863" s="6" t="s">
        <v>1995</v>
      </c>
      <c r="E863" s="5" t="s">
        <v>1996</v>
      </c>
      <c r="F863" s="7"/>
      <c r="G863" s="3" t="str">
        <f t="shared" si="3"/>
        <v>XPFL1</v>
      </c>
      <c r="H863" s="3" t="str">
        <f>VLOOKUP($C863,Userpass!$A$2:$L$3001,12,FALSE)</f>
        <v>PFL1</v>
      </c>
      <c r="I863" s="5" t="s">
        <v>1212</v>
      </c>
      <c r="J863" s="5">
        <v>2025.0</v>
      </c>
      <c r="K863" s="8" t="s">
        <v>1997</v>
      </c>
    </row>
    <row r="864" hidden="1">
      <c r="A864" s="3" t="str">
        <f t="shared" si="1"/>
        <v>OK</v>
      </c>
      <c r="B864" s="3" t="str">
        <f t="shared" si="2"/>
        <v>OK</v>
      </c>
      <c r="C864" s="5">
        <v>9455.0</v>
      </c>
      <c r="D864" s="6" t="s">
        <v>1998</v>
      </c>
      <c r="E864" s="5" t="s">
        <v>1999</v>
      </c>
      <c r="F864" s="7"/>
      <c r="G864" s="3" t="str">
        <f t="shared" si="3"/>
        <v>XPFL1</v>
      </c>
      <c r="H864" s="3" t="str">
        <f>VLOOKUP($C864,Userpass!$A$2:$L$3001,12,FALSE)</f>
        <v>PFL1</v>
      </c>
      <c r="I864" s="5" t="s">
        <v>1212</v>
      </c>
      <c r="J864" s="5">
        <v>2025.0</v>
      </c>
      <c r="K864" s="8" t="s">
        <v>2000</v>
      </c>
    </row>
    <row r="865" hidden="1">
      <c r="A865" s="3" t="str">
        <f t="shared" si="1"/>
        <v>OK</v>
      </c>
      <c r="B865" s="3" t="str">
        <f t="shared" si="2"/>
        <v>OK</v>
      </c>
      <c r="C865" s="5">
        <v>9468.0</v>
      </c>
      <c r="D865" s="6" t="s">
        <v>2001</v>
      </c>
      <c r="E865" s="5" t="s">
        <v>2002</v>
      </c>
      <c r="F865" s="7"/>
      <c r="G865" s="3" t="str">
        <f t="shared" si="3"/>
        <v>XPFL1</v>
      </c>
      <c r="H865" s="3" t="str">
        <f>VLOOKUP($C865,Userpass!$A$2:$L$3001,12,FALSE)</f>
        <v>PFL1</v>
      </c>
      <c r="I865" s="5" t="s">
        <v>1212</v>
      </c>
      <c r="J865" s="5">
        <v>2025.0</v>
      </c>
      <c r="K865" s="8" t="s">
        <v>2003</v>
      </c>
    </row>
    <row r="866" hidden="1">
      <c r="A866" s="3" t="str">
        <f t="shared" si="1"/>
        <v>OK</v>
      </c>
      <c r="B866" s="3" t="str">
        <f t="shared" si="2"/>
        <v>OK</v>
      </c>
      <c r="C866" s="5">
        <v>9516.0</v>
      </c>
      <c r="D866" s="6" t="s">
        <v>2004</v>
      </c>
      <c r="E866" s="5" t="s">
        <v>2005</v>
      </c>
      <c r="F866" s="7"/>
      <c r="G866" s="3" t="str">
        <f t="shared" si="3"/>
        <v>XPFL1</v>
      </c>
      <c r="H866" s="3" t="str">
        <f>VLOOKUP($C866,Userpass!$A$2:$L$3001,12,FALSE)</f>
        <v>PFL1</v>
      </c>
      <c r="I866" s="5" t="s">
        <v>1212</v>
      </c>
      <c r="J866" s="5">
        <v>2025.0</v>
      </c>
      <c r="K866" s="8" t="s">
        <v>2006</v>
      </c>
    </row>
    <row r="867" hidden="1">
      <c r="A867" s="3" t="str">
        <f t="shared" si="1"/>
        <v>OK</v>
      </c>
      <c r="B867" s="3" t="str">
        <f t="shared" si="2"/>
        <v>OK</v>
      </c>
      <c r="C867" s="5">
        <v>9520.0</v>
      </c>
      <c r="D867" s="6" t="s">
        <v>2007</v>
      </c>
      <c r="E867" s="5" t="s">
        <v>2008</v>
      </c>
      <c r="F867" s="7"/>
      <c r="G867" s="3" t="str">
        <f t="shared" si="3"/>
        <v>XPFL1</v>
      </c>
      <c r="H867" s="3" t="str">
        <f>VLOOKUP($C867,Userpass!$A$2:$L$3001,12,FALSE)</f>
        <v>PFL1</v>
      </c>
      <c r="I867" s="5" t="s">
        <v>1212</v>
      </c>
      <c r="J867" s="5">
        <v>2025.0</v>
      </c>
      <c r="K867" s="8" t="s">
        <v>2009</v>
      </c>
    </row>
    <row r="868" hidden="1">
      <c r="A868" s="3" t="str">
        <f t="shared" si="1"/>
        <v>OK</v>
      </c>
      <c r="B868" s="3" t="str">
        <f t="shared" si="2"/>
        <v>OK</v>
      </c>
      <c r="C868" s="5">
        <v>9521.0</v>
      </c>
      <c r="D868" s="6" t="s">
        <v>2010</v>
      </c>
      <c r="E868" s="5" t="s">
        <v>2011</v>
      </c>
      <c r="F868" s="7"/>
      <c r="G868" s="3" t="str">
        <f t="shared" si="3"/>
        <v>XPFL1</v>
      </c>
      <c r="H868" s="3" t="str">
        <f>VLOOKUP($C868,Userpass!$A$2:$L$3001,12,FALSE)</f>
        <v>PFL1</v>
      </c>
      <c r="I868" s="5" t="s">
        <v>1212</v>
      </c>
      <c r="J868" s="5">
        <v>2025.0</v>
      </c>
      <c r="K868" s="8" t="s">
        <v>2012</v>
      </c>
    </row>
    <row r="869" hidden="1">
      <c r="A869" s="3" t="str">
        <f t="shared" si="1"/>
        <v>OK</v>
      </c>
      <c r="B869" s="3" t="str">
        <f t="shared" si="2"/>
        <v>OK</v>
      </c>
      <c r="C869" s="5">
        <v>9525.0</v>
      </c>
      <c r="D869" s="6" t="s">
        <v>2013</v>
      </c>
      <c r="E869" s="5" t="s">
        <v>2014</v>
      </c>
      <c r="F869" s="7"/>
      <c r="G869" s="3" t="str">
        <f t="shared" si="3"/>
        <v>XPFL1</v>
      </c>
      <c r="H869" s="3" t="str">
        <f>VLOOKUP($C869,Userpass!$A$2:$L$3001,12,FALSE)</f>
        <v>PFL1</v>
      </c>
      <c r="I869" s="5" t="s">
        <v>1212</v>
      </c>
      <c r="J869" s="5">
        <v>2025.0</v>
      </c>
      <c r="K869" s="8" t="s">
        <v>2015</v>
      </c>
    </row>
    <row r="870" hidden="1">
      <c r="A870" s="3" t="str">
        <f t="shared" si="1"/>
        <v>OK</v>
      </c>
      <c r="B870" s="3" t="str">
        <f t="shared" si="2"/>
        <v>OK</v>
      </c>
      <c r="C870" s="5">
        <v>9585.0</v>
      </c>
      <c r="D870" s="6" t="s">
        <v>2016</v>
      </c>
      <c r="E870" s="5" t="s">
        <v>2017</v>
      </c>
      <c r="F870" s="7"/>
      <c r="G870" s="3" t="str">
        <f t="shared" si="3"/>
        <v>XPFL1</v>
      </c>
      <c r="H870" s="3" t="str">
        <f>VLOOKUP($C870,Userpass!$A$2:$L$3001,12,FALSE)</f>
        <v>PFL1</v>
      </c>
      <c r="I870" s="5" t="s">
        <v>1212</v>
      </c>
      <c r="J870" s="5">
        <v>2025.0</v>
      </c>
      <c r="K870" s="8" t="s">
        <v>2018</v>
      </c>
    </row>
    <row r="871" hidden="1">
      <c r="A871" s="3" t="str">
        <f t="shared" si="1"/>
        <v>OK</v>
      </c>
      <c r="B871" s="3" t="str">
        <f t="shared" si="2"/>
        <v>OK</v>
      </c>
      <c r="C871" s="5">
        <v>9608.0</v>
      </c>
      <c r="D871" s="6" t="s">
        <v>2019</v>
      </c>
      <c r="E871" s="5" t="s">
        <v>2020</v>
      </c>
      <c r="F871" s="7"/>
      <c r="G871" s="3" t="str">
        <f t="shared" si="3"/>
        <v>XPFL1</v>
      </c>
      <c r="H871" s="3" t="str">
        <f>VLOOKUP($C871,Userpass!$A$2:$L$3001,12,FALSE)</f>
        <v>PFL1</v>
      </c>
      <c r="I871" s="5" t="s">
        <v>1212</v>
      </c>
      <c r="J871" s="5">
        <v>2025.0</v>
      </c>
      <c r="K871" s="8" t="s">
        <v>2021</v>
      </c>
    </row>
    <row r="872" hidden="1">
      <c r="A872" s="3" t="str">
        <f t="shared" si="1"/>
        <v>OK</v>
      </c>
      <c r="B872" s="3" t="str">
        <f t="shared" si="2"/>
        <v>OK</v>
      </c>
      <c r="C872" s="5">
        <v>9611.0</v>
      </c>
      <c r="D872" s="6" t="s">
        <v>2022</v>
      </c>
      <c r="E872" s="5" t="s">
        <v>2023</v>
      </c>
      <c r="F872" s="7"/>
      <c r="G872" s="3" t="str">
        <f t="shared" si="3"/>
        <v>XPFL1</v>
      </c>
      <c r="H872" s="3" t="str">
        <f>VLOOKUP($C872,Userpass!$A$2:$L$3001,12,FALSE)</f>
        <v>PFL1</v>
      </c>
      <c r="I872" s="5" t="s">
        <v>1212</v>
      </c>
      <c r="J872" s="5">
        <v>2025.0</v>
      </c>
      <c r="K872" s="8" t="s">
        <v>2024</v>
      </c>
    </row>
    <row r="873" hidden="1">
      <c r="A873" s="3" t="str">
        <f t="shared" si="1"/>
        <v>OK</v>
      </c>
      <c r="B873" s="3" t="str">
        <f t="shared" si="2"/>
        <v>OK</v>
      </c>
      <c r="C873" s="5">
        <v>9635.0</v>
      </c>
      <c r="D873" s="6" t="s">
        <v>2025</v>
      </c>
      <c r="E873" s="5" t="s">
        <v>2026</v>
      </c>
      <c r="F873" s="7"/>
      <c r="G873" s="3" t="str">
        <f t="shared" si="3"/>
        <v>XPFL1</v>
      </c>
      <c r="H873" s="3" t="str">
        <f>VLOOKUP($C873,Userpass!$A$2:$L$3001,12,FALSE)</f>
        <v>PFL1</v>
      </c>
      <c r="I873" s="5" t="s">
        <v>1212</v>
      </c>
      <c r="J873" s="5">
        <v>2025.0</v>
      </c>
      <c r="K873" s="8" t="s">
        <v>2027</v>
      </c>
    </row>
    <row r="874" hidden="1">
      <c r="A874" s="3" t="str">
        <f t="shared" si="1"/>
        <v>OK</v>
      </c>
      <c r="B874" s="3" t="str">
        <f t="shared" si="2"/>
        <v>OK</v>
      </c>
      <c r="C874" s="5">
        <v>9652.0</v>
      </c>
      <c r="D874" s="6" t="s">
        <v>2028</v>
      </c>
      <c r="E874" s="5" t="s">
        <v>2029</v>
      </c>
      <c r="F874" s="7"/>
      <c r="G874" s="3" t="str">
        <f t="shared" si="3"/>
        <v>XPFL1</v>
      </c>
      <c r="H874" s="3" t="str">
        <f>VLOOKUP($C874,Userpass!$A$2:$L$3001,12,FALSE)</f>
        <v>PFL1</v>
      </c>
      <c r="I874" s="5" t="s">
        <v>1212</v>
      </c>
      <c r="J874" s="5">
        <v>2025.0</v>
      </c>
      <c r="K874" s="8" t="s">
        <v>2030</v>
      </c>
    </row>
    <row r="875" hidden="1">
      <c r="A875" s="3" t="str">
        <f t="shared" si="1"/>
        <v>OK</v>
      </c>
      <c r="B875" s="3" t="str">
        <f t="shared" si="2"/>
        <v>OK</v>
      </c>
      <c r="C875" s="5">
        <v>9653.0</v>
      </c>
      <c r="D875" s="6" t="s">
        <v>2031</v>
      </c>
      <c r="E875" s="5" t="s">
        <v>2032</v>
      </c>
      <c r="F875" s="7"/>
      <c r="G875" s="3" t="str">
        <f t="shared" si="3"/>
        <v>XPFL1</v>
      </c>
      <c r="H875" s="3" t="str">
        <f>VLOOKUP($C875,Userpass!$A$2:$L$3001,12,FALSE)</f>
        <v>PFL1</v>
      </c>
      <c r="I875" s="5" t="s">
        <v>1212</v>
      </c>
      <c r="J875" s="5">
        <v>2025.0</v>
      </c>
      <c r="K875" s="8" t="s">
        <v>2033</v>
      </c>
    </row>
    <row r="876" hidden="1">
      <c r="A876" s="3" t="str">
        <f t="shared" si="1"/>
        <v>OK</v>
      </c>
      <c r="B876" s="3" t="str">
        <f t="shared" si="2"/>
        <v>OK</v>
      </c>
      <c r="C876" s="5">
        <v>9662.0</v>
      </c>
      <c r="D876" s="6" t="s">
        <v>2034</v>
      </c>
      <c r="E876" s="5" t="s">
        <v>2035</v>
      </c>
      <c r="F876" s="7"/>
      <c r="G876" s="3" t="str">
        <f t="shared" si="3"/>
        <v>XPFL1</v>
      </c>
      <c r="H876" s="3" t="str">
        <f>VLOOKUP($C876,Userpass!$A$2:$L$3001,12,FALSE)</f>
        <v>PFL1</v>
      </c>
      <c r="I876" s="5" t="s">
        <v>1212</v>
      </c>
      <c r="J876" s="5">
        <v>2025.0</v>
      </c>
      <c r="K876" s="8" t="s">
        <v>2036</v>
      </c>
    </row>
    <row r="877" hidden="1">
      <c r="A877" s="3" t="str">
        <f t="shared" si="1"/>
        <v>OK</v>
      </c>
      <c r="B877" s="3" t="str">
        <f t="shared" si="2"/>
        <v>OK</v>
      </c>
      <c r="C877" s="5">
        <v>9722.0</v>
      </c>
      <c r="D877" s="6" t="s">
        <v>2037</v>
      </c>
      <c r="E877" s="5" t="s">
        <v>2038</v>
      </c>
      <c r="F877" s="7"/>
      <c r="G877" s="3" t="str">
        <f t="shared" si="3"/>
        <v>XPFL1</v>
      </c>
      <c r="H877" s="3" t="str">
        <f>VLOOKUP($C877,Userpass!$A$2:$L$3001,12,FALSE)</f>
        <v>PFL1</v>
      </c>
      <c r="I877" s="5" t="s">
        <v>1212</v>
      </c>
      <c r="J877" s="5">
        <v>2025.0</v>
      </c>
      <c r="K877" s="8" t="s">
        <v>2039</v>
      </c>
    </row>
    <row r="878" hidden="1">
      <c r="A878" s="3" t="str">
        <f t="shared" si="1"/>
        <v>OK</v>
      </c>
      <c r="B878" s="3" t="str">
        <f t="shared" si="2"/>
        <v>OK</v>
      </c>
      <c r="C878" s="5">
        <v>9723.0</v>
      </c>
      <c r="D878" s="6" t="s">
        <v>2040</v>
      </c>
      <c r="E878" s="5" t="s">
        <v>2041</v>
      </c>
      <c r="F878" s="7"/>
      <c r="G878" s="3" t="str">
        <f t="shared" si="3"/>
        <v>XPFL1</v>
      </c>
      <c r="H878" s="3" t="str">
        <f>VLOOKUP($C878,Userpass!$A$2:$L$3001,12,FALSE)</f>
        <v>PFL1</v>
      </c>
      <c r="I878" s="5" t="s">
        <v>1212</v>
      </c>
      <c r="J878" s="5">
        <v>2025.0</v>
      </c>
      <c r="K878" s="8" t="s">
        <v>2042</v>
      </c>
    </row>
    <row r="879" hidden="1">
      <c r="A879" s="3" t="str">
        <f t="shared" si="1"/>
        <v>OK</v>
      </c>
      <c r="B879" s="3" t="str">
        <f t="shared" si="2"/>
        <v>OK</v>
      </c>
      <c r="C879" s="5">
        <v>9727.0</v>
      </c>
      <c r="D879" s="6" t="s">
        <v>2043</v>
      </c>
      <c r="E879" s="5" t="s">
        <v>2044</v>
      </c>
      <c r="F879" s="7"/>
      <c r="G879" s="3" t="str">
        <f t="shared" si="3"/>
        <v>XPFL1</v>
      </c>
      <c r="H879" s="3" t="str">
        <f>VLOOKUP($C879,Userpass!$A$2:$L$3001,12,FALSE)</f>
        <v>PFL1</v>
      </c>
      <c r="I879" s="5" t="s">
        <v>1212</v>
      </c>
      <c r="J879" s="5">
        <v>2025.0</v>
      </c>
      <c r="K879" s="8" t="s">
        <v>2045</v>
      </c>
    </row>
    <row r="880" hidden="1">
      <c r="A880" s="3" t="str">
        <f t="shared" si="1"/>
        <v>OK</v>
      </c>
      <c r="B880" s="3" t="str">
        <f t="shared" si="2"/>
        <v>OK</v>
      </c>
      <c r="C880" s="5">
        <v>9771.0</v>
      </c>
      <c r="D880" s="6" t="s">
        <v>2046</v>
      </c>
      <c r="E880" s="5" t="s">
        <v>2047</v>
      </c>
      <c r="F880" s="7"/>
      <c r="G880" s="3" t="str">
        <f t="shared" si="3"/>
        <v>XPFL1</v>
      </c>
      <c r="H880" s="3" t="str">
        <f>VLOOKUP($C880,Userpass!$A$2:$L$3001,12,FALSE)</f>
        <v>PFL1</v>
      </c>
      <c r="I880" s="5" t="s">
        <v>1212</v>
      </c>
      <c r="J880" s="5">
        <v>2025.0</v>
      </c>
      <c r="K880" s="8" t="s">
        <v>2048</v>
      </c>
    </row>
    <row r="881" hidden="1">
      <c r="A881" s="3" t="str">
        <f t="shared" si="1"/>
        <v>OK</v>
      </c>
      <c r="B881" s="3" t="str">
        <f t="shared" si="2"/>
        <v>OK</v>
      </c>
      <c r="C881" s="5">
        <v>9799.0</v>
      </c>
      <c r="D881" s="6" t="s">
        <v>2049</v>
      </c>
      <c r="E881" s="5" t="s">
        <v>2050</v>
      </c>
      <c r="F881" s="7"/>
      <c r="G881" s="3" t="str">
        <f t="shared" si="3"/>
        <v>XPFL1</v>
      </c>
      <c r="H881" s="3" t="str">
        <f>VLOOKUP($C881,Userpass!$A$2:$L$3001,12,FALSE)</f>
        <v>PFL1</v>
      </c>
      <c r="I881" s="5" t="s">
        <v>1212</v>
      </c>
      <c r="J881" s="5">
        <v>2025.0</v>
      </c>
      <c r="K881" s="8" t="s">
        <v>2051</v>
      </c>
    </row>
    <row r="882" hidden="1">
      <c r="A882" s="3" t="str">
        <f t="shared" si="1"/>
        <v>OK</v>
      </c>
      <c r="B882" s="3" t="str">
        <f t="shared" si="2"/>
        <v>OK</v>
      </c>
      <c r="C882" s="5">
        <v>9814.0</v>
      </c>
      <c r="D882" s="6" t="s">
        <v>2052</v>
      </c>
      <c r="E882" s="5" t="s">
        <v>2053</v>
      </c>
      <c r="F882" s="7"/>
      <c r="G882" s="3" t="str">
        <f t="shared" si="3"/>
        <v>XPFL1</v>
      </c>
      <c r="H882" s="3" t="str">
        <f>VLOOKUP($C882,Userpass!$A$2:$L$3001,12,FALSE)</f>
        <v>PFL1</v>
      </c>
      <c r="I882" s="5" t="s">
        <v>1212</v>
      </c>
      <c r="J882" s="5">
        <v>2025.0</v>
      </c>
      <c r="K882" s="8" t="s">
        <v>2054</v>
      </c>
    </row>
    <row r="883" hidden="1">
      <c r="A883" s="3" t="str">
        <f t="shared" si="1"/>
        <v>OK</v>
      </c>
      <c r="B883" s="3" t="str">
        <f t="shared" si="2"/>
        <v>OK</v>
      </c>
      <c r="C883" s="5">
        <v>9823.0</v>
      </c>
      <c r="D883" s="6" t="s">
        <v>2055</v>
      </c>
      <c r="E883" s="5" t="s">
        <v>2056</v>
      </c>
      <c r="F883" s="7"/>
      <c r="G883" s="3" t="str">
        <f t="shared" si="3"/>
        <v>XPFL1</v>
      </c>
      <c r="H883" s="3" t="str">
        <f>VLOOKUP($C883,Userpass!$A$2:$L$3001,12,FALSE)</f>
        <v>PFL1</v>
      </c>
      <c r="I883" s="5" t="s">
        <v>1212</v>
      </c>
      <c r="J883" s="5">
        <v>2025.0</v>
      </c>
      <c r="K883" s="8" t="s">
        <v>2057</v>
      </c>
    </row>
    <row r="884" hidden="1">
      <c r="A884" s="3" t="str">
        <f t="shared" si="1"/>
        <v>OK</v>
      </c>
      <c r="B884" s="3" t="str">
        <f t="shared" si="2"/>
        <v>OK</v>
      </c>
      <c r="C884" s="5">
        <v>9833.0</v>
      </c>
      <c r="D884" s="6" t="s">
        <v>2058</v>
      </c>
      <c r="E884" s="5" t="s">
        <v>2059</v>
      </c>
      <c r="F884" s="7"/>
      <c r="G884" s="3" t="str">
        <f t="shared" si="3"/>
        <v>XPFL1</v>
      </c>
      <c r="H884" s="3" t="str">
        <f>VLOOKUP($C884,Userpass!$A$2:$L$3001,12,FALSE)</f>
        <v>PFL1</v>
      </c>
      <c r="I884" s="5" t="s">
        <v>1212</v>
      </c>
      <c r="J884" s="5">
        <v>2025.0</v>
      </c>
      <c r="K884" s="8" t="s">
        <v>2060</v>
      </c>
    </row>
    <row r="885" hidden="1">
      <c r="A885" s="3" t="str">
        <f t="shared" si="1"/>
        <v>OK</v>
      </c>
      <c r="B885" s="3" t="str">
        <f t="shared" si="2"/>
        <v>OK</v>
      </c>
      <c r="C885" s="5">
        <v>9835.0</v>
      </c>
      <c r="D885" s="6" t="s">
        <v>2061</v>
      </c>
      <c r="E885" s="5" t="s">
        <v>2062</v>
      </c>
      <c r="F885" s="7"/>
      <c r="G885" s="3" t="str">
        <f t="shared" si="3"/>
        <v>XPFL1</v>
      </c>
      <c r="H885" s="3" t="str">
        <f>VLOOKUP($C885,Userpass!$A$2:$L$3001,12,FALSE)</f>
        <v>PFL1</v>
      </c>
      <c r="I885" s="5" t="s">
        <v>1212</v>
      </c>
      <c r="J885" s="5">
        <v>2025.0</v>
      </c>
      <c r="K885" s="8" t="s">
        <v>2063</v>
      </c>
    </row>
    <row r="886" hidden="1">
      <c r="A886" s="3" t="str">
        <f t="shared" si="1"/>
        <v>OK</v>
      </c>
      <c r="B886" s="3" t="str">
        <f t="shared" si="2"/>
        <v>OK</v>
      </c>
      <c r="C886" s="5">
        <v>9842.0</v>
      </c>
      <c r="D886" s="6" t="s">
        <v>2064</v>
      </c>
      <c r="E886" s="5" t="s">
        <v>2065</v>
      </c>
      <c r="F886" s="7"/>
      <c r="G886" s="3" t="str">
        <f t="shared" si="3"/>
        <v>XPFL1</v>
      </c>
      <c r="H886" s="3" t="str">
        <f>VLOOKUP($C886,Userpass!$A$2:$L$3001,12,FALSE)</f>
        <v>PFL1</v>
      </c>
      <c r="I886" s="5" t="s">
        <v>1212</v>
      </c>
      <c r="J886" s="5">
        <v>2025.0</v>
      </c>
      <c r="K886" s="8" t="s">
        <v>2066</v>
      </c>
    </row>
    <row r="887" hidden="1">
      <c r="A887" s="3" t="str">
        <f t="shared" si="1"/>
        <v>OK</v>
      </c>
      <c r="B887" s="3" t="str">
        <f t="shared" si="2"/>
        <v>OK</v>
      </c>
      <c r="C887" s="5">
        <v>9846.0</v>
      </c>
      <c r="D887" s="6" t="s">
        <v>2067</v>
      </c>
      <c r="E887" s="5" t="s">
        <v>2068</v>
      </c>
      <c r="F887" s="7"/>
      <c r="G887" s="3" t="str">
        <f t="shared" si="3"/>
        <v>XPFL1</v>
      </c>
      <c r="H887" s="3" t="str">
        <f>VLOOKUP($C887,Userpass!$A$2:$L$3001,12,FALSE)</f>
        <v>PFL1</v>
      </c>
      <c r="I887" s="5" t="s">
        <v>1212</v>
      </c>
      <c r="J887" s="5">
        <v>2025.0</v>
      </c>
      <c r="K887" s="8" t="s">
        <v>2069</v>
      </c>
    </row>
    <row r="888" hidden="1">
      <c r="A888" s="3" t="str">
        <f t="shared" si="1"/>
        <v>OK</v>
      </c>
      <c r="B888" s="3" t="str">
        <f t="shared" si="2"/>
        <v>OK</v>
      </c>
      <c r="C888" s="5">
        <v>9848.0</v>
      </c>
      <c r="D888" s="6" t="s">
        <v>2070</v>
      </c>
      <c r="E888" s="5" t="s">
        <v>2071</v>
      </c>
      <c r="F888" s="7"/>
      <c r="G888" s="3" t="str">
        <f t="shared" si="3"/>
        <v>XPFL1</v>
      </c>
      <c r="H888" s="3" t="str">
        <f>VLOOKUP($C888,Userpass!$A$2:$L$3001,12,FALSE)</f>
        <v>PFL1</v>
      </c>
      <c r="I888" s="5" t="s">
        <v>1212</v>
      </c>
      <c r="J888" s="5">
        <v>2025.0</v>
      </c>
      <c r="K888" s="8" t="s">
        <v>2072</v>
      </c>
    </row>
    <row r="889" hidden="1">
      <c r="A889" s="3" t="str">
        <f t="shared" si="1"/>
        <v>OK</v>
      </c>
      <c r="B889" s="3" t="str">
        <f t="shared" si="2"/>
        <v>OK</v>
      </c>
      <c r="C889" s="5">
        <v>9256.0</v>
      </c>
      <c r="D889" s="6" t="s">
        <v>2073</v>
      </c>
      <c r="E889" s="5" t="s">
        <v>2074</v>
      </c>
      <c r="F889" s="7"/>
      <c r="G889" s="3" t="str">
        <f t="shared" si="3"/>
        <v>XRPL1</v>
      </c>
      <c r="H889" s="3" t="str">
        <f>VLOOKUP($C889,Userpass!$A$2:$L$3001,12,FALSE)</f>
        <v>RPL1</v>
      </c>
      <c r="I889" s="5" t="s">
        <v>1212</v>
      </c>
      <c r="J889" s="5">
        <v>2025.0</v>
      </c>
      <c r="K889" s="8" t="s">
        <v>2075</v>
      </c>
    </row>
    <row r="890" hidden="1">
      <c r="A890" s="3" t="str">
        <f t="shared" si="1"/>
        <v>OK</v>
      </c>
      <c r="B890" s="3" t="str">
        <f t="shared" si="2"/>
        <v>OK</v>
      </c>
      <c r="C890" s="5">
        <v>9287.0</v>
      </c>
      <c r="D890" s="6" t="s">
        <v>2076</v>
      </c>
      <c r="E890" s="5" t="s">
        <v>2077</v>
      </c>
      <c r="F890" s="7"/>
      <c r="G890" s="3" t="str">
        <f t="shared" si="3"/>
        <v>XRPL1</v>
      </c>
      <c r="H890" s="3" t="str">
        <f>VLOOKUP($C890,Userpass!$A$2:$L$3001,12,FALSE)</f>
        <v>RPL1</v>
      </c>
      <c r="I890" s="5" t="s">
        <v>1212</v>
      </c>
      <c r="J890" s="5">
        <v>2025.0</v>
      </c>
      <c r="K890" s="8" t="s">
        <v>2078</v>
      </c>
    </row>
    <row r="891" hidden="1">
      <c r="A891" s="3" t="str">
        <f t="shared" si="1"/>
        <v>OK</v>
      </c>
      <c r="B891" s="3" t="str">
        <f t="shared" si="2"/>
        <v>OK</v>
      </c>
      <c r="C891" s="5">
        <v>9299.0</v>
      </c>
      <c r="D891" s="6" t="s">
        <v>2079</v>
      </c>
      <c r="E891" s="5" t="s">
        <v>2080</v>
      </c>
      <c r="F891" s="7"/>
      <c r="G891" s="3" t="str">
        <f t="shared" si="3"/>
        <v>XRPL1</v>
      </c>
      <c r="H891" s="3" t="str">
        <f>VLOOKUP($C891,Userpass!$A$2:$L$3001,12,FALSE)</f>
        <v>RPL1</v>
      </c>
      <c r="I891" s="5" t="s">
        <v>1212</v>
      </c>
      <c r="J891" s="5">
        <v>2025.0</v>
      </c>
      <c r="K891" s="8" t="s">
        <v>2081</v>
      </c>
    </row>
    <row r="892" hidden="1">
      <c r="A892" s="3" t="str">
        <f t="shared" si="1"/>
        <v>OK</v>
      </c>
      <c r="B892" s="3" t="str">
        <f t="shared" si="2"/>
        <v>OK</v>
      </c>
      <c r="C892" s="5">
        <v>9321.0</v>
      </c>
      <c r="D892" s="6" t="s">
        <v>2082</v>
      </c>
      <c r="E892" s="5" t="s">
        <v>2083</v>
      </c>
      <c r="F892" s="7"/>
      <c r="G892" s="3" t="str">
        <f t="shared" si="3"/>
        <v>XRPL1</v>
      </c>
      <c r="H892" s="3" t="str">
        <f>VLOOKUP($C892,Userpass!$A$2:$L$3001,12,FALSE)</f>
        <v>RPL1</v>
      </c>
      <c r="I892" s="5" t="s">
        <v>1212</v>
      </c>
      <c r="J892" s="5">
        <v>2025.0</v>
      </c>
      <c r="K892" s="8" t="s">
        <v>2084</v>
      </c>
    </row>
    <row r="893" hidden="1">
      <c r="A893" s="3" t="str">
        <f t="shared" si="1"/>
        <v>OK</v>
      </c>
      <c r="B893" s="3" t="str">
        <f t="shared" si="2"/>
        <v>OK</v>
      </c>
      <c r="C893" s="5">
        <v>9341.0</v>
      </c>
      <c r="D893" s="6" t="s">
        <v>2085</v>
      </c>
      <c r="E893" s="5" t="s">
        <v>2086</v>
      </c>
      <c r="F893" s="7"/>
      <c r="G893" s="3" t="str">
        <f t="shared" si="3"/>
        <v>XRPL1</v>
      </c>
      <c r="H893" s="3" t="str">
        <f>VLOOKUP($C893,Userpass!$A$2:$L$3001,12,FALSE)</f>
        <v>RPL1</v>
      </c>
      <c r="I893" s="5" t="s">
        <v>1212</v>
      </c>
      <c r="J893" s="5">
        <v>2025.0</v>
      </c>
      <c r="K893" s="8" t="s">
        <v>2087</v>
      </c>
    </row>
    <row r="894" hidden="1">
      <c r="A894" s="3" t="str">
        <f t="shared" si="1"/>
        <v>OK</v>
      </c>
      <c r="B894" s="3" t="str">
        <f t="shared" si="2"/>
        <v>OK</v>
      </c>
      <c r="C894" s="5">
        <v>9364.0</v>
      </c>
      <c r="D894" s="6" t="s">
        <v>2088</v>
      </c>
      <c r="E894" s="5" t="s">
        <v>2089</v>
      </c>
      <c r="F894" s="7"/>
      <c r="G894" s="3" t="str">
        <f t="shared" si="3"/>
        <v>XRPL1</v>
      </c>
      <c r="H894" s="3" t="str">
        <f>VLOOKUP($C894,Userpass!$A$2:$L$3001,12,FALSE)</f>
        <v>RPL1</v>
      </c>
      <c r="I894" s="5" t="s">
        <v>1212</v>
      </c>
      <c r="J894" s="5">
        <v>2025.0</v>
      </c>
      <c r="K894" s="8" t="s">
        <v>2090</v>
      </c>
    </row>
    <row r="895" hidden="1">
      <c r="A895" s="3" t="str">
        <f t="shared" si="1"/>
        <v>OK</v>
      </c>
      <c r="B895" s="3" t="str">
        <f t="shared" si="2"/>
        <v>OK</v>
      </c>
      <c r="C895" s="5">
        <v>9374.0</v>
      </c>
      <c r="D895" s="6" t="s">
        <v>2091</v>
      </c>
      <c r="E895" s="5" t="s">
        <v>2092</v>
      </c>
      <c r="F895" s="7"/>
      <c r="G895" s="3" t="str">
        <f t="shared" si="3"/>
        <v>XRPL1</v>
      </c>
      <c r="H895" s="3" t="str">
        <f>VLOOKUP($C895,Userpass!$A$2:$L$3001,12,FALSE)</f>
        <v>RPL1</v>
      </c>
      <c r="I895" s="5" t="s">
        <v>1212</v>
      </c>
      <c r="J895" s="5">
        <v>2025.0</v>
      </c>
      <c r="K895" s="8" t="s">
        <v>2093</v>
      </c>
    </row>
    <row r="896" hidden="1">
      <c r="A896" s="3" t="str">
        <f t="shared" si="1"/>
        <v>OK</v>
      </c>
      <c r="B896" s="3" t="str">
        <f t="shared" si="2"/>
        <v>OK</v>
      </c>
      <c r="C896" s="5">
        <v>9380.0</v>
      </c>
      <c r="D896" s="6" t="s">
        <v>2094</v>
      </c>
      <c r="E896" s="5" t="s">
        <v>2095</v>
      </c>
      <c r="F896" s="7"/>
      <c r="G896" s="3" t="str">
        <f t="shared" si="3"/>
        <v>XRPL1</v>
      </c>
      <c r="H896" s="3" t="str">
        <f>VLOOKUP($C896,Userpass!$A$2:$L$3001,12,FALSE)</f>
        <v>RPL1</v>
      </c>
      <c r="I896" s="5" t="s">
        <v>1212</v>
      </c>
      <c r="J896" s="5">
        <v>2025.0</v>
      </c>
      <c r="K896" s="8" t="s">
        <v>2096</v>
      </c>
    </row>
    <row r="897" hidden="1">
      <c r="A897" s="3" t="str">
        <f t="shared" si="1"/>
        <v>OK</v>
      </c>
      <c r="B897" s="3" t="str">
        <f t="shared" si="2"/>
        <v>OK</v>
      </c>
      <c r="C897" s="5">
        <v>9386.0</v>
      </c>
      <c r="D897" s="6" t="s">
        <v>2097</v>
      </c>
      <c r="E897" s="5" t="s">
        <v>2098</v>
      </c>
      <c r="F897" s="7"/>
      <c r="G897" s="3" t="str">
        <f t="shared" si="3"/>
        <v>XRPL1</v>
      </c>
      <c r="H897" s="3" t="str">
        <f>VLOOKUP($C897,Userpass!$A$2:$L$3001,12,FALSE)</f>
        <v>RPL1</v>
      </c>
      <c r="I897" s="5" t="s">
        <v>1212</v>
      </c>
      <c r="J897" s="5">
        <v>2025.0</v>
      </c>
      <c r="K897" s="8" t="s">
        <v>2099</v>
      </c>
    </row>
    <row r="898" hidden="1">
      <c r="A898" s="3" t="str">
        <f t="shared" si="1"/>
        <v>OK</v>
      </c>
      <c r="B898" s="3" t="str">
        <f t="shared" si="2"/>
        <v>OK</v>
      </c>
      <c r="C898" s="5">
        <v>9398.0</v>
      </c>
      <c r="D898" s="6" t="s">
        <v>2100</v>
      </c>
      <c r="E898" s="5" t="s">
        <v>2101</v>
      </c>
      <c r="F898" s="7"/>
      <c r="G898" s="3" t="str">
        <f t="shared" si="3"/>
        <v>XRPL1</v>
      </c>
      <c r="H898" s="3" t="str">
        <f>VLOOKUP($C898,Userpass!$A$2:$L$3001,12,FALSE)</f>
        <v>RPL1</v>
      </c>
      <c r="I898" s="5" t="s">
        <v>1212</v>
      </c>
      <c r="J898" s="5">
        <v>2025.0</v>
      </c>
      <c r="K898" s="8" t="s">
        <v>2102</v>
      </c>
    </row>
    <row r="899" hidden="1">
      <c r="A899" s="3" t="str">
        <f t="shared" si="1"/>
        <v>OK</v>
      </c>
      <c r="B899" s="3" t="str">
        <f t="shared" si="2"/>
        <v>OK</v>
      </c>
      <c r="C899" s="5">
        <v>9449.0</v>
      </c>
      <c r="D899" s="6" t="s">
        <v>2103</v>
      </c>
      <c r="E899" s="5" t="s">
        <v>2104</v>
      </c>
      <c r="F899" s="7"/>
      <c r="G899" s="3" t="str">
        <f t="shared" si="3"/>
        <v>XRPL1</v>
      </c>
      <c r="H899" s="3" t="str">
        <f>VLOOKUP($C899,Userpass!$A$2:$L$3001,12,FALSE)</f>
        <v>RPL1</v>
      </c>
      <c r="I899" s="5" t="s">
        <v>1212</v>
      </c>
      <c r="J899" s="5">
        <v>2025.0</v>
      </c>
      <c r="K899" s="8" t="s">
        <v>2105</v>
      </c>
    </row>
    <row r="900" hidden="1">
      <c r="A900" s="3" t="str">
        <f t="shared" si="1"/>
        <v>OK</v>
      </c>
      <c r="B900" s="3" t="str">
        <f t="shared" si="2"/>
        <v>OK</v>
      </c>
      <c r="C900" s="5">
        <v>9472.0</v>
      </c>
      <c r="D900" s="6" t="s">
        <v>2106</v>
      </c>
      <c r="E900" s="5" t="s">
        <v>2107</v>
      </c>
      <c r="F900" s="7"/>
      <c r="G900" s="3" t="str">
        <f t="shared" si="3"/>
        <v>XRPL1</v>
      </c>
      <c r="H900" s="3" t="str">
        <f>VLOOKUP($C900,Userpass!$A$2:$L$3001,12,FALSE)</f>
        <v>RPL1</v>
      </c>
      <c r="I900" s="5" t="s">
        <v>1212</v>
      </c>
      <c r="J900" s="5">
        <v>2025.0</v>
      </c>
      <c r="K900" s="8" t="s">
        <v>2108</v>
      </c>
    </row>
    <row r="901" hidden="1">
      <c r="A901" s="3" t="str">
        <f t="shared" si="1"/>
        <v>OK</v>
      </c>
      <c r="B901" s="3" t="str">
        <f t="shared" si="2"/>
        <v>OK</v>
      </c>
      <c r="C901" s="5">
        <v>9501.0</v>
      </c>
      <c r="D901" s="6" t="s">
        <v>2109</v>
      </c>
      <c r="E901" s="5" t="s">
        <v>2110</v>
      </c>
      <c r="F901" s="7"/>
      <c r="G901" s="3" t="str">
        <f t="shared" si="3"/>
        <v>XRPL1</v>
      </c>
      <c r="H901" s="3" t="str">
        <f>VLOOKUP($C901,Userpass!$A$2:$L$3001,12,FALSE)</f>
        <v>RPL1</v>
      </c>
      <c r="I901" s="5" t="s">
        <v>1212</v>
      </c>
      <c r="J901" s="5">
        <v>2025.0</v>
      </c>
      <c r="K901" s="8" t="s">
        <v>2111</v>
      </c>
    </row>
    <row r="902" hidden="1">
      <c r="A902" s="3" t="str">
        <f t="shared" si="1"/>
        <v>OK</v>
      </c>
      <c r="B902" s="3" t="str">
        <f t="shared" si="2"/>
        <v>OK</v>
      </c>
      <c r="C902" s="5">
        <v>9507.0</v>
      </c>
      <c r="D902" s="6" t="s">
        <v>2112</v>
      </c>
      <c r="E902" s="5" t="s">
        <v>2113</v>
      </c>
      <c r="F902" s="7"/>
      <c r="G902" s="3" t="str">
        <f t="shared" si="3"/>
        <v>XRPL1</v>
      </c>
      <c r="H902" s="3" t="str">
        <f>VLOOKUP($C902,Userpass!$A$2:$L$3001,12,FALSE)</f>
        <v>RPL1</v>
      </c>
      <c r="I902" s="5" t="s">
        <v>1212</v>
      </c>
      <c r="J902" s="5">
        <v>2025.0</v>
      </c>
      <c r="K902" s="8" t="s">
        <v>2114</v>
      </c>
    </row>
    <row r="903" hidden="1">
      <c r="A903" s="3" t="str">
        <f t="shared" si="1"/>
        <v>OK</v>
      </c>
      <c r="B903" s="3" t="str">
        <f t="shared" si="2"/>
        <v>OK</v>
      </c>
      <c r="C903" s="5">
        <v>9519.0</v>
      </c>
      <c r="D903" s="6" t="s">
        <v>2115</v>
      </c>
      <c r="E903" s="5" t="s">
        <v>2116</v>
      </c>
      <c r="F903" s="7"/>
      <c r="G903" s="3" t="str">
        <f t="shared" si="3"/>
        <v>XRPL1</v>
      </c>
      <c r="H903" s="3" t="str">
        <f>VLOOKUP($C903,Userpass!$A$2:$L$3001,12,FALSE)</f>
        <v>RPL1</v>
      </c>
      <c r="I903" s="5" t="s">
        <v>1212</v>
      </c>
      <c r="J903" s="5">
        <v>2025.0</v>
      </c>
      <c r="K903" s="8" t="s">
        <v>2117</v>
      </c>
    </row>
    <row r="904" hidden="1">
      <c r="A904" s="3" t="str">
        <f t="shared" si="1"/>
        <v>OK</v>
      </c>
      <c r="B904" s="3" t="str">
        <f t="shared" si="2"/>
        <v>OK</v>
      </c>
      <c r="C904" s="5">
        <v>9538.0</v>
      </c>
      <c r="D904" s="6" t="s">
        <v>2118</v>
      </c>
      <c r="E904" s="5" t="s">
        <v>2119</v>
      </c>
      <c r="F904" s="7"/>
      <c r="G904" s="3" t="str">
        <f t="shared" si="3"/>
        <v>XRPL1</v>
      </c>
      <c r="H904" s="3" t="str">
        <f>VLOOKUP($C904,Userpass!$A$2:$L$3001,12,FALSE)</f>
        <v>RPL1</v>
      </c>
      <c r="I904" s="5" t="s">
        <v>1212</v>
      </c>
      <c r="J904" s="5">
        <v>2025.0</v>
      </c>
      <c r="K904" s="8" t="s">
        <v>2120</v>
      </c>
    </row>
    <row r="905" hidden="1">
      <c r="A905" s="3" t="str">
        <f t="shared" si="1"/>
        <v>OK</v>
      </c>
      <c r="B905" s="3" t="str">
        <f t="shared" si="2"/>
        <v>OK</v>
      </c>
      <c r="C905" s="5">
        <v>9547.0</v>
      </c>
      <c r="D905" s="6" t="s">
        <v>2121</v>
      </c>
      <c r="E905" s="5" t="s">
        <v>2122</v>
      </c>
      <c r="F905" s="7"/>
      <c r="G905" s="3" t="str">
        <f t="shared" si="3"/>
        <v>XRPL1</v>
      </c>
      <c r="H905" s="3" t="str">
        <f>VLOOKUP($C905,Userpass!$A$2:$L$3001,12,FALSE)</f>
        <v>RPL1</v>
      </c>
      <c r="I905" s="5" t="s">
        <v>1212</v>
      </c>
      <c r="J905" s="5">
        <v>2025.0</v>
      </c>
      <c r="K905" s="8" t="s">
        <v>2123</v>
      </c>
    </row>
    <row r="906" hidden="1">
      <c r="A906" s="3" t="str">
        <f t="shared" si="1"/>
        <v>OK</v>
      </c>
      <c r="B906" s="3" t="str">
        <f t="shared" si="2"/>
        <v>OK</v>
      </c>
      <c r="C906" s="5">
        <v>9559.0</v>
      </c>
      <c r="D906" s="6" t="s">
        <v>2124</v>
      </c>
      <c r="E906" s="5" t="s">
        <v>2125</v>
      </c>
      <c r="F906" s="7"/>
      <c r="G906" s="3" t="str">
        <f t="shared" si="3"/>
        <v>XRPL1</v>
      </c>
      <c r="H906" s="3" t="str">
        <f>VLOOKUP($C906,Userpass!$A$2:$L$3001,12,FALSE)</f>
        <v>RPL1</v>
      </c>
      <c r="I906" s="5" t="s">
        <v>1212</v>
      </c>
      <c r="J906" s="5">
        <v>2025.0</v>
      </c>
      <c r="K906" s="8" t="s">
        <v>2126</v>
      </c>
    </row>
    <row r="907" hidden="1">
      <c r="A907" s="3" t="str">
        <f t="shared" si="1"/>
        <v>OK</v>
      </c>
      <c r="B907" s="3" t="str">
        <f t="shared" si="2"/>
        <v>OK</v>
      </c>
      <c r="C907" s="5">
        <v>9587.0</v>
      </c>
      <c r="D907" s="6" t="s">
        <v>2127</v>
      </c>
      <c r="E907" s="5" t="s">
        <v>2128</v>
      </c>
      <c r="F907" s="7"/>
      <c r="G907" s="3" t="str">
        <f t="shared" si="3"/>
        <v>XRPL1</v>
      </c>
      <c r="H907" s="3" t="str">
        <f>VLOOKUP($C907,Userpass!$A$2:$L$3001,12,FALSE)</f>
        <v>RPL1</v>
      </c>
      <c r="I907" s="5" t="s">
        <v>1212</v>
      </c>
      <c r="J907" s="5">
        <v>2025.0</v>
      </c>
      <c r="K907" s="8" t="s">
        <v>2129</v>
      </c>
    </row>
    <row r="908" hidden="1">
      <c r="A908" s="3" t="str">
        <f t="shared" si="1"/>
        <v>OK</v>
      </c>
      <c r="B908" s="3" t="str">
        <f t="shared" si="2"/>
        <v>OK</v>
      </c>
      <c r="C908" s="5">
        <v>9597.0</v>
      </c>
      <c r="D908" s="6" t="s">
        <v>2130</v>
      </c>
      <c r="E908" s="5" t="s">
        <v>2131</v>
      </c>
      <c r="F908" s="7"/>
      <c r="G908" s="3" t="str">
        <f t="shared" si="3"/>
        <v>XRPL1</v>
      </c>
      <c r="H908" s="3" t="str">
        <f>VLOOKUP($C908,Userpass!$A$2:$L$3001,12,FALSE)</f>
        <v>RPL1</v>
      </c>
      <c r="I908" s="5" t="s">
        <v>1212</v>
      </c>
      <c r="J908" s="5">
        <v>2025.0</v>
      </c>
      <c r="K908" s="8" t="s">
        <v>2132</v>
      </c>
    </row>
    <row r="909" hidden="1">
      <c r="A909" s="3" t="str">
        <f t="shared" si="1"/>
        <v>OK</v>
      </c>
      <c r="B909" s="3" t="str">
        <f t="shared" si="2"/>
        <v>OK</v>
      </c>
      <c r="C909" s="5">
        <v>9605.0</v>
      </c>
      <c r="D909" s="6" t="s">
        <v>2133</v>
      </c>
      <c r="E909" s="5" t="s">
        <v>2134</v>
      </c>
      <c r="F909" s="7"/>
      <c r="G909" s="3" t="str">
        <f t="shared" si="3"/>
        <v>XRPL1</v>
      </c>
      <c r="H909" s="3" t="str">
        <f>VLOOKUP($C909,Userpass!$A$2:$L$3001,12,FALSE)</f>
        <v>RPL1</v>
      </c>
      <c r="I909" s="5" t="s">
        <v>1212</v>
      </c>
      <c r="J909" s="5">
        <v>2025.0</v>
      </c>
      <c r="K909" s="8" t="s">
        <v>2135</v>
      </c>
    </row>
    <row r="910" hidden="1">
      <c r="A910" s="3" t="str">
        <f t="shared" si="1"/>
        <v>OK</v>
      </c>
      <c r="B910" s="3" t="str">
        <f t="shared" si="2"/>
        <v>OK</v>
      </c>
      <c r="C910" s="5">
        <v>9616.0</v>
      </c>
      <c r="D910" s="6" t="s">
        <v>2136</v>
      </c>
      <c r="E910" s="5" t="s">
        <v>2137</v>
      </c>
      <c r="F910" s="7"/>
      <c r="G910" s="3" t="str">
        <f t="shared" si="3"/>
        <v>XRPL1</v>
      </c>
      <c r="H910" s="3" t="str">
        <f>VLOOKUP($C910,Userpass!$A$2:$L$3001,12,FALSE)</f>
        <v>RPL1</v>
      </c>
      <c r="I910" s="5" t="s">
        <v>1212</v>
      </c>
      <c r="J910" s="5">
        <v>2025.0</v>
      </c>
      <c r="K910" s="8" t="s">
        <v>2138</v>
      </c>
    </row>
    <row r="911" hidden="1">
      <c r="A911" s="3" t="str">
        <f t="shared" si="1"/>
        <v>OK</v>
      </c>
      <c r="B911" s="3" t="str">
        <f t="shared" si="2"/>
        <v>OK</v>
      </c>
      <c r="C911" s="5">
        <v>9637.0</v>
      </c>
      <c r="D911" s="6" t="s">
        <v>2139</v>
      </c>
      <c r="E911" s="5" t="s">
        <v>2140</v>
      </c>
      <c r="F911" s="7"/>
      <c r="G911" s="3" t="str">
        <f t="shared" si="3"/>
        <v>XRPL1</v>
      </c>
      <c r="H911" s="3" t="str">
        <f>VLOOKUP($C911,Userpass!$A$2:$L$3001,12,FALSE)</f>
        <v>RPL1</v>
      </c>
      <c r="I911" s="5" t="s">
        <v>1212</v>
      </c>
      <c r="J911" s="5">
        <v>2025.0</v>
      </c>
      <c r="K911" s="8" t="s">
        <v>2141</v>
      </c>
    </row>
    <row r="912" hidden="1">
      <c r="A912" s="3" t="str">
        <f t="shared" si="1"/>
        <v>OK</v>
      </c>
      <c r="B912" s="3" t="str">
        <f t="shared" si="2"/>
        <v>OK</v>
      </c>
      <c r="C912" s="5">
        <v>9650.0</v>
      </c>
      <c r="D912" s="6" t="s">
        <v>2142</v>
      </c>
      <c r="E912" s="5" t="s">
        <v>2143</v>
      </c>
      <c r="F912" s="7"/>
      <c r="G912" s="3" t="str">
        <f t="shared" si="3"/>
        <v>XRPL1</v>
      </c>
      <c r="H912" s="3" t="str">
        <f>VLOOKUP($C912,Userpass!$A$2:$L$3001,12,FALSE)</f>
        <v>RPL1</v>
      </c>
      <c r="I912" s="5" t="s">
        <v>1212</v>
      </c>
      <c r="J912" s="5">
        <v>2025.0</v>
      </c>
      <c r="K912" s="8" t="s">
        <v>2144</v>
      </c>
    </row>
    <row r="913" hidden="1">
      <c r="A913" s="3" t="str">
        <f t="shared" si="1"/>
        <v>OK</v>
      </c>
      <c r="B913" s="3" t="str">
        <f t="shared" si="2"/>
        <v>OK</v>
      </c>
      <c r="C913" s="5">
        <v>9668.0</v>
      </c>
      <c r="D913" s="6" t="s">
        <v>2145</v>
      </c>
      <c r="E913" s="5" t="s">
        <v>2146</v>
      </c>
      <c r="F913" s="7"/>
      <c r="G913" s="3" t="str">
        <f t="shared" si="3"/>
        <v>XRPL1</v>
      </c>
      <c r="H913" s="3" t="str">
        <f>VLOOKUP($C913,Userpass!$A$2:$L$3001,12,FALSE)</f>
        <v>RPL1</v>
      </c>
      <c r="I913" s="5" t="s">
        <v>1212</v>
      </c>
      <c r="J913" s="5">
        <v>2025.0</v>
      </c>
      <c r="K913" s="8" t="s">
        <v>2147</v>
      </c>
    </row>
    <row r="914" hidden="1">
      <c r="A914" s="3" t="str">
        <f t="shared" si="1"/>
        <v>OK</v>
      </c>
      <c r="B914" s="3" t="str">
        <f t="shared" si="2"/>
        <v>OK</v>
      </c>
      <c r="C914" s="5">
        <v>9671.0</v>
      </c>
      <c r="D914" s="6" t="s">
        <v>2148</v>
      </c>
      <c r="E914" s="5" t="s">
        <v>2149</v>
      </c>
      <c r="F914" s="7"/>
      <c r="G914" s="3" t="str">
        <f t="shared" si="3"/>
        <v>XRPL1</v>
      </c>
      <c r="H914" s="3" t="str">
        <f>VLOOKUP($C914,Userpass!$A$2:$L$3001,12,FALSE)</f>
        <v>RPL1</v>
      </c>
      <c r="I914" s="5" t="s">
        <v>1212</v>
      </c>
      <c r="J914" s="5">
        <v>2025.0</v>
      </c>
      <c r="K914" s="8" t="s">
        <v>2150</v>
      </c>
    </row>
    <row r="915" hidden="1">
      <c r="A915" s="3" t="str">
        <f t="shared" si="1"/>
        <v>OK</v>
      </c>
      <c r="B915" s="3" t="str">
        <f t="shared" si="2"/>
        <v>OK</v>
      </c>
      <c r="C915" s="5">
        <v>9677.0</v>
      </c>
      <c r="D915" s="6" t="s">
        <v>2151</v>
      </c>
      <c r="E915" s="5" t="s">
        <v>2152</v>
      </c>
      <c r="F915" s="7"/>
      <c r="G915" s="3" t="str">
        <f t="shared" si="3"/>
        <v>XRPL1</v>
      </c>
      <c r="H915" s="3" t="str">
        <f>VLOOKUP($C915,Userpass!$A$2:$L$3001,12,FALSE)</f>
        <v>RPL1</v>
      </c>
      <c r="I915" s="5" t="s">
        <v>1212</v>
      </c>
      <c r="J915" s="5">
        <v>2025.0</v>
      </c>
      <c r="K915" s="8" t="s">
        <v>2153</v>
      </c>
    </row>
    <row r="916" hidden="1">
      <c r="A916" s="3" t="str">
        <f t="shared" si="1"/>
        <v>OK</v>
      </c>
      <c r="B916" s="3" t="str">
        <f t="shared" si="2"/>
        <v>OK</v>
      </c>
      <c r="C916" s="5">
        <v>9681.0</v>
      </c>
      <c r="D916" s="6" t="s">
        <v>2154</v>
      </c>
      <c r="E916" s="5" t="s">
        <v>2155</v>
      </c>
      <c r="F916" s="7"/>
      <c r="G916" s="3" t="str">
        <f t="shared" si="3"/>
        <v>XRPL1</v>
      </c>
      <c r="H916" s="3" t="str">
        <f>VLOOKUP($C916,Userpass!$A$2:$L$3001,12,FALSE)</f>
        <v>RPL1</v>
      </c>
      <c r="I916" s="5" t="s">
        <v>1212</v>
      </c>
      <c r="J916" s="5">
        <v>2025.0</v>
      </c>
      <c r="K916" s="8" t="s">
        <v>2156</v>
      </c>
    </row>
    <row r="917" hidden="1">
      <c r="A917" s="3" t="str">
        <f t="shared" si="1"/>
        <v>OK</v>
      </c>
      <c r="B917" s="3" t="str">
        <f t="shared" si="2"/>
        <v>OK</v>
      </c>
      <c r="C917" s="5">
        <v>9706.0</v>
      </c>
      <c r="D917" s="6" t="s">
        <v>2157</v>
      </c>
      <c r="E917" s="5" t="s">
        <v>2158</v>
      </c>
      <c r="F917" s="7"/>
      <c r="G917" s="3" t="str">
        <f t="shared" si="3"/>
        <v>XRPL1</v>
      </c>
      <c r="H917" s="3" t="str">
        <f>VLOOKUP($C917,Userpass!$A$2:$L$3001,12,FALSE)</f>
        <v>RPL1</v>
      </c>
      <c r="I917" s="5" t="s">
        <v>1212</v>
      </c>
      <c r="J917" s="5">
        <v>2025.0</v>
      </c>
      <c r="K917" s="8" t="s">
        <v>2159</v>
      </c>
    </row>
    <row r="918" hidden="1">
      <c r="A918" s="3" t="str">
        <f t="shared" si="1"/>
        <v>OK</v>
      </c>
      <c r="B918" s="3" t="str">
        <f t="shared" si="2"/>
        <v>OK</v>
      </c>
      <c r="C918" s="5">
        <v>9721.0</v>
      </c>
      <c r="D918" s="6" t="s">
        <v>2160</v>
      </c>
      <c r="E918" s="5" t="s">
        <v>2161</v>
      </c>
      <c r="F918" s="7"/>
      <c r="G918" s="3" t="str">
        <f t="shared" si="3"/>
        <v>XRPL1</v>
      </c>
      <c r="H918" s="3" t="str">
        <f>VLOOKUP($C918,Userpass!$A$2:$L$3001,12,FALSE)</f>
        <v>RPL1</v>
      </c>
      <c r="I918" s="5" t="s">
        <v>1212</v>
      </c>
      <c r="J918" s="5">
        <v>2025.0</v>
      </c>
      <c r="K918" s="8" t="s">
        <v>2162</v>
      </c>
    </row>
    <row r="919" hidden="1">
      <c r="A919" s="3" t="str">
        <f t="shared" si="1"/>
        <v>OK</v>
      </c>
      <c r="B919" s="3" t="str">
        <f t="shared" si="2"/>
        <v>OK</v>
      </c>
      <c r="C919" s="5">
        <v>9733.0</v>
      </c>
      <c r="D919" s="6" t="s">
        <v>2163</v>
      </c>
      <c r="E919" s="5" t="s">
        <v>2164</v>
      </c>
      <c r="F919" s="7"/>
      <c r="G919" s="3" t="str">
        <f t="shared" si="3"/>
        <v>XRPL1</v>
      </c>
      <c r="H919" s="3" t="str">
        <f>VLOOKUP($C919,Userpass!$A$2:$L$3001,12,FALSE)</f>
        <v>RPL1</v>
      </c>
      <c r="I919" s="5" t="s">
        <v>1212</v>
      </c>
      <c r="J919" s="5">
        <v>2025.0</v>
      </c>
      <c r="K919" s="8" t="s">
        <v>2165</v>
      </c>
    </row>
    <row r="920" hidden="1">
      <c r="A920" s="3" t="str">
        <f t="shared" si="1"/>
        <v>OK</v>
      </c>
      <c r="B920" s="3" t="str">
        <f t="shared" si="2"/>
        <v>OK</v>
      </c>
      <c r="C920" s="5">
        <v>9747.0</v>
      </c>
      <c r="D920" s="6" t="s">
        <v>2166</v>
      </c>
      <c r="E920" s="5" t="s">
        <v>2167</v>
      </c>
      <c r="F920" s="7"/>
      <c r="G920" s="3" t="str">
        <f t="shared" si="3"/>
        <v>XRPL1</v>
      </c>
      <c r="H920" s="3" t="str">
        <f>VLOOKUP($C920,Userpass!$A$2:$L$3001,12,FALSE)</f>
        <v>RPL1</v>
      </c>
      <c r="I920" s="5" t="s">
        <v>1212</v>
      </c>
      <c r="J920" s="5">
        <v>2025.0</v>
      </c>
      <c r="K920" s="8" t="s">
        <v>2168</v>
      </c>
    </row>
    <row r="921" hidden="1">
      <c r="A921" s="3" t="str">
        <f t="shared" si="1"/>
        <v>OK</v>
      </c>
      <c r="B921" s="3" t="str">
        <f t="shared" si="2"/>
        <v>OK</v>
      </c>
      <c r="C921" s="5">
        <v>9784.0</v>
      </c>
      <c r="D921" s="6" t="s">
        <v>2169</v>
      </c>
      <c r="E921" s="5" t="s">
        <v>2170</v>
      </c>
      <c r="F921" s="7"/>
      <c r="G921" s="3" t="str">
        <f t="shared" si="3"/>
        <v>XRPL1</v>
      </c>
      <c r="H921" s="3" t="str">
        <f>VLOOKUP($C921,Userpass!$A$2:$L$3001,12,FALSE)</f>
        <v>RPL1</v>
      </c>
      <c r="I921" s="5" t="s">
        <v>1212</v>
      </c>
      <c r="J921" s="5">
        <v>2025.0</v>
      </c>
      <c r="K921" s="8" t="s">
        <v>2171</v>
      </c>
    </row>
    <row r="922" hidden="1">
      <c r="A922" s="3" t="str">
        <f t="shared" si="1"/>
        <v>OK</v>
      </c>
      <c r="B922" s="3" t="str">
        <f t="shared" si="2"/>
        <v>OK</v>
      </c>
      <c r="C922" s="5">
        <v>9792.0</v>
      </c>
      <c r="D922" s="6" t="s">
        <v>2172</v>
      </c>
      <c r="E922" s="5" t="s">
        <v>2173</v>
      </c>
      <c r="F922" s="7"/>
      <c r="G922" s="3" t="str">
        <f t="shared" si="3"/>
        <v>XRPL1</v>
      </c>
      <c r="H922" s="3" t="str">
        <f>VLOOKUP($C922,Userpass!$A$2:$L$3001,12,FALSE)</f>
        <v>RPL1</v>
      </c>
      <c r="I922" s="5" t="s">
        <v>1212</v>
      </c>
      <c r="J922" s="5">
        <v>2025.0</v>
      </c>
      <c r="K922" s="8" t="s">
        <v>2174</v>
      </c>
    </row>
    <row r="923" hidden="1">
      <c r="A923" s="3" t="str">
        <f t="shared" si="1"/>
        <v>OK</v>
      </c>
      <c r="B923" s="3" t="str">
        <f t="shared" si="2"/>
        <v>OK</v>
      </c>
      <c r="C923" s="5">
        <v>9824.0</v>
      </c>
      <c r="D923" s="6" t="s">
        <v>2175</v>
      </c>
      <c r="E923" s="5" t="s">
        <v>2176</v>
      </c>
      <c r="F923" s="7"/>
      <c r="G923" s="3" t="str">
        <f t="shared" si="3"/>
        <v>XRPL1</v>
      </c>
      <c r="H923" s="3" t="str">
        <f>VLOOKUP($C923,Userpass!$A$2:$L$3001,12,FALSE)</f>
        <v>RPL1</v>
      </c>
      <c r="I923" s="5" t="s">
        <v>1212</v>
      </c>
      <c r="J923" s="5">
        <v>2025.0</v>
      </c>
      <c r="K923" s="8" t="s">
        <v>2177</v>
      </c>
    </row>
    <row r="924" hidden="1">
      <c r="A924" s="3" t="str">
        <f t="shared" si="1"/>
        <v>OK</v>
      </c>
      <c r="B924" s="3" t="str">
        <f t="shared" si="2"/>
        <v>OK</v>
      </c>
      <c r="C924" s="5">
        <v>9844.0</v>
      </c>
      <c r="D924" s="6" t="s">
        <v>2178</v>
      </c>
      <c r="E924" s="5" t="s">
        <v>2179</v>
      </c>
      <c r="F924" s="7"/>
      <c r="G924" s="3" t="str">
        <f t="shared" si="3"/>
        <v>XRPL1</v>
      </c>
      <c r="H924" s="3" t="str">
        <f>VLOOKUP($C924,Userpass!$A$2:$L$3001,12,FALSE)</f>
        <v>RPL1</v>
      </c>
      <c r="I924" s="5" t="s">
        <v>1212</v>
      </c>
      <c r="J924" s="5">
        <v>2025.0</v>
      </c>
      <c r="K924" s="8" t="s">
        <v>2180</v>
      </c>
    </row>
    <row r="925" hidden="1">
      <c r="A925" s="3" t="str">
        <f t="shared" si="1"/>
        <v>OK</v>
      </c>
      <c r="B925" s="3" t="str">
        <f t="shared" si="2"/>
        <v>OK</v>
      </c>
      <c r="C925" s="5">
        <v>9275.0</v>
      </c>
      <c r="D925" s="6" t="s">
        <v>2181</v>
      </c>
      <c r="E925" s="5" t="s">
        <v>2182</v>
      </c>
      <c r="F925" s="7"/>
      <c r="G925" s="3" t="str">
        <f t="shared" si="3"/>
        <v>XRPL2</v>
      </c>
      <c r="H925" s="3" t="str">
        <f>VLOOKUP($C925,Userpass!$A$2:$L$3001,12,FALSE)</f>
        <v>RPL2</v>
      </c>
      <c r="I925" s="5" t="s">
        <v>1212</v>
      </c>
      <c r="J925" s="5">
        <v>2025.0</v>
      </c>
      <c r="K925" s="8" t="s">
        <v>2183</v>
      </c>
    </row>
    <row r="926" hidden="1">
      <c r="A926" s="3" t="str">
        <f t="shared" si="1"/>
        <v>OK</v>
      </c>
      <c r="B926" s="3" t="str">
        <f t="shared" si="2"/>
        <v>OK</v>
      </c>
      <c r="C926" s="5">
        <v>9294.0</v>
      </c>
      <c r="D926" s="6" t="s">
        <v>2184</v>
      </c>
      <c r="E926" s="5" t="s">
        <v>2185</v>
      </c>
      <c r="F926" s="7"/>
      <c r="G926" s="3" t="str">
        <f t="shared" si="3"/>
        <v>XRPL2</v>
      </c>
      <c r="H926" s="3" t="str">
        <f>VLOOKUP($C926,Userpass!$A$2:$L$3001,12,FALSE)</f>
        <v>RPL2</v>
      </c>
      <c r="I926" s="5" t="s">
        <v>1212</v>
      </c>
      <c r="J926" s="5">
        <v>2025.0</v>
      </c>
      <c r="K926" s="8" t="s">
        <v>2186</v>
      </c>
    </row>
    <row r="927" hidden="1">
      <c r="A927" s="3" t="str">
        <f t="shared" si="1"/>
        <v>OK</v>
      </c>
      <c r="B927" s="3" t="str">
        <f t="shared" si="2"/>
        <v>OK</v>
      </c>
      <c r="C927" s="5">
        <v>9313.0</v>
      </c>
      <c r="D927" s="6" t="s">
        <v>2187</v>
      </c>
      <c r="E927" s="5" t="s">
        <v>2188</v>
      </c>
      <c r="F927" s="7"/>
      <c r="G927" s="3" t="str">
        <f t="shared" si="3"/>
        <v>XRPL2</v>
      </c>
      <c r="H927" s="3" t="str">
        <f>VLOOKUP($C927,Userpass!$A$2:$L$3001,12,FALSE)</f>
        <v>RPL2</v>
      </c>
      <c r="I927" s="5" t="s">
        <v>1212</v>
      </c>
      <c r="J927" s="5">
        <v>2025.0</v>
      </c>
      <c r="K927" s="8" t="s">
        <v>2189</v>
      </c>
    </row>
    <row r="928" hidden="1">
      <c r="A928" s="3" t="str">
        <f t="shared" si="1"/>
        <v>OK</v>
      </c>
      <c r="B928" s="3" t="str">
        <f t="shared" si="2"/>
        <v>OK</v>
      </c>
      <c r="C928" s="5">
        <v>9327.0</v>
      </c>
      <c r="D928" s="6" t="s">
        <v>2190</v>
      </c>
      <c r="E928" s="5" t="s">
        <v>2191</v>
      </c>
      <c r="F928" s="7"/>
      <c r="G928" s="3" t="str">
        <f t="shared" si="3"/>
        <v>XRPL2</v>
      </c>
      <c r="H928" s="3" t="str">
        <f>VLOOKUP($C928,Userpass!$A$2:$L$3001,12,FALSE)</f>
        <v>RPL2</v>
      </c>
      <c r="I928" s="5" t="s">
        <v>1212</v>
      </c>
      <c r="J928" s="5">
        <v>2025.0</v>
      </c>
      <c r="K928" s="8" t="s">
        <v>2192</v>
      </c>
    </row>
    <row r="929" hidden="1">
      <c r="A929" s="3" t="str">
        <f t="shared" si="1"/>
        <v>OK</v>
      </c>
      <c r="B929" s="3" t="str">
        <f t="shared" si="2"/>
        <v>OK</v>
      </c>
      <c r="C929" s="5">
        <v>9345.0</v>
      </c>
      <c r="D929" s="6" t="s">
        <v>2193</v>
      </c>
      <c r="E929" s="5" t="s">
        <v>2194</v>
      </c>
      <c r="F929" s="7"/>
      <c r="G929" s="3" t="str">
        <f t="shared" si="3"/>
        <v>XRPL2</v>
      </c>
      <c r="H929" s="3" t="str">
        <f>VLOOKUP($C929,Userpass!$A$2:$L$3001,12,FALSE)</f>
        <v>RPL2</v>
      </c>
      <c r="I929" s="5" t="s">
        <v>1212</v>
      </c>
      <c r="J929" s="5">
        <v>2025.0</v>
      </c>
      <c r="K929" s="8" t="s">
        <v>2195</v>
      </c>
    </row>
    <row r="930" hidden="1">
      <c r="A930" s="3" t="str">
        <f t="shared" si="1"/>
        <v>OK</v>
      </c>
      <c r="B930" s="3" t="str">
        <f t="shared" si="2"/>
        <v>OK</v>
      </c>
      <c r="C930" s="5">
        <v>9373.0</v>
      </c>
      <c r="D930" s="6" t="s">
        <v>2196</v>
      </c>
      <c r="E930" s="5" t="s">
        <v>2197</v>
      </c>
      <c r="F930" s="7"/>
      <c r="G930" s="3" t="str">
        <f t="shared" si="3"/>
        <v>XRPL2</v>
      </c>
      <c r="H930" s="3" t="str">
        <f>VLOOKUP($C930,Userpass!$A$2:$L$3001,12,FALSE)</f>
        <v>RPL2</v>
      </c>
      <c r="I930" s="5" t="s">
        <v>1212</v>
      </c>
      <c r="J930" s="5">
        <v>2025.0</v>
      </c>
      <c r="K930" s="8" t="s">
        <v>2198</v>
      </c>
    </row>
    <row r="931" hidden="1">
      <c r="A931" s="3" t="str">
        <f t="shared" si="1"/>
        <v>OK</v>
      </c>
      <c r="B931" s="3" t="str">
        <f t="shared" si="2"/>
        <v>OK</v>
      </c>
      <c r="C931" s="5">
        <v>9375.0</v>
      </c>
      <c r="D931" s="6" t="s">
        <v>2199</v>
      </c>
      <c r="E931" s="5" t="s">
        <v>2200</v>
      </c>
      <c r="F931" s="7"/>
      <c r="G931" s="3" t="str">
        <f t="shared" si="3"/>
        <v>XRPL2</v>
      </c>
      <c r="H931" s="3" t="str">
        <f>VLOOKUP($C931,Userpass!$A$2:$L$3001,12,FALSE)</f>
        <v>RPL2</v>
      </c>
      <c r="I931" s="5" t="s">
        <v>1212</v>
      </c>
      <c r="J931" s="5">
        <v>2025.0</v>
      </c>
      <c r="K931" s="8" t="s">
        <v>2201</v>
      </c>
    </row>
    <row r="932" hidden="1">
      <c r="A932" s="3" t="str">
        <f t="shared" si="1"/>
        <v>OK</v>
      </c>
      <c r="B932" s="3" t="str">
        <f t="shared" si="2"/>
        <v>OK</v>
      </c>
      <c r="C932" s="5">
        <v>9381.0</v>
      </c>
      <c r="D932" s="6" t="s">
        <v>2202</v>
      </c>
      <c r="E932" s="5" t="s">
        <v>2203</v>
      </c>
      <c r="F932" s="7"/>
      <c r="G932" s="3" t="str">
        <f t="shared" si="3"/>
        <v>XRPL2</v>
      </c>
      <c r="H932" s="3" t="str">
        <f>VLOOKUP($C932,Userpass!$A$2:$L$3001,12,FALSE)</f>
        <v>RPL2</v>
      </c>
      <c r="I932" s="5" t="s">
        <v>1212</v>
      </c>
      <c r="J932" s="5">
        <v>2025.0</v>
      </c>
      <c r="K932" s="8" t="s">
        <v>2204</v>
      </c>
    </row>
    <row r="933" hidden="1">
      <c r="A933" s="3" t="str">
        <f t="shared" si="1"/>
        <v>OK</v>
      </c>
      <c r="B933" s="3" t="str">
        <f t="shared" si="2"/>
        <v>OK</v>
      </c>
      <c r="C933" s="5">
        <v>9397.0</v>
      </c>
      <c r="D933" s="6" t="s">
        <v>2205</v>
      </c>
      <c r="E933" s="5" t="s">
        <v>2206</v>
      </c>
      <c r="F933" s="7"/>
      <c r="G933" s="3" t="str">
        <f t="shared" si="3"/>
        <v>XRPL2</v>
      </c>
      <c r="H933" s="3" t="str">
        <f>VLOOKUP($C933,Userpass!$A$2:$L$3001,12,FALSE)</f>
        <v>RPL2</v>
      </c>
      <c r="I933" s="5" t="s">
        <v>1212</v>
      </c>
      <c r="J933" s="5">
        <v>2025.0</v>
      </c>
      <c r="K933" s="8" t="s">
        <v>2207</v>
      </c>
    </row>
    <row r="934" hidden="1">
      <c r="A934" s="3" t="str">
        <f t="shared" si="1"/>
        <v>OK</v>
      </c>
      <c r="B934" s="3" t="str">
        <f t="shared" si="2"/>
        <v>OK</v>
      </c>
      <c r="C934" s="5">
        <v>9418.0</v>
      </c>
      <c r="D934" s="6" t="s">
        <v>2208</v>
      </c>
      <c r="E934" s="5" t="s">
        <v>2209</v>
      </c>
      <c r="F934" s="7"/>
      <c r="G934" s="3" t="str">
        <f t="shared" si="3"/>
        <v>XRPL2</v>
      </c>
      <c r="H934" s="3" t="str">
        <f>VLOOKUP($C934,Userpass!$A$2:$L$3001,12,FALSE)</f>
        <v>RPL2</v>
      </c>
      <c r="I934" s="5" t="s">
        <v>1212</v>
      </c>
      <c r="J934" s="5">
        <v>2025.0</v>
      </c>
      <c r="K934" s="8" t="s">
        <v>2210</v>
      </c>
    </row>
    <row r="935" hidden="1">
      <c r="A935" s="3" t="str">
        <f t="shared" si="1"/>
        <v>OK</v>
      </c>
      <c r="B935" s="3" t="str">
        <f t="shared" si="2"/>
        <v>OK</v>
      </c>
      <c r="C935" s="5">
        <v>9453.0</v>
      </c>
      <c r="D935" s="6" t="s">
        <v>2211</v>
      </c>
      <c r="E935" s="5" t="s">
        <v>2212</v>
      </c>
      <c r="F935" s="7"/>
      <c r="G935" s="3" t="str">
        <f t="shared" si="3"/>
        <v>XRPL2</v>
      </c>
      <c r="H935" s="3" t="str">
        <f>VLOOKUP($C935,Userpass!$A$2:$L$3001,12,FALSE)</f>
        <v>RPL2</v>
      </c>
      <c r="I935" s="5" t="s">
        <v>1212</v>
      </c>
      <c r="J935" s="5">
        <v>2025.0</v>
      </c>
      <c r="K935" s="8" t="s">
        <v>2213</v>
      </c>
    </row>
    <row r="936" hidden="1">
      <c r="A936" s="3" t="str">
        <f t="shared" si="1"/>
        <v>OK</v>
      </c>
      <c r="B936" s="3" t="str">
        <f t="shared" si="2"/>
        <v>OK</v>
      </c>
      <c r="C936" s="5">
        <v>9473.0</v>
      </c>
      <c r="D936" s="6" t="s">
        <v>2214</v>
      </c>
      <c r="E936" s="5" t="s">
        <v>2215</v>
      </c>
      <c r="F936" s="7"/>
      <c r="G936" s="3" t="str">
        <f t="shared" si="3"/>
        <v>XRPL2</v>
      </c>
      <c r="H936" s="3" t="str">
        <f>VLOOKUP($C936,Userpass!$A$2:$L$3001,12,FALSE)</f>
        <v>RPL2</v>
      </c>
      <c r="I936" s="5" t="s">
        <v>1212</v>
      </c>
      <c r="J936" s="5">
        <v>2025.0</v>
      </c>
      <c r="K936" s="8" t="s">
        <v>2216</v>
      </c>
    </row>
    <row r="937" hidden="1">
      <c r="A937" s="3" t="str">
        <f t="shared" si="1"/>
        <v>OK</v>
      </c>
      <c r="B937" s="3" t="str">
        <f t="shared" si="2"/>
        <v>OK</v>
      </c>
      <c r="C937" s="5">
        <v>9505.0</v>
      </c>
      <c r="D937" s="6" t="s">
        <v>2217</v>
      </c>
      <c r="E937" s="5" t="s">
        <v>2218</v>
      </c>
      <c r="F937" s="7"/>
      <c r="G937" s="3" t="str">
        <f t="shared" si="3"/>
        <v>XRPL2</v>
      </c>
      <c r="H937" s="3" t="str">
        <f>VLOOKUP($C937,Userpass!$A$2:$L$3001,12,FALSE)</f>
        <v>RPL2</v>
      </c>
      <c r="I937" s="5" t="s">
        <v>1212</v>
      </c>
      <c r="J937" s="5">
        <v>2025.0</v>
      </c>
      <c r="K937" s="8" t="s">
        <v>2219</v>
      </c>
    </row>
    <row r="938" hidden="1">
      <c r="A938" s="3" t="str">
        <f t="shared" si="1"/>
        <v>OK</v>
      </c>
      <c r="B938" s="3" t="str">
        <f t="shared" si="2"/>
        <v>OK</v>
      </c>
      <c r="C938" s="5">
        <v>9509.0</v>
      </c>
      <c r="D938" s="6" t="s">
        <v>2220</v>
      </c>
      <c r="E938" s="5" t="s">
        <v>2221</v>
      </c>
      <c r="F938" s="7"/>
      <c r="G938" s="3" t="str">
        <f t="shared" si="3"/>
        <v>XRPL2</v>
      </c>
      <c r="H938" s="3" t="str">
        <f>VLOOKUP($C938,Userpass!$A$2:$L$3001,12,FALSE)</f>
        <v>RPL2</v>
      </c>
      <c r="I938" s="5" t="s">
        <v>1212</v>
      </c>
      <c r="J938" s="5">
        <v>2025.0</v>
      </c>
      <c r="K938" s="8" t="s">
        <v>2222</v>
      </c>
    </row>
    <row r="939" hidden="1">
      <c r="A939" s="3" t="str">
        <f t="shared" si="1"/>
        <v>OK</v>
      </c>
      <c r="B939" s="3" t="str">
        <f t="shared" si="2"/>
        <v>OK</v>
      </c>
      <c r="C939" s="5">
        <v>9522.0</v>
      </c>
      <c r="D939" s="6" t="s">
        <v>2223</v>
      </c>
      <c r="E939" s="5" t="s">
        <v>2224</v>
      </c>
      <c r="F939" s="7"/>
      <c r="G939" s="3" t="str">
        <f t="shared" si="3"/>
        <v>XRPL2</v>
      </c>
      <c r="H939" s="3" t="str">
        <f>VLOOKUP($C939,Userpass!$A$2:$L$3001,12,FALSE)</f>
        <v>RPL2</v>
      </c>
      <c r="I939" s="5" t="s">
        <v>1212</v>
      </c>
      <c r="J939" s="5">
        <v>2025.0</v>
      </c>
      <c r="K939" s="8" t="s">
        <v>2225</v>
      </c>
    </row>
    <row r="940" hidden="1">
      <c r="A940" s="3" t="str">
        <f t="shared" si="1"/>
        <v>OK</v>
      </c>
      <c r="B940" s="3" t="str">
        <f t="shared" si="2"/>
        <v>OK</v>
      </c>
      <c r="C940" s="5">
        <v>9545.0</v>
      </c>
      <c r="D940" s="6" t="s">
        <v>2226</v>
      </c>
      <c r="E940" s="5" t="s">
        <v>2227</v>
      </c>
      <c r="F940" s="7"/>
      <c r="G940" s="3" t="str">
        <f t="shared" si="3"/>
        <v>XRPL2</v>
      </c>
      <c r="H940" s="3" t="str">
        <f>VLOOKUP($C940,Userpass!$A$2:$L$3001,12,FALSE)</f>
        <v>RPL2</v>
      </c>
      <c r="I940" s="5" t="s">
        <v>1212</v>
      </c>
      <c r="J940" s="5">
        <v>2025.0</v>
      </c>
      <c r="K940" s="8" t="s">
        <v>2228</v>
      </c>
    </row>
    <row r="941" hidden="1">
      <c r="A941" s="3" t="str">
        <f t="shared" si="1"/>
        <v>OK</v>
      </c>
      <c r="B941" s="3" t="str">
        <f t="shared" si="2"/>
        <v>OK</v>
      </c>
      <c r="C941" s="5">
        <v>9554.0</v>
      </c>
      <c r="D941" s="6" t="s">
        <v>2229</v>
      </c>
      <c r="E941" s="5" t="s">
        <v>2230</v>
      </c>
      <c r="F941" s="7"/>
      <c r="G941" s="3" t="str">
        <f t="shared" si="3"/>
        <v>XRPL2</v>
      </c>
      <c r="H941" s="3" t="str">
        <f>VLOOKUP($C941,Userpass!$A$2:$L$3001,12,FALSE)</f>
        <v>RPL2</v>
      </c>
      <c r="I941" s="5" t="s">
        <v>1212</v>
      </c>
      <c r="J941" s="5">
        <v>2025.0</v>
      </c>
      <c r="K941" s="8" t="s">
        <v>2231</v>
      </c>
    </row>
    <row r="942" hidden="1">
      <c r="A942" s="3" t="str">
        <f t="shared" si="1"/>
        <v>OK</v>
      </c>
      <c r="B942" s="3" t="str">
        <f t="shared" si="2"/>
        <v>OK</v>
      </c>
      <c r="C942" s="5">
        <v>9571.0</v>
      </c>
      <c r="D942" s="6" t="s">
        <v>2232</v>
      </c>
      <c r="E942" s="5" t="s">
        <v>2233</v>
      </c>
      <c r="F942" s="7"/>
      <c r="G942" s="3" t="str">
        <f t="shared" si="3"/>
        <v>XRPL2</v>
      </c>
      <c r="H942" s="3" t="str">
        <f>VLOOKUP($C942,Userpass!$A$2:$L$3001,12,FALSE)</f>
        <v>RPL2</v>
      </c>
      <c r="I942" s="5" t="s">
        <v>1212</v>
      </c>
      <c r="J942" s="5">
        <v>2025.0</v>
      </c>
      <c r="K942" s="8" t="s">
        <v>2234</v>
      </c>
    </row>
    <row r="943" hidden="1">
      <c r="A943" s="3" t="str">
        <f t="shared" si="1"/>
        <v>OK</v>
      </c>
      <c r="B943" s="3" t="str">
        <f t="shared" si="2"/>
        <v>OK</v>
      </c>
      <c r="C943" s="5">
        <v>9591.0</v>
      </c>
      <c r="D943" s="6" t="s">
        <v>2235</v>
      </c>
      <c r="E943" s="5" t="s">
        <v>2236</v>
      </c>
      <c r="F943" s="7"/>
      <c r="G943" s="3" t="str">
        <f t="shared" si="3"/>
        <v>XRPL2</v>
      </c>
      <c r="H943" s="3" t="str">
        <f>VLOOKUP($C943,Userpass!$A$2:$L$3001,12,FALSE)</f>
        <v>RPL2</v>
      </c>
      <c r="I943" s="5" t="s">
        <v>1212</v>
      </c>
      <c r="J943" s="5">
        <v>2025.0</v>
      </c>
      <c r="K943" s="8" t="s">
        <v>2237</v>
      </c>
    </row>
    <row r="944" hidden="1">
      <c r="A944" s="3" t="str">
        <f t="shared" si="1"/>
        <v>OK</v>
      </c>
      <c r="B944" s="3" t="str">
        <f t="shared" si="2"/>
        <v>OK</v>
      </c>
      <c r="C944" s="5">
        <v>9604.0</v>
      </c>
      <c r="D944" s="6" t="s">
        <v>2238</v>
      </c>
      <c r="E944" s="5" t="s">
        <v>2239</v>
      </c>
      <c r="F944" s="7"/>
      <c r="G944" s="3" t="str">
        <f t="shared" si="3"/>
        <v>XRPL2</v>
      </c>
      <c r="H944" s="3" t="str">
        <f>VLOOKUP($C944,Userpass!$A$2:$L$3001,12,FALSE)</f>
        <v>RPL2</v>
      </c>
      <c r="I944" s="5" t="s">
        <v>1212</v>
      </c>
      <c r="J944" s="5">
        <v>2025.0</v>
      </c>
      <c r="K944" s="8" t="s">
        <v>2240</v>
      </c>
    </row>
    <row r="945" hidden="1">
      <c r="A945" s="3" t="str">
        <f t="shared" si="1"/>
        <v>OK</v>
      </c>
      <c r="B945" s="3" t="str">
        <f t="shared" si="2"/>
        <v>OK</v>
      </c>
      <c r="C945" s="5">
        <v>9609.0</v>
      </c>
      <c r="D945" s="6" t="s">
        <v>2241</v>
      </c>
      <c r="E945" s="5" t="s">
        <v>2242</v>
      </c>
      <c r="F945" s="7"/>
      <c r="G945" s="3" t="str">
        <f t="shared" si="3"/>
        <v>XRPL2</v>
      </c>
      <c r="H945" s="3" t="str">
        <f>VLOOKUP($C945,Userpass!$A$2:$L$3001,12,FALSE)</f>
        <v>RPL2</v>
      </c>
      <c r="I945" s="5" t="s">
        <v>1212</v>
      </c>
      <c r="J945" s="5">
        <v>2025.0</v>
      </c>
      <c r="K945" s="8" t="s">
        <v>2243</v>
      </c>
    </row>
    <row r="946" hidden="1">
      <c r="A946" s="3" t="str">
        <f t="shared" si="1"/>
        <v>OK</v>
      </c>
      <c r="B946" s="3" t="str">
        <f t="shared" si="2"/>
        <v>OK</v>
      </c>
      <c r="C946" s="5">
        <v>9631.0</v>
      </c>
      <c r="D946" s="6" t="s">
        <v>2244</v>
      </c>
      <c r="E946" s="5" t="s">
        <v>2245</v>
      </c>
      <c r="F946" s="7"/>
      <c r="G946" s="3" t="str">
        <f t="shared" si="3"/>
        <v>XRPL2</v>
      </c>
      <c r="H946" s="3" t="str">
        <f>VLOOKUP($C946,Userpass!$A$2:$L$3001,12,FALSE)</f>
        <v>RPL2</v>
      </c>
      <c r="I946" s="5" t="s">
        <v>1212</v>
      </c>
      <c r="J946" s="5">
        <v>2025.0</v>
      </c>
      <c r="K946" s="8" t="s">
        <v>2246</v>
      </c>
    </row>
    <row r="947" hidden="1">
      <c r="A947" s="3" t="str">
        <f t="shared" si="1"/>
        <v>OK</v>
      </c>
      <c r="B947" s="3" t="str">
        <f t="shared" si="2"/>
        <v>OK</v>
      </c>
      <c r="C947" s="5">
        <v>9639.0</v>
      </c>
      <c r="D947" s="6" t="s">
        <v>2247</v>
      </c>
      <c r="E947" s="5" t="s">
        <v>2248</v>
      </c>
      <c r="F947" s="7"/>
      <c r="G947" s="3" t="str">
        <f t="shared" si="3"/>
        <v>XRPL2</v>
      </c>
      <c r="H947" s="3" t="str">
        <f>VLOOKUP($C947,Userpass!$A$2:$L$3001,12,FALSE)</f>
        <v>RPL2</v>
      </c>
      <c r="I947" s="5" t="s">
        <v>1212</v>
      </c>
      <c r="J947" s="5">
        <v>2025.0</v>
      </c>
      <c r="K947" s="8" t="s">
        <v>2249</v>
      </c>
    </row>
    <row r="948" hidden="1">
      <c r="A948" s="3" t="str">
        <f t="shared" si="1"/>
        <v>OK</v>
      </c>
      <c r="B948" s="3" t="str">
        <f t="shared" si="2"/>
        <v>OK</v>
      </c>
      <c r="C948" s="5">
        <v>9666.0</v>
      </c>
      <c r="D948" s="6" t="s">
        <v>2250</v>
      </c>
      <c r="E948" s="5" t="s">
        <v>2251</v>
      </c>
      <c r="F948" s="7"/>
      <c r="G948" s="3" t="str">
        <f t="shared" si="3"/>
        <v>XRPL2</v>
      </c>
      <c r="H948" s="3" t="str">
        <f>VLOOKUP($C948,Userpass!$A$2:$L$3001,12,FALSE)</f>
        <v>RPL2</v>
      </c>
      <c r="I948" s="5" t="s">
        <v>1212</v>
      </c>
      <c r="J948" s="5">
        <v>2025.0</v>
      </c>
      <c r="K948" s="8" t="s">
        <v>2252</v>
      </c>
    </row>
    <row r="949" hidden="1">
      <c r="A949" s="3" t="str">
        <f t="shared" si="1"/>
        <v>OK</v>
      </c>
      <c r="B949" s="3" t="str">
        <f t="shared" si="2"/>
        <v>OK</v>
      </c>
      <c r="C949" s="5">
        <v>9669.0</v>
      </c>
      <c r="D949" s="6" t="s">
        <v>2253</v>
      </c>
      <c r="E949" s="5" t="s">
        <v>2254</v>
      </c>
      <c r="F949" s="7"/>
      <c r="G949" s="3" t="str">
        <f t="shared" si="3"/>
        <v>XRPL2</v>
      </c>
      <c r="H949" s="3" t="str">
        <f>VLOOKUP($C949,Userpass!$A$2:$L$3001,12,FALSE)</f>
        <v>RPL2</v>
      </c>
      <c r="I949" s="5" t="s">
        <v>1212</v>
      </c>
      <c r="J949" s="5">
        <v>2025.0</v>
      </c>
      <c r="K949" s="8" t="s">
        <v>2255</v>
      </c>
    </row>
    <row r="950" hidden="1">
      <c r="A950" s="3" t="str">
        <f t="shared" si="1"/>
        <v>OK</v>
      </c>
      <c r="B950" s="3" t="str">
        <f t="shared" si="2"/>
        <v>OK</v>
      </c>
      <c r="C950" s="5">
        <v>9674.0</v>
      </c>
      <c r="D950" s="6" t="s">
        <v>2256</v>
      </c>
      <c r="E950" s="5" t="s">
        <v>2257</v>
      </c>
      <c r="F950" s="7"/>
      <c r="G950" s="3" t="str">
        <f t="shared" si="3"/>
        <v>XRPL2</v>
      </c>
      <c r="H950" s="3" t="str">
        <f>VLOOKUP($C950,Userpass!$A$2:$L$3001,12,FALSE)</f>
        <v>RPL2</v>
      </c>
      <c r="I950" s="5" t="s">
        <v>1212</v>
      </c>
      <c r="J950" s="5">
        <v>2025.0</v>
      </c>
      <c r="K950" s="8" t="s">
        <v>2258</v>
      </c>
    </row>
    <row r="951" hidden="1">
      <c r="A951" s="3" t="str">
        <f t="shared" si="1"/>
        <v>OK</v>
      </c>
      <c r="B951" s="3" t="str">
        <f t="shared" si="2"/>
        <v>OK</v>
      </c>
      <c r="C951" s="5">
        <v>9679.0</v>
      </c>
      <c r="D951" s="6" t="s">
        <v>2259</v>
      </c>
      <c r="E951" s="5" t="s">
        <v>2260</v>
      </c>
      <c r="F951" s="7"/>
      <c r="G951" s="3" t="str">
        <f t="shared" si="3"/>
        <v>XRPL2</v>
      </c>
      <c r="H951" s="3" t="str">
        <f>VLOOKUP($C951,Userpass!$A$2:$L$3001,12,FALSE)</f>
        <v>RPL2</v>
      </c>
      <c r="I951" s="5" t="s">
        <v>1212</v>
      </c>
      <c r="J951" s="5">
        <v>2025.0</v>
      </c>
      <c r="K951" s="8" t="s">
        <v>2261</v>
      </c>
    </row>
    <row r="952" hidden="1">
      <c r="A952" s="3" t="str">
        <f t="shared" si="1"/>
        <v>OK</v>
      </c>
      <c r="B952" s="3" t="str">
        <f t="shared" si="2"/>
        <v>OK</v>
      </c>
      <c r="C952" s="5">
        <v>9703.0</v>
      </c>
      <c r="D952" s="6" t="s">
        <v>2262</v>
      </c>
      <c r="E952" s="5" t="s">
        <v>2263</v>
      </c>
      <c r="F952" s="7"/>
      <c r="G952" s="3" t="str">
        <f t="shared" si="3"/>
        <v>XRPL2</v>
      </c>
      <c r="H952" s="3" t="str">
        <f>VLOOKUP($C952,Userpass!$A$2:$L$3001,12,FALSE)</f>
        <v>RPL2</v>
      </c>
      <c r="I952" s="5" t="s">
        <v>1212</v>
      </c>
      <c r="J952" s="5">
        <v>2025.0</v>
      </c>
      <c r="K952" s="8" t="s">
        <v>2264</v>
      </c>
    </row>
    <row r="953" hidden="1">
      <c r="A953" s="3" t="str">
        <f t="shared" si="1"/>
        <v>OK</v>
      </c>
      <c r="B953" s="3" t="str">
        <f t="shared" si="2"/>
        <v>OK</v>
      </c>
      <c r="C953" s="5">
        <v>9717.0</v>
      </c>
      <c r="D953" s="6" t="s">
        <v>2265</v>
      </c>
      <c r="E953" s="5" t="s">
        <v>2266</v>
      </c>
      <c r="F953" s="7"/>
      <c r="G953" s="3" t="str">
        <f t="shared" si="3"/>
        <v>XRPL2</v>
      </c>
      <c r="H953" s="3" t="str">
        <f>VLOOKUP($C953,Userpass!$A$2:$L$3001,12,FALSE)</f>
        <v>RPL2</v>
      </c>
      <c r="I953" s="5" t="s">
        <v>1212</v>
      </c>
      <c r="J953" s="5">
        <v>2025.0</v>
      </c>
      <c r="K953" s="8" t="s">
        <v>2267</v>
      </c>
    </row>
    <row r="954" hidden="1">
      <c r="A954" s="3" t="str">
        <f t="shared" si="1"/>
        <v>OK</v>
      </c>
      <c r="B954" s="3" t="str">
        <f t="shared" si="2"/>
        <v>OK</v>
      </c>
      <c r="C954" s="5">
        <v>9730.0</v>
      </c>
      <c r="D954" s="6" t="s">
        <v>2268</v>
      </c>
      <c r="E954" s="5" t="s">
        <v>2269</v>
      </c>
      <c r="F954" s="7"/>
      <c r="G954" s="3" t="str">
        <f t="shared" si="3"/>
        <v>XRPL2</v>
      </c>
      <c r="H954" s="3" t="str">
        <f>VLOOKUP($C954,Userpass!$A$2:$L$3001,12,FALSE)</f>
        <v>RPL2</v>
      </c>
      <c r="I954" s="5" t="s">
        <v>1212</v>
      </c>
      <c r="J954" s="5">
        <v>2025.0</v>
      </c>
      <c r="K954" s="8" t="s">
        <v>2270</v>
      </c>
    </row>
    <row r="955" hidden="1">
      <c r="A955" s="3" t="str">
        <f t="shared" si="1"/>
        <v>OK</v>
      </c>
      <c r="B955" s="3" t="str">
        <f t="shared" si="2"/>
        <v>OK</v>
      </c>
      <c r="C955" s="5">
        <v>9734.0</v>
      </c>
      <c r="D955" s="6" t="s">
        <v>2271</v>
      </c>
      <c r="E955" s="5" t="s">
        <v>2272</v>
      </c>
      <c r="F955" s="7"/>
      <c r="G955" s="3" t="str">
        <f t="shared" si="3"/>
        <v>XRPL2</v>
      </c>
      <c r="H955" s="3" t="str">
        <f>VLOOKUP($C955,Userpass!$A$2:$L$3001,12,FALSE)</f>
        <v>RPL2</v>
      </c>
      <c r="I955" s="5" t="s">
        <v>1212</v>
      </c>
      <c r="J955" s="5">
        <v>2025.0</v>
      </c>
      <c r="K955" s="8" t="s">
        <v>2273</v>
      </c>
    </row>
    <row r="956" hidden="1">
      <c r="A956" s="3" t="str">
        <f t="shared" si="1"/>
        <v>OK</v>
      </c>
      <c r="B956" s="3" t="str">
        <f t="shared" si="2"/>
        <v>OK</v>
      </c>
      <c r="C956" s="5">
        <v>9753.0</v>
      </c>
      <c r="D956" s="6" t="s">
        <v>2274</v>
      </c>
      <c r="E956" s="5" t="s">
        <v>2275</v>
      </c>
      <c r="F956" s="7"/>
      <c r="G956" s="3" t="str">
        <f t="shared" si="3"/>
        <v>XRPL2</v>
      </c>
      <c r="H956" s="3" t="str">
        <f>VLOOKUP($C956,Userpass!$A$2:$L$3001,12,FALSE)</f>
        <v>RPL2</v>
      </c>
      <c r="I956" s="5" t="s">
        <v>1212</v>
      </c>
      <c r="J956" s="5">
        <v>2025.0</v>
      </c>
      <c r="K956" s="8" t="s">
        <v>2276</v>
      </c>
    </row>
    <row r="957" hidden="1">
      <c r="A957" s="3" t="str">
        <f t="shared" si="1"/>
        <v>OK</v>
      </c>
      <c r="B957" s="3" t="str">
        <f t="shared" si="2"/>
        <v>OK</v>
      </c>
      <c r="C957" s="5">
        <v>9789.0</v>
      </c>
      <c r="D957" s="6" t="s">
        <v>2277</v>
      </c>
      <c r="E957" s="5" t="s">
        <v>2278</v>
      </c>
      <c r="F957" s="7"/>
      <c r="G957" s="3" t="str">
        <f t="shared" si="3"/>
        <v>XRPL2</v>
      </c>
      <c r="H957" s="3" t="str">
        <f>VLOOKUP($C957,Userpass!$A$2:$L$3001,12,FALSE)</f>
        <v>RPL2</v>
      </c>
      <c r="I957" s="5" t="s">
        <v>1212</v>
      </c>
      <c r="J957" s="5">
        <v>2025.0</v>
      </c>
      <c r="K957" s="8" t="s">
        <v>2279</v>
      </c>
    </row>
    <row r="958" hidden="1">
      <c r="A958" s="3" t="str">
        <f t="shared" si="1"/>
        <v>OK</v>
      </c>
      <c r="B958" s="3" t="str">
        <f t="shared" si="2"/>
        <v>OK</v>
      </c>
      <c r="C958" s="5">
        <v>9818.0</v>
      </c>
      <c r="D958" s="6" t="s">
        <v>2280</v>
      </c>
      <c r="E958" s="5" t="s">
        <v>2281</v>
      </c>
      <c r="F958" s="7"/>
      <c r="G958" s="3" t="str">
        <f t="shared" si="3"/>
        <v>XRPL2</v>
      </c>
      <c r="H958" s="3" t="str">
        <f>VLOOKUP($C958,Userpass!$A$2:$L$3001,12,FALSE)</f>
        <v>RPL2</v>
      </c>
      <c r="I958" s="5" t="s">
        <v>1212</v>
      </c>
      <c r="J958" s="5">
        <v>2025.0</v>
      </c>
      <c r="K958" s="8" t="s">
        <v>2282</v>
      </c>
    </row>
    <row r="959" hidden="1">
      <c r="A959" s="3" t="str">
        <f t="shared" si="1"/>
        <v>OK</v>
      </c>
      <c r="B959" s="3" t="str">
        <f t="shared" si="2"/>
        <v>OK</v>
      </c>
      <c r="C959" s="5">
        <v>9834.0</v>
      </c>
      <c r="D959" s="6" t="s">
        <v>2283</v>
      </c>
      <c r="E959" s="5" t="s">
        <v>2284</v>
      </c>
      <c r="F959" s="7"/>
      <c r="G959" s="3" t="str">
        <f t="shared" si="3"/>
        <v>XRPL2</v>
      </c>
      <c r="H959" s="3" t="str">
        <f>VLOOKUP($C959,Userpass!$A$2:$L$3001,12,FALSE)</f>
        <v>RPL2</v>
      </c>
      <c r="I959" s="5" t="s">
        <v>1212</v>
      </c>
      <c r="J959" s="5">
        <v>2025.0</v>
      </c>
      <c r="K959" s="8" t="s">
        <v>2285</v>
      </c>
    </row>
    <row r="960" hidden="1">
      <c r="A960" s="3" t="str">
        <f t="shared" si="1"/>
        <v>OK</v>
      </c>
      <c r="B960" s="3" t="str">
        <f t="shared" si="2"/>
        <v>OK</v>
      </c>
      <c r="C960" s="5">
        <v>9851.0</v>
      </c>
      <c r="D960" s="6" t="s">
        <v>2286</v>
      </c>
      <c r="E960" s="5" t="s">
        <v>2287</v>
      </c>
      <c r="F960" s="7"/>
      <c r="G960" s="3" t="str">
        <f t="shared" si="3"/>
        <v>XRPL2</v>
      </c>
      <c r="H960" s="3" t="str">
        <f>VLOOKUP($C960,Userpass!$A$2:$L$3001,12,FALSE)</f>
        <v>RPL2</v>
      </c>
      <c r="I960" s="5" t="s">
        <v>1212</v>
      </c>
      <c r="J960" s="5">
        <v>2025.0</v>
      </c>
      <c r="K960" s="8" t="s">
        <v>2288</v>
      </c>
    </row>
    <row r="961" hidden="1">
      <c r="A961" s="3" t="str">
        <f t="shared" si="1"/>
        <v>OK</v>
      </c>
      <c r="B961" s="3" t="str">
        <f t="shared" si="2"/>
        <v>OK</v>
      </c>
      <c r="C961" s="5">
        <v>9247.0</v>
      </c>
      <c r="D961" s="6" t="s">
        <v>2289</v>
      </c>
      <c r="E961" s="5" t="s">
        <v>2290</v>
      </c>
      <c r="F961" s="7"/>
      <c r="G961" s="3" t="str">
        <f t="shared" si="3"/>
        <v>XTKJ1</v>
      </c>
      <c r="H961" s="3" t="str">
        <f>VLOOKUP($C961,Userpass!$A$2:$L$3001,12,FALSE)</f>
        <v>TKJ1</v>
      </c>
      <c r="I961" s="5" t="s">
        <v>1212</v>
      </c>
      <c r="J961" s="5">
        <v>2025.0</v>
      </c>
      <c r="K961" s="8" t="s">
        <v>2291</v>
      </c>
    </row>
    <row r="962" hidden="1">
      <c r="A962" s="3" t="str">
        <f t="shared" si="1"/>
        <v>OK</v>
      </c>
      <c r="B962" s="3" t="str">
        <f t="shared" si="2"/>
        <v>OK</v>
      </c>
      <c r="C962" s="5">
        <v>9283.0</v>
      </c>
      <c r="D962" s="6" t="s">
        <v>2292</v>
      </c>
      <c r="E962" s="5" t="s">
        <v>2293</v>
      </c>
      <c r="F962" s="7"/>
      <c r="G962" s="3" t="str">
        <f t="shared" si="3"/>
        <v>XTKJ1</v>
      </c>
      <c r="H962" s="3" t="str">
        <f>VLOOKUP($C962,Userpass!$A$2:$L$3001,12,FALSE)</f>
        <v>TKJ1</v>
      </c>
      <c r="I962" s="5" t="s">
        <v>1212</v>
      </c>
      <c r="J962" s="5">
        <v>2025.0</v>
      </c>
      <c r="K962" s="8" t="s">
        <v>2294</v>
      </c>
    </row>
    <row r="963" hidden="1">
      <c r="A963" s="3" t="str">
        <f t="shared" si="1"/>
        <v>OK</v>
      </c>
      <c r="B963" s="3" t="str">
        <f t="shared" si="2"/>
        <v>OK</v>
      </c>
      <c r="C963" s="5">
        <v>9304.0</v>
      </c>
      <c r="D963" s="6" t="s">
        <v>2295</v>
      </c>
      <c r="E963" s="5" t="s">
        <v>2296</v>
      </c>
      <c r="F963" s="7"/>
      <c r="G963" s="3" t="str">
        <f t="shared" si="3"/>
        <v>XTKJ1</v>
      </c>
      <c r="H963" s="3" t="str">
        <f>VLOOKUP($C963,Userpass!$A$2:$L$3001,12,FALSE)</f>
        <v>TKJ1</v>
      </c>
      <c r="I963" s="5" t="s">
        <v>1212</v>
      </c>
      <c r="J963" s="5">
        <v>2025.0</v>
      </c>
      <c r="K963" s="8" t="s">
        <v>2297</v>
      </c>
    </row>
    <row r="964" hidden="1">
      <c r="A964" s="3" t="str">
        <f t="shared" si="1"/>
        <v>OK</v>
      </c>
      <c r="B964" s="3" t="str">
        <f t="shared" si="2"/>
        <v>OK</v>
      </c>
      <c r="C964" s="5">
        <v>9332.0</v>
      </c>
      <c r="D964" s="6" t="s">
        <v>2298</v>
      </c>
      <c r="E964" s="5" t="s">
        <v>2299</v>
      </c>
      <c r="F964" s="7"/>
      <c r="G964" s="3" t="str">
        <f t="shared" si="3"/>
        <v>XTKJ1</v>
      </c>
      <c r="H964" s="3" t="str">
        <f>VLOOKUP($C964,Userpass!$A$2:$L$3001,12,FALSE)</f>
        <v>TKJ1</v>
      </c>
      <c r="I964" s="5" t="s">
        <v>1212</v>
      </c>
      <c r="J964" s="5">
        <v>2025.0</v>
      </c>
      <c r="K964" s="8" t="s">
        <v>2300</v>
      </c>
    </row>
    <row r="965" hidden="1">
      <c r="A965" s="3" t="str">
        <f t="shared" si="1"/>
        <v>OK</v>
      </c>
      <c r="B965" s="3" t="str">
        <f t="shared" si="2"/>
        <v>OK</v>
      </c>
      <c r="C965" s="5">
        <v>9340.0</v>
      </c>
      <c r="D965" s="6" t="s">
        <v>2301</v>
      </c>
      <c r="E965" s="5" t="s">
        <v>2302</v>
      </c>
      <c r="F965" s="7"/>
      <c r="G965" s="3" t="str">
        <f t="shared" si="3"/>
        <v>XTKJ1</v>
      </c>
      <c r="H965" s="3" t="str">
        <f>VLOOKUP($C965,Userpass!$A$2:$L$3001,12,FALSE)</f>
        <v>TKJ1</v>
      </c>
      <c r="I965" s="5" t="s">
        <v>1212</v>
      </c>
      <c r="J965" s="5">
        <v>2025.0</v>
      </c>
      <c r="K965" s="8" t="s">
        <v>2303</v>
      </c>
    </row>
    <row r="966" hidden="1">
      <c r="A966" s="3" t="str">
        <f t="shared" si="1"/>
        <v>OK</v>
      </c>
      <c r="B966" s="3" t="str">
        <f t="shared" si="2"/>
        <v>OK</v>
      </c>
      <c r="C966" s="5">
        <v>9349.0</v>
      </c>
      <c r="D966" s="6" t="s">
        <v>2304</v>
      </c>
      <c r="E966" s="5" t="s">
        <v>2305</v>
      </c>
      <c r="F966" s="7"/>
      <c r="G966" s="3" t="str">
        <f t="shared" si="3"/>
        <v>XTKJ1</v>
      </c>
      <c r="H966" s="3" t="str">
        <f>VLOOKUP($C966,Userpass!$A$2:$L$3001,12,FALSE)</f>
        <v>TKJ1</v>
      </c>
      <c r="I966" s="5" t="s">
        <v>1212</v>
      </c>
      <c r="J966" s="5">
        <v>2025.0</v>
      </c>
      <c r="K966" s="8" t="s">
        <v>2306</v>
      </c>
    </row>
    <row r="967" hidden="1">
      <c r="A967" s="3" t="str">
        <f t="shared" si="1"/>
        <v>OK</v>
      </c>
      <c r="B967" s="3" t="str">
        <f t="shared" si="2"/>
        <v>OK</v>
      </c>
      <c r="C967" s="5">
        <v>9365.0</v>
      </c>
      <c r="D967" s="6" t="s">
        <v>2307</v>
      </c>
      <c r="E967" s="5" t="s">
        <v>2308</v>
      </c>
      <c r="F967" s="7"/>
      <c r="G967" s="3" t="str">
        <f t="shared" si="3"/>
        <v>XTKJ1</v>
      </c>
      <c r="H967" s="3" t="str">
        <f>VLOOKUP($C967,Userpass!$A$2:$L$3001,12,FALSE)</f>
        <v>TKJ1</v>
      </c>
      <c r="I967" s="5" t="s">
        <v>1212</v>
      </c>
      <c r="J967" s="5">
        <v>2025.0</v>
      </c>
      <c r="K967" s="8" t="s">
        <v>2309</v>
      </c>
    </row>
    <row r="968" hidden="1">
      <c r="A968" s="3" t="str">
        <f t="shared" si="1"/>
        <v>OK</v>
      </c>
      <c r="B968" s="3" t="str">
        <f t="shared" si="2"/>
        <v>OK</v>
      </c>
      <c r="C968" s="5">
        <v>9388.0</v>
      </c>
      <c r="D968" s="6" t="s">
        <v>2310</v>
      </c>
      <c r="E968" s="5" t="s">
        <v>2311</v>
      </c>
      <c r="F968" s="7"/>
      <c r="G968" s="3" t="str">
        <f t="shared" si="3"/>
        <v>XTKJ1</v>
      </c>
      <c r="H968" s="3" t="str">
        <f>VLOOKUP($C968,Userpass!$A$2:$L$3001,12,FALSE)</f>
        <v>TKJ1</v>
      </c>
      <c r="I968" s="5" t="s">
        <v>1212</v>
      </c>
      <c r="J968" s="5">
        <v>2025.0</v>
      </c>
      <c r="K968" s="8" t="s">
        <v>2312</v>
      </c>
    </row>
    <row r="969" hidden="1">
      <c r="A969" s="3" t="str">
        <f t="shared" si="1"/>
        <v>OK</v>
      </c>
      <c r="B969" s="3" t="str">
        <f t="shared" si="2"/>
        <v>OK</v>
      </c>
      <c r="C969" s="5">
        <v>9395.0</v>
      </c>
      <c r="D969" s="6" t="s">
        <v>2313</v>
      </c>
      <c r="E969" s="5" t="s">
        <v>2314</v>
      </c>
      <c r="F969" s="7"/>
      <c r="G969" s="3" t="str">
        <f t="shared" si="3"/>
        <v>XTKJ1</v>
      </c>
      <c r="H969" s="3" t="str">
        <f>VLOOKUP($C969,Userpass!$A$2:$L$3001,12,FALSE)</f>
        <v>TKJ1</v>
      </c>
      <c r="I969" s="5" t="s">
        <v>1212</v>
      </c>
      <c r="J969" s="5">
        <v>2025.0</v>
      </c>
      <c r="K969" s="8" t="s">
        <v>2315</v>
      </c>
    </row>
    <row r="970" hidden="1">
      <c r="A970" s="3" t="str">
        <f t="shared" si="1"/>
        <v>OK</v>
      </c>
      <c r="B970" s="3" t="str">
        <f t="shared" si="2"/>
        <v>OK</v>
      </c>
      <c r="C970" s="5">
        <v>9415.0</v>
      </c>
      <c r="D970" s="6" t="s">
        <v>2316</v>
      </c>
      <c r="E970" s="5" t="s">
        <v>2317</v>
      </c>
      <c r="F970" s="7"/>
      <c r="G970" s="3" t="str">
        <f t="shared" si="3"/>
        <v>XTKJ1</v>
      </c>
      <c r="H970" s="3" t="str">
        <f>VLOOKUP($C970,Userpass!$A$2:$L$3001,12,FALSE)</f>
        <v>TKJ1</v>
      </c>
      <c r="I970" s="5" t="s">
        <v>1212</v>
      </c>
      <c r="J970" s="5">
        <v>2025.0</v>
      </c>
      <c r="K970" s="8" t="s">
        <v>2318</v>
      </c>
    </row>
    <row r="971" hidden="1">
      <c r="A971" s="3" t="str">
        <f t="shared" si="1"/>
        <v>OK</v>
      </c>
      <c r="B971" s="3" t="str">
        <f t="shared" si="2"/>
        <v>OK</v>
      </c>
      <c r="C971" s="5">
        <v>9422.0</v>
      </c>
      <c r="D971" s="6" t="s">
        <v>2319</v>
      </c>
      <c r="E971" s="5" t="s">
        <v>2320</v>
      </c>
      <c r="F971" s="7"/>
      <c r="G971" s="3" t="str">
        <f t="shared" si="3"/>
        <v>XTKJ1</v>
      </c>
      <c r="H971" s="3" t="str">
        <f>VLOOKUP($C971,Userpass!$A$2:$L$3001,12,FALSE)</f>
        <v>TKJ1</v>
      </c>
      <c r="I971" s="5" t="s">
        <v>1212</v>
      </c>
      <c r="J971" s="5">
        <v>2025.0</v>
      </c>
      <c r="K971" s="8" t="s">
        <v>2321</v>
      </c>
    </row>
    <row r="972" hidden="1">
      <c r="A972" s="3" t="str">
        <f t="shared" si="1"/>
        <v>OK</v>
      </c>
      <c r="B972" s="3" t="str">
        <f t="shared" si="2"/>
        <v>OK</v>
      </c>
      <c r="C972" s="5">
        <v>9485.0</v>
      </c>
      <c r="D972" s="6" t="s">
        <v>2322</v>
      </c>
      <c r="E972" s="5" t="s">
        <v>2323</v>
      </c>
      <c r="F972" s="7"/>
      <c r="G972" s="3" t="str">
        <f t="shared" si="3"/>
        <v>XTKJ1</v>
      </c>
      <c r="H972" s="3" t="str">
        <f>VLOOKUP($C972,Userpass!$A$2:$L$3001,12,FALSE)</f>
        <v>TKJ1</v>
      </c>
      <c r="I972" s="5" t="s">
        <v>1212</v>
      </c>
      <c r="J972" s="5">
        <v>2025.0</v>
      </c>
      <c r="K972" s="8" t="s">
        <v>2324</v>
      </c>
    </row>
    <row r="973" hidden="1">
      <c r="A973" s="3" t="str">
        <f t="shared" si="1"/>
        <v>OK</v>
      </c>
      <c r="B973" s="3" t="str">
        <f t="shared" si="2"/>
        <v>OK</v>
      </c>
      <c r="C973" s="5">
        <v>9493.0</v>
      </c>
      <c r="D973" s="6" t="s">
        <v>2325</v>
      </c>
      <c r="E973" s="5" t="s">
        <v>2326</v>
      </c>
      <c r="F973" s="7"/>
      <c r="G973" s="3" t="str">
        <f t="shared" si="3"/>
        <v>XTKJ1</v>
      </c>
      <c r="H973" s="3" t="str">
        <f>VLOOKUP($C973,Userpass!$A$2:$L$3001,12,FALSE)</f>
        <v>TKJ1</v>
      </c>
      <c r="I973" s="5" t="s">
        <v>1212</v>
      </c>
      <c r="J973" s="5">
        <v>2025.0</v>
      </c>
      <c r="K973" s="8" t="s">
        <v>2327</v>
      </c>
    </row>
    <row r="974" hidden="1">
      <c r="A974" s="3" t="str">
        <f t="shared" si="1"/>
        <v>OK</v>
      </c>
      <c r="B974" s="3" t="str">
        <f t="shared" si="2"/>
        <v>OK</v>
      </c>
      <c r="C974" s="5">
        <v>9511.0</v>
      </c>
      <c r="D974" s="6" t="s">
        <v>2328</v>
      </c>
      <c r="E974" s="5" t="s">
        <v>2329</v>
      </c>
      <c r="F974" s="7"/>
      <c r="G974" s="3" t="str">
        <f t="shared" si="3"/>
        <v>XTKJ1</v>
      </c>
      <c r="H974" s="3" t="str">
        <f>VLOOKUP($C974,Userpass!$A$2:$L$3001,12,FALSE)</f>
        <v>TKJ1</v>
      </c>
      <c r="I974" s="5" t="s">
        <v>1212</v>
      </c>
      <c r="J974" s="5">
        <v>2025.0</v>
      </c>
      <c r="K974" s="8" t="s">
        <v>2330</v>
      </c>
    </row>
    <row r="975" hidden="1">
      <c r="A975" s="3" t="str">
        <f t="shared" si="1"/>
        <v>OK</v>
      </c>
      <c r="B975" s="3" t="str">
        <f t="shared" si="2"/>
        <v>OK</v>
      </c>
      <c r="C975" s="5">
        <v>9532.0</v>
      </c>
      <c r="D975" s="6" t="s">
        <v>2331</v>
      </c>
      <c r="E975" s="5" t="s">
        <v>2332</v>
      </c>
      <c r="F975" s="7"/>
      <c r="G975" s="3" t="str">
        <f t="shared" si="3"/>
        <v>XTKJ1</v>
      </c>
      <c r="H975" s="3" t="str">
        <f>VLOOKUP($C975,Userpass!$A$2:$L$3001,12,FALSE)</f>
        <v>TKJ1</v>
      </c>
      <c r="I975" s="5" t="s">
        <v>1212</v>
      </c>
      <c r="J975" s="5">
        <v>2025.0</v>
      </c>
      <c r="K975" s="8" t="s">
        <v>2333</v>
      </c>
    </row>
    <row r="976" hidden="1">
      <c r="A976" s="3" t="str">
        <f t="shared" si="1"/>
        <v>OK</v>
      </c>
      <c r="B976" s="3" t="str">
        <f t="shared" si="2"/>
        <v>OK</v>
      </c>
      <c r="C976" s="5">
        <v>9556.0</v>
      </c>
      <c r="D976" s="6" t="s">
        <v>2334</v>
      </c>
      <c r="E976" s="5" t="s">
        <v>2335</v>
      </c>
      <c r="F976" s="7"/>
      <c r="G976" s="3" t="str">
        <f t="shared" si="3"/>
        <v>XTKJ1</v>
      </c>
      <c r="H976" s="3" t="str">
        <f>VLOOKUP($C976,Userpass!$A$2:$L$3001,12,FALSE)</f>
        <v>TKJ1</v>
      </c>
      <c r="I976" s="5" t="s">
        <v>1212</v>
      </c>
      <c r="J976" s="5">
        <v>2025.0</v>
      </c>
      <c r="K976" s="8" t="s">
        <v>2336</v>
      </c>
    </row>
    <row r="977" hidden="1">
      <c r="A977" s="3" t="str">
        <f t="shared" si="1"/>
        <v>OK</v>
      </c>
      <c r="B977" s="3" t="str">
        <f t="shared" si="2"/>
        <v>OK</v>
      </c>
      <c r="C977" s="5">
        <v>9575.0</v>
      </c>
      <c r="D977" s="6" t="s">
        <v>2337</v>
      </c>
      <c r="E977" s="5" t="s">
        <v>2338</v>
      </c>
      <c r="F977" s="7"/>
      <c r="G977" s="3" t="str">
        <f t="shared" si="3"/>
        <v>XTKJ1</v>
      </c>
      <c r="H977" s="3" t="str">
        <f>VLOOKUP($C977,Userpass!$A$2:$L$3001,12,FALSE)</f>
        <v>TKJ1</v>
      </c>
      <c r="I977" s="5" t="s">
        <v>1212</v>
      </c>
      <c r="J977" s="5">
        <v>2025.0</v>
      </c>
      <c r="K977" s="8" t="s">
        <v>2339</v>
      </c>
    </row>
    <row r="978" hidden="1">
      <c r="A978" s="3" t="str">
        <f t="shared" si="1"/>
        <v>OK</v>
      </c>
      <c r="B978" s="3" t="str">
        <f t="shared" si="2"/>
        <v>OK</v>
      </c>
      <c r="C978" s="5">
        <v>9582.0</v>
      </c>
      <c r="D978" s="6" t="s">
        <v>2340</v>
      </c>
      <c r="E978" s="5" t="s">
        <v>2341</v>
      </c>
      <c r="F978" s="7"/>
      <c r="G978" s="3" t="str">
        <f t="shared" si="3"/>
        <v>XTKJ1</v>
      </c>
      <c r="H978" s="3" t="str">
        <f>VLOOKUP($C978,Userpass!$A$2:$L$3001,12,FALSE)</f>
        <v>TKJ1</v>
      </c>
      <c r="I978" s="5" t="s">
        <v>1212</v>
      </c>
      <c r="J978" s="5">
        <v>2025.0</v>
      </c>
      <c r="K978" s="8" t="s">
        <v>2342</v>
      </c>
    </row>
    <row r="979" hidden="1">
      <c r="A979" s="3" t="str">
        <f t="shared" si="1"/>
        <v>OK</v>
      </c>
      <c r="B979" s="3" t="str">
        <f t="shared" si="2"/>
        <v>OK</v>
      </c>
      <c r="C979" s="5">
        <v>9596.0</v>
      </c>
      <c r="D979" s="6" t="s">
        <v>2343</v>
      </c>
      <c r="E979" s="5" t="s">
        <v>2344</v>
      </c>
      <c r="F979" s="7"/>
      <c r="G979" s="3" t="str">
        <f t="shared" si="3"/>
        <v>XTKJ1</v>
      </c>
      <c r="H979" s="3" t="str">
        <f>VLOOKUP($C979,Userpass!$A$2:$L$3001,12,FALSE)</f>
        <v>TKJ1</v>
      </c>
      <c r="I979" s="5" t="s">
        <v>1212</v>
      </c>
      <c r="J979" s="5">
        <v>2025.0</v>
      </c>
      <c r="K979" s="8" t="s">
        <v>2345</v>
      </c>
    </row>
    <row r="980" hidden="1">
      <c r="A980" s="3" t="str">
        <f t="shared" si="1"/>
        <v>OK</v>
      </c>
      <c r="B980" s="3" t="str">
        <f t="shared" si="2"/>
        <v>OK</v>
      </c>
      <c r="C980" s="5">
        <v>9610.0</v>
      </c>
      <c r="D980" s="6" t="s">
        <v>2346</v>
      </c>
      <c r="E980" s="5" t="s">
        <v>2347</v>
      </c>
      <c r="F980" s="7"/>
      <c r="G980" s="3" t="str">
        <f t="shared" si="3"/>
        <v>XTKJ1</v>
      </c>
      <c r="H980" s="3" t="str">
        <f>VLOOKUP($C980,Userpass!$A$2:$L$3001,12,FALSE)</f>
        <v>TKJ1</v>
      </c>
      <c r="I980" s="5" t="s">
        <v>1212</v>
      </c>
      <c r="J980" s="5">
        <v>2025.0</v>
      </c>
      <c r="K980" s="8" t="s">
        <v>2348</v>
      </c>
    </row>
    <row r="981" hidden="1">
      <c r="A981" s="3" t="str">
        <f t="shared" si="1"/>
        <v>OK</v>
      </c>
      <c r="B981" s="3" t="str">
        <f t="shared" si="2"/>
        <v>OK</v>
      </c>
      <c r="C981" s="5">
        <v>9615.0</v>
      </c>
      <c r="D981" s="6" t="s">
        <v>2349</v>
      </c>
      <c r="E981" s="5" t="s">
        <v>2350</v>
      </c>
      <c r="F981" s="7"/>
      <c r="G981" s="3" t="str">
        <f t="shared" si="3"/>
        <v>XTKJ1</v>
      </c>
      <c r="H981" s="3" t="str">
        <f>VLOOKUP($C981,Userpass!$A$2:$L$3001,12,FALSE)</f>
        <v>TKJ1</v>
      </c>
      <c r="I981" s="5" t="s">
        <v>1212</v>
      </c>
      <c r="J981" s="5">
        <v>2025.0</v>
      </c>
      <c r="K981" s="8" t="s">
        <v>2351</v>
      </c>
    </row>
    <row r="982" hidden="1">
      <c r="A982" s="3" t="str">
        <f t="shared" si="1"/>
        <v>OK</v>
      </c>
      <c r="B982" s="3" t="str">
        <f t="shared" si="2"/>
        <v>OK</v>
      </c>
      <c r="C982" s="5">
        <v>9627.0</v>
      </c>
      <c r="D982" s="6" t="s">
        <v>2352</v>
      </c>
      <c r="E982" s="5" t="s">
        <v>2353</v>
      </c>
      <c r="F982" s="7"/>
      <c r="G982" s="3" t="str">
        <f t="shared" si="3"/>
        <v>XTKJ1</v>
      </c>
      <c r="H982" s="3" t="str">
        <f>VLOOKUP($C982,Userpass!$A$2:$L$3001,12,FALSE)</f>
        <v>TKJ1</v>
      </c>
      <c r="I982" s="5" t="s">
        <v>1212</v>
      </c>
      <c r="J982" s="5">
        <v>2025.0</v>
      </c>
      <c r="K982" s="8" t="s">
        <v>2354</v>
      </c>
    </row>
    <row r="983" hidden="1">
      <c r="A983" s="3" t="str">
        <f t="shared" si="1"/>
        <v>OK</v>
      </c>
      <c r="B983" s="3" t="str">
        <f t="shared" si="2"/>
        <v>OK</v>
      </c>
      <c r="C983" s="5">
        <v>9651.0</v>
      </c>
      <c r="D983" s="6" t="s">
        <v>2355</v>
      </c>
      <c r="E983" s="5" t="s">
        <v>2356</v>
      </c>
      <c r="F983" s="7"/>
      <c r="G983" s="3" t="str">
        <f t="shared" si="3"/>
        <v>XTKJ1</v>
      </c>
      <c r="H983" s="3" t="str">
        <f>VLOOKUP($C983,Userpass!$A$2:$L$3001,12,FALSE)</f>
        <v>TKJ1</v>
      </c>
      <c r="I983" s="5" t="s">
        <v>1212</v>
      </c>
      <c r="J983" s="5">
        <v>2025.0</v>
      </c>
      <c r="K983" s="8" t="s">
        <v>2357</v>
      </c>
    </row>
    <row r="984" hidden="1">
      <c r="A984" s="3" t="str">
        <f t="shared" si="1"/>
        <v>OK</v>
      </c>
      <c r="B984" s="3" t="str">
        <f t="shared" si="2"/>
        <v>OK</v>
      </c>
      <c r="C984" s="5">
        <v>9661.0</v>
      </c>
      <c r="D984" s="6" t="s">
        <v>2358</v>
      </c>
      <c r="E984" s="5" t="s">
        <v>2359</v>
      </c>
      <c r="F984" s="7"/>
      <c r="G984" s="3" t="str">
        <f t="shared" si="3"/>
        <v>XTKJ1</v>
      </c>
      <c r="H984" s="3" t="str">
        <f>VLOOKUP($C984,Userpass!$A$2:$L$3001,12,FALSE)</f>
        <v>TKJ1</v>
      </c>
      <c r="I984" s="5" t="s">
        <v>1212</v>
      </c>
      <c r="J984" s="5">
        <v>2025.0</v>
      </c>
      <c r="K984" s="8" t="s">
        <v>2360</v>
      </c>
    </row>
    <row r="985" hidden="1">
      <c r="A985" s="3" t="str">
        <f t="shared" si="1"/>
        <v>OK</v>
      </c>
      <c r="B985" s="3" t="str">
        <f t="shared" si="2"/>
        <v>OK</v>
      </c>
      <c r="C985" s="5">
        <v>9673.0</v>
      </c>
      <c r="D985" s="6" t="s">
        <v>2361</v>
      </c>
      <c r="E985" s="5" t="s">
        <v>2362</v>
      </c>
      <c r="F985" s="7"/>
      <c r="G985" s="3" t="str">
        <f t="shared" si="3"/>
        <v>XTKJ1</v>
      </c>
      <c r="H985" s="3" t="str">
        <f>VLOOKUP($C985,Userpass!$A$2:$L$3001,12,FALSE)</f>
        <v>TKJ1</v>
      </c>
      <c r="I985" s="5" t="s">
        <v>1212</v>
      </c>
      <c r="J985" s="5">
        <v>2025.0</v>
      </c>
      <c r="K985" s="8" t="s">
        <v>2363</v>
      </c>
    </row>
    <row r="986" hidden="1">
      <c r="A986" s="3" t="str">
        <f t="shared" si="1"/>
        <v>OK</v>
      </c>
      <c r="B986" s="3" t="str">
        <f t="shared" si="2"/>
        <v>OK</v>
      </c>
      <c r="C986" s="5">
        <v>9695.0</v>
      </c>
      <c r="D986" s="6" t="s">
        <v>2364</v>
      </c>
      <c r="E986" s="5" t="s">
        <v>2365</v>
      </c>
      <c r="F986" s="7"/>
      <c r="G986" s="3" t="str">
        <f t="shared" si="3"/>
        <v>XTKJ1</v>
      </c>
      <c r="H986" s="3" t="str">
        <f>VLOOKUP($C986,Userpass!$A$2:$L$3001,12,FALSE)</f>
        <v>TKJ1</v>
      </c>
      <c r="I986" s="5" t="s">
        <v>1212</v>
      </c>
      <c r="J986" s="5">
        <v>2025.0</v>
      </c>
      <c r="K986" s="8" t="s">
        <v>2366</v>
      </c>
    </row>
    <row r="987" hidden="1">
      <c r="A987" s="3" t="str">
        <f t="shared" si="1"/>
        <v>OK</v>
      </c>
      <c r="B987" s="3" t="str">
        <f t="shared" si="2"/>
        <v>OK</v>
      </c>
      <c r="C987" s="5">
        <v>9724.0</v>
      </c>
      <c r="D987" s="6" t="s">
        <v>2367</v>
      </c>
      <c r="E987" s="5" t="s">
        <v>2368</v>
      </c>
      <c r="F987" s="7"/>
      <c r="G987" s="3" t="str">
        <f t="shared" si="3"/>
        <v>XTKJ1</v>
      </c>
      <c r="H987" s="3" t="str">
        <f>VLOOKUP($C987,Userpass!$A$2:$L$3001,12,FALSE)</f>
        <v>TKJ1</v>
      </c>
      <c r="I987" s="5" t="s">
        <v>1212</v>
      </c>
      <c r="J987" s="5">
        <v>2025.0</v>
      </c>
      <c r="K987" s="8" t="s">
        <v>2369</v>
      </c>
    </row>
    <row r="988" hidden="1">
      <c r="A988" s="3" t="str">
        <f t="shared" si="1"/>
        <v>OK</v>
      </c>
      <c r="B988" s="3" t="str">
        <f t="shared" si="2"/>
        <v>OK</v>
      </c>
      <c r="C988" s="5">
        <v>9743.0</v>
      </c>
      <c r="D988" s="6" t="s">
        <v>2370</v>
      </c>
      <c r="E988" s="5" t="s">
        <v>2371</v>
      </c>
      <c r="F988" s="7"/>
      <c r="G988" s="3" t="str">
        <f t="shared" si="3"/>
        <v>XTKJ1</v>
      </c>
      <c r="H988" s="3" t="str">
        <f>VLOOKUP($C988,Userpass!$A$2:$L$3001,12,FALSE)</f>
        <v>TKJ1</v>
      </c>
      <c r="I988" s="5" t="s">
        <v>1212</v>
      </c>
      <c r="J988" s="5">
        <v>2025.0</v>
      </c>
      <c r="K988" s="8" t="s">
        <v>2372</v>
      </c>
    </row>
    <row r="989" hidden="1">
      <c r="A989" s="3" t="str">
        <f t="shared" si="1"/>
        <v>OK</v>
      </c>
      <c r="B989" s="3" t="str">
        <f t="shared" si="2"/>
        <v>OK</v>
      </c>
      <c r="C989" s="5">
        <v>9751.0</v>
      </c>
      <c r="D989" s="6" t="s">
        <v>2373</v>
      </c>
      <c r="E989" s="5" t="s">
        <v>2374</v>
      </c>
      <c r="F989" s="7"/>
      <c r="G989" s="3" t="str">
        <f t="shared" si="3"/>
        <v>XTKJ1</v>
      </c>
      <c r="H989" s="3" t="str">
        <f>VLOOKUP($C989,Userpass!$A$2:$L$3001,12,FALSE)</f>
        <v>TKJ1</v>
      </c>
      <c r="I989" s="5" t="s">
        <v>1212</v>
      </c>
      <c r="J989" s="5">
        <v>2025.0</v>
      </c>
      <c r="K989" s="8" t="s">
        <v>2375</v>
      </c>
    </row>
    <row r="990" hidden="1">
      <c r="A990" s="3" t="str">
        <f t="shared" si="1"/>
        <v>OK</v>
      </c>
      <c r="B990" s="3" t="str">
        <f t="shared" si="2"/>
        <v>OK</v>
      </c>
      <c r="C990" s="5">
        <v>9779.0</v>
      </c>
      <c r="D990" s="6" t="s">
        <v>2376</v>
      </c>
      <c r="E990" s="5" t="s">
        <v>2377</v>
      </c>
      <c r="F990" s="7"/>
      <c r="G990" s="3" t="str">
        <f t="shared" si="3"/>
        <v>XTKJ1</v>
      </c>
      <c r="H990" s="3" t="str">
        <f>VLOOKUP($C990,Userpass!$A$2:$L$3001,12,FALSE)</f>
        <v>TKJ1</v>
      </c>
      <c r="I990" s="5" t="s">
        <v>1212</v>
      </c>
      <c r="J990" s="5">
        <v>2025.0</v>
      </c>
      <c r="K990" s="8" t="s">
        <v>2378</v>
      </c>
    </row>
    <row r="991" hidden="1">
      <c r="A991" s="3" t="str">
        <f t="shared" si="1"/>
        <v>OK</v>
      </c>
      <c r="B991" s="3" t="str">
        <f t="shared" si="2"/>
        <v>OK</v>
      </c>
      <c r="C991" s="5">
        <v>9783.0</v>
      </c>
      <c r="D991" s="6" t="s">
        <v>2379</v>
      </c>
      <c r="E991" s="5" t="s">
        <v>2380</v>
      </c>
      <c r="F991" s="7"/>
      <c r="G991" s="3" t="str">
        <f t="shared" si="3"/>
        <v>XTKJ1</v>
      </c>
      <c r="H991" s="3" t="str">
        <f>VLOOKUP($C991,Userpass!$A$2:$L$3001,12,FALSE)</f>
        <v>TKJ1</v>
      </c>
      <c r="I991" s="5" t="s">
        <v>1212</v>
      </c>
      <c r="J991" s="5">
        <v>2025.0</v>
      </c>
      <c r="K991" s="8" t="s">
        <v>2381</v>
      </c>
    </row>
    <row r="992" hidden="1">
      <c r="A992" s="3" t="str">
        <f t="shared" si="1"/>
        <v>OK</v>
      </c>
      <c r="B992" s="3" t="str">
        <f t="shared" si="2"/>
        <v>OK</v>
      </c>
      <c r="C992" s="5">
        <v>9793.0</v>
      </c>
      <c r="D992" s="6" t="s">
        <v>2382</v>
      </c>
      <c r="E992" s="5" t="s">
        <v>2383</v>
      </c>
      <c r="F992" s="7"/>
      <c r="G992" s="3" t="str">
        <f t="shared" si="3"/>
        <v>XTKJ1</v>
      </c>
      <c r="H992" s="3" t="str">
        <f>VLOOKUP($C992,Userpass!$A$2:$L$3001,12,FALSE)</f>
        <v>TKJ1</v>
      </c>
      <c r="I992" s="5" t="s">
        <v>1212</v>
      </c>
      <c r="J992" s="5">
        <v>2025.0</v>
      </c>
      <c r="K992" s="8" t="s">
        <v>2384</v>
      </c>
    </row>
    <row r="993" hidden="1">
      <c r="A993" s="3" t="str">
        <f t="shared" si="1"/>
        <v>OK</v>
      </c>
      <c r="B993" s="3" t="str">
        <f t="shared" si="2"/>
        <v>OK</v>
      </c>
      <c r="C993" s="5">
        <v>9801.0</v>
      </c>
      <c r="D993" s="6" t="s">
        <v>2385</v>
      </c>
      <c r="E993" s="5" t="s">
        <v>2386</v>
      </c>
      <c r="F993" s="7"/>
      <c r="G993" s="3" t="str">
        <f t="shared" si="3"/>
        <v>XTKJ1</v>
      </c>
      <c r="H993" s="3" t="str">
        <f>VLOOKUP($C993,Userpass!$A$2:$L$3001,12,FALSE)</f>
        <v>TKJ1</v>
      </c>
      <c r="I993" s="5" t="s">
        <v>1212</v>
      </c>
      <c r="J993" s="5">
        <v>2025.0</v>
      </c>
      <c r="K993" s="8" t="s">
        <v>2387</v>
      </c>
    </row>
    <row r="994" hidden="1">
      <c r="A994" s="3" t="str">
        <f t="shared" si="1"/>
        <v>OK</v>
      </c>
      <c r="B994" s="3" t="str">
        <f t="shared" si="2"/>
        <v>OK</v>
      </c>
      <c r="C994" s="5">
        <v>9805.0</v>
      </c>
      <c r="D994" s="6" t="s">
        <v>2388</v>
      </c>
      <c r="E994" s="5" t="s">
        <v>2389</v>
      </c>
      <c r="F994" s="7"/>
      <c r="G994" s="3" t="str">
        <f t="shared" si="3"/>
        <v>XTKJ1</v>
      </c>
      <c r="H994" s="3" t="str">
        <f>VLOOKUP($C994,Userpass!$A$2:$L$3001,12,FALSE)</f>
        <v>TKJ1</v>
      </c>
      <c r="I994" s="5" t="s">
        <v>1212</v>
      </c>
      <c r="J994" s="5">
        <v>2025.0</v>
      </c>
      <c r="K994" s="8" t="s">
        <v>2390</v>
      </c>
    </row>
    <row r="995" hidden="1">
      <c r="A995" s="3" t="str">
        <f t="shared" si="1"/>
        <v>OK</v>
      </c>
      <c r="B995" s="3" t="str">
        <f t="shared" si="2"/>
        <v>OK</v>
      </c>
      <c r="C995" s="5">
        <v>9812.0</v>
      </c>
      <c r="D995" s="6" t="s">
        <v>2391</v>
      </c>
      <c r="E995" s="5" t="s">
        <v>2392</v>
      </c>
      <c r="F995" s="7"/>
      <c r="G995" s="3" t="str">
        <f t="shared" si="3"/>
        <v>XTKJ1</v>
      </c>
      <c r="H995" s="3" t="str">
        <f>VLOOKUP($C995,Userpass!$A$2:$L$3001,12,FALSE)</f>
        <v>TKJ1</v>
      </c>
      <c r="I995" s="5" t="s">
        <v>1212</v>
      </c>
      <c r="J995" s="5">
        <v>2025.0</v>
      </c>
      <c r="K995" s="8" t="s">
        <v>2393</v>
      </c>
    </row>
    <row r="996" hidden="1">
      <c r="A996" s="3" t="str">
        <f t="shared" si="1"/>
        <v>OK</v>
      </c>
      <c r="B996" s="3" t="str">
        <f t="shared" si="2"/>
        <v>OK</v>
      </c>
      <c r="C996" s="5">
        <v>9847.0</v>
      </c>
      <c r="D996" s="6" t="s">
        <v>2394</v>
      </c>
      <c r="E996" s="5" t="s">
        <v>2395</v>
      </c>
      <c r="F996" s="7"/>
      <c r="G996" s="3" t="str">
        <f t="shared" si="3"/>
        <v>XTKJ1</v>
      </c>
      <c r="H996" s="3" t="str">
        <f>VLOOKUP($C996,Userpass!$A$2:$L$3001,12,FALSE)</f>
        <v>TKJ1</v>
      </c>
      <c r="I996" s="5" t="s">
        <v>1212</v>
      </c>
      <c r="J996" s="5">
        <v>2025.0</v>
      </c>
      <c r="K996" s="8" t="s">
        <v>2396</v>
      </c>
    </row>
    <row r="997" hidden="1">
      <c r="A997" s="3" t="str">
        <f t="shared" si="1"/>
        <v>OK</v>
      </c>
      <c r="B997" s="3" t="str">
        <f t="shared" si="2"/>
        <v>OK</v>
      </c>
      <c r="C997" s="5">
        <v>9252.0</v>
      </c>
      <c r="D997" s="6" t="s">
        <v>2397</v>
      </c>
      <c r="E997" s="5" t="s">
        <v>2398</v>
      </c>
      <c r="F997" s="7"/>
      <c r="G997" s="3" t="str">
        <f t="shared" si="3"/>
        <v>XTKJ2</v>
      </c>
      <c r="H997" s="3" t="str">
        <f>VLOOKUP($C997,Userpass!$A$2:$L$3001,12,FALSE)</f>
        <v>TKJ2</v>
      </c>
      <c r="I997" s="5" t="s">
        <v>1212</v>
      </c>
      <c r="J997" s="5">
        <v>2025.0</v>
      </c>
      <c r="K997" s="8" t="s">
        <v>2399</v>
      </c>
    </row>
    <row r="998" hidden="1">
      <c r="A998" s="3" t="str">
        <f t="shared" si="1"/>
        <v>OK</v>
      </c>
      <c r="B998" s="3" t="str">
        <f t="shared" si="2"/>
        <v>OK</v>
      </c>
      <c r="C998" s="5">
        <v>9285.0</v>
      </c>
      <c r="D998" s="6" t="s">
        <v>2400</v>
      </c>
      <c r="E998" s="5" t="s">
        <v>2401</v>
      </c>
      <c r="F998" s="7"/>
      <c r="G998" s="3" t="str">
        <f t="shared" si="3"/>
        <v>XTKJ2</v>
      </c>
      <c r="H998" s="3" t="str">
        <f>VLOOKUP($C998,Userpass!$A$2:$L$3001,12,FALSE)</f>
        <v>TKJ2</v>
      </c>
      <c r="I998" s="5" t="s">
        <v>1212</v>
      </c>
      <c r="J998" s="5">
        <v>2025.0</v>
      </c>
      <c r="K998" s="8" t="s">
        <v>2402</v>
      </c>
    </row>
    <row r="999" hidden="1">
      <c r="A999" s="3" t="str">
        <f t="shared" si="1"/>
        <v>OK</v>
      </c>
      <c r="B999" s="3" t="str">
        <f t="shared" si="2"/>
        <v>OK</v>
      </c>
      <c r="C999" s="5">
        <v>9329.0</v>
      </c>
      <c r="D999" s="6" t="s">
        <v>2403</v>
      </c>
      <c r="E999" s="5" t="s">
        <v>2404</v>
      </c>
      <c r="F999" s="7"/>
      <c r="G999" s="3" t="str">
        <f t="shared" si="3"/>
        <v>XTKJ2</v>
      </c>
      <c r="H999" s="3" t="str">
        <f>VLOOKUP($C999,Userpass!$A$2:$L$3001,12,FALSE)</f>
        <v>TKJ2</v>
      </c>
      <c r="I999" s="5" t="s">
        <v>1212</v>
      </c>
      <c r="J999" s="5">
        <v>2025.0</v>
      </c>
      <c r="K999" s="8" t="s">
        <v>2405</v>
      </c>
    </row>
    <row r="1000" hidden="1">
      <c r="A1000" s="3" t="str">
        <f t="shared" si="1"/>
        <v>OK</v>
      </c>
      <c r="B1000" s="3" t="str">
        <f t="shared" si="2"/>
        <v>OK</v>
      </c>
      <c r="C1000" s="5">
        <v>9339.0</v>
      </c>
      <c r="D1000" s="6" t="s">
        <v>2406</v>
      </c>
      <c r="E1000" s="5" t="s">
        <v>2407</v>
      </c>
      <c r="F1000" s="7"/>
      <c r="G1000" s="3" t="str">
        <f t="shared" si="3"/>
        <v>XTKJ2</v>
      </c>
      <c r="H1000" s="3" t="str">
        <f>VLOOKUP($C1000,Userpass!$A$2:$L$3001,12,FALSE)</f>
        <v>TKJ2</v>
      </c>
      <c r="I1000" s="5" t="s">
        <v>1212</v>
      </c>
      <c r="J1000" s="5">
        <v>2025.0</v>
      </c>
      <c r="K1000" s="8" t="s">
        <v>2408</v>
      </c>
    </row>
    <row r="1001" hidden="1">
      <c r="A1001" s="3" t="str">
        <f t="shared" si="1"/>
        <v>OK</v>
      </c>
      <c r="B1001" s="3" t="str">
        <f t="shared" si="2"/>
        <v>OK</v>
      </c>
      <c r="C1001" s="5">
        <v>9344.0</v>
      </c>
      <c r="D1001" s="6" t="s">
        <v>2409</v>
      </c>
      <c r="E1001" s="5" t="s">
        <v>2410</v>
      </c>
      <c r="F1001" s="7"/>
      <c r="G1001" s="3" t="str">
        <f t="shared" si="3"/>
        <v>XTKJ2</v>
      </c>
      <c r="H1001" s="3" t="str">
        <f>VLOOKUP($C1001,Userpass!$A$2:$L$3001,12,FALSE)</f>
        <v>TKJ2</v>
      </c>
      <c r="I1001" s="5" t="s">
        <v>1212</v>
      </c>
      <c r="J1001" s="5">
        <v>2025.0</v>
      </c>
      <c r="K1001" s="8" t="s">
        <v>2411</v>
      </c>
    </row>
    <row r="1002" hidden="1">
      <c r="A1002" s="3" t="str">
        <f t="shared" si="1"/>
        <v>OK</v>
      </c>
      <c r="B1002" s="3" t="str">
        <f t="shared" si="2"/>
        <v>OK</v>
      </c>
      <c r="C1002" s="5">
        <v>9354.0</v>
      </c>
      <c r="D1002" s="6" t="s">
        <v>2412</v>
      </c>
      <c r="E1002" s="5" t="s">
        <v>2413</v>
      </c>
      <c r="F1002" s="7"/>
      <c r="G1002" s="3" t="str">
        <f t="shared" si="3"/>
        <v>XTKJ2</v>
      </c>
      <c r="H1002" s="3" t="str">
        <f>VLOOKUP($C1002,Userpass!$A$2:$L$3001,12,FALSE)</f>
        <v>TKJ2</v>
      </c>
      <c r="I1002" s="5" t="s">
        <v>1212</v>
      </c>
      <c r="J1002" s="5">
        <v>2025.0</v>
      </c>
      <c r="K1002" s="8" t="s">
        <v>2414</v>
      </c>
    </row>
    <row r="1003" hidden="1">
      <c r="A1003" s="3" t="str">
        <f t="shared" si="1"/>
        <v>OK</v>
      </c>
      <c r="B1003" s="3" t="str">
        <f t="shared" si="2"/>
        <v>OK</v>
      </c>
      <c r="C1003" s="5">
        <v>9385.0</v>
      </c>
      <c r="D1003" s="6" t="s">
        <v>2415</v>
      </c>
      <c r="E1003" s="5" t="s">
        <v>2416</v>
      </c>
      <c r="F1003" s="7"/>
      <c r="G1003" s="3" t="str">
        <f t="shared" si="3"/>
        <v>XTKJ2</v>
      </c>
      <c r="H1003" s="3" t="str">
        <f>VLOOKUP($C1003,Userpass!$A$2:$L$3001,12,FALSE)</f>
        <v>TKJ2</v>
      </c>
      <c r="I1003" s="5" t="s">
        <v>1212</v>
      </c>
      <c r="J1003" s="5">
        <v>2025.0</v>
      </c>
      <c r="K1003" s="8" t="s">
        <v>2417</v>
      </c>
    </row>
    <row r="1004" hidden="1">
      <c r="A1004" s="3" t="str">
        <f t="shared" si="1"/>
        <v>OK</v>
      </c>
      <c r="B1004" s="3" t="str">
        <f t="shared" si="2"/>
        <v>OK</v>
      </c>
      <c r="C1004" s="5">
        <v>9389.0</v>
      </c>
      <c r="D1004" s="6" t="s">
        <v>2418</v>
      </c>
      <c r="E1004" s="5" t="s">
        <v>2419</v>
      </c>
      <c r="F1004" s="7"/>
      <c r="G1004" s="3" t="str">
        <f t="shared" si="3"/>
        <v>XTKJ2</v>
      </c>
      <c r="H1004" s="3" t="str">
        <f>VLOOKUP($C1004,Userpass!$A$2:$L$3001,12,FALSE)</f>
        <v>TKJ2</v>
      </c>
      <c r="I1004" s="5" t="s">
        <v>1212</v>
      </c>
      <c r="J1004" s="5">
        <v>2025.0</v>
      </c>
      <c r="K1004" s="8" t="s">
        <v>2420</v>
      </c>
    </row>
    <row r="1005" hidden="1">
      <c r="A1005" s="3" t="str">
        <f t="shared" si="1"/>
        <v>OK</v>
      </c>
      <c r="B1005" s="3" t="str">
        <f t="shared" si="2"/>
        <v>OK</v>
      </c>
      <c r="C1005" s="5">
        <v>9396.0</v>
      </c>
      <c r="D1005" s="6" t="s">
        <v>2421</v>
      </c>
      <c r="E1005" s="5" t="s">
        <v>2422</v>
      </c>
      <c r="F1005" s="7"/>
      <c r="G1005" s="3" t="str">
        <f t="shared" si="3"/>
        <v>XTKJ2</v>
      </c>
      <c r="H1005" s="3" t="str">
        <f>VLOOKUP($C1005,Userpass!$A$2:$L$3001,12,FALSE)</f>
        <v>TKJ2</v>
      </c>
      <c r="I1005" s="5" t="s">
        <v>1212</v>
      </c>
      <c r="J1005" s="5">
        <v>2025.0</v>
      </c>
      <c r="K1005" s="8" t="s">
        <v>2423</v>
      </c>
    </row>
    <row r="1006" hidden="1">
      <c r="A1006" s="3" t="str">
        <f t="shared" si="1"/>
        <v>OK</v>
      </c>
      <c r="B1006" s="3" t="str">
        <f t="shared" si="2"/>
        <v>OK</v>
      </c>
      <c r="C1006" s="5">
        <v>9417.0</v>
      </c>
      <c r="D1006" s="6" t="s">
        <v>2424</v>
      </c>
      <c r="E1006" s="5" t="s">
        <v>2425</v>
      </c>
      <c r="F1006" s="7"/>
      <c r="G1006" s="3" t="str">
        <f t="shared" si="3"/>
        <v>XTKJ2</v>
      </c>
      <c r="H1006" s="3" t="str">
        <f>VLOOKUP($C1006,Userpass!$A$2:$L$3001,12,FALSE)</f>
        <v>TKJ2</v>
      </c>
      <c r="I1006" s="5" t="s">
        <v>1212</v>
      </c>
      <c r="J1006" s="5">
        <v>2025.0</v>
      </c>
      <c r="K1006" s="8" t="s">
        <v>2426</v>
      </c>
    </row>
    <row r="1007" hidden="1">
      <c r="A1007" s="3" t="str">
        <f t="shared" si="1"/>
        <v>OK</v>
      </c>
      <c r="B1007" s="3" t="str">
        <f t="shared" si="2"/>
        <v>OK</v>
      </c>
      <c r="C1007" s="5">
        <v>9462.0</v>
      </c>
      <c r="D1007" s="6" t="s">
        <v>2427</v>
      </c>
      <c r="E1007" s="5" t="s">
        <v>2428</v>
      </c>
      <c r="F1007" s="7"/>
      <c r="G1007" s="3" t="str">
        <f t="shared" si="3"/>
        <v>XTKJ2</v>
      </c>
      <c r="H1007" s="3" t="str">
        <f>VLOOKUP($C1007,Userpass!$A$2:$L$3001,12,FALSE)</f>
        <v>TKJ2</v>
      </c>
      <c r="I1007" s="5" t="s">
        <v>1212</v>
      </c>
      <c r="J1007" s="5">
        <v>2025.0</v>
      </c>
      <c r="K1007" s="8" t="s">
        <v>2429</v>
      </c>
    </row>
    <row r="1008" hidden="1">
      <c r="A1008" s="3" t="str">
        <f t="shared" si="1"/>
        <v>OK</v>
      </c>
      <c r="B1008" s="3" t="str">
        <f t="shared" si="2"/>
        <v>OK</v>
      </c>
      <c r="C1008" s="5">
        <v>9489.0</v>
      </c>
      <c r="D1008" s="6" t="s">
        <v>2430</v>
      </c>
      <c r="E1008" s="5" t="s">
        <v>2431</v>
      </c>
      <c r="F1008" s="7"/>
      <c r="G1008" s="3" t="str">
        <f t="shared" si="3"/>
        <v>XTKJ2</v>
      </c>
      <c r="H1008" s="3" t="str">
        <f>VLOOKUP($C1008,Userpass!$A$2:$L$3001,12,FALSE)</f>
        <v>TKJ2</v>
      </c>
      <c r="I1008" s="5" t="s">
        <v>1212</v>
      </c>
      <c r="J1008" s="5">
        <v>2025.0</v>
      </c>
      <c r="K1008" s="8" t="s">
        <v>2432</v>
      </c>
    </row>
    <row r="1009" hidden="1">
      <c r="A1009" s="3" t="str">
        <f t="shared" si="1"/>
        <v>OK</v>
      </c>
      <c r="B1009" s="3" t="str">
        <f t="shared" si="2"/>
        <v>OK</v>
      </c>
      <c r="C1009" s="5">
        <v>9510.0</v>
      </c>
      <c r="D1009" s="6" t="s">
        <v>2433</v>
      </c>
      <c r="E1009" s="5" t="s">
        <v>2434</v>
      </c>
      <c r="F1009" s="7"/>
      <c r="G1009" s="3" t="str">
        <f t="shared" si="3"/>
        <v>XTKJ2</v>
      </c>
      <c r="H1009" s="3" t="str">
        <f>VLOOKUP($C1009,Userpass!$A$2:$L$3001,12,FALSE)</f>
        <v>TKJ2</v>
      </c>
      <c r="I1009" s="5" t="s">
        <v>1212</v>
      </c>
      <c r="J1009" s="5">
        <v>2025.0</v>
      </c>
      <c r="K1009" s="8" t="s">
        <v>2435</v>
      </c>
    </row>
    <row r="1010" hidden="1">
      <c r="A1010" s="3" t="str">
        <f t="shared" si="1"/>
        <v>OK</v>
      </c>
      <c r="B1010" s="3" t="str">
        <f t="shared" si="2"/>
        <v>OK</v>
      </c>
      <c r="C1010" s="5">
        <v>9513.0</v>
      </c>
      <c r="D1010" s="6" t="s">
        <v>2436</v>
      </c>
      <c r="E1010" s="5" t="s">
        <v>2437</v>
      </c>
      <c r="F1010" s="7"/>
      <c r="G1010" s="3" t="str">
        <f t="shared" si="3"/>
        <v>XTKJ2</v>
      </c>
      <c r="H1010" s="3" t="str">
        <f>VLOOKUP($C1010,Userpass!$A$2:$L$3001,12,FALSE)</f>
        <v>TKJ2</v>
      </c>
      <c r="I1010" s="5" t="s">
        <v>1212</v>
      </c>
      <c r="J1010" s="5">
        <v>2025.0</v>
      </c>
      <c r="K1010" s="8" t="s">
        <v>2438</v>
      </c>
    </row>
    <row r="1011" hidden="1">
      <c r="A1011" s="3" t="str">
        <f t="shared" si="1"/>
        <v>OK</v>
      </c>
      <c r="B1011" s="3" t="str">
        <f t="shared" si="2"/>
        <v>OK</v>
      </c>
      <c r="C1011" s="5">
        <v>9548.0</v>
      </c>
      <c r="D1011" s="6" t="s">
        <v>2439</v>
      </c>
      <c r="E1011" s="5" t="s">
        <v>2440</v>
      </c>
      <c r="F1011" s="7"/>
      <c r="G1011" s="3" t="str">
        <f t="shared" si="3"/>
        <v>XTKJ2</v>
      </c>
      <c r="H1011" s="3" t="str">
        <f>VLOOKUP($C1011,Userpass!$A$2:$L$3001,12,FALSE)</f>
        <v>TKJ2</v>
      </c>
      <c r="I1011" s="5" t="s">
        <v>1212</v>
      </c>
      <c r="J1011" s="5">
        <v>2025.0</v>
      </c>
      <c r="K1011" s="8" t="s">
        <v>2441</v>
      </c>
    </row>
    <row r="1012" hidden="1">
      <c r="A1012" s="3" t="str">
        <f t="shared" si="1"/>
        <v>OK</v>
      </c>
      <c r="B1012" s="3" t="str">
        <f t="shared" si="2"/>
        <v>OK</v>
      </c>
      <c r="C1012" s="5">
        <v>9572.0</v>
      </c>
      <c r="D1012" s="6" t="s">
        <v>2442</v>
      </c>
      <c r="E1012" s="5" t="s">
        <v>2443</v>
      </c>
      <c r="F1012" s="7"/>
      <c r="G1012" s="3" t="str">
        <f t="shared" si="3"/>
        <v>XTKJ2</v>
      </c>
      <c r="H1012" s="3" t="str">
        <f>VLOOKUP($C1012,Userpass!$A$2:$L$3001,12,FALSE)</f>
        <v>TKJ2</v>
      </c>
      <c r="I1012" s="5" t="s">
        <v>1212</v>
      </c>
      <c r="J1012" s="5">
        <v>2025.0</v>
      </c>
      <c r="K1012" s="8" t="s">
        <v>2444</v>
      </c>
    </row>
    <row r="1013" hidden="1">
      <c r="A1013" s="3" t="str">
        <f t="shared" si="1"/>
        <v>OK</v>
      </c>
      <c r="B1013" s="3" t="str">
        <f t="shared" si="2"/>
        <v>OK</v>
      </c>
      <c r="C1013" s="5">
        <v>9576.0</v>
      </c>
      <c r="D1013" s="6" t="s">
        <v>2445</v>
      </c>
      <c r="E1013" s="5" t="s">
        <v>2446</v>
      </c>
      <c r="F1013" s="7"/>
      <c r="G1013" s="3" t="str">
        <f t="shared" si="3"/>
        <v>XTKJ2</v>
      </c>
      <c r="H1013" s="3" t="str">
        <f>VLOOKUP($C1013,Userpass!$A$2:$L$3001,12,FALSE)</f>
        <v>TKJ2</v>
      </c>
      <c r="I1013" s="5" t="s">
        <v>1212</v>
      </c>
      <c r="J1013" s="5">
        <v>2025.0</v>
      </c>
      <c r="K1013" s="8" t="s">
        <v>2447</v>
      </c>
    </row>
    <row r="1014" hidden="1">
      <c r="A1014" s="3" t="str">
        <f t="shared" si="1"/>
        <v>OK</v>
      </c>
      <c r="B1014" s="3" t="str">
        <f t="shared" si="2"/>
        <v>OK</v>
      </c>
      <c r="C1014" s="5">
        <v>9592.0</v>
      </c>
      <c r="D1014" s="6" t="s">
        <v>2448</v>
      </c>
      <c r="E1014" s="5" t="s">
        <v>2449</v>
      </c>
      <c r="F1014" s="7"/>
      <c r="G1014" s="3" t="str">
        <f t="shared" si="3"/>
        <v>XTKJ2</v>
      </c>
      <c r="H1014" s="3" t="str">
        <f>VLOOKUP($C1014,Userpass!$A$2:$L$3001,12,FALSE)</f>
        <v>TKJ2</v>
      </c>
      <c r="I1014" s="5" t="s">
        <v>1212</v>
      </c>
      <c r="J1014" s="5">
        <v>2025.0</v>
      </c>
      <c r="K1014" s="8" t="s">
        <v>2450</v>
      </c>
    </row>
    <row r="1015" hidden="1">
      <c r="A1015" s="3" t="str">
        <f t="shared" si="1"/>
        <v>OK</v>
      </c>
      <c r="B1015" s="3" t="str">
        <f t="shared" si="2"/>
        <v>OK</v>
      </c>
      <c r="C1015" s="5">
        <v>9602.0</v>
      </c>
      <c r="D1015" s="6" t="s">
        <v>2451</v>
      </c>
      <c r="E1015" s="5" t="s">
        <v>2452</v>
      </c>
      <c r="F1015" s="7"/>
      <c r="G1015" s="3" t="str">
        <f t="shared" si="3"/>
        <v>XTKJ2</v>
      </c>
      <c r="H1015" s="3" t="str">
        <f>VLOOKUP($C1015,Userpass!$A$2:$L$3001,12,FALSE)</f>
        <v>TKJ2</v>
      </c>
      <c r="I1015" s="5" t="s">
        <v>1212</v>
      </c>
      <c r="J1015" s="5">
        <v>2025.0</v>
      </c>
      <c r="K1015" s="8" t="s">
        <v>2453</v>
      </c>
    </row>
    <row r="1016" hidden="1">
      <c r="A1016" s="3" t="str">
        <f t="shared" si="1"/>
        <v>OK</v>
      </c>
      <c r="B1016" s="3" t="str">
        <f t="shared" si="2"/>
        <v>OK</v>
      </c>
      <c r="C1016" s="5">
        <v>9613.0</v>
      </c>
      <c r="D1016" s="6" t="s">
        <v>2454</v>
      </c>
      <c r="E1016" s="5" t="s">
        <v>2455</v>
      </c>
      <c r="F1016" s="7"/>
      <c r="G1016" s="3" t="str">
        <f t="shared" si="3"/>
        <v>XTKJ2</v>
      </c>
      <c r="H1016" s="3" t="str">
        <f>VLOOKUP($C1016,Userpass!$A$2:$L$3001,12,FALSE)</f>
        <v>TKJ2</v>
      </c>
      <c r="I1016" s="5" t="s">
        <v>1212</v>
      </c>
      <c r="J1016" s="5">
        <v>2025.0</v>
      </c>
      <c r="K1016" s="8" t="s">
        <v>2456</v>
      </c>
    </row>
    <row r="1017" hidden="1">
      <c r="A1017" s="3" t="str">
        <f t="shared" si="1"/>
        <v>OK</v>
      </c>
      <c r="B1017" s="3" t="str">
        <f t="shared" si="2"/>
        <v>OK</v>
      </c>
      <c r="C1017" s="5">
        <v>9619.0</v>
      </c>
      <c r="D1017" s="6" t="s">
        <v>2457</v>
      </c>
      <c r="E1017" s="5" t="s">
        <v>2458</v>
      </c>
      <c r="F1017" s="7"/>
      <c r="G1017" s="3" t="str">
        <f t="shared" si="3"/>
        <v>XTKJ2</v>
      </c>
      <c r="H1017" s="3" t="str">
        <f>VLOOKUP($C1017,Userpass!$A$2:$L$3001,12,FALSE)</f>
        <v>TKJ2</v>
      </c>
      <c r="I1017" s="5" t="s">
        <v>1212</v>
      </c>
      <c r="J1017" s="5">
        <v>2025.0</v>
      </c>
      <c r="K1017" s="8" t="s">
        <v>2459</v>
      </c>
    </row>
    <row r="1018" hidden="1">
      <c r="A1018" s="3" t="str">
        <f t="shared" si="1"/>
        <v>OK</v>
      </c>
      <c r="B1018" s="3" t="str">
        <f t="shared" si="2"/>
        <v>OK</v>
      </c>
      <c r="C1018" s="5">
        <v>9645.0</v>
      </c>
      <c r="D1018" s="6" t="s">
        <v>2460</v>
      </c>
      <c r="E1018" s="5" t="s">
        <v>2461</v>
      </c>
      <c r="F1018" s="7"/>
      <c r="G1018" s="3" t="str">
        <f t="shared" si="3"/>
        <v>XTKJ2</v>
      </c>
      <c r="H1018" s="3" t="str">
        <f>VLOOKUP($C1018,Userpass!$A$2:$L$3001,12,FALSE)</f>
        <v>TKJ2</v>
      </c>
      <c r="I1018" s="5" t="s">
        <v>1212</v>
      </c>
      <c r="J1018" s="5">
        <v>2025.0</v>
      </c>
      <c r="K1018" s="8" t="s">
        <v>2462</v>
      </c>
    </row>
    <row r="1019" hidden="1">
      <c r="A1019" s="3" t="str">
        <f t="shared" si="1"/>
        <v>OK</v>
      </c>
      <c r="B1019" s="3" t="str">
        <f t="shared" si="2"/>
        <v>OK</v>
      </c>
      <c r="C1019" s="5">
        <v>9659.0</v>
      </c>
      <c r="D1019" s="6" t="s">
        <v>2463</v>
      </c>
      <c r="E1019" s="5" t="s">
        <v>2464</v>
      </c>
      <c r="F1019" s="7"/>
      <c r="G1019" s="3" t="str">
        <f t="shared" si="3"/>
        <v>XTKJ2</v>
      </c>
      <c r="H1019" s="3" t="str">
        <f>VLOOKUP($C1019,Userpass!$A$2:$L$3001,12,FALSE)</f>
        <v>TKJ2</v>
      </c>
      <c r="I1019" s="5" t="s">
        <v>1212</v>
      </c>
      <c r="J1019" s="5">
        <v>2025.0</v>
      </c>
      <c r="K1019" s="8" t="s">
        <v>2465</v>
      </c>
    </row>
    <row r="1020" hidden="1">
      <c r="A1020" s="3" t="str">
        <f t="shared" si="1"/>
        <v>OK</v>
      </c>
      <c r="B1020" s="3" t="str">
        <f t="shared" si="2"/>
        <v>OK</v>
      </c>
      <c r="C1020" s="5">
        <v>9672.0</v>
      </c>
      <c r="D1020" s="6" t="s">
        <v>2466</v>
      </c>
      <c r="E1020" s="5" t="s">
        <v>2467</v>
      </c>
      <c r="F1020" s="7"/>
      <c r="G1020" s="3" t="str">
        <f t="shared" si="3"/>
        <v>XTKJ2</v>
      </c>
      <c r="H1020" s="3" t="str">
        <f>VLOOKUP($C1020,Userpass!$A$2:$L$3001,12,FALSE)</f>
        <v>TKJ2</v>
      </c>
      <c r="I1020" s="5" t="s">
        <v>1212</v>
      </c>
      <c r="J1020" s="5">
        <v>2025.0</v>
      </c>
      <c r="K1020" s="8" t="s">
        <v>2468</v>
      </c>
    </row>
    <row r="1021" hidden="1">
      <c r="A1021" s="3" t="str">
        <f t="shared" si="1"/>
        <v>OK</v>
      </c>
      <c r="B1021" s="3" t="str">
        <f t="shared" si="2"/>
        <v>OK</v>
      </c>
      <c r="C1021" s="5">
        <v>9675.0</v>
      </c>
      <c r="D1021" s="6" t="s">
        <v>2469</v>
      </c>
      <c r="E1021" s="5" t="s">
        <v>2470</v>
      </c>
      <c r="F1021" s="7"/>
      <c r="G1021" s="3" t="str">
        <f t="shared" si="3"/>
        <v>XTKJ2</v>
      </c>
      <c r="H1021" s="3" t="str">
        <f>VLOOKUP($C1021,Userpass!$A$2:$L$3001,12,FALSE)</f>
        <v>TKJ2</v>
      </c>
      <c r="I1021" s="5" t="s">
        <v>1212</v>
      </c>
      <c r="J1021" s="5">
        <v>2025.0</v>
      </c>
      <c r="K1021" s="8" t="s">
        <v>2471</v>
      </c>
    </row>
    <row r="1022" hidden="1">
      <c r="A1022" s="3" t="str">
        <f t="shared" si="1"/>
        <v>OK</v>
      </c>
      <c r="B1022" s="3" t="str">
        <f t="shared" si="2"/>
        <v>OK</v>
      </c>
      <c r="C1022" s="5">
        <v>9709.0</v>
      </c>
      <c r="D1022" s="6" t="s">
        <v>2472</v>
      </c>
      <c r="E1022" s="5" t="s">
        <v>2473</v>
      </c>
      <c r="F1022" s="7"/>
      <c r="G1022" s="3" t="str">
        <f t="shared" si="3"/>
        <v>XTKJ2</v>
      </c>
      <c r="H1022" s="3" t="str">
        <f>VLOOKUP($C1022,Userpass!$A$2:$L$3001,12,FALSE)</f>
        <v>TKJ2</v>
      </c>
      <c r="I1022" s="5" t="s">
        <v>1212</v>
      </c>
      <c r="J1022" s="5">
        <v>2025.0</v>
      </c>
      <c r="K1022" s="8" t="s">
        <v>2474</v>
      </c>
    </row>
    <row r="1023" hidden="1">
      <c r="A1023" s="3" t="str">
        <f t="shared" si="1"/>
        <v>OK</v>
      </c>
      <c r="B1023" s="3" t="str">
        <f t="shared" si="2"/>
        <v>OK</v>
      </c>
      <c r="C1023" s="5">
        <v>9735.0</v>
      </c>
      <c r="D1023" s="6" t="s">
        <v>2475</v>
      </c>
      <c r="E1023" s="5" t="s">
        <v>2476</v>
      </c>
      <c r="F1023" s="7"/>
      <c r="G1023" s="3" t="str">
        <f t="shared" si="3"/>
        <v>XTKJ2</v>
      </c>
      <c r="H1023" s="3" t="str">
        <f>VLOOKUP($C1023,Userpass!$A$2:$L$3001,12,FALSE)</f>
        <v>TKJ2</v>
      </c>
      <c r="I1023" s="5" t="s">
        <v>1212</v>
      </c>
      <c r="J1023" s="5">
        <v>2025.0</v>
      </c>
      <c r="K1023" s="8" t="s">
        <v>2477</v>
      </c>
    </row>
    <row r="1024" hidden="1">
      <c r="A1024" s="3" t="str">
        <f t="shared" si="1"/>
        <v>OK</v>
      </c>
      <c r="B1024" s="3" t="str">
        <f t="shared" si="2"/>
        <v>OK</v>
      </c>
      <c r="C1024" s="5">
        <v>9744.0</v>
      </c>
      <c r="D1024" s="6" t="s">
        <v>2478</v>
      </c>
      <c r="E1024" s="5" t="s">
        <v>2479</v>
      </c>
      <c r="F1024" s="7"/>
      <c r="G1024" s="3" t="str">
        <f t="shared" si="3"/>
        <v>XTKJ2</v>
      </c>
      <c r="H1024" s="3" t="str">
        <f>VLOOKUP($C1024,Userpass!$A$2:$L$3001,12,FALSE)</f>
        <v>TKJ2</v>
      </c>
      <c r="I1024" s="5" t="s">
        <v>1212</v>
      </c>
      <c r="J1024" s="5">
        <v>2025.0</v>
      </c>
      <c r="K1024" s="8" t="s">
        <v>2480</v>
      </c>
    </row>
    <row r="1025" hidden="1">
      <c r="A1025" s="3" t="str">
        <f t="shared" si="1"/>
        <v>OK</v>
      </c>
      <c r="B1025" s="3" t="str">
        <f t="shared" si="2"/>
        <v>OK</v>
      </c>
      <c r="C1025" s="5">
        <v>9765.0</v>
      </c>
      <c r="D1025" s="6" t="s">
        <v>2481</v>
      </c>
      <c r="E1025" s="5" t="s">
        <v>2482</v>
      </c>
      <c r="F1025" s="7"/>
      <c r="G1025" s="3" t="str">
        <f t="shared" si="3"/>
        <v>XTKJ2</v>
      </c>
      <c r="H1025" s="3" t="str">
        <f>VLOOKUP($C1025,Userpass!$A$2:$L$3001,12,FALSE)</f>
        <v>TKJ2</v>
      </c>
      <c r="I1025" s="5" t="s">
        <v>1212</v>
      </c>
      <c r="J1025" s="5">
        <v>2025.0</v>
      </c>
      <c r="K1025" s="8" t="s">
        <v>2483</v>
      </c>
    </row>
    <row r="1026" hidden="1">
      <c r="A1026" s="3" t="str">
        <f t="shared" si="1"/>
        <v>OK</v>
      </c>
      <c r="B1026" s="3" t="str">
        <f t="shared" si="2"/>
        <v>OK</v>
      </c>
      <c r="C1026" s="5">
        <v>9780.0</v>
      </c>
      <c r="D1026" s="6" t="s">
        <v>2484</v>
      </c>
      <c r="E1026" s="5" t="s">
        <v>2485</v>
      </c>
      <c r="F1026" s="7"/>
      <c r="G1026" s="3" t="str">
        <f t="shared" si="3"/>
        <v>XTKJ2</v>
      </c>
      <c r="H1026" s="3" t="str">
        <f>VLOOKUP($C1026,Userpass!$A$2:$L$3001,12,FALSE)</f>
        <v>TKJ2</v>
      </c>
      <c r="I1026" s="5" t="s">
        <v>1212</v>
      </c>
      <c r="J1026" s="5">
        <v>2025.0</v>
      </c>
      <c r="K1026" s="8" t="s">
        <v>2486</v>
      </c>
    </row>
    <row r="1027" hidden="1">
      <c r="A1027" s="3" t="str">
        <f t="shared" si="1"/>
        <v>OK</v>
      </c>
      <c r="B1027" s="3" t="str">
        <f t="shared" si="2"/>
        <v>OK</v>
      </c>
      <c r="C1027" s="5">
        <v>9788.0</v>
      </c>
      <c r="D1027" s="6" t="s">
        <v>2487</v>
      </c>
      <c r="E1027" s="5" t="s">
        <v>2488</v>
      </c>
      <c r="F1027" s="7"/>
      <c r="G1027" s="3" t="str">
        <f t="shared" si="3"/>
        <v>XTKJ2</v>
      </c>
      <c r="H1027" s="3" t="str">
        <f>VLOOKUP($C1027,Userpass!$A$2:$L$3001,12,FALSE)</f>
        <v>TKJ2</v>
      </c>
      <c r="I1027" s="5" t="s">
        <v>1212</v>
      </c>
      <c r="J1027" s="5">
        <v>2025.0</v>
      </c>
      <c r="K1027" s="8" t="s">
        <v>2489</v>
      </c>
    </row>
    <row r="1028" hidden="1">
      <c r="A1028" s="3" t="str">
        <f t="shared" si="1"/>
        <v>OK</v>
      </c>
      <c r="B1028" s="3" t="str">
        <f t="shared" si="2"/>
        <v>OK</v>
      </c>
      <c r="C1028" s="5">
        <v>9796.0</v>
      </c>
      <c r="D1028" s="6" t="s">
        <v>2490</v>
      </c>
      <c r="E1028" s="5" t="s">
        <v>2491</v>
      </c>
      <c r="F1028" s="7"/>
      <c r="G1028" s="3" t="str">
        <f t="shared" si="3"/>
        <v>XTKJ2</v>
      </c>
      <c r="H1028" s="3" t="str">
        <f>VLOOKUP($C1028,Userpass!$A$2:$L$3001,12,FALSE)</f>
        <v>TKJ2</v>
      </c>
      <c r="I1028" s="5" t="s">
        <v>1212</v>
      </c>
      <c r="J1028" s="5">
        <v>2025.0</v>
      </c>
      <c r="K1028" s="8" t="s">
        <v>2492</v>
      </c>
    </row>
    <row r="1029" hidden="1">
      <c r="A1029" s="3" t="str">
        <f t="shared" si="1"/>
        <v>OK</v>
      </c>
      <c r="B1029" s="3" t="str">
        <f t="shared" si="2"/>
        <v>OK</v>
      </c>
      <c r="C1029" s="5">
        <v>9803.0</v>
      </c>
      <c r="D1029" s="6" t="s">
        <v>2493</v>
      </c>
      <c r="E1029" s="5" t="s">
        <v>2494</v>
      </c>
      <c r="F1029" s="7"/>
      <c r="G1029" s="3" t="str">
        <f t="shared" si="3"/>
        <v>XTKJ2</v>
      </c>
      <c r="H1029" s="3" t="str">
        <f>VLOOKUP($C1029,Userpass!$A$2:$L$3001,12,FALSE)</f>
        <v>TKJ2</v>
      </c>
      <c r="I1029" s="5" t="s">
        <v>1212</v>
      </c>
      <c r="J1029" s="5">
        <v>2025.0</v>
      </c>
      <c r="K1029" s="8" t="s">
        <v>2495</v>
      </c>
    </row>
    <row r="1030" hidden="1">
      <c r="A1030" s="3" t="str">
        <f t="shared" si="1"/>
        <v>OK</v>
      </c>
      <c r="B1030" s="3" t="str">
        <f t="shared" si="2"/>
        <v>OK</v>
      </c>
      <c r="C1030" s="5">
        <v>9807.0</v>
      </c>
      <c r="D1030" s="6" t="s">
        <v>2496</v>
      </c>
      <c r="E1030" s="5" t="s">
        <v>2497</v>
      </c>
      <c r="F1030" s="7"/>
      <c r="G1030" s="3" t="str">
        <f t="shared" si="3"/>
        <v>XTKJ2</v>
      </c>
      <c r="H1030" s="3" t="str">
        <f>VLOOKUP($C1030,Userpass!$A$2:$L$3001,12,FALSE)</f>
        <v>TKJ2</v>
      </c>
      <c r="I1030" s="5" t="s">
        <v>1212</v>
      </c>
      <c r="J1030" s="5">
        <v>2025.0</v>
      </c>
      <c r="K1030" s="8" t="s">
        <v>2498</v>
      </c>
    </row>
    <row r="1031" hidden="1">
      <c r="A1031" s="3" t="str">
        <f t="shared" si="1"/>
        <v>OK</v>
      </c>
      <c r="B1031" s="3" t="str">
        <f t="shared" si="2"/>
        <v>OK</v>
      </c>
      <c r="C1031" s="5">
        <v>9822.0</v>
      </c>
      <c r="D1031" s="6" t="s">
        <v>2499</v>
      </c>
      <c r="E1031" s="5" t="s">
        <v>2500</v>
      </c>
      <c r="F1031" s="7"/>
      <c r="G1031" s="3" t="str">
        <f t="shared" si="3"/>
        <v>XTKJ2</v>
      </c>
      <c r="H1031" s="3" t="str">
        <f>VLOOKUP($C1031,Userpass!$A$2:$L$3001,12,FALSE)</f>
        <v>TKJ2</v>
      </c>
      <c r="I1031" s="5" t="s">
        <v>1212</v>
      </c>
      <c r="J1031" s="5">
        <v>2025.0</v>
      </c>
      <c r="K1031" s="8" t="s">
        <v>2501</v>
      </c>
    </row>
    <row r="1032" hidden="1">
      <c r="A1032" s="3" t="str">
        <f t="shared" si="1"/>
        <v>OK</v>
      </c>
      <c r="B1032" s="3" t="str">
        <f t="shared" si="2"/>
        <v>OK</v>
      </c>
      <c r="C1032" s="5">
        <v>9849.0</v>
      </c>
      <c r="D1032" s="6" t="s">
        <v>2502</v>
      </c>
      <c r="E1032" s="5" t="s">
        <v>2503</v>
      </c>
      <c r="F1032" s="7"/>
      <c r="G1032" s="3" t="str">
        <f t="shared" si="3"/>
        <v>XTKJ2</v>
      </c>
      <c r="H1032" s="3" t="str">
        <f>VLOOKUP($C1032,Userpass!$A$2:$L$3001,12,FALSE)</f>
        <v>TKJ2</v>
      </c>
      <c r="I1032" s="5" t="s">
        <v>1212</v>
      </c>
      <c r="J1032" s="5">
        <v>2025.0</v>
      </c>
      <c r="K1032" s="8" t="s">
        <v>2504</v>
      </c>
    </row>
    <row r="1033" hidden="1">
      <c r="A1033" s="3" t="str">
        <f t="shared" si="1"/>
        <v>OK</v>
      </c>
      <c r="B1033" s="3" t="str">
        <f t="shared" si="2"/>
        <v>OK</v>
      </c>
      <c r="C1033" s="5">
        <v>9246.0</v>
      </c>
      <c r="D1033" s="6" t="s">
        <v>2505</v>
      </c>
      <c r="E1033" s="5" t="s">
        <v>2506</v>
      </c>
      <c r="F1033" s="7"/>
      <c r="G1033" s="3" t="str">
        <f t="shared" si="3"/>
        <v>XTKR1</v>
      </c>
      <c r="H1033" s="3" t="str">
        <f>VLOOKUP($C1033,Userpass!$A$2:$L$3001,12,FALSE)</f>
        <v>TKR1</v>
      </c>
      <c r="I1033" s="5" t="s">
        <v>1212</v>
      </c>
      <c r="J1033" s="5">
        <v>2025.0</v>
      </c>
      <c r="K1033" s="8" t="s">
        <v>2507</v>
      </c>
    </row>
    <row r="1034" hidden="1">
      <c r="A1034" s="3" t="str">
        <f t="shared" si="1"/>
        <v>OK</v>
      </c>
      <c r="B1034" s="3" t="str">
        <f t="shared" si="2"/>
        <v>OK</v>
      </c>
      <c r="C1034" s="5">
        <v>9259.0</v>
      </c>
      <c r="D1034" s="6" t="s">
        <v>2508</v>
      </c>
      <c r="E1034" s="5" t="s">
        <v>2509</v>
      </c>
      <c r="F1034" s="7"/>
      <c r="G1034" s="3" t="str">
        <f t="shared" si="3"/>
        <v>XTKR1</v>
      </c>
      <c r="H1034" s="3" t="str">
        <f>VLOOKUP($C1034,Userpass!$A$2:$L$3001,12,FALSE)</f>
        <v>TKR1</v>
      </c>
      <c r="I1034" s="5" t="s">
        <v>1212</v>
      </c>
      <c r="J1034" s="5">
        <v>2025.0</v>
      </c>
      <c r="K1034" s="8" t="s">
        <v>2510</v>
      </c>
    </row>
    <row r="1035" hidden="1">
      <c r="A1035" s="3" t="str">
        <f t="shared" si="1"/>
        <v>OK</v>
      </c>
      <c r="B1035" s="3" t="str">
        <f t="shared" si="2"/>
        <v>OK</v>
      </c>
      <c r="C1035" s="5">
        <v>9277.0</v>
      </c>
      <c r="D1035" s="6" t="s">
        <v>2511</v>
      </c>
      <c r="E1035" s="5" t="s">
        <v>2512</v>
      </c>
      <c r="F1035" s="7"/>
      <c r="G1035" s="3" t="str">
        <f t="shared" si="3"/>
        <v>XTKR1</v>
      </c>
      <c r="H1035" s="3" t="str">
        <f>VLOOKUP($C1035,Userpass!$A$2:$L$3001,12,FALSE)</f>
        <v>TKR1</v>
      </c>
      <c r="I1035" s="5" t="s">
        <v>1212</v>
      </c>
      <c r="J1035" s="5">
        <v>2025.0</v>
      </c>
      <c r="K1035" s="8" t="s">
        <v>2513</v>
      </c>
    </row>
    <row r="1036" hidden="1">
      <c r="A1036" s="3" t="str">
        <f t="shared" si="1"/>
        <v>OK</v>
      </c>
      <c r="B1036" s="3" t="str">
        <f t="shared" si="2"/>
        <v>OK</v>
      </c>
      <c r="C1036" s="5">
        <v>9295.0</v>
      </c>
      <c r="D1036" s="6" t="s">
        <v>2514</v>
      </c>
      <c r="E1036" s="5" t="s">
        <v>2515</v>
      </c>
      <c r="F1036" s="7"/>
      <c r="G1036" s="3" t="str">
        <f t="shared" si="3"/>
        <v>XTKR1</v>
      </c>
      <c r="H1036" s="3" t="str">
        <f>VLOOKUP($C1036,Userpass!$A$2:$L$3001,12,FALSE)</f>
        <v>TKR1</v>
      </c>
      <c r="I1036" s="5" t="s">
        <v>1212</v>
      </c>
      <c r="J1036" s="5">
        <v>2025.0</v>
      </c>
      <c r="K1036" s="8" t="s">
        <v>2516</v>
      </c>
    </row>
    <row r="1037" hidden="1">
      <c r="A1037" s="3" t="str">
        <f t="shared" si="1"/>
        <v>OK</v>
      </c>
      <c r="B1037" s="3" t="str">
        <f t="shared" si="2"/>
        <v>OK</v>
      </c>
      <c r="C1037" s="5">
        <v>9301.0</v>
      </c>
      <c r="D1037" s="6" t="s">
        <v>2517</v>
      </c>
      <c r="E1037" s="5" t="s">
        <v>2518</v>
      </c>
      <c r="F1037" s="7"/>
      <c r="G1037" s="3" t="str">
        <f t="shared" si="3"/>
        <v>XTKR1</v>
      </c>
      <c r="H1037" s="3" t="str">
        <f>VLOOKUP($C1037,Userpass!$A$2:$L$3001,12,FALSE)</f>
        <v>TKR1</v>
      </c>
      <c r="I1037" s="5" t="s">
        <v>1212</v>
      </c>
      <c r="J1037" s="5">
        <v>2025.0</v>
      </c>
      <c r="K1037" s="8" t="s">
        <v>2519</v>
      </c>
    </row>
    <row r="1038" hidden="1">
      <c r="A1038" s="3" t="str">
        <f t="shared" si="1"/>
        <v>OK</v>
      </c>
      <c r="B1038" s="3" t="str">
        <f t="shared" si="2"/>
        <v>OK</v>
      </c>
      <c r="C1038" s="5">
        <v>9311.0</v>
      </c>
      <c r="D1038" s="6" t="s">
        <v>2520</v>
      </c>
      <c r="E1038" s="5" t="s">
        <v>2521</v>
      </c>
      <c r="F1038" s="7"/>
      <c r="G1038" s="3" t="str">
        <f t="shared" si="3"/>
        <v>XTKR1</v>
      </c>
      <c r="H1038" s="3" t="str">
        <f>VLOOKUP($C1038,Userpass!$A$2:$L$3001,12,FALSE)</f>
        <v>TKR1</v>
      </c>
      <c r="I1038" s="5" t="s">
        <v>1212</v>
      </c>
      <c r="J1038" s="5">
        <v>2025.0</v>
      </c>
      <c r="K1038" s="8" t="s">
        <v>2522</v>
      </c>
    </row>
    <row r="1039" hidden="1">
      <c r="A1039" s="3" t="str">
        <f t="shared" si="1"/>
        <v>OK</v>
      </c>
      <c r="B1039" s="3" t="str">
        <f t="shared" si="2"/>
        <v>OK</v>
      </c>
      <c r="C1039" s="5">
        <v>9328.0</v>
      </c>
      <c r="D1039" s="6" t="s">
        <v>2523</v>
      </c>
      <c r="E1039" s="5" t="s">
        <v>2524</v>
      </c>
      <c r="F1039" s="7"/>
      <c r="G1039" s="3" t="str">
        <f t="shared" si="3"/>
        <v>XTKR1</v>
      </c>
      <c r="H1039" s="3" t="str">
        <f>VLOOKUP($C1039,Userpass!$A$2:$L$3001,12,FALSE)</f>
        <v>TKR1</v>
      </c>
      <c r="I1039" s="5" t="s">
        <v>1212</v>
      </c>
      <c r="J1039" s="5">
        <v>2025.0</v>
      </c>
      <c r="K1039" s="8" t="s">
        <v>2525</v>
      </c>
    </row>
    <row r="1040" hidden="1">
      <c r="A1040" s="3" t="str">
        <f t="shared" si="1"/>
        <v>OK</v>
      </c>
      <c r="B1040" s="3" t="str">
        <f t="shared" si="2"/>
        <v>OK</v>
      </c>
      <c r="C1040" s="5">
        <v>9343.0</v>
      </c>
      <c r="D1040" s="6" t="s">
        <v>2526</v>
      </c>
      <c r="E1040" s="5" t="s">
        <v>2527</v>
      </c>
      <c r="F1040" s="7"/>
      <c r="G1040" s="3" t="str">
        <f t="shared" si="3"/>
        <v>XTKR1</v>
      </c>
      <c r="H1040" s="3" t="str">
        <f>VLOOKUP($C1040,Userpass!$A$2:$L$3001,12,FALSE)</f>
        <v>TKR1</v>
      </c>
      <c r="I1040" s="5" t="s">
        <v>1212</v>
      </c>
      <c r="J1040" s="5">
        <v>2025.0</v>
      </c>
      <c r="K1040" s="8" t="s">
        <v>2528</v>
      </c>
    </row>
    <row r="1041" hidden="1">
      <c r="A1041" s="3" t="str">
        <f t="shared" si="1"/>
        <v>OK</v>
      </c>
      <c r="B1041" s="3" t="str">
        <f t="shared" si="2"/>
        <v>OK</v>
      </c>
      <c r="C1041" s="5">
        <v>9363.0</v>
      </c>
      <c r="D1041" s="6" t="s">
        <v>2529</v>
      </c>
      <c r="E1041" s="5" t="s">
        <v>2530</v>
      </c>
      <c r="F1041" s="7"/>
      <c r="G1041" s="3" t="str">
        <f t="shared" si="3"/>
        <v>XTKR1</v>
      </c>
      <c r="H1041" s="3" t="str">
        <f>VLOOKUP($C1041,Userpass!$A$2:$L$3001,12,FALSE)</f>
        <v>TKR1</v>
      </c>
      <c r="I1041" s="5" t="s">
        <v>1212</v>
      </c>
      <c r="J1041" s="5">
        <v>2025.0</v>
      </c>
      <c r="K1041" s="8" t="s">
        <v>2531</v>
      </c>
    </row>
    <row r="1042" hidden="1">
      <c r="A1042" s="3" t="str">
        <f t="shared" si="1"/>
        <v>OK</v>
      </c>
      <c r="B1042" s="3" t="str">
        <f t="shared" si="2"/>
        <v>OK</v>
      </c>
      <c r="C1042" s="5">
        <v>9377.0</v>
      </c>
      <c r="D1042" s="6" t="s">
        <v>2532</v>
      </c>
      <c r="E1042" s="5" t="s">
        <v>2533</v>
      </c>
      <c r="F1042" s="7"/>
      <c r="G1042" s="3" t="str">
        <f t="shared" si="3"/>
        <v>XTKR1</v>
      </c>
      <c r="H1042" s="3" t="str">
        <f>VLOOKUP($C1042,Userpass!$A$2:$L$3001,12,FALSE)</f>
        <v>TKR1</v>
      </c>
      <c r="I1042" s="5" t="s">
        <v>1212</v>
      </c>
      <c r="J1042" s="5">
        <v>2025.0</v>
      </c>
      <c r="K1042" s="8" t="s">
        <v>2534</v>
      </c>
    </row>
    <row r="1043" hidden="1">
      <c r="A1043" s="3" t="str">
        <f t="shared" si="1"/>
        <v>OK</v>
      </c>
      <c r="B1043" s="3" t="str">
        <f t="shared" si="2"/>
        <v>OK</v>
      </c>
      <c r="C1043" s="5">
        <v>9403.0</v>
      </c>
      <c r="D1043" s="6" t="s">
        <v>2535</v>
      </c>
      <c r="E1043" s="5" t="s">
        <v>2536</v>
      </c>
      <c r="F1043" s="7"/>
      <c r="G1043" s="3" t="str">
        <f t="shared" si="3"/>
        <v>XTKR1</v>
      </c>
      <c r="H1043" s="3" t="str">
        <f>VLOOKUP($C1043,Userpass!$A$2:$L$3001,12,FALSE)</f>
        <v>TKR1</v>
      </c>
      <c r="I1043" s="5" t="s">
        <v>1212</v>
      </c>
      <c r="J1043" s="5">
        <v>2025.0</v>
      </c>
      <c r="K1043" s="8" t="s">
        <v>2537</v>
      </c>
    </row>
    <row r="1044" hidden="1">
      <c r="A1044" s="3" t="str">
        <f t="shared" si="1"/>
        <v>OK</v>
      </c>
      <c r="B1044" s="3" t="str">
        <f t="shared" si="2"/>
        <v>OK</v>
      </c>
      <c r="C1044" s="5">
        <v>9411.0</v>
      </c>
      <c r="D1044" s="6" t="s">
        <v>2538</v>
      </c>
      <c r="E1044" s="5" t="s">
        <v>2539</v>
      </c>
      <c r="F1044" s="7"/>
      <c r="G1044" s="3" t="str">
        <f t="shared" si="3"/>
        <v>XTKR1</v>
      </c>
      <c r="H1044" s="3" t="str">
        <f>VLOOKUP($C1044,Userpass!$A$2:$L$3001,12,FALSE)</f>
        <v>TKR1</v>
      </c>
      <c r="I1044" s="5" t="s">
        <v>1212</v>
      </c>
      <c r="J1044" s="5">
        <v>2025.0</v>
      </c>
      <c r="K1044" s="8" t="s">
        <v>2540</v>
      </c>
    </row>
    <row r="1045" hidden="1">
      <c r="A1045" s="3" t="str">
        <f t="shared" si="1"/>
        <v>OK</v>
      </c>
      <c r="B1045" s="3" t="str">
        <f t="shared" si="2"/>
        <v>OK</v>
      </c>
      <c r="C1045" s="5">
        <v>9432.0</v>
      </c>
      <c r="D1045" s="6" t="s">
        <v>2541</v>
      </c>
      <c r="E1045" s="5" t="s">
        <v>2542</v>
      </c>
      <c r="F1045" s="7"/>
      <c r="G1045" s="3" t="str">
        <f t="shared" si="3"/>
        <v>XTKR1</v>
      </c>
      <c r="H1045" s="3" t="str">
        <f>VLOOKUP($C1045,Userpass!$A$2:$L$3001,12,FALSE)</f>
        <v>TKR1</v>
      </c>
      <c r="I1045" s="5" t="s">
        <v>1212</v>
      </c>
      <c r="J1045" s="5">
        <v>2025.0</v>
      </c>
      <c r="K1045" s="8" t="s">
        <v>2543</v>
      </c>
    </row>
    <row r="1046" hidden="1">
      <c r="A1046" s="3" t="str">
        <f t="shared" si="1"/>
        <v>OK</v>
      </c>
      <c r="B1046" s="3" t="str">
        <f t="shared" si="2"/>
        <v>OK</v>
      </c>
      <c r="C1046" s="5">
        <v>9447.0</v>
      </c>
      <c r="D1046" s="6" t="s">
        <v>2544</v>
      </c>
      <c r="E1046" s="5" t="s">
        <v>2545</v>
      </c>
      <c r="F1046" s="7"/>
      <c r="G1046" s="3" t="str">
        <f t="shared" si="3"/>
        <v>XTKR1</v>
      </c>
      <c r="H1046" s="3" t="str">
        <f>VLOOKUP($C1046,Userpass!$A$2:$L$3001,12,FALSE)</f>
        <v>TKR1</v>
      </c>
      <c r="I1046" s="5" t="s">
        <v>1212</v>
      </c>
      <c r="J1046" s="5">
        <v>2025.0</v>
      </c>
      <c r="K1046" s="8" t="s">
        <v>2546</v>
      </c>
    </row>
    <row r="1047" hidden="1">
      <c r="A1047" s="3" t="str">
        <f t="shared" si="1"/>
        <v>OK</v>
      </c>
      <c r="B1047" s="3" t="str">
        <f t="shared" si="2"/>
        <v>OK</v>
      </c>
      <c r="C1047" s="5">
        <v>9458.0</v>
      </c>
      <c r="D1047" s="6" t="s">
        <v>2547</v>
      </c>
      <c r="E1047" s="5" t="s">
        <v>2548</v>
      </c>
      <c r="F1047" s="7"/>
      <c r="G1047" s="3" t="str">
        <f t="shared" si="3"/>
        <v>XTKR1</v>
      </c>
      <c r="H1047" s="3" t="str">
        <f>VLOOKUP($C1047,Userpass!$A$2:$L$3001,12,FALSE)</f>
        <v>TKR1</v>
      </c>
      <c r="I1047" s="5" t="s">
        <v>1212</v>
      </c>
      <c r="J1047" s="5">
        <v>2025.0</v>
      </c>
      <c r="K1047" s="8" t="s">
        <v>2549</v>
      </c>
    </row>
    <row r="1048" hidden="1">
      <c r="A1048" s="3" t="str">
        <f t="shared" si="1"/>
        <v>OK</v>
      </c>
      <c r="B1048" s="3" t="str">
        <f t="shared" si="2"/>
        <v>OK</v>
      </c>
      <c r="C1048" s="5">
        <v>9467.0</v>
      </c>
      <c r="D1048" s="6" t="s">
        <v>2550</v>
      </c>
      <c r="E1048" s="5" t="s">
        <v>2551</v>
      </c>
      <c r="F1048" s="7"/>
      <c r="G1048" s="3" t="str">
        <f t="shared" si="3"/>
        <v>XTKR1</v>
      </c>
      <c r="H1048" s="3" t="str">
        <f>VLOOKUP($C1048,Userpass!$A$2:$L$3001,12,FALSE)</f>
        <v>TKR1</v>
      </c>
      <c r="I1048" s="5" t="s">
        <v>1212</v>
      </c>
      <c r="J1048" s="5">
        <v>2025.0</v>
      </c>
      <c r="K1048" s="8" t="s">
        <v>2552</v>
      </c>
    </row>
    <row r="1049" hidden="1">
      <c r="A1049" s="3" t="str">
        <f t="shared" si="1"/>
        <v>OK</v>
      </c>
      <c r="B1049" s="3" t="str">
        <f t="shared" si="2"/>
        <v>OK</v>
      </c>
      <c r="C1049" s="5">
        <v>9479.0</v>
      </c>
      <c r="D1049" s="6" t="s">
        <v>2553</v>
      </c>
      <c r="E1049" s="5" t="s">
        <v>2554</v>
      </c>
      <c r="F1049" s="7"/>
      <c r="G1049" s="3" t="str">
        <f t="shared" si="3"/>
        <v>XTKR1</v>
      </c>
      <c r="H1049" s="3" t="str">
        <f>VLOOKUP($C1049,Userpass!$A$2:$L$3001,12,FALSE)</f>
        <v>TKR1</v>
      </c>
      <c r="I1049" s="5" t="s">
        <v>1212</v>
      </c>
      <c r="J1049" s="5">
        <v>2025.0</v>
      </c>
      <c r="K1049" s="8" t="s">
        <v>2555</v>
      </c>
    </row>
    <row r="1050" hidden="1">
      <c r="A1050" s="3" t="str">
        <f t="shared" si="1"/>
        <v>OK</v>
      </c>
      <c r="B1050" s="3" t="str">
        <f t="shared" si="2"/>
        <v>OK</v>
      </c>
      <c r="C1050" s="5">
        <v>9492.0</v>
      </c>
      <c r="D1050" s="6" t="s">
        <v>2556</v>
      </c>
      <c r="E1050" s="5" t="s">
        <v>2557</v>
      </c>
      <c r="F1050" s="7"/>
      <c r="G1050" s="3" t="str">
        <f t="shared" si="3"/>
        <v>XTKR1</v>
      </c>
      <c r="H1050" s="3" t="str">
        <f>VLOOKUP($C1050,Userpass!$A$2:$L$3001,12,FALSE)</f>
        <v>TKR1</v>
      </c>
      <c r="I1050" s="5" t="s">
        <v>1212</v>
      </c>
      <c r="J1050" s="5">
        <v>2025.0</v>
      </c>
      <c r="K1050" s="8" t="s">
        <v>2558</v>
      </c>
    </row>
    <row r="1051" hidden="1">
      <c r="A1051" s="3" t="str">
        <f t="shared" si="1"/>
        <v>OK</v>
      </c>
      <c r="B1051" s="3" t="str">
        <f t="shared" si="2"/>
        <v>OK</v>
      </c>
      <c r="C1051" s="5">
        <v>9543.0</v>
      </c>
      <c r="D1051" s="6" t="s">
        <v>2559</v>
      </c>
      <c r="E1051" s="5" t="s">
        <v>2560</v>
      </c>
      <c r="F1051" s="7"/>
      <c r="G1051" s="3" t="str">
        <f t="shared" si="3"/>
        <v>XTKR1</v>
      </c>
      <c r="H1051" s="3" t="str">
        <f>VLOOKUP($C1051,Userpass!$A$2:$L$3001,12,FALSE)</f>
        <v>TKR1</v>
      </c>
      <c r="I1051" s="5" t="s">
        <v>1212</v>
      </c>
      <c r="J1051" s="5">
        <v>2025.0</v>
      </c>
      <c r="K1051" s="8" t="s">
        <v>2561</v>
      </c>
    </row>
    <row r="1052" hidden="1">
      <c r="A1052" s="3" t="str">
        <f t="shared" si="1"/>
        <v>OK</v>
      </c>
      <c r="B1052" s="3" t="str">
        <f t="shared" si="2"/>
        <v>OK</v>
      </c>
      <c r="C1052" s="5">
        <v>9565.0</v>
      </c>
      <c r="D1052" s="6" t="s">
        <v>2562</v>
      </c>
      <c r="E1052" s="5" t="s">
        <v>2563</v>
      </c>
      <c r="F1052" s="7"/>
      <c r="G1052" s="3" t="str">
        <f t="shared" si="3"/>
        <v>XTKR1</v>
      </c>
      <c r="H1052" s="3" t="str">
        <f>VLOOKUP($C1052,Userpass!$A$2:$L$3001,12,FALSE)</f>
        <v>TKR1</v>
      </c>
      <c r="I1052" s="5" t="s">
        <v>1212</v>
      </c>
      <c r="J1052" s="5">
        <v>2025.0</v>
      </c>
      <c r="K1052" s="8" t="s">
        <v>2564</v>
      </c>
    </row>
    <row r="1053" hidden="1">
      <c r="A1053" s="3" t="str">
        <f t="shared" si="1"/>
        <v>OK</v>
      </c>
      <c r="B1053" s="3" t="str">
        <f t="shared" si="2"/>
        <v>OK</v>
      </c>
      <c r="C1053" s="5">
        <v>9574.0</v>
      </c>
      <c r="D1053" s="6" t="s">
        <v>2565</v>
      </c>
      <c r="E1053" s="5" t="s">
        <v>2566</v>
      </c>
      <c r="F1053" s="7"/>
      <c r="G1053" s="3" t="str">
        <f t="shared" si="3"/>
        <v>XTKR1</v>
      </c>
      <c r="H1053" s="3" t="str">
        <f>VLOOKUP($C1053,Userpass!$A$2:$L$3001,12,FALSE)</f>
        <v>TKR1</v>
      </c>
      <c r="I1053" s="5" t="s">
        <v>1212</v>
      </c>
      <c r="J1053" s="5">
        <v>2025.0</v>
      </c>
      <c r="K1053" s="8" t="s">
        <v>2567</v>
      </c>
    </row>
    <row r="1054" hidden="1">
      <c r="A1054" s="3" t="str">
        <f t="shared" si="1"/>
        <v>OK</v>
      </c>
      <c r="B1054" s="3" t="str">
        <f t="shared" si="2"/>
        <v>OK</v>
      </c>
      <c r="C1054" s="5">
        <v>9583.0</v>
      </c>
      <c r="D1054" s="6" t="s">
        <v>2568</v>
      </c>
      <c r="E1054" s="5" t="s">
        <v>2569</v>
      </c>
      <c r="F1054" s="7"/>
      <c r="G1054" s="3" t="str">
        <f t="shared" si="3"/>
        <v>XTKR1</v>
      </c>
      <c r="H1054" s="3" t="str">
        <f>VLOOKUP($C1054,Userpass!$A$2:$L$3001,12,FALSE)</f>
        <v>TKR1</v>
      </c>
      <c r="I1054" s="5" t="s">
        <v>1212</v>
      </c>
      <c r="J1054" s="5">
        <v>2025.0</v>
      </c>
      <c r="K1054" s="8" t="s">
        <v>2570</v>
      </c>
    </row>
    <row r="1055" hidden="1">
      <c r="A1055" s="3" t="str">
        <f t="shared" si="1"/>
        <v>OK</v>
      </c>
      <c r="B1055" s="3" t="str">
        <f t="shared" si="2"/>
        <v>OK</v>
      </c>
      <c r="C1055" s="5">
        <v>9589.0</v>
      </c>
      <c r="D1055" s="6" t="s">
        <v>2571</v>
      </c>
      <c r="E1055" s="5" t="s">
        <v>2572</v>
      </c>
      <c r="F1055" s="7"/>
      <c r="G1055" s="3" t="str">
        <f t="shared" si="3"/>
        <v>XTKR1</v>
      </c>
      <c r="H1055" s="3" t="str">
        <f>VLOOKUP($C1055,Userpass!$A$2:$L$3001,12,FALSE)</f>
        <v>TKR1</v>
      </c>
      <c r="I1055" s="5" t="s">
        <v>1212</v>
      </c>
      <c r="J1055" s="5">
        <v>2025.0</v>
      </c>
      <c r="K1055" s="8" t="s">
        <v>2573</v>
      </c>
    </row>
    <row r="1056" hidden="1">
      <c r="A1056" s="3" t="str">
        <f t="shared" si="1"/>
        <v>OK</v>
      </c>
      <c r="B1056" s="3" t="str">
        <f t="shared" si="2"/>
        <v>OK</v>
      </c>
      <c r="C1056" s="5">
        <v>9603.0</v>
      </c>
      <c r="D1056" s="6" t="s">
        <v>2574</v>
      </c>
      <c r="E1056" s="5" t="s">
        <v>2575</v>
      </c>
      <c r="F1056" s="7"/>
      <c r="G1056" s="3" t="str">
        <f t="shared" si="3"/>
        <v>XTKR1</v>
      </c>
      <c r="H1056" s="3" t="str">
        <f>VLOOKUP($C1056,Userpass!$A$2:$L$3001,12,FALSE)</f>
        <v>TKR1</v>
      </c>
      <c r="I1056" s="5" t="s">
        <v>1212</v>
      </c>
      <c r="J1056" s="5">
        <v>2025.0</v>
      </c>
      <c r="K1056" s="8" t="s">
        <v>2576</v>
      </c>
    </row>
    <row r="1057" hidden="1">
      <c r="A1057" s="3" t="str">
        <f t="shared" si="1"/>
        <v>OK</v>
      </c>
      <c r="B1057" s="3" t="str">
        <f t="shared" si="2"/>
        <v>OK</v>
      </c>
      <c r="C1057" s="5">
        <v>9621.0</v>
      </c>
      <c r="D1057" s="6" t="s">
        <v>2577</v>
      </c>
      <c r="E1057" s="5" t="s">
        <v>2578</v>
      </c>
      <c r="F1057" s="7"/>
      <c r="G1057" s="3" t="str">
        <f t="shared" si="3"/>
        <v>XTKR1</v>
      </c>
      <c r="H1057" s="3" t="str">
        <f>VLOOKUP($C1057,Userpass!$A$2:$L$3001,12,FALSE)</f>
        <v>TKR1</v>
      </c>
      <c r="I1057" s="5" t="s">
        <v>1212</v>
      </c>
      <c r="J1057" s="5">
        <v>2025.0</v>
      </c>
      <c r="K1057" s="8" t="s">
        <v>2579</v>
      </c>
    </row>
    <row r="1058" hidden="1">
      <c r="A1058" s="3" t="str">
        <f t="shared" si="1"/>
        <v>OK</v>
      </c>
      <c r="B1058" s="3" t="str">
        <f t="shared" si="2"/>
        <v>OK</v>
      </c>
      <c r="C1058" s="5">
        <v>9630.0</v>
      </c>
      <c r="D1058" s="6" t="s">
        <v>2580</v>
      </c>
      <c r="E1058" s="5" t="s">
        <v>2581</v>
      </c>
      <c r="F1058" s="7"/>
      <c r="G1058" s="3" t="str">
        <f t="shared" si="3"/>
        <v>XTKR1</v>
      </c>
      <c r="H1058" s="3" t="str">
        <f>VLOOKUP($C1058,Userpass!$A$2:$L$3001,12,FALSE)</f>
        <v>TKR1</v>
      </c>
      <c r="I1058" s="5" t="s">
        <v>1212</v>
      </c>
      <c r="J1058" s="5">
        <v>2025.0</v>
      </c>
      <c r="K1058" s="8" t="s">
        <v>2582</v>
      </c>
    </row>
    <row r="1059" hidden="1">
      <c r="A1059" s="3" t="str">
        <f t="shared" si="1"/>
        <v>OK</v>
      </c>
      <c r="B1059" s="3" t="str">
        <f t="shared" si="2"/>
        <v>OK</v>
      </c>
      <c r="C1059" s="5">
        <v>9636.0</v>
      </c>
      <c r="D1059" s="6" t="s">
        <v>2583</v>
      </c>
      <c r="E1059" s="5" t="s">
        <v>2584</v>
      </c>
      <c r="F1059" s="7"/>
      <c r="G1059" s="3" t="str">
        <f t="shared" si="3"/>
        <v>XTKR1</v>
      </c>
      <c r="H1059" s="3" t="str">
        <f>VLOOKUP($C1059,Userpass!$A$2:$L$3001,12,FALSE)</f>
        <v>TKR1</v>
      </c>
      <c r="I1059" s="5" t="s">
        <v>1212</v>
      </c>
      <c r="J1059" s="5">
        <v>2025.0</v>
      </c>
      <c r="K1059" s="8" t="s">
        <v>2585</v>
      </c>
    </row>
    <row r="1060" hidden="1">
      <c r="A1060" s="3" t="str">
        <f t="shared" si="1"/>
        <v>OK</v>
      </c>
      <c r="B1060" s="3" t="str">
        <f t="shared" si="2"/>
        <v>OK</v>
      </c>
      <c r="C1060" s="5">
        <v>9642.0</v>
      </c>
      <c r="D1060" s="6" t="s">
        <v>2586</v>
      </c>
      <c r="E1060" s="5" t="s">
        <v>2587</v>
      </c>
      <c r="F1060" s="7"/>
      <c r="G1060" s="3" t="str">
        <f t="shared" si="3"/>
        <v>XTKR1</v>
      </c>
      <c r="H1060" s="3" t="str">
        <f>VLOOKUP($C1060,Userpass!$A$2:$L$3001,12,FALSE)</f>
        <v>TKR1</v>
      </c>
      <c r="I1060" s="5" t="s">
        <v>1212</v>
      </c>
      <c r="J1060" s="5">
        <v>2025.0</v>
      </c>
      <c r="K1060" s="8" t="s">
        <v>2588</v>
      </c>
    </row>
    <row r="1061" hidden="1">
      <c r="A1061" s="3" t="str">
        <f t="shared" si="1"/>
        <v>OK</v>
      </c>
      <c r="B1061" s="3" t="str">
        <f t="shared" si="2"/>
        <v>OK</v>
      </c>
      <c r="C1061" s="5">
        <v>9660.0</v>
      </c>
      <c r="D1061" s="6" t="s">
        <v>2589</v>
      </c>
      <c r="E1061" s="5" t="s">
        <v>2590</v>
      </c>
      <c r="F1061" s="7"/>
      <c r="G1061" s="3" t="str">
        <f t="shared" si="3"/>
        <v>XTKR1</v>
      </c>
      <c r="H1061" s="3" t="str">
        <f>VLOOKUP($C1061,Userpass!$A$2:$L$3001,12,FALSE)</f>
        <v>TKR1</v>
      </c>
      <c r="I1061" s="5" t="s">
        <v>1212</v>
      </c>
      <c r="J1061" s="5">
        <v>2025.0</v>
      </c>
      <c r="K1061" s="8" t="s">
        <v>2591</v>
      </c>
    </row>
    <row r="1062" hidden="1">
      <c r="A1062" s="3" t="str">
        <f t="shared" si="1"/>
        <v>OK</v>
      </c>
      <c r="B1062" s="3" t="str">
        <f t="shared" si="2"/>
        <v>OK</v>
      </c>
      <c r="C1062" s="5">
        <v>9704.0</v>
      </c>
      <c r="D1062" s="6" t="s">
        <v>2592</v>
      </c>
      <c r="E1062" s="5" t="s">
        <v>2593</v>
      </c>
      <c r="F1062" s="7"/>
      <c r="G1062" s="3" t="str">
        <f t="shared" si="3"/>
        <v>XTKR1</v>
      </c>
      <c r="H1062" s="3" t="str">
        <f>VLOOKUP($C1062,Userpass!$A$2:$L$3001,12,FALSE)</f>
        <v>TKR1</v>
      </c>
      <c r="I1062" s="5" t="s">
        <v>1212</v>
      </c>
      <c r="J1062" s="5">
        <v>2025.0</v>
      </c>
      <c r="K1062" s="8" t="s">
        <v>2594</v>
      </c>
    </row>
    <row r="1063" hidden="1">
      <c r="A1063" s="3" t="str">
        <f t="shared" si="1"/>
        <v>OK</v>
      </c>
      <c r="B1063" s="3" t="str">
        <f t="shared" si="2"/>
        <v>OK</v>
      </c>
      <c r="C1063" s="5">
        <v>9716.0</v>
      </c>
      <c r="D1063" s="6" t="s">
        <v>2595</v>
      </c>
      <c r="E1063" s="5" t="s">
        <v>2596</v>
      </c>
      <c r="F1063" s="7"/>
      <c r="G1063" s="3" t="str">
        <f t="shared" si="3"/>
        <v>XTKR1</v>
      </c>
      <c r="H1063" s="3" t="str">
        <f>VLOOKUP($C1063,Userpass!$A$2:$L$3001,12,FALSE)</f>
        <v>TKR1</v>
      </c>
      <c r="I1063" s="5" t="s">
        <v>1212</v>
      </c>
      <c r="J1063" s="5">
        <v>2025.0</v>
      </c>
      <c r="K1063" s="8" t="s">
        <v>2597</v>
      </c>
    </row>
    <row r="1064" hidden="1">
      <c r="A1064" s="3" t="str">
        <f t="shared" si="1"/>
        <v>OK</v>
      </c>
      <c r="B1064" s="3" t="str">
        <f t="shared" si="2"/>
        <v>OK</v>
      </c>
      <c r="C1064" s="5">
        <v>9740.0</v>
      </c>
      <c r="D1064" s="6" t="s">
        <v>2598</v>
      </c>
      <c r="E1064" s="5" t="s">
        <v>2599</v>
      </c>
      <c r="F1064" s="7"/>
      <c r="G1064" s="3" t="str">
        <f t="shared" si="3"/>
        <v>XTKR1</v>
      </c>
      <c r="H1064" s="3" t="str">
        <f>VLOOKUP($C1064,Userpass!$A$2:$L$3001,12,FALSE)</f>
        <v>TKR1</v>
      </c>
      <c r="I1064" s="5" t="s">
        <v>1212</v>
      </c>
      <c r="J1064" s="5">
        <v>2025.0</v>
      </c>
      <c r="K1064" s="8" t="s">
        <v>2600</v>
      </c>
    </row>
    <row r="1065" hidden="1">
      <c r="A1065" s="3" t="str">
        <f t="shared" si="1"/>
        <v>OK</v>
      </c>
      <c r="B1065" s="3" t="str">
        <f t="shared" si="2"/>
        <v>OK</v>
      </c>
      <c r="C1065" s="5">
        <v>9752.0</v>
      </c>
      <c r="D1065" s="6" t="s">
        <v>2601</v>
      </c>
      <c r="E1065" s="5" t="s">
        <v>2602</v>
      </c>
      <c r="F1065" s="7"/>
      <c r="G1065" s="3" t="str">
        <f t="shared" si="3"/>
        <v>XTKR1</v>
      </c>
      <c r="H1065" s="3" t="str">
        <f>VLOOKUP($C1065,Userpass!$A$2:$L$3001,12,FALSE)</f>
        <v>TKR1</v>
      </c>
      <c r="I1065" s="5" t="s">
        <v>1212</v>
      </c>
      <c r="J1065" s="5">
        <v>2025.0</v>
      </c>
      <c r="K1065" s="8" t="s">
        <v>2603</v>
      </c>
    </row>
    <row r="1066" hidden="1">
      <c r="A1066" s="3" t="str">
        <f t="shared" si="1"/>
        <v>OK</v>
      </c>
      <c r="B1066" s="3" t="str">
        <f t="shared" si="2"/>
        <v>OK</v>
      </c>
      <c r="C1066" s="5">
        <v>9772.0</v>
      </c>
      <c r="D1066" s="6" t="s">
        <v>2604</v>
      </c>
      <c r="E1066" s="5" t="s">
        <v>2605</v>
      </c>
      <c r="F1066" s="7"/>
      <c r="G1066" s="3" t="str">
        <f t="shared" si="3"/>
        <v>XTKR1</v>
      </c>
      <c r="H1066" s="3" t="str">
        <f>VLOOKUP($C1066,Userpass!$A$2:$L$3001,12,FALSE)</f>
        <v>TKR1</v>
      </c>
      <c r="I1066" s="5" t="s">
        <v>1212</v>
      </c>
      <c r="J1066" s="5">
        <v>2025.0</v>
      </c>
      <c r="K1066" s="8" t="s">
        <v>2606</v>
      </c>
    </row>
    <row r="1067" hidden="1">
      <c r="A1067" s="3" t="str">
        <f t="shared" si="1"/>
        <v>OK</v>
      </c>
      <c r="B1067" s="3" t="str">
        <f t="shared" si="2"/>
        <v>OK</v>
      </c>
      <c r="C1067" s="5">
        <v>9817.0</v>
      </c>
      <c r="D1067" s="6" t="s">
        <v>2607</v>
      </c>
      <c r="E1067" s="5" t="s">
        <v>2608</v>
      </c>
      <c r="F1067" s="7"/>
      <c r="G1067" s="3" t="str">
        <f t="shared" si="3"/>
        <v>XTKR1</v>
      </c>
      <c r="H1067" s="3" t="str">
        <f>VLOOKUP($C1067,Userpass!$A$2:$L$3001,12,FALSE)</f>
        <v>TKR1</v>
      </c>
      <c r="I1067" s="5" t="s">
        <v>1212</v>
      </c>
      <c r="J1067" s="5">
        <v>2025.0</v>
      </c>
      <c r="K1067" s="8" t="s">
        <v>2609</v>
      </c>
    </row>
    <row r="1068" hidden="1">
      <c r="A1068" s="3" t="str">
        <f t="shared" si="1"/>
        <v>OK</v>
      </c>
      <c r="B1068" s="3" t="str">
        <f t="shared" si="2"/>
        <v>INVALID</v>
      </c>
      <c r="C1068" s="5">
        <v>9852.0</v>
      </c>
      <c r="D1068" s="4"/>
      <c r="E1068" s="5" t="s">
        <v>2610</v>
      </c>
      <c r="F1068" s="7"/>
      <c r="G1068" s="3" t="str">
        <f t="shared" si="3"/>
        <v>XTKR1</v>
      </c>
      <c r="H1068" s="3" t="str">
        <f>VLOOKUP($C1068,Userpass!$A$2:$L$3001,12,FALSE)</f>
        <v>TKR1</v>
      </c>
      <c r="I1068" s="5" t="s">
        <v>1212</v>
      </c>
      <c r="J1068" s="5">
        <v>2025.0</v>
      </c>
      <c r="K1068" s="8" t="s">
        <v>2611</v>
      </c>
    </row>
    <row r="1069" hidden="1">
      <c r="A1069" s="3" t="str">
        <f t="shared" si="1"/>
        <v>OK</v>
      </c>
      <c r="B1069" s="3" t="str">
        <f t="shared" si="2"/>
        <v>OK</v>
      </c>
      <c r="C1069" s="5">
        <v>9255.0</v>
      </c>
      <c r="D1069" s="6" t="s">
        <v>2612</v>
      </c>
      <c r="E1069" s="5" t="s">
        <v>2613</v>
      </c>
      <c r="F1069" s="7"/>
      <c r="G1069" s="3" t="str">
        <f t="shared" si="3"/>
        <v>XTKR2</v>
      </c>
      <c r="H1069" s="3" t="str">
        <f>VLOOKUP($C1069,Userpass!$A$2:$L$3001,12,FALSE)</f>
        <v>TKR2</v>
      </c>
      <c r="I1069" s="5" t="s">
        <v>1212</v>
      </c>
      <c r="J1069" s="5">
        <v>2025.0</v>
      </c>
      <c r="K1069" s="8" t="s">
        <v>2614</v>
      </c>
    </row>
    <row r="1070" hidden="1">
      <c r="A1070" s="3" t="str">
        <f t="shared" si="1"/>
        <v>OK</v>
      </c>
      <c r="B1070" s="3" t="str">
        <f t="shared" si="2"/>
        <v>OK</v>
      </c>
      <c r="C1070" s="5">
        <v>9260.0</v>
      </c>
      <c r="D1070" s="6" t="s">
        <v>2615</v>
      </c>
      <c r="E1070" s="5" t="s">
        <v>2616</v>
      </c>
      <c r="F1070" s="7"/>
      <c r="G1070" s="3" t="str">
        <f t="shared" si="3"/>
        <v>XTKR2</v>
      </c>
      <c r="H1070" s="3" t="str">
        <f>VLOOKUP($C1070,Userpass!$A$2:$L$3001,12,FALSE)</f>
        <v>TKR2</v>
      </c>
      <c r="I1070" s="5" t="s">
        <v>1212</v>
      </c>
      <c r="J1070" s="5">
        <v>2025.0</v>
      </c>
      <c r="K1070" s="8" t="s">
        <v>2617</v>
      </c>
    </row>
    <row r="1071" hidden="1">
      <c r="A1071" s="3" t="str">
        <f t="shared" si="1"/>
        <v>OK</v>
      </c>
      <c r="B1071" s="3" t="str">
        <f t="shared" si="2"/>
        <v>OK</v>
      </c>
      <c r="C1071" s="5">
        <v>9284.0</v>
      </c>
      <c r="D1071" s="6" t="s">
        <v>2618</v>
      </c>
      <c r="E1071" s="5" t="s">
        <v>2619</v>
      </c>
      <c r="F1071" s="7"/>
      <c r="G1071" s="3" t="str">
        <f t="shared" si="3"/>
        <v>XTKR2</v>
      </c>
      <c r="H1071" s="3" t="str">
        <f>VLOOKUP($C1071,Userpass!$A$2:$L$3001,12,FALSE)</f>
        <v>TKR2</v>
      </c>
      <c r="I1071" s="5" t="s">
        <v>1212</v>
      </c>
      <c r="J1071" s="5">
        <v>2025.0</v>
      </c>
      <c r="K1071" s="8" t="s">
        <v>2620</v>
      </c>
    </row>
    <row r="1072" hidden="1">
      <c r="A1072" s="3" t="str">
        <f t="shared" si="1"/>
        <v>OK</v>
      </c>
      <c r="B1072" s="3" t="str">
        <f t="shared" si="2"/>
        <v>OK</v>
      </c>
      <c r="C1072" s="5">
        <v>9296.0</v>
      </c>
      <c r="D1072" s="6" t="s">
        <v>2621</v>
      </c>
      <c r="E1072" s="5" t="s">
        <v>2622</v>
      </c>
      <c r="F1072" s="7"/>
      <c r="G1072" s="3" t="str">
        <f t="shared" si="3"/>
        <v>XTKR2</v>
      </c>
      <c r="H1072" s="3" t="str">
        <f>VLOOKUP($C1072,Userpass!$A$2:$L$3001,12,FALSE)</f>
        <v>TKR2</v>
      </c>
      <c r="I1072" s="5" t="s">
        <v>1212</v>
      </c>
      <c r="J1072" s="5">
        <v>2025.0</v>
      </c>
      <c r="K1072" s="8" t="s">
        <v>2623</v>
      </c>
    </row>
    <row r="1073" hidden="1">
      <c r="A1073" s="3" t="str">
        <f t="shared" si="1"/>
        <v>OK</v>
      </c>
      <c r="B1073" s="3" t="str">
        <f t="shared" si="2"/>
        <v>OK</v>
      </c>
      <c r="C1073" s="5">
        <v>9307.0</v>
      </c>
      <c r="D1073" s="6" t="s">
        <v>2624</v>
      </c>
      <c r="E1073" s="5" t="s">
        <v>2625</v>
      </c>
      <c r="F1073" s="7"/>
      <c r="G1073" s="3" t="str">
        <f t="shared" si="3"/>
        <v>XTKR2</v>
      </c>
      <c r="H1073" s="3" t="str">
        <f>VLOOKUP($C1073,Userpass!$A$2:$L$3001,12,FALSE)</f>
        <v>TKR2</v>
      </c>
      <c r="I1073" s="5" t="s">
        <v>1212</v>
      </c>
      <c r="J1073" s="5">
        <v>2025.0</v>
      </c>
      <c r="K1073" s="8" t="s">
        <v>2626</v>
      </c>
    </row>
    <row r="1074" hidden="1">
      <c r="A1074" s="3" t="str">
        <f t="shared" si="1"/>
        <v>OK</v>
      </c>
      <c r="B1074" s="3" t="str">
        <f t="shared" si="2"/>
        <v>OK</v>
      </c>
      <c r="C1074" s="5">
        <v>9319.0</v>
      </c>
      <c r="D1074" s="6" t="s">
        <v>2627</v>
      </c>
      <c r="E1074" s="5" t="s">
        <v>2628</v>
      </c>
      <c r="F1074" s="7"/>
      <c r="G1074" s="3" t="str">
        <f t="shared" si="3"/>
        <v>XTKR2</v>
      </c>
      <c r="H1074" s="3" t="str">
        <f>VLOOKUP($C1074,Userpass!$A$2:$L$3001,12,FALSE)</f>
        <v>TKR2</v>
      </c>
      <c r="I1074" s="5" t="s">
        <v>1212</v>
      </c>
      <c r="J1074" s="5">
        <v>2025.0</v>
      </c>
      <c r="K1074" s="8" t="s">
        <v>2629</v>
      </c>
    </row>
    <row r="1075" hidden="1">
      <c r="A1075" s="3" t="str">
        <f t="shared" si="1"/>
        <v>OK</v>
      </c>
      <c r="B1075" s="3" t="str">
        <f t="shared" si="2"/>
        <v>OK</v>
      </c>
      <c r="C1075" s="3">
        <v>8720.0</v>
      </c>
      <c r="D1075" s="4" t="s">
        <v>2630</v>
      </c>
      <c r="E1075" s="3" t="s">
        <v>2631</v>
      </c>
      <c r="F1075" s="3" t="s">
        <v>17</v>
      </c>
      <c r="G1075" s="3" t="str">
        <f t="shared" si="3"/>
        <v>XTKR2</v>
      </c>
      <c r="H1075" s="3" t="str">
        <f>VLOOKUP($C1075,Userpass!$A$2:$L$3001,12,FALSE)</f>
        <v>TKR2</v>
      </c>
      <c r="I1075" s="5" t="s">
        <v>1212</v>
      </c>
      <c r="J1075" s="3">
        <v>2024.0</v>
      </c>
      <c r="K1075" s="4" t="s">
        <v>2632</v>
      </c>
    </row>
    <row r="1076" hidden="1">
      <c r="A1076" s="3" t="str">
        <f t="shared" si="1"/>
        <v>OK</v>
      </c>
      <c r="B1076" s="3" t="str">
        <f t="shared" si="2"/>
        <v>OK</v>
      </c>
      <c r="C1076" s="5">
        <v>9350.0</v>
      </c>
      <c r="D1076" s="6" t="s">
        <v>2633</v>
      </c>
      <c r="E1076" s="5" t="s">
        <v>2634</v>
      </c>
      <c r="F1076" s="7"/>
      <c r="G1076" s="3" t="str">
        <f t="shared" si="3"/>
        <v>XTKR2</v>
      </c>
      <c r="H1076" s="3" t="str">
        <f>VLOOKUP($C1076,Userpass!$A$2:$L$3001,12,FALSE)</f>
        <v>TKR2</v>
      </c>
      <c r="I1076" s="5" t="s">
        <v>1212</v>
      </c>
      <c r="J1076" s="5">
        <v>2025.0</v>
      </c>
      <c r="K1076" s="8" t="s">
        <v>2635</v>
      </c>
    </row>
    <row r="1077" hidden="1">
      <c r="A1077" s="3" t="str">
        <f t="shared" si="1"/>
        <v>OK</v>
      </c>
      <c r="B1077" s="3" t="str">
        <f t="shared" si="2"/>
        <v>OK</v>
      </c>
      <c r="C1077" s="3">
        <v>8752.0</v>
      </c>
      <c r="D1077" s="4" t="s">
        <v>2636</v>
      </c>
      <c r="E1077" s="3" t="s">
        <v>2637</v>
      </c>
      <c r="F1077" s="3" t="s">
        <v>17</v>
      </c>
      <c r="G1077" s="3" t="str">
        <f t="shared" si="3"/>
        <v>XTKR2</v>
      </c>
      <c r="H1077" s="3" t="str">
        <f>VLOOKUP($C1077,Userpass!$A$2:$L$3001,12,FALSE)</f>
        <v>TKR2</v>
      </c>
      <c r="I1077" s="5" t="s">
        <v>1212</v>
      </c>
      <c r="J1077" s="3">
        <v>2024.0</v>
      </c>
      <c r="K1077" s="4" t="s">
        <v>2638</v>
      </c>
    </row>
    <row r="1078" hidden="1">
      <c r="A1078" s="3" t="str">
        <f t="shared" si="1"/>
        <v>OK</v>
      </c>
      <c r="B1078" s="3" t="str">
        <f t="shared" si="2"/>
        <v>OK</v>
      </c>
      <c r="C1078" s="5">
        <v>9378.0</v>
      </c>
      <c r="D1078" s="6" t="s">
        <v>2639</v>
      </c>
      <c r="E1078" s="5" t="s">
        <v>2640</v>
      </c>
      <c r="F1078" s="7"/>
      <c r="G1078" s="3" t="str">
        <f t="shared" si="3"/>
        <v>XTKR2</v>
      </c>
      <c r="H1078" s="3" t="str">
        <f>VLOOKUP($C1078,Userpass!$A$2:$L$3001,12,FALSE)</f>
        <v>TKR2</v>
      </c>
      <c r="I1078" s="5" t="s">
        <v>1212</v>
      </c>
      <c r="J1078" s="5">
        <v>2025.0</v>
      </c>
      <c r="K1078" s="8" t="s">
        <v>2641</v>
      </c>
    </row>
    <row r="1079" hidden="1">
      <c r="A1079" s="3" t="str">
        <f t="shared" si="1"/>
        <v>OK</v>
      </c>
      <c r="B1079" s="3" t="str">
        <f t="shared" si="2"/>
        <v>OK</v>
      </c>
      <c r="C1079" s="5">
        <v>9383.0</v>
      </c>
      <c r="D1079" s="6" t="s">
        <v>2642</v>
      </c>
      <c r="E1079" s="5" t="s">
        <v>2643</v>
      </c>
      <c r="F1079" s="7"/>
      <c r="G1079" s="3" t="str">
        <f t="shared" si="3"/>
        <v>XTKR2</v>
      </c>
      <c r="H1079" s="3" t="str">
        <f>VLOOKUP($C1079,Userpass!$A$2:$L$3001,12,FALSE)</f>
        <v>TKR2</v>
      </c>
      <c r="I1079" s="5" t="s">
        <v>1212</v>
      </c>
      <c r="J1079" s="5">
        <v>2025.0</v>
      </c>
      <c r="K1079" s="8" t="s">
        <v>2644</v>
      </c>
    </row>
    <row r="1080" hidden="1">
      <c r="A1080" s="3" t="str">
        <f t="shared" si="1"/>
        <v>OK</v>
      </c>
      <c r="B1080" s="3" t="str">
        <f t="shared" si="2"/>
        <v>OK</v>
      </c>
      <c r="C1080" s="5">
        <v>9408.0</v>
      </c>
      <c r="D1080" s="6" t="s">
        <v>2645</v>
      </c>
      <c r="E1080" s="5" t="s">
        <v>2646</v>
      </c>
      <c r="F1080" s="7"/>
      <c r="G1080" s="3" t="str">
        <f t="shared" si="3"/>
        <v>XTKR2</v>
      </c>
      <c r="H1080" s="3" t="str">
        <f>VLOOKUP($C1080,Userpass!$A$2:$L$3001,12,FALSE)</f>
        <v>TKR2</v>
      </c>
      <c r="I1080" s="5" t="s">
        <v>1212</v>
      </c>
      <c r="J1080" s="5">
        <v>2025.0</v>
      </c>
      <c r="K1080" s="8" t="s">
        <v>2647</v>
      </c>
    </row>
    <row r="1081" hidden="1">
      <c r="A1081" s="3" t="str">
        <f t="shared" si="1"/>
        <v>OK</v>
      </c>
      <c r="B1081" s="3" t="str">
        <f t="shared" si="2"/>
        <v>OK</v>
      </c>
      <c r="C1081" s="5">
        <v>9420.0</v>
      </c>
      <c r="D1081" s="6" t="s">
        <v>2648</v>
      </c>
      <c r="E1081" s="5" t="s">
        <v>2649</v>
      </c>
      <c r="F1081" s="7"/>
      <c r="G1081" s="3" t="str">
        <f t="shared" si="3"/>
        <v>XTKR2</v>
      </c>
      <c r="H1081" s="3" t="str">
        <f>VLOOKUP($C1081,Userpass!$A$2:$L$3001,12,FALSE)</f>
        <v>TKR2</v>
      </c>
      <c r="I1081" s="5" t="s">
        <v>1212</v>
      </c>
      <c r="J1081" s="5">
        <v>2025.0</v>
      </c>
      <c r="K1081" s="8" t="s">
        <v>2650</v>
      </c>
    </row>
    <row r="1082" hidden="1">
      <c r="A1082" s="3" t="str">
        <f t="shared" si="1"/>
        <v>OK</v>
      </c>
      <c r="B1082" s="3" t="str">
        <f t="shared" si="2"/>
        <v>OK</v>
      </c>
      <c r="C1082" s="5">
        <v>9444.0</v>
      </c>
      <c r="D1082" s="6" t="s">
        <v>2651</v>
      </c>
      <c r="E1082" s="5" t="s">
        <v>2652</v>
      </c>
      <c r="F1082" s="7"/>
      <c r="G1082" s="3" t="str">
        <f t="shared" si="3"/>
        <v>XTKR2</v>
      </c>
      <c r="H1082" s="3" t="str">
        <f>VLOOKUP($C1082,Userpass!$A$2:$L$3001,12,FALSE)</f>
        <v>TKR2</v>
      </c>
      <c r="I1082" s="5" t="s">
        <v>1212</v>
      </c>
      <c r="J1082" s="5">
        <v>2025.0</v>
      </c>
      <c r="K1082" s="8" t="s">
        <v>2653</v>
      </c>
    </row>
    <row r="1083" hidden="1">
      <c r="A1083" s="3" t="str">
        <f t="shared" si="1"/>
        <v>OK</v>
      </c>
      <c r="B1083" s="3" t="str">
        <f t="shared" si="2"/>
        <v>OK</v>
      </c>
      <c r="C1083" s="5">
        <v>9452.0</v>
      </c>
      <c r="D1083" s="6" t="s">
        <v>2654</v>
      </c>
      <c r="E1083" s="5" t="s">
        <v>2655</v>
      </c>
      <c r="F1083" s="7"/>
      <c r="G1083" s="3" t="str">
        <f t="shared" si="3"/>
        <v>XTKR2</v>
      </c>
      <c r="H1083" s="3" t="str">
        <f>VLOOKUP($C1083,Userpass!$A$2:$L$3001,12,FALSE)</f>
        <v>TKR2</v>
      </c>
      <c r="I1083" s="5" t="s">
        <v>1212</v>
      </c>
      <c r="J1083" s="5">
        <v>2025.0</v>
      </c>
      <c r="K1083" s="8" t="s">
        <v>2656</v>
      </c>
    </row>
    <row r="1084" hidden="1">
      <c r="A1084" s="3" t="str">
        <f t="shared" si="1"/>
        <v>OK</v>
      </c>
      <c r="B1084" s="3" t="str">
        <f t="shared" si="2"/>
        <v>OK</v>
      </c>
      <c r="C1084" s="5">
        <v>9461.0</v>
      </c>
      <c r="D1084" s="6" t="s">
        <v>2657</v>
      </c>
      <c r="E1084" s="5" t="s">
        <v>2658</v>
      </c>
      <c r="F1084" s="7"/>
      <c r="G1084" s="3" t="str">
        <f t="shared" si="3"/>
        <v>XTKR2</v>
      </c>
      <c r="H1084" s="3" t="str">
        <f>VLOOKUP($C1084,Userpass!$A$2:$L$3001,12,FALSE)</f>
        <v>TKR2</v>
      </c>
      <c r="I1084" s="5" t="s">
        <v>1212</v>
      </c>
      <c r="J1084" s="5">
        <v>2025.0</v>
      </c>
      <c r="K1084" s="8" t="s">
        <v>2659</v>
      </c>
    </row>
    <row r="1085" hidden="1">
      <c r="A1085" s="3" t="str">
        <f t="shared" si="1"/>
        <v>OK</v>
      </c>
      <c r="B1085" s="3" t="str">
        <f t="shared" si="2"/>
        <v>OK</v>
      </c>
      <c r="C1085" s="5">
        <v>9469.0</v>
      </c>
      <c r="D1085" s="6" t="s">
        <v>2660</v>
      </c>
      <c r="E1085" s="5" t="s">
        <v>2661</v>
      </c>
      <c r="F1085" s="7"/>
      <c r="G1085" s="3" t="str">
        <f t="shared" si="3"/>
        <v>XTKR2</v>
      </c>
      <c r="H1085" s="3" t="str">
        <f>VLOOKUP($C1085,Userpass!$A$2:$L$3001,12,FALSE)</f>
        <v>TKR2</v>
      </c>
      <c r="I1085" s="5" t="s">
        <v>1212</v>
      </c>
      <c r="J1085" s="5">
        <v>2025.0</v>
      </c>
      <c r="K1085" s="8" t="s">
        <v>2662</v>
      </c>
    </row>
    <row r="1086" hidden="1">
      <c r="A1086" s="3" t="str">
        <f t="shared" si="1"/>
        <v>OK</v>
      </c>
      <c r="B1086" s="3" t="str">
        <f t="shared" si="2"/>
        <v>OK</v>
      </c>
      <c r="C1086" s="5">
        <v>9480.0</v>
      </c>
      <c r="D1086" s="6" t="s">
        <v>2663</v>
      </c>
      <c r="E1086" s="5" t="s">
        <v>2664</v>
      </c>
      <c r="F1086" s="7"/>
      <c r="G1086" s="3" t="str">
        <f t="shared" si="3"/>
        <v>XTKR2</v>
      </c>
      <c r="H1086" s="3" t="str">
        <f>VLOOKUP($C1086,Userpass!$A$2:$L$3001,12,FALSE)</f>
        <v>TKR2</v>
      </c>
      <c r="I1086" s="5" t="s">
        <v>1212</v>
      </c>
      <c r="J1086" s="5">
        <v>2025.0</v>
      </c>
      <c r="K1086" s="8" t="s">
        <v>2665</v>
      </c>
    </row>
    <row r="1087" hidden="1">
      <c r="A1087" s="3" t="str">
        <f t="shared" si="1"/>
        <v>OK</v>
      </c>
      <c r="B1087" s="3" t="str">
        <f t="shared" si="2"/>
        <v>OK</v>
      </c>
      <c r="C1087" s="5">
        <v>9495.0</v>
      </c>
      <c r="D1087" s="6" t="s">
        <v>2666</v>
      </c>
      <c r="E1087" s="5" t="s">
        <v>2667</v>
      </c>
      <c r="F1087" s="7"/>
      <c r="G1087" s="3" t="str">
        <f t="shared" si="3"/>
        <v>XTKR2</v>
      </c>
      <c r="H1087" s="3" t="str">
        <f>VLOOKUP($C1087,Userpass!$A$2:$L$3001,12,FALSE)</f>
        <v>TKR2</v>
      </c>
      <c r="I1087" s="5" t="s">
        <v>1212</v>
      </c>
      <c r="J1087" s="5">
        <v>2025.0</v>
      </c>
      <c r="K1087" s="8" t="s">
        <v>2668</v>
      </c>
    </row>
    <row r="1088" hidden="1">
      <c r="A1088" s="3" t="str">
        <f t="shared" si="1"/>
        <v>OK</v>
      </c>
      <c r="B1088" s="3" t="str">
        <f t="shared" si="2"/>
        <v>OK</v>
      </c>
      <c r="C1088" s="5">
        <v>9544.0</v>
      </c>
      <c r="D1088" s="6" t="s">
        <v>2669</v>
      </c>
      <c r="E1088" s="5" t="s">
        <v>2670</v>
      </c>
      <c r="F1088" s="7"/>
      <c r="G1088" s="3" t="str">
        <f t="shared" si="3"/>
        <v>XTKR2</v>
      </c>
      <c r="H1088" s="3" t="str">
        <f>VLOOKUP($C1088,Userpass!$A$2:$L$3001,12,FALSE)</f>
        <v>TKR2</v>
      </c>
      <c r="I1088" s="5" t="s">
        <v>1212</v>
      </c>
      <c r="J1088" s="5">
        <v>2025.0</v>
      </c>
      <c r="K1088" s="8" t="s">
        <v>2671</v>
      </c>
    </row>
    <row r="1089" hidden="1">
      <c r="A1089" s="3" t="str">
        <f t="shared" si="1"/>
        <v>OK</v>
      </c>
      <c r="B1089" s="3" t="str">
        <f t="shared" si="2"/>
        <v>OK</v>
      </c>
      <c r="C1089" s="5">
        <v>9570.0</v>
      </c>
      <c r="D1089" s="6" t="s">
        <v>2672</v>
      </c>
      <c r="E1089" s="5" t="s">
        <v>2673</v>
      </c>
      <c r="F1089" s="7"/>
      <c r="G1089" s="3" t="str">
        <f t="shared" si="3"/>
        <v>XTKR2</v>
      </c>
      <c r="H1089" s="3" t="str">
        <f>VLOOKUP($C1089,Userpass!$A$2:$L$3001,12,FALSE)</f>
        <v>TKR2</v>
      </c>
      <c r="I1089" s="5" t="s">
        <v>1212</v>
      </c>
      <c r="J1089" s="5">
        <v>2025.0</v>
      </c>
      <c r="K1089" s="8" t="s">
        <v>2674</v>
      </c>
    </row>
    <row r="1090" hidden="1">
      <c r="A1090" s="3" t="str">
        <f t="shared" si="1"/>
        <v>OK</v>
      </c>
      <c r="B1090" s="3" t="str">
        <f t="shared" si="2"/>
        <v>OK</v>
      </c>
      <c r="C1090" s="5">
        <v>9579.0</v>
      </c>
      <c r="D1090" s="6" t="s">
        <v>2675</v>
      </c>
      <c r="E1090" s="5" t="s">
        <v>2676</v>
      </c>
      <c r="F1090" s="7"/>
      <c r="G1090" s="3" t="str">
        <f t="shared" si="3"/>
        <v>XTKR2</v>
      </c>
      <c r="H1090" s="3" t="str">
        <f>VLOOKUP($C1090,Userpass!$A$2:$L$3001,12,FALSE)</f>
        <v>TKR2</v>
      </c>
      <c r="I1090" s="5" t="s">
        <v>1212</v>
      </c>
      <c r="J1090" s="5">
        <v>2025.0</v>
      </c>
      <c r="K1090" s="8" t="s">
        <v>2677</v>
      </c>
    </row>
    <row r="1091" hidden="1">
      <c r="A1091" s="3" t="str">
        <f t="shared" si="1"/>
        <v>OK</v>
      </c>
      <c r="B1091" s="3" t="str">
        <f t="shared" si="2"/>
        <v>OK</v>
      </c>
      <c r="C1091" s="5">
        <v>9584.0</v>
      </c>
      <c r="D1091" s="6" t="s">
        <v>2678</v>
      </c>
      <c r="E1091" s="5" t="s">
        <v>2679</v>
      </c>
      <c r="F1091" s="7"/>
      <c r="G1091" s="3" t="str">
        <f t="shared" si="3"/>
        <v>XTKR2</v>
      </c>
      <c r="H1091" s="3" t="str">
        <f>VLOOKUP($C1091,Userpass!$A$2:$L$3001,12,FALSE)</f>
        <v>TKR2</v>
      </c>
      <c r="I1091" s="5" t="s">
        <v>1212</v>
      </c>
      <c r="J1091" s="5">
        <v>2025.0</v>
      </c>
      <c r="K1091" s="8" t="s">
        <v>2680</v>
      </c>
    </row>
    <row r="1092" hidden="1">
      <c r="A1092" s="3" t="str">
        <f t="shared" si="1"/>
        <v>OK</v>
      </c>
      <c r="B1092" s="3" t="str">
        <f t="shared" si="2"/>
        <v>OK</v>
      </c>
      <c r="C1092" s="5">
        <v>9593.0</v>
      </c>
      <c r="D1092" s="6" t="s">
        <v>2681</v>
      </c>
      <c r="E1092" s="5" t="s">
        <v>2682</v>
      </c>
      <c r="F1092" s="7"/>
      <c r="G1092" s="3" t="str">
        <f t="shared" si="3"/>
        <v>XTKR2</v>
      </c>
      <c r="H1092" s="3" t="str">
        <f>VLOOKUP($C1092,Userpass!$A$2:$L$3001,12,FALSE)</f>
        <v>TKR2</v>
      </c>
      <c r="I1092" s="5" t="s">
        <v>1212</v>
      </c>
      <c r="J1092" s="5">
        <v>2025.0</v>
      </c>
      <c r="K1092" s="8" t="s">
        <v>2683</v>
      </c>
    </row>
    <row r="1093" hidden="1">
      <c r="A1093" s="3" t="str">
        <f t="shared" si="1"/>
        <v>OK</v>
      </c>
      <c r="B1093" s="3" t="str">
        <f t="shared" si="2"/>
        <v>OK</v>
      </c>
      <c r="C1093" s="5">
        <v>9606.0</v>
      </c>
      <c r="D1093" s="6" t="s">
        <v>2684</v>
      </c>
      <c r="E1093" s="5" t="s">
        <v>2685</v>
      </c>
      <c r="F1093" s="7"/>
      <c r="G1093" s="3" t="str">
        <f t="shared" si="3"/>
        <v>XTKR2</v>
      </c>
      <c r="H1093" s="3" t="str">
        <f>VLOOKUP($C1093,Userpass!$A$2:$L$3001,12,FALSE)</f>
        <v>TKR2</v>
      </c>
      <c r="I1093" s="5" t="s">
        <v>1212</v>
      </c>
      <c r="J1093" s="5">
        <v>2025.0</v>
      </c>
      <c r="K1093" s="8" t="s">
        <v>2686</v>
      </c>
    </row>
    <row r="1094" hidden="1">
      <c r="A1094" s="3" t="str">
        <f t="shared" si="1"/>
        <v>OK</v>
      </c>
      <c r="B1094" s="3" t="str">
        <f t="shared" si="2"/>
        <v>OK</v>
      </c>
      <c r="C1094" s="5">
        <v>9622.0</v>
      </c>
      <c r="D1094" s="6" t="s">
        <v>2687</v>
      </c>
      <c r="E1094" s="5" t="s">
        <v>2688</v>
      </c>
      <c r="F1094" s="7"/>
      <c r="G1094" s="3" t="str">
        <f t="shared" si="3"/>
        <v>XTKR2</v>
      </c>
      <c r="H1094" s="3" t="str">
        <f>VLOOKUP($C1094,Userpass!$A$2:$L$3001,12,FALSE)</f>
        <v>TKR2</v>
      </c>
      <c r="I1094" s="5" t="s">
        <v>1212</v>
      </c>
      <c r="J1094" s="5">
        <v>2025.0</v>
      </c>
      <c r="K1094" s="8" t="s">
        <v>2689</v>
      </c>
    </row>
    <row r="1095" hidden="1">
      <c r="A1095" s="3" t="str">
        <f t="shared" si="1"/>
        <v>OK</v>
      </c>
      <c r="B1095" s="3" t="str">
        <f t="shared" si="2"/>
        <v>OK</v>
      </c>
      <c r="C1095" s="5">
        <v>9633.0</v>
      </c>
      <c r="D1095" s="6" t="s">
        <v>2690</v>
      </c>
      <c r="E1095" s="5" t="s">
        <v>2691</v>
      </c>
      <c r="F1095" s="7"/>
      <c r="G1095" s="3" t="str">
        <f t="shared" si="3"/>
        <v>XTKR2</v>
      </c>
      <c r="H1095" s="3" t="str">
        <f>VLOOKUP($C1095,Userpass!$A$2:$L$3001,12,FALSE)</f>
        <v>TKR2</v>
      </c>
      <c r="I1095" s="5" t="s">
        <v>1212</v>
      </c>
      <c r="J1095" s="5">
        <v>2025.0</v>
      </c>
      <c r="K1095" s="8" t="s">
        <v>2692</v>
      </c>
    </row>
    <row r="1096" hidden="1">
      <c r="A1096" s="3" t="str">
        <f t="shared" si="1"/>
        <v>OK</v>
      </c>
      <c r="B1096" s="3" t="str">
        <f t="shared" si="2"/>
        <v>OK</v>
      </c>
      <c r="C1096" s="5">
        <v>9638.0</v>
      </c>
      <c r="D1096" s="6" t="s">
        <v>2693</v>
      </c>
      <c r="E1096" s="5" t="s">
        <v>2694</v>
      </c>
      <c r="F1096" s="7"/>
      <c r="G1096" s="3" t="str">
        <f t="shared" si="3"/>
        <v>XTKR2</v>
      </c>
      <c r="H1096" s="3" t="str">
        <f>VLOOKUP($C1096,Userpass!$A$2:$L$3001,12,FALSE)</f>
        <v>TKR2</v>
      </c>
      <c r="I1096" s="5" t="s">
        <v>1212</v>
      </c>
      <c r="J1096" s="5">
        <v>2025.0</v>
      </c>
      <c r="K1096" s="8" t="s">
        <v>2695</v>
      </c>
    </row>
    <row r="1097" hidden="1">
      <c r="A1097" s="3" t="str">
        <f t="shared" si="1"/>
        <v>OK</v>
      </c>
      <c r="B1097" s="3" t="str">
        <f t="shared" si="2"/>
        <v>OK</v>
      </c>
      <c r="C1097" s="5">
        <v>9643.0</v>
      </c>
      <c r="D1097" s="6" t="s">
        <v>2696</v>
      </c>
      <c r="E1097" s="5" t="s">
        <v>2697</v>
      </c>
      <c r="F1097" s="7"/>
      <c r="G1097" s="3" t="str">
        <f t="shared" si="3"/>
        <v>XTKR2</v>
      </c>
      <c r="H1097" s="3" t="str">
        <f>VLOOKUP($C1097,Userpass!$A$2:$L$3001,12,FALSE)</f>
        <v>TKR2</v>
      </c>
      <c r="I1097" s="5" t="s">
        <v>1212</v>
      </c>
      <c r="J1097" s="5">
        <v>2025.0</v>
      </c>
      <c r="K1097" s="8" t="s">
        <v>2698</v>
      </c>
    </row>
    <row r="1098" hidden="1">
      <c r="A1098" s="3" t="str">
        <f t="shared" si="1"/>
        <v>OK</v>
      </c>
      <c r="B1098" s="3" t="str">
        <f t="shared" si="2"/>
        <v>OK</v>
      </c>
      <c r="C1098" s="5">
        <v>9699.0</v>
      </c>
      <c r="D1098" s="6" t="s">
        <v>2699</v>
      </c>
      <c r="E1098" s="5" t="s">
        <v>2700</v>
      </c>
      <c r="F1098" s="7"/>
      <c r="G1098" s="3" t="str">
        <f t="shared" si="3"/>
        <v>XTKR2</v>
      </c>
      <c r="H1098" s="3" t="str">
        <f>VLOOKUP($C1098,Userpass!$A$2:$L$3001,12,FALSE)</f>
        <v>TKR2</v>
      </c>
      <c r="I1098" s="5" t="s">
        <v>1212</v>
      </c>
      <c r="J1098" s="5">
        <v>2025.0</v>
      </c>
      <c r="K1098" s="8" t="s">
        <v>2701</v>
      </c>
    </row>
    <row r="1099" hidden="1">
      <c r="A1099" s="3" t="str">
        <f t="shared" si="1"/>
        <v>OK</v>
      </c>
      <c r="B1099" s="3" t="str">
        <f t="shared" si="2"/>
        <v>OK</v>
      </c>
      <c r="C1099" s="5">
        <v>9712.0</v>
      </c>
      <c r="D1099" s="6" t="s">
        <v>2702</v>
      </c>
      <c r="E1099" s="5" t="s">
        <v>2703</v>
      </c>
      <c r="F1099" s="7"/>
      <c r="G1099" s="3" t="str">
        <f t="shared" si="3"/>
        <v>XTKR2</v>
      </c>
      <c r="H1099" s="3" t="str">
        <f>VLOOKUP($C1099,Userpass!$A$2:$L$3001,12,FALSE)</f>
        <v>TKR2</v>
      </c>
      <c r="I1099" s="5" t="s">
        <v>1212</v>
      </c>
      <c r="J1099" s="5">
        <v>2025.0</v>
      </c>
      <c r="K1099" s="8" t="s">
        <v>2704</v>
      </c>
    </row>
    <row r="1100" hidden="1">
      <c r="A1100" s="3" t="str">
        <f t="shared" si="1"/>
        <v>OK</v>
      </c>
      <c r="B1100" s="3" t="str">
        <f t="shared" si="2"/>
        <v>OK</v>
      </c>
      <c r="C1100" s="5">
        <v>9726.0</v>
      </c>
      <c r="D1100" s="6" t="s">
        <v>2705</v>
      </c>
      <c r="E1100" s="5" t="s">
        <v>2706</v>
      </c>
      <c r="F1100" s="7"/>
      <c r="G1100" s="3" t="str">
        <f t="shared" si="3"/>
        <v>XTKR2</v>
      </c>
      <c r="H1100" s="3" t="str">
        <f>VLOOKUP($C1100,Userpass!$A$2:$L$3001,12,FALSE)</f>
        <v>TKR2</v>
      </c>
      <c r="I1100" s="5" t="s">
        <v>1212</v>
      </c>
      <c r="J1100" s="5">
        <v>2025.0</v>
      </c>
      <c r="K1100" s="8" t="s">
        <v>2707</v>
      </c>
    </row>
    <row r="1101" hidden="1">
      <c r="A1101" s="3" t="str">
        <f t="shared" si="1"/>
        <v>OK</v>
      </c>
      <c r="B1101" s="3" t="str">
        <f t="shared" si="2"/>
        <v>OK</v>
      </c>
      <c r="C1101" s="5">
        <v>9742.0</v>
      </c>
      <c r="D1101" s="6" t="s">
        <v>2708</v>
      </c>
      <c r="E1101" s="5" t="s">
        <v>2709</v>
      </c>
      <c r="F1101" s="7"/>
      <c r="G1101" s="3" t="str">
        <f t="shared" si="3"/>
        <v>XTKR2</v>
      </c>
      <c r="H1101" s="3" t="str">
        <f>VLOOKUP($C1101,Userpass!$A$2:$L$3001,12,FALSE)</f>
        <v>TKR2</v>
      </c>
      <c r="I1101" s="5" t="s">
        <v>1212</v>
      </c>
      <c r="J1101" s="5">
        <v>2025.0</v>
      </c>
      <c r="K1101" s="8" t="s">
        <v>2710</v>
      </c>
    </row>
    <row r="1102" hidden="1">
      <c r="A1102" s="3" t="str">
        <f t="shared" si="1"/>
        <v>OK</v>
      </c>
      <c r="B1102" s="3" t="str">
        <f t="shared" si="2"/>
        <v>OK</v>
      </c>
      <c r="C1102" s="5">
        <v>9760.0</v>
      </c>
      <c r="D1102" s="6" t="s">
        <v>2711</v>
      </c>
      <c r="E1102" s="5" t="s">
        <v>2712</v>
      </c>
      <c r="F1102" s="7"/>
      <c r="G1102" s="3" t="str">
        <f t="shared" si="3"/>
        <v>XTKR2</v>
      </c>
      <c r="H1102" s="3" t="str">
        <f>VLOOKUP($C1102,Userpass!$A$2:$L$3001,12,FALSE)</f>
        <v>TKR2</v>
      </c>
      <c r="I1102" s="5" t="s">
        <v>1212</v>
      </c>
      <c r="J1102" s="5">
        <v>2025.0</v>
      </c>
      <c r="K1102" s="8" t="s">
        <v>2713</v>
      </c>
    </row>
    <row r="1103" hidden="1">
      <c r="A1103" s="3" t="str">
        <f t="shared" si="1"/>
        <v>OK</v>
      </c>
      <c r="B1103" s="3" t="str">
        <f t="shared" si="2"/>
        <v>OK</v>
      </c>
      <c r="C1103" s="5">
        <v>9790.0</v>
      </c>
      <c r="D1103" s="6" t="s">
        <v>2714</v>
      </c>
      <c r="E1103" s="5" t="s">
        <v>2715</v>
      </c>
      <c r="F1103" s="7"/>
      <c r="G1103" s="3" t="str">
        <f t="shared" si="3"/>
        <v>XTKR2</v>
      </c>
      <c r="H1103" s="3" t="str">
        <f>VLOOKUP($C1103,Userpass!$A$2:$L$3001,12,FALSE)</f>
        <v>TKR2</v>
      </c>
      <c r="I1103" s="5" t="s">
        <v>1212</v>
      </c>
      <c r="J1103" s="5">
        <v>2025.0</v>
      </c>
      <c r="K1103" s="8" t="s">
        <v>2716</v>
      </c>
    </row>
    <row r="1104" hidden="1">
      <c r="A1104" s="3" t="str">
        <f t="shared" si="1"/>
        <v>OK</v>
      </c>
      <c r="B1104" s="3" t="str">
        <f t="shared" si="2"/>
        <v>OK</v>
      </c>
      <c r="C1104" s="5">
        <v>9825.0</v>
      </c>
      <c r="D1104" s="6" t="s">
        <v>2717</v>
      </c>
      <c r="E1104" s="5" t="s">
        <v>2718</v>
      </c>
      <c r="F1104" s="7"/>
      <c r="G1104" s="3" t="str">
        <f t="shared" si="3"/>
        <v>XTKR2</v>
      </c>
      <c r="H1104" s="3" t="str">
        <f>VLOOKUP($C1104,Userpass!$A$2:$L$3001,12,FALSE)</f>
        <v>TKR2</v>
      </c>
      <c r="I1104" s="5" t="s">
        <v>1212</v>
      </c>
      <c r="J1104" s="5">
        <v>2025.0</v>
      </c>
      <c r="K1104" s="8" t="s">
        <v>2719</v>
      </c>
    </row>
    <row r="1105" hidden="1">
      <c r="A1105" s="3" t="str">
        <f t="shared" si="1"/>
        <v>OK</v>
      </c>
      <c r="B1105" s="3" t="str">
        <f t="shared" si="2"/>
        <v>OK</v>
      </c>
      <c r="C1105" s="5">
        <v>9257.0</v>
      </c>
      <c r="D1105" s="6" t="s">
        <v>2720</v>
      </c>
      <c r="E1105" s="5" t="s">
        <v>2721</v>
      </c>
      <c r="F1105" s="7"/>
      <c r="G1105" s="3" t="str">
        <f t="shared" si="3"/>
        <v>XTKR3</v>
      </c>
      <c r="H1105" s="3" t="str">
        <f>VLOOKUP($C1105,Userpass!$A$2:$L$3001,12,FALSE)</f>
        <v>TKR3</v>
      </c>
      <c r="I1105" s="5" t="s">
        <v>1212</v>
      </c>
      <c r="J1105" s="5">
        <v>2025.0</v>
      </c>
      <c r="K1105" s="8" t="s">
        <v>2722</v>
      </c>
    </row>
    <row r="1106" hidden="1">
      <c r="A1106" s="3" t="str">
        <f t="shared" si="1"/>
        <v>OK</v>
      </c>
      <c r="B1106" s="3" t="str">
        <f t="shared" si="2"/>
        <v>OK</v>
      </c>
      <c r="C1106" s="5">
        <v>9269.0</v>
      </c>
      <c r="D1106" s="6" t="s">
        <v>2723</v>
      </c>
      <c r="E1106" s="5" t="s">
        <v>2724</v>
      </c>
      <c r="F1106" s="7"/>
      <c r="G1106" s="3" t="str">
        <f t="shared" si="3"/>
        <v>XTKR3</v>
      </c>
      <c r="H1106" s="3" t="str">
        <f>VLOOKUP($C1106,Userpass!$A$2:$L$3001,12,FALSE)</f>
        <v>TKR3</v>
      </c>
      <c r="I1106" s="5" t="s">
        <v>1212</v>
      </c>
      <c r="J1106" s="5">
        <v>2025.0</v>
      </c>
      <c r="K1106" s="8" t="s">
        <v>2725</v>
      </c>
    </row>
    <row r="1107" hidden="1">
      <c r="A1107" s="3" t="str">
        <f t="shared" si="1"/>
        <v>OK</v>
      </c>
      <c r="B1107" s="3" t="str">
        <f t="shared" si="2"/>
        <v>OK</v>
      </c>
      <c r="C1107" s="5">
        <v>9293.0</v>
      </c>
      <c r="D1107" s="6" t="s">
        <v>2726</v>
      </c>
      <c r="E1107" s="5" t="s">
        <v>2727</v>
      </c>
      <c r="F1107" s="7"/>
      <c r="G1107" s="3" t="str">
        <f t="shared" si="3"/>
        <v>XTKR3</v>
      </c>
      <c r="H1107" s="3" t="str">
        <f>VLOOKUP($C1107,Userpass!$A$2:$L$3001,12,FALSE)</f>
        <v>TKR3</v>
      </c>
      <c r="I1107" s="5" t="s">
        <v>1212</v>
      </c>
      <c r="J1107" s="5">
        <v>2025.0</v>
      </c>
      <c r="K1107" s="8" t="s">
        <v>2728</v>
      </c>
    </row>
    <row r="1108" hidden="1">
      <c r="A1108" s="3" t="str">
        <f t="shared" si="1"/>
        <v>OK</v>
      </c>
      <c r="B1108" s="3" t="str">
        <f t="shared" si="2"/>
        <v>OK</v>
      </c>
      <c r="C1108" s="5">
        <v>9297.0</v>
      </c>
      <c r="D1108" s="6" t="s">
        <v>2511</v>
      </c>
      <c r="E1108" s="5" t="s">
        <v>2729</v>
      </c>
      <c r="F1108" s="7"/>
      <c r="G1108" s="3" t="str">
        <f t="shared" si="3"/>
        <v>XTKR3</v>
      </c>
      <c r="H1108" s="3" t="str">
        <f>VLOOKUP($C1108,Userpass!$A$2:$L$3001,12,FALSE)</f>
        <v>TKR3</v>
      </c>
      <c r="I1108" s="5" t="s">
        <v>1212</v>
      </c>
      <c r="J1108" s="5">
        <v>2025.0</v>
      </c>
      <c r="K1108" s="8" t="s">
        <v>2730</v>
      </c>
    </row>
    <row r="1109" hidden="1">
      <c r="A1109" s="3" t="str">
        <f t="shared" si="1"/>
        <v>OK</v>
      </c>
      <c r="B1109" s="3" t="str">
        <f t="shared" si="2"/>
        <v>OK</v>
      </c>
      <c r="C1109" s="5">
        <v>9309.0</v>
      </c>
      <c r="D1109" s="6" t="s">
        <v>2731</v>
      </c>
      <c r="E1109" s="5" t="s">
        <v>2732</v>
      </c>
      <c r="F1109" s="7"/>
      <c r="G1109" s="3" t="str">
        <f t="shared" si="3"/>
        <v>XTKR3</v>
      </c>
      <c r="H1109" s="3" t="str">
        <f>VLOOKUP($C1109,Userpass!$A$2:$L$3001,12,FALSE)</f>
        <v>TKR3</v>
      </c>
      <c r="I1109" s="5" t="s">
        <v>1212</v>
      </c>
      <c r="J1109" s="5">
        <v>2025.0</v>
      </c>
      <c r="K1109" s="8" t="s">
        <v>2733</v>
      </c>
    </row>
    <row r="1110" hidden="1">
      <c r="A1110" s="3" t="str">
        <f t="shared" si="1"/>
        <v>OK</v>
      </c>
      <c r="B1110" s="3" t="str">
        <f t="shared" si="2"/>
        <v>OK</v>
      </c>
      <c r="C1110" s="5">
        <v>9325.0</v>
      </c>
      <c r="D1110" s="6" t="s">
        <v>2734</v>
      </c>
      <c r="E1110" s="5" t="s">
        <v>2735</v>
      </c>
      <c r="F1110" s="7"/>
      <c r="G1110" s="3" t="str">
        <f t="shared" si="3"/>
        <v>XTKR3</v>
      </c>
      <c r="H1110" s="3" t="str">
        <f>VLOOKUP($C1110,Userpass!$A$2:$L$3001,12,FALSE)</f>
        <v>TKR3</v>
      </c>
      <c r="I1110" s="5" t="s">
        <v>1212</v>
      </c>
      <c r="J1110" s="5">
        <v>2025.0</v>
      </c>
      <c r="K1110" s="8" t="s">
        <v>2736</v>
      </c>
    </row>
    <row r="1111" hidden="1">
      <c r="A1111" s="3" t="str">
        <f t="shared" si="1"/>
        <v>OK</v>
      </c>
      <c r="B1111" s="3" t="str">
        <f t="shared" si="2"/>
        <v>OK</v>
      </c>
      <c r="C1111" s="5">
        <v>9337.0</v>
      </c>
      <c r="D1111" s="6" t="s">
        <v>2737</v>
      </c>
      <c r="E1111" s="5" t="s">
        <v>2738</v>
      </c>
      <c r="F1111" s="7"/>
      <c r="G1111" s="3" t="str">
        <f t="shared" si="3"/>
        <v>XTKR3</v>
      </c>
      <c r="H1111" s="3" t="str">
        <f>VLOOKUP($C1111,Userpass!$A$2:$L$3001,12,FALSE)</f>
        <v>TKR3</v>
      </c>
      <c r="I1111" s="5" t="s">
        <v>1212</v>
      </c>
      <c r="J1111" s="5">
        <v>2025.0</v>
      </c>
      <c r="K1111" s="8" t="s">
        <v>2739</v>
      </c>
    </row>
    <row r="1112" hidden="1">
      <c r="A1112" s="3" t="str">
        <f t="shared" si="1"/>
        <v>OK</v>
      </c>
      <c r="B1112" s="3" t="str">
        <f t="shared" si="2"/>
        <v>OK</v>
      </c>
      <c r="C1112" s="5">
        <v>9355.0</v>
      </c>
      <c r="D1112" s="6" t="s">
        <v>2740</v>
      </c>
      <c r="E1112" s="5" t="s">
        <v>2741</v>
      </c>
      <c r="F1112" s="7"/>
      <c r="G1112" s="3" t="str">
        <f t="shared" si="3"/>
        <v>XTKR3</v>
      </c>
      <c r="H1112" s="3" t="str">
        <f>VLOOKUP($C1112,Userpass!$A$2:$L$3001,12,FALSE)</f>
        <v>TKR3</v>
      </c>
      <c r="I1112" s="5" t="s">
        <v>1212</v>
      </c>
      <c r="J1112" s="5">
        <v>2025.0</v>
      </c>
      <c r="K1112" s="8" t="s">
        <v>2742</v>
      </c>
    </row>
    <row r="1113" hidden="1">
      <c r="A1113" s="3" t="str">
        <f t="shared" si="1"/>
        <v>OK</v>
      </c>
      <c r="B1113" s="3" t="str">
        <f t="shared" si="2"/>
        <v>OK</v>
      </c>
      <c r="C1113" s="5">
        <v>9371.0</v>
      </c>
      <c r="D1113" s="6" t="s">
        <v>2743</v>
      </c>
      <c r="E1113" s="5" t="s">
        <v>2744</v>
      </c>
      <c r="F1113" s="7"/>
      <c r="G1113" s="3" t="str">
        <f t="shared" si="3"/>
        <v>XTKR3</v>
      </c>
      <c r="H1113" s="3" t="str">
        <f>VLOOKUP($C1113,Userpass!$A$2:$L$3001,12,FALSE)</f>
        <v>TKR3</v>
      </c>
      <c r="I1113" s="5" t="s">
        <v>1212</v>
      </c>
      <c r="J1113" s="5">
        <v>2025.0</v>
      </c>
      <c r="K1113" s="8" t="s">
        <v>2745</v>
      </c>
    </row>
    <row r="1114" hidden="1">
      <c r="A1114" s="3" t="str">
        <f t="shared" si="1"/>
        <v>OK</v>
      </c>
      <c r="B1114" s="3" t="str">
        <f t="shared" si="2"/>
        <v>OK</v>
      </c>
      <c r="C1114" s="5">
        <v>9379.0</v>
      </c>
      <c r="D1114" s="6" t="s">
        <v>2746</v>
      </c>
      <c r="E1114" s="5" t="s">
        <v>2747</v>
      </c>
      <c r="F1114" s="7"/>
      <c r="G1114" s="3" t="str">
        <f t="shared" si="3"/>
        <v>XTKR3</v>
      </c>
      <c r="H1114" s="3" t="str">
        <f>VLOOKUP($C1114,Userpass!$A$2:$L$3001,12,FALSE)</f>
        <v>TKR3</v>
      </c>
      <c r="I1114" s="5" t="s">
        <v>1212</v>
      </c>
      <c r="J1114" s="5">
        <v>2025.0</v>
      </c>
      <c r="K1114" s="8" t="s">
        <v>2748</v>
      </c>
    </row>
    <row r="1115" hidden="1">
      <c r="A1115" s="3" t="str">
        <f t="shared" si="1"/>
        <v>OK</v>
      </c>
      <c r="B1115" s="3" t="str">
        <f t="shared" si="2"/>
        <v>OK</v>
      </c>
      <c r="C1115" s="5">
        <v>9399.0</v>
      </c>
      <c r="D1115" s="6" t="s">
        <v>2749</v>
      </c>
      <c r="E1115" s="5" t="s">
        <v>2750</v>
      </c>
      <c r="F1115" s="7"/>
      <c r="G1115" s="3" t="str">
        <f t="shared" si="3"/>
        <v>XTKR3</v>
      </c>
      <c r="H1115" s="3" t="str">
        <f>VLOOKUP($C1115,Userpass!$A$2:$L$3001,12,FALSE)</f>
        <v>TKR3</v>
      </c>
      <c r="I1115" s="5" t="s">
        <v>1212</v>
      </c>
      <c r="J1115" s="5">
        <v>2025.0</v>
      </c>
      <c r="K1115" s="8" t="s">
        <v>2751</v>
      </c>
    </row>
    <row r="1116" hidden="1">
      <c r="A1116" s="3" t="str">
        <f t="shared" si="1"/>
        <v>OK</v>
      </c>
      <c r="B1116" s="3" t="str">
        <f t="shared" si="2"/>
        <v>OK</v>
      </c>
      <c r="C1116" s="5">
        <v>9409.0</v>
      </c>
      <c r="D1116" s="6" t="s">
        <v>2752</v>
      </c>
      <c r="E1116" s="5" t="s">
        <v>2753</v>
      </c>
      <c r="F1116" s="7"/>
      <c r="G1116" s="3" t="str">
        <f t="shared" si="3"/>
        <v>XTKR3</v>
      </c>
      <c r="H1116" s="3" t="str">
        <f>VLOOKUP($C1116,Userpass!$A$2:$L$3001,12,FALSE)</f>
        <v>TKR3</v>
      </c>
      <c r="I1116" s="5" t="s">
        <v>1212</v>
      </c>
      <c r="J1116" s="5">
        <v>2025.0</v>
      </c>
      <c r="K1116" s="8" t="s">
        <v>2754</v>
      </c>
    </row>
    <row r="1117" hidden="1">
      <c r="A1117" s="3" t="str">
        <f t="shared" si="1"/>
        <v>OK</v>
      </c>
      <c r="B1117" s="3" t="str">
        <f t="shared" si="2"/>
        <v>OK</v>
      </c>
      <c r="C1117" s="5">
        <v>9429.0</v>
      </c>
      <c r="D1117" s="6" t="s">
        <v>2755</v>
      </c>
      <c r="E1117" s="5" t="s">
        <v>2756</v>
      </c>
      <c r="F1117" s="7"/>
      <c r="G1117" s="3" t="str">
        <f t="shared" si="3"/>
        <v>XTKR3</v>
      </c>
      <c r="H1117" s="3" t="str">
        <f>VLOOKUP($C1117,Userpass!$A$2:$L$3001,12,FALSE)</f>
        <v>TKR3</v>
      </c>
      <c r="I1117" s="5" t="s">
        <v>1212</v>
      </c>
      <c r="J1117" s="5">
        <v>2025.0</v>
      </c>
      <c r="K1117" s="8" t="s">
        <v>2757</v>
      </c>
    </row>
    <row r="1118" hidden="1">
      <c r="A1118" s="3" t="str">
        <f t="shared" si="1"/>
        <v>OK</v>
      </c>
      <c r="B1118" s="3" t="str">
        <f t="shared" si="2"/>
        <v>OK</v>
      </c>
      <c r="C1118" s="5">
        <v>9445.0</v>
      </c>
      <c r="D1118" s="6" t="s">
        <v>2758</v>
      </c>
      <c r="E1118" s="5" t="s">
        <v>2759</v>
      </c>
      <c r="F1118" s="7"/>
      <c r="G1118" s="3" t="str">
        <f t="shared" si="3"/>
        <v>XTKR3</v>
      </c>
      <c r="H1118" s="3" t="str">
        <f>VLOOKUP($C1118,Userpass!$A$2:$L$3001,12,FALSE)</f>
        <v>TKR3</v>
      </c>
      <c r="I1118" s="5" t="s">
        <v>1212</v>
      </c>
      <c r="J1118" s="5">
        <v>2025.0</v>
      </c>
      <c r="K1118" s="8" t="s">
        <v>2760</v>
      </c>
    </row>
    <row r="1119" hidden="1">
      <c r="A1119" s="3" t="str">
        <f t="shared" si="1"/>
        <v>OK</v>
      </c>
      <c r="B1119" s="3" t="str">
        <f t="shared" si="2"/>
        <v>OK</v>
      </c>
      <c r="C1119" s="5">
        <v>9454.0</v>
      </c>
      <c r="D1119" s="6" t="s">
        <v>2761</v>
      </c>
      <c r="E1119" s="5" t="s">
        <v>2762</v>
      </c>
      <c r="F1119" s="7"/>
      <c r="G1119" s="3" t="str">
        <f t="shared" si="3"/>
        <v>XTKR3</v>
      </c>
      <c r="H1119" s="3" t="str">
        <f>VLOOKUP($C1119,Userpass!$A$2:$L$3001,12,FALSE)</f>
        <v>TKR3</v>
      </c>
      <c r="I1119" s="5" t="s">
        <v>1212</v>
      </c>
      <c r="J1119" s="5">
        <v>2025.0</v>
      </c>
      <c r="K1119" s="8" t="s">
        <v>2763</v>
      </c>
    </row>
    <row r="1120" hidden="1">
      <c r="A1120" s="3" t="str">
        <f t="shared" si="1"/>
        <v>OK</v>
      </c>
      <c r="B1120" s="3" t="str">
        <f t="shared" si="2"/>
        <v>OK</v>
      </c>
      <c r="C1120" s="5">
        <v>9464.0</v>
      </c>
      <c r="D1120" s="6" t="s">
        <v>2764</v>
      </c>
      <c r="E1120" s="5" t="s">
        <v>2765</v>
      </c>
      <c r="F1120" s="7"/>
      <c r="G1120" s="3" t="str">
        <f t="shared" si="3"/>
        <v>XTKR3</v>
      </c>
      <c r="H1120" s="3" t="str">
        <f>VLOOKUP($C1120,Userpass!$A$2:$L$3001,12,FALSE)</f>
        <v>TKR3</v>
      </c>
      <c r="I1120" s="5" t="s">
        <v>1212</v>
      </c>
      <c r="J1120" s="5">
        <v>2025.0</v>
      </c>
      <c r="K1120" s="8" t="s">
        <v>2766</v>
      </c>
    </row>
    <row r="1121" hidden="1">
      <c r="A1121" s="3" t="str">
        <f t="shared" si="1"/>
        <v>OK</v>
      </c>
      <c r="B1121" s="3" t="str">
        <f t="shared" si="2"/>
        <v>OK</v>
      </c>
      <c r="C1121" s="5">
        <v>9474.0</v>
      </c>
      <c r="D1121" s="6" t="s">
        <v>2767</v>
      </c>
      <c r="E1121" s="5" t="s">
        <v>2768</v>
      </c>
      <c r="F1121" s="7"/>
      <c r="G1121" s="3" t="str">
        <f t="shared" si="3"/>
        <v>XTKR3</v>
      </c>
      <c r="H1121" s="3" t="str">
        <f>VLOOKUP($C1121,Userpass!$A$2:$L$3001,12,FALSE)</f>
        <v>TKR3</v>
      </c>
      <c r="I1121" s="5" t="s">
        <v>1212</v>
      </c>
      <c r="J1121" s="5">
        <v>2025.0</v>
      </c>
      <c r="K1121" s="8" t="s">
        <v>2769</v>
      </c>
    </row>
    <row r="1122" hidden="1">
      <c r="A1122" s="3" t="str">
        <f t="shared" si="1"/>
        <v>OK</v>
      </c>
      <c r="B1122" s="3" t="str">
        <f t="shared" si="2"/>
        <v>OK</v>
      </c>
      <c r="C1122" s="5">
        <v>9486.0</v>
      </c>
      <c r="D1122" s="6" t="s">
        <v>2770</v>
      </c>
      <c r="E1122" s="5" t="s">
        <v>2771</v>
      </c>
      <c r="F1122" s="7"/>
      <c r="G1122" s="3" t="str">
        <f t="shared" si="3"/>
        <v>XTKR3</v>
      </c>
      <c r="H1122" s="3" t="str">
        <f>VLOOKUP($C1122,Userpass!$A$2:$L$3001,12,FALSE)</f>
        <v>TKR3</v>
      </c>
      <c r="I1122" s="5" t="s">
        <v>1212</v>
      </c>
      <c r="J1122" s="5">
        <v>2025.0</v>
      </c>
      <c r="K1122" s="8" t="s">
        <v>2772</v>
      </c>
    </row>
    <row r="1123" hidden="1">
      <c r="A1123" s="3" t="str">
        <f t="shared" si="1"/>
        <v>OK</v>
      </c>
      <c r="B1123" s="3" t="str">
        <f t="shared" si="2"/>
        <v>OK</v>
      </c>
      <c r="C1123" s="5">
        <v>9535.0</v>
      </c>
      <c r="D1123" s="6" t="s">
        <v>2773</v>
      </c>
      <c r="E1123" s="5" t="s">
        <v>2774</v>
      </c>
      <c r="F1123" s="7"/>
      <c r="G1123" s="3" t="str">
        <f t="shared" si="3"/>
        <v>XTKR3</v>
      </c>
      <c r="H1123" s="3" t="str">
        <f>VLOOKUP($C1123,Userpass!$A$2:$L$3001,12,FALSE)</f>
        <v>TKR3</v>
      </c>
      <c r="I1123" s="5" t="s">
        <v>1212</v>
      </c>
      <c r="J1123" s="5">
        <v>2025.0</v>
      </c>
      <c r="K1123" s="8" t="s">
        <v>2775</v>
      </c>
    </row>
    <row r="1124" hidden="1">
      <c r="A1124" s="3" t="str">
        <f t="shared" si="1"/>
        <v>OK</v>
      </c>
      <c r="B1124" s="3" t="str">
        <f t="shared" si="2"/>
        <v>OK</v>
      </c>
      <c r="C1124" s="5">
        <v>9550.0</v>
      </c>
      <c r="D1124" s="6" t="s">
        <v>2776</v>
      </c>
      <c r="E1124" s="5" t="s">
        <v>2777</v>
      </c>
      <c r="F1124" s="7"/>
      <c r="G1124" s="3" t="str">
        <f t="shared" si="3"/>
        <v>XTKR3</v>
      </c>
      <c r="H1124" s="3" t="str">
        <f>VLOOKUP($C1124,Userpass!$A$2:$L$3001,12,FALSE)</f>
        <v>TKR3</v>
      </c>
      <c r="I1124" s="5" t="s">
        <v>1212</v>
      </c>
      <c r="J1124" s="5">
        <v>2025.0</v>
      </c>
      <c r="K1124" s="8" t="s">
        <v>2778</v>
      </c>
    </row>
    <row r="1125" hidden="1">
      <c r="A1125" s="3" t="str">
        <f t="shared" si="1"/>
        <v>OK</v>
      </c>
      <c r="B1125" s="3" t="str">
        <f t="shared" si="2"/>
        <v>OK</v>
      </c>
      <c r="C1125" s="5">
        <v>9573.0</v>
      </c>
      <c r="D1125" s="6" t="s">
        <v>2779</v>
      </c>
      <c r="E1125" s="5" t="s">
        <v>2780</v>
      </c>
      <c r="F1125" s="7"/>
      <c r="G1125" s="3" t="str">
        <f t="shared" si="3"/>
        <v>XTKR3</v>
      </c>
      <c r="H1125" s="3" t="str">
        <f>VLOOKUP($C1125,Userpass!$A$2:$L$3001,12,FALSE)</f>
        <v>TKR3</v>
      </c>
      <c r="I1125" s="5" t="s">
        <v>1212</v>
      </c>
      <c r="J1125" s="5">
        <v>2025.0</v>
      </c>
      <c r="K1125" s="8" t="s">
        <v>2781</v>
      </c>
    </row>
    <row r="1126" hidden="1">
      <c r="A1126" s="3" t="str">
        <f t="shared" si="1"/>
        <v>OK</v>
      </c>
      <c r="B1126" s="3" t="str">
        <f t="shared" si="2"/>
        <v>OK</v>
      </c>
      <c r="C1126" s="5">
        <v>9581.0</v>
      </c>
      <c r="D1126" s="6" t="s">
        <v>2782</v>
      </c>
      <c r="E1126" s="5" t="s">
        <v>2783</v>
      </c>
      <c r="F1126" s="7"/>
      <c r="G1126" s="3" t="str">
        <f t="shared" si="3"/>
        <v>XTKR3</v>
      </c>
      <c r="H1126" s="3" t="str">
        <f>VLOOKUP($C1126,Userpass!$A$2:$L$3001,12,FALSE)</f>
        <v>TKR3</v>
      </c>
      <c r="I1126" s="5" t="s">
        <v>1212</v>
      </c>
      <c r="J1126" s="5">
        <v>2025.0</v>
      </c>
      <c r="K1126" s="8" t="s">
        <v>2784</v>
      </c>
    </row>
    <row r="1127" hidden="1">
      <c r="A1127" s="3" t="str">
        <f t="shared" si="1"/>
        <v>OK</v>
      </c>
      <c r="B1127" s="3" t="str">
        <f t="shared" si="2"/>
        <v>OK</v>
      </c>
      <c r="C1127" s="5">
        <v>9586.0</v>
      </c>
      <c r="D1127" s="6" t="s">
        <v>2785</v>
      </c>
      <c r="E1127" s="5" t="s">
        <v>2786</v>
      </c>
      <c r="F1127" s="7"/>
      <c r="G1127" s="3" t="str">
        <f t="shared" si="3"/>
        <v>XTKR3</v>
      </c>
      <c r="H1127" s="3" t="str">
        <f>VLOOKUP($C1127,Userpass!$A$2:$L$3001,12,FALSE)</f>
        <v>TKR3</v>
      </c>
      <c r="I1127" s="5" t="s">
        <v>1212</v>
      </c>
      <c r="J1127" s="5">
        <v>2025.0</v>
      </c>
      <c r="K1127" s="8" t="s">
        <v>2787</v>
      </c>
    </row>
    <row r="1128" hidden="1">
      <c r="A1128" s="3" t="str">
        <f t="shared" si="1"/>
        <v>OK</v>
      </c>
      <c r="B1128" s="3" t="str">
        <f t="shared" si="2"/>
        <v>OK</v>
      </c>
      <c r="C1128" s="5">
        <v>9599.0</v>
      </c>
      <c r="D1128" s="6" t="s">
        <v>2788</v>
      </c>
      <c r="E1128" s="5" t="s">
        <v>2789</v>
      </c>
      <c r="F1128" s="7"/>
      <c r="G1128" s="3" t="str">
        <f t="shared" si="3"/>
        <v>XTKR3</v>
      </c>
      <c r="H1128" s="3" t="str">
        <f>VLOOKUP($C1128,Userpass!$A$2:$L$3001,12,FALSE)</f>
        <v>TKR3</v>
      </c>
      <c r="I1128" s="5" t="s">
        <v>1212</v>
      </c>
      <c r="J1128" s="5">
        <v>2025.0</v>
      </c>
      <c r="K1128" s="8" t="s">
        <v>2790</v>
      </c>
    </row>
    <row r="1129" hidden="1">
      <c r="A1129" s="3" t="str">
        <f t="shared" si="1"/>
        <v>OK</v>
      </c>
      <c r="B1129" s="3" t="str">
        <f t="shared" si="2"/>
        <v>OK</v>
      </c>
      <c r="C1129" s="5">
        <v>9614.0</v>
      </c>
      <c r="D1129" s="6" t="s">
        <v>2791</v>
      </c>
      <c r="E1129" s="5" t="s">
        <v>2792</v>
      </c>
      <c r="F1129" s="7"/>
      <c r="G1129" s="3" t="str">
        <f t="shared" si="3"/>
        <v>XTKR3</v>
      </c>
      <c r="H1129" s="3" t="str">
        <f>VLOOKUP($C1129,Userpass!$A$2:$L$3001,12,FALSE)</f>
        <v>TKR3</v>
      </c>
      <c r="I1129" s="5" t="s">
        <v>1212</v>
      </c>
      <c r="J1129" s="5">
        <v>2025.0</v>
      </c>
      <c r="K1129" s="8" t="s">
        <v>2793</v>
      </c>
    </row>
    <row r="1130" hidden="1">
      <c r="A1130" s="3" t="str">
        <f t="shared" si="1"/>
        <v>OK</v>
      </c>
      <c r="B1130" s="3" t="str">
        <f t="shared" si="2"/>
        <v>OK</v>
      </c>
      <c r="C1130" s="5">
        <v>9624.0</v>
      </c>
      <c r="D1130" s="6" t="s">
        <v>2794</v>
      </c>
      <c r="E1130" s="5" t="s">
        <v>2795</v>
      </c>
      <c r="F1130" s="7"/>
      <c r="G1130" s="3" t="str">
        <f t="shared" si="3"/>
        <v>XTKR3</v>
      </c>
      <c r="H1130" s="3" t="str">
        <f>VLOOKUP($C1130,Userpass!$A$2:$L$3001,12,FALSE)</f>
        <v>TKR3</v>
      </c>
      <c r="I1130" s="5" t="s">
        <v>1212</v>
      </c>
      <c r="J1130" s="5">
        <v>2025.0</v>
      </c>
      <c r="K1130" s="8" t="s">
        <v>2796</v>
      </c>
    </row>
    <row r="1131" hidden="1">
      <c r="A1131" s="3" t="str">
        <f t="shared" si="1"/>
        <v>OK</v>
      </c>
      <c r="B1131" s="3" t="str">
        <f t="shared" si="2"/>
        <v>OK</v>
      </c>
      <c r="C1131" s="5">
        <v>9634.0</v>
      </c>
      <c r="D1131" s="6" t="s">
        <v>2797</v>
      </c>
      <c r="E1131" s="5" t="s">
        <v>2798</v>
      </c>
      <c r="F1131" s="7"/>
      <c r="G1131" s="3" t="str">
        <f t="shared" si="3"/>
        <v>XTKR3</v>
      </c>
      <c r="H1131" s="3" t="str">
        <f>VLOOKUP($C1131,Userpass!$A$2:$L$3001,12,FALSE)</f>
        <v>TKR3</v>
      </c>
      <c r="I1131" s="5" t="s">
        <v>1212</v>
      </c>
      <c r="J1131" s="5">
        <v>2025.0</v>
      </c>
      <c r="K1131" s="8" t="s">
        <v>2799</v>
      </c>
    </row>
    <row r="1132" hidden="1">
      <c r="A1132" s="3" t="str">
        <f t="shared" si="1"/>
        <v>OK</v>
      </c>
      <c r="B1132" s="3" t="str">
        <f t="shared" si="2"/>
        <v>OK</v>
      </c>
      <c r="C1132" s="5">
        <v>9640.0</v>
      </c>
      <c r="D1132" s="6" t="s">
        <v>2800</v>
      </c>
      <c r="E1132" s="5" t="s">
        <v>2801</v>
      </c>
      <c r="F1132" s="7"/>
      <c r="G1132" s="3" t="str">
        <f t="shared" si="3"/>
        <v>XTKR3</v>
      </c>
      <c r="H1132" s="3" t="str">
        <f>VLOOKUP($C1132,Userpass!$A$2:$L$3001,12,FALSE)</f>
        <v>TKR3</v>
      </c>
      <c r="I1132" s="5" t="s">
        <v>1212</v>
      </c>
      <c r="J1132" s="5">
        <v>2025.0</v>
      </c>
      <c r="K1132" s="8" t="s">
        <v>2802</v>
      </c>
    </row>
    <row r="1133" hidden="1">
      <c r="A1133" s="3" t="str">
        <f t="shared" si="1"/>
        <v>OK</v>
      </c>
      <c r="B1133" s="3" t="str">
        <f t="shared" si="2"/>
        <v>OK</v>
      </c>
      <c r="C1133" s="5">
        <v>9654.0</v>
      </c>
      <c r="D1133" s="6" t="s">
        <v>2803</v>
      </c>
      <c r="E1133" s="5" t="s">
        <v>2804</v>
      </c>
      <c r="F1133" s="7"/>
      <c r="G1133" s="3" t="str">
        <f t="shared" si="3"/>
        <v>XTKR3</v>
      </c>
      <c r="H1133" s="3" t="str">
        <f>VLOOKUP($C1133,Userpass!$A$2:$L$3001,12,FALSE)</f>
        <v>TKR3</v>
      </c>
      <c r="I1133" s="5" t="s">
        <v>1212</v>
      </c>
      <c r="J1133" s="5">
        <v>2025.0</v>
      </c>
      <c r="K1133" s="8" t="s">
        <v>2805</v>
      </c>
    </row>
    <row r="1134" hidden="1">
      <c r="A1134" s="3" t="str">
        <f t="shared" si="1"/>
        <v>OK</v>
      </c>
      <c r="B1134" s="3" t="str">
        <f t="shared" si="2"/>
        <v>OK</v>
      </c>
      <c r="C1134" s="5">
        <v>9701.0</v>
      </c>
      <c r="D1134" s="6" t="s">
        <v>2806</v>
      </c>
      <c r="E1134" s="5" t="s">
        <v>2807</v>
      </c>
      <c r="F1134" s="7"/>
      <c r="G1134" s="3" t="str">
        <f t="shared" si="3"/>
        <v>XTKR3</v>
      </c>
      <c r="H1134" s="3" t="str">
        <f>VLOOKUP($C1134,Userpass!$A$2:$L$3001,12,FALSE)</f>
        <v>TKR3</v>
      </c>
      <c r="I1134" s="5" t="s">
        <v>1212</v>
      </c>
      <c r="J1134" s="5">
        <v>2025.0</v>
      </c>
      <c r="K1134" s="8" t="s">
        <v>2808</v>
      </c>
    </row>
    <row r="1135" hidden="1">
      <c r="A1135" s="3" t="str">
        <f t="shared" si="1"/>
        <v>OK</v>
      </c>
      <c r="B1135" s="3" t="str">
        <f t="shared" si="2"/>
        <v>OK</v>
      </c>
      <c r="C1135" s="5">
        <v>9713.0</v>
      </c>
      <c r="D1135" s="6" t="s">
        <v>2809</v>
      </c>
      <c r="E1135" s="5" t="s">
        <v>2810</v>
      </c>
      <c r="F1135" s="7"/>
      <c r="G1135" s="3" t="str">
        <f t="shared" si="3"/>
        <v>XTKR3</v>
      </c>
      <c r="H1135" s="3" t="str">
        <f>VLOOKUP($C1135,Userpass!$A$2:$L$3001,12,FALSE)</f>
        <v>TKR3</v>
      </c>
      <c r="I1135" s="5" t="s">
        <v>1212</v>
      </c>
      <c r="J1135" s="5">
        <v>2025.0</v>
      </c>
      <c r="K1135" s="8" t="s">
        <v>2811</v>
      </c>
    </row>
    <row r="1136" hidden="1">
      <c r="A1136" s="3" t="str">
        <f t="shared" si="1"/>
        <v>OK</v>
      </c>
      <c r="B1136" s="3" t="str">
        <f t="shared" si="2"/>
        <v>OK</v>
      </c>
      <c r="C1136" s="5">
        <v>9729.0</v>
      </c>
      <c r="D1136" s="6" t="s">
        <v>2812</v>
      </c>
      <c r="E1136" s="5" t="s">
        <v>2813</v>
      </c>
      <c r="F1136" s="7"/>
      <c r="G1136" s="3" t="str">
        <f t="shared" si="3"/>
        <v>XTKR3</v>
      </c>
      <c r="H1136" s="3" t="str">
        <f>VLOOKUP($C1136,Userpass!$A$2:$L$3001,12,FALSE)</f>
        <v>TKR3</v>
      </c>
      <c r="I1136" s="5" t="s">
        <v>1212</v>
      </c>
      <c r="J1136" s="5">
        <v>2025.0</v>
      </c>
      <c r="K1136" s="8" t="s">
        <v>2814</v>
      </c>
    </row>
    <row r="1137" hidden="1">
      <c r="A1137" s="3" t="str">
        <f t="shared" si="1"/>
        <v>OK</v>
      </c>
      <c r="B1137" s="3" t="str">
        <f t="shared" si="2"/>
        <v>OK</v>
      </c>
      <c r="C1137" s="5">
        <v>9745.0</v>
      </c>
      <c r="D1137" s="6" t="s">
        <v>2815</v>
      </c>
      <c r="E1137" s="5" t="s">
        <v>2816</v>
      </c>
      <c r="F1137" s="7"/>
      <c r="G1137" s="3" t="str">
        <f t="shared" si="3"/>
        <v>XTKR3</v>
      </c>
      <c r="H1137" s="3" t="str">
        <f>VLOOKUP($C1137,Userpass!$A$2:$L$3001,12,FALSE)</f>
        <v>TKR3</v>
      </c>
      <c r="I1137" s="5" t="s">
        <v>1212</v>
      </c>
      <c r="J1137" s="5">
        <v>2025.0</v>
      </c>
      <c r="K1137" s="8" t="s">
        <v>2817</v>
      </c>
    </row>
    <row r="1138" hidden="1">
      <c r="A1138" s="3" t="str">
        <f t="shared" si="1"/>
        <v>OK</v>
      </c>
      <c r="B1138" s="3" t="str">
        <f t="shared" si="2"/>
        <v>OK</v>
      </c>
      <c r="C1138" s="5">
        <v>9761.0</v>
      </c>
      <c r="D1138" s="6" t="s">
        <v>2818</v>
      </c>
      <c r="E1138" s="5" t="s">
        <v>2819</v>
      </c>
      <c r="F1138" s="7"/>
      <c r="G1138" s="3" t="str">
        <f t="shared" si="3"/>
        <v>XTKR3</v>
      </c>
      <c r="H1138" s="3" t="str">
        <f>VLOOKUP($C1138,Userpass!$A$2:$L$3001,12,FALSE)</f>
        <v>TKR3</v>
      </c>
      <c r="I1138" s="5" t="s">
        <v>1212</v>
      </c>
      <c r="J1138" s="5">
        <v>2025.0</v>
      </c>
      <c r="K1138" s="8" t="s">
        <v>2820</v>
      </c>
    </row>
    <row r="1139" hidden="1">
      <c r="A1139" s="3" t="str">
        <f t="shared" si="1"/>
        <v>OK</v>
      </c>
      <c r="B1139" s="3" t="str">
        <f t="shared" si="2"/>
        <v>OK</v>
      </c>
      <c r="C1139" s="5">
        <v>9808.0</v>
      </c>
      <c r="D1139" s="6" t="s">
        <v>2821</v>
      </c>
      <c r="E1139" s="5" t="s">
        <v>2822</v>
      </c>
      <c r="F1139" s="7"/>
      <c r="G1139" s="3" t="str">
        <f t="shared" si="3"/>
        <v>XTKR3</v>
      </c>
      <c r="H1139" s="3" t="str">
        <f>VLOOKUP($C1139,Userpass!$A$2:$L$3001,12,FALSE)</f>
        <v>TKR3</v>
      </c>
      <c r="I1139" s="5" t="s">
        <v>1212</v>
      </c>
      <c r="J1139" s="5">
        <v>2025.0</v>
      </c>
      <c r="K1139" s="8" t="s">
        <v>2823</v>
      </c>
    </row>
    <row r="1140" hidden="1">
      <c r="A1140" s="3" t="str">
        <f t="shared" si="1"/>
        <v>OK</v>
      </c>
      <c r="B1140" s="3" t="str">
        <f t="shared" si="2"/>
        <v>OK</v>
      </c>
      <c r="C1140" s="5">
        <v>9850.0</v>
      </c>
      <c r="D1140" s="6" t="s">
        <v>2824</v>
      </c>
      <c r="E1140" s="5" t="s">
        <v>2825</v>
      </c>
      <c r="F1140" s="7"/>
      <c r="G1140" s="3" t="str">
        <f t="shared" si="3"/>
        <v>XTKR3</v>
      </c>
      <c r="H1140" s="3" t="str">
        <f>VLOOKUP($C1140,Userpass!$A$2:$L$3001,12,FALSE)</f>
        <v>TKR3</v>
      </c>
      <c r="I1140" s="5" t="s">
        <v>1212</v>
      </c>
      <c r="J1140" s="5">
        <v>2025.0</v>
      </c>
      <c r="K1140" s="8" t="s">
        <v>2826</v>
      </c>
    </row>
    <row r="1141" hidden="1">
      <c r="A1141" s="3" t="str">
        <f t="shared" si="1"/>
        <v>OK</v>
      </c>
      <c r="B1141" s="3" t="str">
        <f t="shared" si="2"/>
        <v>OK</v>
      </c>
      <c r="C1141" s="5">
        <v>9248.0</v>
      </c>
      <c r="D1141" s="6" t="s">
        <v>2827</v>
      </c>
      <c r="E1141" s="5" t="s">
        <v>2828</v>
      </c>
      <c r="F1141" s="7"/>
      <c r="G1141" s="3" t="str">
        <f t="shared" si="3"/>
        <v>XTSM1</v>
      </c>
      <c r="H1141" s="3" t="str">
        <f>VLOOKUP($C1141,Userpass!$A$2:$L$3001,12,FALSE)</f>
        <v>TSM1</v>
      </c>
      <c r="I1141" s="5" t="s">
        <v>1212</v>
      </c>
      <c r="J1141" s="5">
        <v>2025.0</v>
      </c>
      <c r="K1141" s="8" t="s">
        <v>2829</v>
      </c>
    </row>
    <row r="1142" hidden="1">
      <c r="A1142" s="3" t="str">
        <f t="shared" si="1"/>
        <v>OK</v>
      </c>
      <c r="B1142" s="3" t="str">
        <f t="shared" si="2"/>
        <v>OK</v>
      </c>
      <c r="C1142" s="5">
        <v>9254.0</v>
      </c>
      <c r="D1142" s="6" t="s">
        <v>2830</v>
      </c>
      <c r="E1142" s="5" t="s">
        <v>2831</v>
      </c>
      <c r="F1142" s="7"/>
      <c r="G1142" s="3" t="str">
        <f t="shared" si="3"/>
        <v>XTSM1</v>
      </c>
      <c r="H1142" s="3" t="str">
        <f>VLOOKUP($C1142,Userpass!$A$2:$L$3001,12,FALSE)</f>
        <v>TSM1</v>
      </c>
      <c r="I1142" s="5" t="s">
        <v>1212</v>
      </c>
      <c r="J1142" s="5">
        <v>2025.0</v>
      </c>
      <c r="K1142" s="8" t="s">
        <v>2832</v>
      </c>
    </row>
    <row r="1143" hidden="1">
      <c r="A1143" s="3" t="str">
        <f t="shared" si="1"/>
        <v>OK</v>
      </c>
      <c r="B1143" s="3" t="str">
        <f t="shared" si="2"/>
        <v>OK</v>
      </c>
      <c r="C1143" s="5">
        <v>9268.0</v>
      </c>
      <c r="D1143" s="6" t="s">
        <v>2833</v>
      </c>
      <c r="E1143" s="5" t="s">
        <v>2834</v>
      </c>
      <c r="F1143" s="7"/>
      <c r="G1143" s="3" t="str">
        <f t="shared" si="3"/>
        <v>XTSM1</v>
      </c>
      <c r="H1143" s="3" t="str">
        <f>VLOOKUP($C1143,Userpass!$A$2:$L$3001,12,FALSE)</f>
        <v>TSM1</v>
      </c>
      <c r="I1143" s="5" t="s">
        <v>1212</v>
      </c>
      <c r="J1143" s="5">
        <v>2025.0</v>
      </c>
      <c r="K1143" s="8" t="s">
        <v>2835</v>
      </c>
    </row>
    <row r="1144" hidden="1">
      <c r="A1144" s="3" t="str">
        <f t="shared" si="1"/>
        <v>OK</v>
      </c>
      <c r="B1144" s="3" t="str">
        <f t="shared" si="2"/>
        <v>OK</v>
      </c>
      <c r="C1144" s="5">
        <v>9273.0</v>
      </c>
      <c r="D1144" s="6" t="s">
        <v>2836</v>
      </c>
      <c r="E1144" s="5" t="s">
        <v>2837</v>
      </c>
      <c r="F1144" s="7"/>
      <c r="G1144" s="3" t="str">
        <f t="shared" si="3"/>
        <v>XTSM1</v>
      </c>
      <c r="H1144" s="3" t="str">
        <f>VLOOKUP($C1144,Userpass!$A$2:$L$3001,12,FALSE)</f>
        <v>TSM1</v>
      </c>
      <c r="I1144" s="5" t="s">
        <v>1212</v>
      </c>
      <c r="J1144" s="5">
        <v>2025.0</v>
      </c>
      <c r="K1144" s="8" t="s">
        <v>2838</v>
      </c>
    </row>
    <row r="1145" hidden="1">
      <c r="A1145" s="3" t="str">
        <f t="shared" si="1"/>
        <v>OK</v>
      </c>
      <c r="B1145" s="3" t="str">
        <f t="shared" si="2"/>
        <v>OK</v>
      </c>
      <c r="C1145" s="5">
        <v>9278.0</v>
      </c>
      <c r="D1145" s="6" t="s">
        <v>2839</v>
      </c>
      <c r="E1145" s="5" t="s">
        <v>2840</v>
      </c>
      <c r="F1145" s="7"/>
      <c r="G1145" s="3" t="str">
        <f t="shared" si="3"/>
        <v>XTSM1</v>
      </c>
      <c r="H1145" s="3" t="str">
        <f>VLOOKUP($C1145,Userpass!$A$2:$L$3001,12,FALSE)</f>
        <v>TSM1</v>
      </c>
      <c r="I1145" s="5" t="s">
        <v>1212</v>
      </c>
      <c r="J1145" s="5">
        <v>2025.0</v>
      </c>
      <c r="K1145" s="8" t="s">
        <v>2841</v>
      </c>
    </row>
    <row r="1146" hidden="1">
      <c r="A1146" s="3" t="str">
        <f t="shared" si="1"/>
        <v>OK</v>
      </c>
      <c r="B1146" s="3" t="str">
        <f t="shared" si="2"/>
        <v>OK</v>
      </c>
      <c r="C1146" s="5">
        <v>9300.0</v>
      </c>
      <c r="D1146" s="6" t="s">
        <v>2842</v>
      </c>
      <c r="E1146" s="5" t="s">
        <v>2843</v>
      </c>
      <c r="F1146" s="7"/>
      <c r="G1146" s="3" t="str">
        <f t="shared" si="3"/>
        <v>XTSM1</v>
      </c>
      <c r="H1146" s="3" t="str">
        <f>VLOOKUP($C1146,Userpass!$A$2:$L$3001,12,FALSE)</f>
        <v>TSM1</v>
      </c>
      <c r="I1146" s="5" t="s">
        <v>1212</v>
      </c>
      <c r="J1146" s="5">
        <v>2025.0</v>
      </c>
      <c r="K1146" s="8" t="s">
        <v>2844</v>
      </c>
    </row>
    <row r="1147" hidden="1">
      <c r="A1147" s="3" t="str">
        <f t="shared" si="1"/>
        <v>OK</v>
      </c>
      <c r="B1147" s="3" t="str">
        <f t="shared" si="2"/>
        <v>OK</v>
      </c>
      <c r="C1147" s="5">
        <v>9320.0</v>
      </c>
      <c r="D1147" s="6" t="s">
        <v>2845</v>
      </c>
      <c r="E1147" s="5" t="s">
        <v>2846</v>
      </c>
      <c r="F1147" s="7"/>
      <c r="G1147" s="3" t="str">
        <f t="shared" si="3"/>
        <v>XTSM1</v>
      </c>
      <c r="H1147" s="3" t="str">
        <f>VLOOKUP($C1147,Userpass!$A$2:$L$3001,12,FALSE)</f>
        <v>TSM1</v>
      </c>
      <c r="I1147" s="5" t="s">
        <v>1212</v>
      </c>
      <c r="J1147" s="5">
        <v>2025.0</v>
      </c>
      <c r="K1147" s="8" t="s">
        <v>2847</v>
      </c>
    </row>
    <row r="1148" hidden="1">
      <c r="A1148" s="3" t="str">
        <f t="shared" si="1"/>
        <v>OK</v>
      </c>
      <c r="B1148" s="3" t="str">
        <f t="shared" si="2"/>
        <v>OK</v>
      </c>
      <c r="C1148" s="5">
        <v>9338.0</v>
      </c>
      <c r="D1148" s="6" t="s">
        <v>2848</v>
      </c>
      <c r="E1148" s="5" t="s">
        <v>2849</v>
      </c>
      <c r="F1148" s="7"/>
      <c r="G1148" s="3" t="str">
        <f t="shared" si="3"/>
        <v>XTSM1</v>
      </c>
      <c r="H1148" s="3" t="str">
        <f>VLOOKUP($C1148,Userpass!$A$2:$L$3001,12,FALSE)</f>
        <v>TSM1</v>
      </c>
      <c r="I1148" s="5" t="s">
        <v>1212</v>
      </c>
      <c r="J1148" s="5">
        <v>2025.0</v>
      </c>
      <c r="K1148" s="8" t="s">
        <v>2850</v>
      </c>
    </row>
    <row r="1149" hidden="1">
      <c r="A1149" s="3" t="str">
        <f t="shared" si="1"/>
        <v>OK</v>
      </c>
      <c r="B1149" s="3" t="str">
        <f t="shared" si="2"/>
        <v>OK</v>
      </c>
      <c r="C1149" s="5">
        <v>9369.0</v>
      </c>
      <c r="D1149" s="6" t="s">
        <v>2851</v>
      </c>
      <c r="E1149" s="5" t="s">
        <v>2852</v>
      </c>
      <c r="F1149" s="7"/>
      <c r="G1149" s="3" t="str">
        <f t="shared" si="3"/>
        <v>XTSM1</v>
      </c>
      <c r="H1149" s="3" t="str">
        <f>VLOOKUP($C1149,Userpass!$A$2:$L$3001,12,FALSE)</f>
        <v>TSM1</v>
      </c>
      <c r="I1149" s="5" t="s">
        <v>1212</v>
      </c>
      <c r="J1149" s="5">
        <v>2025.0</v>
      </c>
      <c r="K1149" s="8" t="s">
        <v>2853</v>
      </c>
    </row>
    <row r="1150" hidden="1">
      <c r="A1150" s="3" t="str">
        <f t="shared" si="1"/>
        <v>OK</v>
      </c>
      <c r="B1150" s="3" t="str">
        <f t="shared" si="2"/>
        <v>OK</v>
      </c>
      <c r="C1150" s="5">
        <v>9390.0</v>
      </c>
      <c r="D1150" s="6" t="s">
        <v>2854</v>
      </c>
      <c r="E1150" s="5" t="s">
        <v>2855</v>
      </c>
      <c r="F1150" s="7"/>
      <c r="G1150" s="3" t="str">
        <f t="shared" si="3"/>
        <v>XTSM1</v>
      </c>
      <c r="H1150" s="3" t="str">
        <f>VLOOKUP($C1150,Userpass!$A$2:$L$3001,12,FALSE)</f>
        <v>TSM1</v>
      </c>
      <c r="I1150" s="5" t="s">
        <v>1212</v>
      </c>
      <c r="J1150" s="5">
        <v>2025.0</v>
      </c>
      <c r="K1150" s="8" t="s">
        <v>2856</v>
      </c>
    </row>
    <row r="1151" hidden="1">
      <c r="A1151" s="3" t="str">
        <f t="shared" si="1"/>
        <v>OK</v>
      </c>
      <c r="B1151" s="3" t="str">
        <f t="shared" si="2"/>
        <v>OK</v>
      </c>
      <c r="C1151" s="5">
        <v>9400.0</v>
      </c>
      <c r="D1151" s="6" t="s">
        <v>2857</v>
      </c>
      <c r="E1151" s="5" t="s">
        <v>2858</v>
      </c>
      <c r="F1151" s="7"/>
      <c r="G1151" s="3" t="str">
        <f t="shared" si="3"/>
        <v>XTSM1</v>
      </c>
      <c r="H1151" s="3" t="str">
        <f>VLOOKUP($C1151,Userpass!$A$2:$L$3001,12,FALSE)</f>
        <v>TSM1</v>
      </c>
      <c r="I1151" s="5" t="s">
        <v>1212</v>
      </c>
      <c r="J1151" s="5">
        <v>2025.0</v>
      </c>
      <c r="K1151" s="8" t="s">
        <v>2859</v>
      </c>
    </row>
    <row r="1152" hidden="1">
      <c r="A1152" s="3" t="str">
        <f t="shared" si="1"/>
        <v>OK</v>
      </c>
      <c r="B1152" s="3" t="str">
        <f t="shared" si="2"/>
        <v>OK</v>
      </c>
      <c r="C1152" s="5">
        <v>9427.0</v>
      </c>
      <c r="D1152" s="6" t="s">
        <v>2860</v>
      </c>
      <c r="E1152" s="5" t="s">
        <v>2861</v>
      </c>
      <c r="F1152" s="7"/>
      <c r="G1152" s="3" t="str">
        <f t="shared" si="3"/>
        <v>XTSM1</v>
      </c>
      <c r="H1152" s="3" t="str">
        <f>VLOOKUP($C1152,Userpass!$A$2:$L$3001,12,FALSE)</f>
        <v>TSM1</v>
      </c>
      <c r="I1152" s="5" t="s">
        <v>1212</v>
      </c>
      <c r="J1152" s="5">
        <v>2025.0</v>
      </c>
      <c r="K1152" s="8" t="s">
        <v>2862</v>
      </c>
    </row>
    <row r="1153" hidden="1">
      <c r="A1153" s="3" t="str">
        <f t="shared" si="1"/>
        <v>OK</v>
      </c>
      <c r="B1153" s="3" t="str">
        <f t="shared" si="2"/>
        <v>OK</v>
      </c>
      <c r="C1153" s="5">
        <v>9440.0</v>
      </c>
      <c r="D1153" s="6" t="s">
        <v>2863</v>
      </c>
      <c r="E1153" s="5" t="s">
        <v>2864</v>
      </c>
      <c r="F1153" s="7"/>
      <c r="G1153" s="3" t="str">
        <f t="shared" si="3"/>
        <v>XTSM1</v>
      </c>
      <c r="H1153" s="3" t="str">
        <f>VLOOKUP($C1153,Userpass!$A$2:$L$3001,12,FALSE)</f>
        <v>TSM1</v>
      </c>
      <c r="I1153" s="5" t="s">
        <v>1212</v>
      </c>
      <c r="J1153" s="5">
        <v>2025.0</v>
      </c>
      <c r="K1153" s="8" t="s">
        <v>2865</v>
      </c>
    </row>
    <row r="1154" hidden="1">
      <c r="A1154" s="3" t="str">
        <f t="shared" si="1"/>
        <v>OK</v>
      </c>
      <c r="B1154" s="3" t="str">
        <f t="shared" si="2"/>
        <v>OK</v>
      </c>
      <c r="C1154" s="5">
        <v>9442.0</v>
      </c>
      <c r="D1154" s="6" t="s">
        <v>2866</v>
      </c>
      <c r="E1154" s="5" t="s">
        <v>2867</v>
      </c>
      <c r="F1154" s="7"/>
      <c r="G1154" s="3" t="str">
        <f t="shared" si="3"/>
        <v>XTSM1</v>
      </c>
      <c r="H1154" s="3" t="str">
        <f>VLOOKUP($C1154,Userpass!$A$2:$L$3001,12,FALSE)</f>
        <v>TSM1</v>
      </c>
      <c r="I1154" s="5" t="s">
        <v>1212</v>
      </c>
      <c r="J1154" s="5">
        <v>2025.0</v>
      </c>
      <c r="K1154" s="8" t="s">
        <v>2868</v>
      </c>
    </row>
    <row r="1155" hidden="1">
      <c r="A1155" s="3" t="str">
        <f t="shared" si="1"/>
        <v>OK</v>
      </c>
      <c r="B1155" s="3" t="str">
        <f t="shared" si="2"/>
        <v>OK</v>
      </c>
      <c r="C1155" s="5">
        <v>9465.0</v>
      </c>
      <c r="D1155" s="6" t="s">
        <v>2869</v>
      </c>
      <c r="E1155" s="5" t="s">
        <v>2870</v>
      </c>
      <c r="F1155" s="7"/>
      <c r="G1155" s="3" t="str">
        <f t="shared" si="3"/>
        <v>XTSM1</v>
      </c>
      <c r="H1155" s="3" t="str">
        <f>VLOOKUP($C1155,Userpass!$A$2:$L$3001,12,FALSE)</f>
        <v>TSM1</v>
      </c>
      <c r="I1155" s="5" t="s">
        <v>1212</v>
      </c>
      <c r="J1155" s="5">
        <v>2025.0</v>
      </c>
      <c r="K1155" s="8" t="s">
        <v>2871</v>
      </c>
    </row>
    <row r="1156" hidden="1">
      <c r="A1156" s="3" t="str">
        <f t="shared" si="1"/>
        <v>OK</v>
      </c>
      <c r="B1156" s="3" t="str">
        <f t="shared" si="2"/>
        <v>OK</v>
      </c>
      <c r="C1156" s="5">
        <v>9490.0</v>
      </c>
      <c r="D1156" s="6" t="s">
        <v>2872</v>
      </c>
      <c r="E1156" s="5" t="s">
        <v>2873</v>
      </c>
      <c r="F1156" s="7"/>
      <c r="G1156" s="3" t="str">
        <f t="shared" si="3"/>
        <v>XTSM1</v>
      </c>
      <c r="H1156" s="3" t="str">
        <f>VLOOKUP($C1156,Userpass!$A$2:$L$3001,12,FALSE)</f>
        <v>TSM1</v>
      </c>
      <c r="I1156" s="5" t="s">
        <v>1212</v>
      </c>
      <c r="J1156" s="5">
        <v>2025.0</v>
      </c>
      <c r="K1156" s="8" t="s">
        <v>2874</v>
      </c>
    </row>
    <row r="1157" hidden="1">
      <c r="A1157" s="3" t="str">
        <f t="shared" si="1"/>
        <v>OK</v>
      </c>
      <c r="B1157" s="3" t="str">
        <f t="shared" si="2"/>
        <v>OK</v>
      </c>
      <c r="C1157" s="5">
        <v>9504.0</v>
      </c>
      <c r="D1157" s="6" t="s">
        <v>2875</v>
      </c>
      <c r="E1157" s="5" t="s">
        <v>2876</v>
      </c>
      <c r="F1157" s="7"/>
      <c r="G1157" s="3" t="str">
        <f t="shared" si="3"/>
        <v>XTSM1</v>
      </c>
      <c r="H1157" s="3" t="str">
        <f>VLOOKUP($C1157,Userpass!$A$2:$L$3001,12,FALSE)</f>
        <v>TSM1</v>
      </c>
      <c r="I1157" s="5" t="s">
        <v>1212</v>
      </c>
      <c r="J1157" s="5">
        <v>2025.0</v>
      </c>
      <c r="K1157" s="8" t="s">
        <v>2877</v>
      </c>
    </row>
    <row r="1158" hidden="1">
      <c r="A1158" s="3" t="str">
        <f t="shared" si="1"/>
        <v>OK</v>
      </c>
      <c r="B1158" s="3" t="str">
        <f t="shared" si="2"/>
        <v>OK</v>
      </c>
      <c r="C1158" s="5">
        <v>9512.0</v>
      </c>
      <c r="D1158" s="6" t="s">
        <v>2878</v>
      </c>
      <c r="E1158" s="5" t="s">
        <v>2879</v>
      </c>
      <c r="F1158" s="7"/>
      <c r="G1158" s="3" t="str">
        <f t="shared" si="3"/>
        <v>XTSM1</v>
      </c>
      <c r="H1158" s="3" t="str">
        <f>VLOOKUP($C1158,Userpass!$A$2:$L$3001,12,FALSE)</f>
        <v>TSM1</v>
      </c>
      <c r="I1158" s="5" t="s">
        <v>1212</v>
      </c>
      <c r="J1158" s="5">
        <v>2025.0</v>
      </c>
      <c r="K1158" s="8" t="s">
        <v>2880</v>
      </c>
    </row>
    <row r="1159" hidden="1">
      <c r="A1159" s="3" t="str">
        <f t="shared" si="1"/>
        <v>OK</v>
      </c>
      <c r="B1159" s="3" t="str">
        <f t="shared" si="2"/>
        <v>OK</v>
      </c>
      <c r="C1159" s="5">
        <v>9536.0</v>
      </c>
      <c r="D1159" s="6" t="s">
        <v>2881</v>
      </c>
      <c r="E1159" s="5" t="s">
        <v>2882</v>
      </c>
      <c r="F1159" s="7"/>
      <c r="G1159" s="3" t="str">
        <f t="shared" si="3"/>
        <v>XTSM1</v>
      </c>
      <c r="H1159" s="3" t="str">
        <f>VLOOKUP($C1159,Userpass!$A$2:$L$3001,12,FALSE)</f>
        <v>TSM1</v>
      </c>
      <c r="I1159" s="5" t="s">
        <v>1212</v>
      </c>
      <c r="J1159" s="5">
        <v>2025.0</v>
      </c>
      <c r="K1159" s="8" t="s">
        <v>2883</v>
      </c>
    </row>
    <row r="1160" hidden="1">
      <c r="A1160" s="3" t="str">
        <f t="shared" si="1"/>
        <v>OK</v>
      </c>
      <c r="B1160" s="3" t="str">
        <f t="shared" si="2"/>
        <v>OK</v>
      </c>
      <c r="C1160" s="5">
        <v>9564.0</v>
      </c>
      <c r="D1160" s="6" t="s">
        <v>2884</v>
      </c>
      <c r="E1160" s="5" t="s">
        <v>2885</v>
      </c>
      <c r="F1160" s="7"/>
      <c r="G1160" s="3" t="str">
        <f t="shared" si="3"/>
        <v>XTSM1</v>
      </c>
      <c r="H1160" s="3" t="str">
        <f>VLOOKUP($C1160,Userpass!$A$2:$L$3001,12,FALSE)</f>
        <v>TSM1</v>
      </c>
      <c r="I1160" s="5" t="s">
        <v>1212</v>
      </c>
      <c r="J1160" s="5">
        <v>2025.0</v>
      </c>
      <c r="K1160" s="8" t="s">
        <v>2886</v>
      </c>
    </row>
    <row r="1161" hidden="1">
      <c r="A1161" s="3" t="str">
        <f t="shared" si="1"/>
        <v>OK</v>
      </c>
      <c r="B1161" s="3" t="str">
        <f t="shared" si="2"/>
        <v>OK</v>
      </c>
      <c r="C1161" s="5">
        <v>9569.0</v>
      </c>
      <c r="D1161" s="6" t="s">
        <v>2887</v>
      </c>
      <c r="E1161" s="5" t="s">
        <v>2888</v>
      </c>
      <c r="F1161" s="7"/>
      <c r="G1161" s="3" t="str">
        <f t="shared" si="3"/>
        <v>XTSM1</v>
      </c>
      <c r="H1161" s="3" t="str">
        <f>VLOOKUP($C1161,Userpass!$A$2:$L$3001,12,FALSE)</f>
        <v>TSM1</v>
      </c>
      <c r="I1161" s="5" t="s">
        <v>1212</v>
      </c>
      <c r="J1161" s="5">
        <v>2025.0</v>
      </c>
      <c r="K1161" s="8" t="s">
        <v>2889</v>
      </c>
    </row>
    <row r="1162" hidden="1">
      <c r="A1162" s="3" t="str">
        <f t="shared" si="1"/>
        <v>OK</v>
      </c>
      <c r="B1162" s="3" t="str">
        <f t="shared" si="2"/>
        <v>OK</v>
      </c>
      <c r="C1162" s="5">
        <v>9580.0</v>
      </c>
      <c r="D1162" s="6" t="s">
        <v>2890</v>
      </c>
      <c r="E1162" s="5" t="s">
        <v>2891</v>
      </c>
      <c r="F1162" s="7"/>
      <c r="G1162" s="3" t="str">
        <f t="shared" si="3"/>
        <v>XTSM1</v>
      </c>
      <c r="H1162" s="3" t="str">
        <f>VLOOKUP($C1162,Userpass!$A$2:$L$3001,12,FALSE)</f>
        <v>TSM1</v>
      </c>
      <c r="I1162" s="5" t="s">
        <v>1212</v>
      </c>
      <c r="J1162" s="5">
        <v>2025.0</v>
      </c>
      <c r="K1162" s="8" t="s">
        <v>2892</v>
      </c>
    </row>
    <row r="1163" hidden="1">
      <c r="A1163" s="3" t="str">
        <f t="shared" si="1"/>
        <v>OK</v>
      </c>
      <c r="B1163" s="3" t="str">
        <f t="shared" si="2"/>
        <v>OK</v>
      </c>
      <c r="C1163" s="5">
        <v>9590.0</v>
      </c>
      <c r="D1163" s="6" t="s">
        <v>2893</v>
      </c>
      <c r="E1163" s="5" t="s">
        <v>2894</v>
      </c>
      <c r="F1163" s="7"/>
      <c r="G1163" s="3" t="str">
        <f t="shared" si="3"/>
        <v>XTSM1</v>
      </c>
      <c r="H1163" s="3" t="str">
        <f>VLOOKUP($C1163,Userpass!$A$2:$L$3001,12,FALSE)</f>
        <v>TSM1</v>
      </c>
      <c r="I1163" s="5" t="s">
        <v>1212</v>
      </c>
      <c r="J1163" s="5">
        <v>2025.0</v>
      </c>
      <c r="K1163" s="8" t="s">
        <v>2895</v>
      </c>
    </row>
    <row r="1164" hidden="1">
      <c r="A1164" s="3" t="str">
        <f t="shared" si="1"/>
        <v>OK</v>
      </c>
      <c r="B1164" s="3" t="str">
        <f t="shared" si="2"/>
        <v>OK</v>
      </c>
      <c r="C1164" s="5">
        <v>9595.0</v>
      </c>
      <c r="D1164" s="6" t="s">
        <v>2896</v>
      </c>
      <c r="E1164" s="5" t="s">
        <v>2897</v>
      </c>
      <c r="F1164" s="7"/>
      <c r="G1164" s="3" t="str">
        <f t="shared" si="3"/>
        <v>XTSM1</v>
      </c>
      <c r="H1164" s="3" t="str">
        <f>VLOOKUP($C1164,Userpass!$A$2:$L$3001,12,FALSE)</f>
        <v>TSM1</v>
      </c>
      <c r="I1164" s="5" t="s">
        <v>1212</v>
      </c>
      <c r="J1164" s="5">
        <v>2025.0</v>
      </c>
      <c r="K1164" s="8" t="s">
        <v>2898</v>
      </c>
    </row>
    <row r="1165" hidden="1">
      <c r="A1165" s="3" t="str">
        <f t="shared" si="1"/>
        <v>OK</v>
      </c>
      <c r="B1165" s="3" t="str">
        <f t="shared" si="2"/>
        <v>OK</v>
      </c>
      <c r="C1165" s="5">
        <v>9600.0</v>
      </c>
      <c r="D1165" s="6" t="s">
        <v>2899</v>
      </c>
      <c r="E1165" s="5" t="s">
        <v>2900</v>
      </c>
      <c r="F1165" s="7"/>
      <c r="G1165" s="3" t="str">
        <f t="shared" si="3"/>
        <v>XTSM1</v>
      </c>
      <c r="H1165" s="3" t="str">
        <f>VLOOKUP($C1165,Userpass!$A$2:$L$3001,12,FALSE)</f>
        <v>TSM1</v>
      </c>
      <c r="I1165" s="5" t="s">
        <v>1212</v>
      </c>
      <c r="J1165" s="5">
        <v>2025.0</v>
      </c>
      <c r="K1165" s="8" t="s">
        <v>2901</v>
      </c>
    </row>
    <row r="1166" hidden="1">
      <c r="A1166" s="3" t="str">
        <f t="shared" si="1"/>
        <v>OK</v>
      </c>
      <c r="B1166" s="3" t="str">
        <f t="shared" si="2"/>
        <v>OK</v>
      </c>
      <c r="C1166" s="5">
        <v>9612.0</v>
      </c>
      <c r="D1166" s="6" t="s">
        <v>2902</v>
      </c>
      <c r="E1166" s="5" t="s">
        <v>2903</v>
      </c>
      <c r="F1166" s="7"/>
      <c r="G1166" s="3" t="str">
        <f t="shared" si="3"/>
        <v>XTSM1</v>
      </c>
      <c r="H1166" s="3" t="str">
        <f>VLOOKUP($C1166,Userpass!$A$2:$L$3001,12,FALSE)</f>
        <v>TSM1</v>
      </c>
      <c r="I1166" s="5" t="s">
        <v>1212</v>
      </c>
      <c r="J1166" s="5">
        <v>2025.0</v>
      </c>
      <c r="K1166" s="8" t="s">
        <v>2904</v>
      </c>
    </row>
    <row r="1167" hidden="1">
      <c r="A1167" s="3" t="str">
        <f t="shared" si="1"/>
        <v>OK</v>
      </c>
      <c r="B1167" s="3" t="str">
        <f t="shared" si="2"/>
        <v>OK</v>
      </c>
      <c r="C1167" s="5">
        <v>9623.0</v>
      </c>
      <c r="D1167" s="6" t="s">
        <v>2905</v>
      </c>
      <c r="E1167" s="5" t="s">
        <v>2906</v>
      </c>
      <c r="F1167" s="7"/>
      <c r="G1167" s="3" t="str">
        <f t="shared" si="3"/>
        <v>XTSM1</v>
      </c>
      <c r="H1167" s="3" t="str">
        <f>VLOOKUP($C1167,Userpass!$A$2:$L$3001,12,FALSE)</f>
        <v>TSM1</v>
      </c>
      <c r="I1167" s="5" t="s">
        <v>1212</v>
      </c>
      <c r="J1167" s="5">
        <v>2025.0</v>
      </c>
      <c r="K1167" s="8" t="s">
        <v>2907</v>
      </c>
    </row>
    <row r="1168" hidden="1">
      <c r="A1168" s="3" t="str">
        <f t="shared" si="1"/>
        <v>OK</v>
      </c>
      <c r="B1168" s="3" t="str">
        <f t="shared" si="2"/>
        <v>OK</v>
      </c>
      <c r="C1168" s="5">
        <v>9626.0</v>
      </c>
      <c r="D1168" s="6" t="s">
        <v>2908</v>
      </c>
      <c r="E1168" s="5" t="s">
        <v>2909</v>
      </c>
      <c r="F1168" s="7"/>
      <c r="G1168" s="3" t="str">
        <f t="shared" si="3"/>
        <v>XTSM1</v>
      </c>
      <c r="H1168" s="3" t="str">
        <f>VLOOKUP($C1168,Userpass!$A$2:$L$3001,12,FALSE)</f>
        <v>TSM1</v>
      </c>
      <c r="I1168" s="5" t="s">
        <v>1212</v>
      </c>
      <c r="J1168" s="5">
        <v>2025.0</v>
      </c>
      <c r="K1168" s="8" t="s">
        <v>2910</v>
      </c>
    </row>
    <row r="1169" hidden="1">
      <c r="A1169" s="3" t="str">
        <f t="shared" si="1"/>
        <v>OK</v>
      </c>
      <c r="B1169" s="3" t="str">
        <f t="shared" si="2"/>
        <v>OK</v>
      </c>
      <c r="C1169" s="5">
        <v>9641.0</v>
      </c>
      <c r="D1169" s="6" t="s">
        <v>2911</v>
      </c>
      <c r="E1169" s="5" t="s">
        <v>2912</v>
      </c>
      <c r="F1169" s="7"/>
      <c r="G1169" s="3" t="str">
        <f t="shared" si="3"/>
        <v>XTSM1</v>
      </c>
      <c r="H1169" s="3" t="str">
        <f>VLOOKUP($C1169,Userpass!$A$2:$L$3001,12,FALSE)</f>
        <v>TSM1</v>
      </c>
      <c r="I1169" s="5" t="s">
        <v>1212</v>
      </c>
      <c r="J1169" s="5">
        <v>2025.0</v>
      </c>
      <c r="K1169" s="8" t="s">
        <v>2913</v>
      </c>
    </row>
    <row r="1170" hidden="1">
      <c r="A1170" s="3" t="str">
        <f t="shared" si="1"/>
        <v>OK</v>
      </c>
      <c r="B1170" s="3" t="str">
        <f t="shared" si="2"/>
        <v>OK</v>
      </c>
      <c r="C1170" s="5">
        <v>9686.0</v>
      </c>
      <c r="D1170" s="6" t="s">
        <v>2914</v>
      </c>
      <c r="E1170" s="5" t="s">
        <v>2915</v>
      </c>
      <c r="F1170" s="7"/>
      <c r="G1170" s="3" t="str">
        <f t="shared" si="3"/>
        <v>XTSM1</v>
      </c>
      <c r="H1170" s="3" t="str">
        <f>VLOOKUP($C1170,Userpass!$A$2:$L$3001,12,FALSE)</f>
        <v>TSM1</v>
      </c>
      <c r="I1170" s="5" t="s">
        <v>1212</v>
      </c>
      <c r="J1170" s="5">
        <v>2025.0</v>
      </c>
      <c r="K1170" s="8" t="s">
        <v>2916</v>
      </c>
    </row>
    <row r="1171" hidden="1">
      <c r="A1171" s="3" t="str">
        <f t="shared" si="1"/>
        <v>OK</v>
      </c>
      <c r="B1171" s="3" t="str">
        <f t="shared" si="2"/>
        <v>OK</v>
      </c>
      <c r="C1171" s="5">
        <v>9705.0</v>
      </c>
      <c r="D1171" s="6" t="s">
        <v>2917</v>
      </c>
      <c r="E1171" s="5" t="s">
        <v>2918</v>
      </c>
      <c r="F1171" s="7"/>
      <c r="G1171" s="3" t="str">
        <f t="shared" si="3"/>
        <v>XTSM1</v>
      </c>
      <c r="H1171" s="3" t="str">
        <f>VLOOKUP($C1171,Userpass!$A$2:$L$3001,12,FALSE)</f>
        <v>TSM1</v>
      </c>
      <c r="I1171" s="5" t="s">
        <v>1212</v>
      </c>
      <c r="J1171" s="5">
        <v>2025.0</v>
      </c>
      <c r="K1171" s="8" t="s">
        <v>2919</v>
      </c>
    </row>
    <row r="1172" hidden="1">
      <c r="A1172" s="3" t="str">
        <f t="shared" si="1"/>
        <v>OK</v>
      </c>
      <c r="B1172" s="3" t="str">
        <f t="shared" si="2"/>
        <v>OK</v>
      </c>
      <c r="C1172" s="5">
        <v>9728.0</v>
      </c>
      <c r="D1172" s="6" t="s">
        <v>2920</v>
      </c>
      <c r="E1172" s="5" t="s">
        <v>2921</v>
      </c>
      <c r="F1172" s="7"/>
      <c r="G1172" s="3" t="str">
        <f t="shared" si="3"/>
        <v>XTSM1</v>
      </c>
      <c r="H1172" s="3" t="str">
        <f>VLOOKUP($C1172,Userpass!$A$2:$L$3001,12,FALSE)</f>
        <v>TSM1</v>
      </c>
      <c r="I1172" s="5" t="s">
        <v>1212</v>
      </c>
      <c r="J1172" s="5">
        <v>2025.0</v>
      </c>
      <c r="K1172" s="8" t="s">
        <v>2922</v>
      </c>
    </row>
    <row r="1173" hidden="1">
      <c r="A1173" s="3" t="str">
        <f t="shared" si="1"/>
        <v>OK</v>
      </c>
      <c r="B1173" s="3" t="str">
        <f t="shared" si="2"/>
        <v>OK</v>
      </c>
      <c r="C1173" s="5">
        <v>9754.0</v>
      </c>
      <c r="D1173" s="6" t="s">
        <v>2923</v>
      </c>
      <c r="E1173" s="5" t="s">
        <v>2924</v>
      </c>
      <c r="F1173" s="7"/>
      <c r="G1173" s="3" t="str">
        <f t="shared" si="3"/>
        <v>XTSM1</v>
      </c>
      <c r="H1173" s="3" t="str">
        <f>VLOOKUP($C1173,Userpass!$A$2:$L$3001,12,FALSE)</f>
        <v>TSM1</v>
      </c>
      <c r="I1173" s="5" t="s">
        <v>1212</v>
      </c>
      <c r="J1173" s="5">
        <v>2025.0</v>
      </c>
      <c r="K1173" s="8" t="s">
        <v>2925</v>
      </c>
    </row>
    <row r="1174" hidden="1">
      <c r="A1174" s="3" t="str">
        <f t="shared" si="1"/>
        <v>OK</v>
      </c>
      <c r="B1174" s="3" t="str">
        <f t="shared" si="2"/>
        <v>OK</v>
      </c>
      <c r="C1174" s="5">
        <v>9768.0</v>
      </c>
      <c r="D1174" s="6" t="s">
        <v>2926</v>
      </c>
      <c r="E1174" s="5" t="s">
        <v>2927</v>
      </c>
      <c r="F1174" s="7"/>
      <c r="G1174" s="3" t="str">
        <f t="shared" si="3"/>
        <v>XTSM1</v>
      </c>
      <c r="H1174" s="3" t="str">
        <f>VLOOKUP($C1174,Userpass!$A$2:$L$3001,12,FALSE)</f>
        <v>TSM1</v>
      </c>
      <c r="I1174" s="5" t="s">
        <v>1212</v>
      </c>
      <c r="J1174" s="5">
        <v>2025.0</v>
      </c>
      <c r="K1174" s="8" t="s">
        <v>2928</v>
      </c>
    </row>
    <row r="1175" hidden="1">
      <c r="A1175" s="3" t="str">
        <f t="shared" si="1"/>
        <v>OK</v>
      </c>
      <c r="B1175" s="3" t="str">
        <f t="shared" si="2"/>
        <v>OK</v>
      </c>
      <c r="C1175" s="5">
        <v>9826.0</v>
      </c>
      <c r="D1175" s="6" t="s">
        <v>2929</v>
      </c>
      <c r="E1175" s="5" t="s">
        <v>2930</v>
      </c>
      <c r="F1175" s="7"/>
      <c r="G1175" s="3" t="str">
        <f t="shared" si="3"/>
        <v>XTSM1</v>
      </c>
      <c r="H1175" s="3" t="str">
        <f>VLOOKUP($C1175,Userpass!$A$2:$L$3001,12,FALSE)</f>
        <v>TSM1</v>
      </c>
      <c r="I1175" s="5" t="s">
        <v>1212</v>
      </c>
      <c r="J1175" s="5">
        <v>2025.0</v>
      </c>
      <c r="K1175" s="8" t="s">
        <v>2931</v>
      </c>
    </row>
    <row r="1176" hidden="1">
      <c r="A1176" s="3" t="str">
        <f t="shared" si="1"/>
        <v>OK</v>
      </c>
      <c r="B1176" s="3" t="str">
        <f t="shared" si="2"/>
        <v>OK</v>
      </c>
      <c r="C1176" s="5">
        <v>9830.0</v>
      </c>
      <c r="D1176" s="6" t="s">
        <v>2932</v>
      </c>
      <c r="E1176" s="5" t="s">
        <v>2933</v>
      </c>
      <c r="F1176" s="7"/>
      <c r="G1176" s="3" t="str">
        <f t="shared" si="3"/>
        <v>XTSM1</v>
      </c>
      <c r="H1176" s="3" t="str">
        <f>VLOOKUP($C1176,Userpass!$A$2:$L$3001,12,FALSE)</f>
        <v>TSM1</v>
      </c>
      <c r="I1176" s="5" t="s">
        <v>1212</v>
      </c>
      <c r="J1176" s="5">
        <v>2025.0</v>
      </c>
      <c r="K1176" s="8" t="s">
        <v>2934</v>
      </c>
    </row>
    <row r="1177" hidden="1">
      <c r="A1177" s="3" t="str">
        <f t="shared" si="1"/>
        <v>OK</v>
      </c>
      <c r="B1177" s="3" t="str">
        <f t="shared" si="2"/>
        <v>OK</v>
      </c>
      <c r="C1177" s="5">
        <v>9251.0</v>
      </c>
      <c r="D1177" s="6" t="s">
        <v>2935</v>
      </c>
      <c r="E1177" s="5" t="s">
        <v>2936</v>
      </c>
      <c r="F1177" s="7"/>
      <c r="G1177" s="3" t="str">
        <f t="shared" si="3"/>
        <v>XTSM2</v>
      </c>
      <c r="H1177" s="3" t="str">
        <f>VLOOKUP($C1177,Userpass!$A$2:$L$3001,12,FALSE)</f>
        <v>TSM2</v>
      </c>
      <c r="I1177" s="5" t="s">
        <v>1212</v>
      </c>
      <c r="J1177" s="5">
        <v>2025.0</v>
      </c>
      <c r="K1177" s="8" t="s">
        <v>2937</v>
      </c>
    </row>
    <row r="1178" hidden="1">
      <c r="A1178" s="3" t="str">
        <f t="shared" si="1"/>
        <v>OK</v>
      </c>
      <c r="B1178" s="3" t="str">
        <f t="shared" si="2"/>
        <v>OK</v>
      </c>
      <c r="C1178" s="5">
        <v>9261.0</v>
      </c>
      <c r="D1178" s="6" t="s">
        <v>2938</v>
      </c>
      <c r="E1178" s="5" t="s">
        <v>2939</v>
      </c>
      <c r="F1178" s="7"/>
      <c r="G1178" s="3" t="str">
        <f t="shared" si="3"/>
        <v>XTSM2</v>
      </c>
      <c r="H1178" s="3" t="str">
        <f>VLOOKUP($C1178,Userpass!$A$2:$L$3001,12,FALSE)</f>
        <v>TSM2</v>
      </c>
      <c r="I1178" s="5" t="s">
        <v>1212</v>
      </c>
      <c r="J1178" s="5">
        <v>2025.0</v>
      </c>
      <c r="K1178" s="8" t="s">
        <v>2940</v>
      </c>
    </row>
    <row r="1179" hidden="1">
      <c r="A1179" s="3" t="str">
        <f t="shared" si="1"/>
        <v>OK</v>
      </c>
      <c r="B1179" s="3" t="str">
        <f t="shared" si="2"/>
        <v>OK</v>
      </c>
      <c r="C1179" s="5">
        <v>9270.0</v>
      </c>
      <c r="D1179" s="6" t="s">
        <v>2941</v>
      </c>
      <c r="E1179" s="5" t="s">
        <v>2942</v>
      </c>
      <c r="F1179" s="7"/>
      <c r="G1179" s="3" t="str">
        <f t="shared" si="3"/>
        <v>XTSM2</v>
      </c>
      <c r="H1179" s="3" t="str">
        <f>VLOOKUP($C1179,Userpass!$A$2:$L$3001,12,FALSE)</f>
        <v>TSM2</v>
      </c>
      <c r="I1179" s="5" t="s">
        <v>1212</v>
      </c>
      <c r="J1179" s="5">
        <v>2025.0</v>
      </c>
      <c r="K1179" s="8" t="s">
        <v>2943</v>
      </c>
    </row>
    <row r="1180" hidden="1">
      <c r="A1180" s="3" t="str">
        <f t="shared" si="1"/>
        <v>OK</v>
      </c>
      <c r="B1180" s="3" t="str">
        <f t="shared" si="2"/>
        <v>OK</v>
      </c>
      <c r="C1180" s="5">
        <v>9274.0</v>
      </c>
      <c r="D1180" s="6" t="s">
        <v>2944</v>
      </c>
      <c r="E1180" s="5" t="s">
        <v>2945</v>
      </c>
      <c r="F1180" s="7"/>
      <c r="G1180" s="3" t="str">
        <f t="shared" si="3"/>
        <v>XTSM2</v>
      </c>
      <c r="H1180" s="3" t="str">
        <f>VLOOKUP($C1180,Userpass!$A$2:$L$3001,12,FALSE)</f>
        <v>TSM2</v>
      </c>
      <c r="I1180" s="5" t="s">
        <v>1212</v>
      </c>
      <c r="J1180" s="5">
        <v>2025.0</v>
      </c>
      <c r="K1180" s="8" t="s">
        <v>2946</v>
      </c>
    </row>
    <row r="1181" hidden="1">
      <c r="A1181" s="3" t="str">
        <f t="shared" si="1"/>
        <v>OK</v>
      </c>
      <c r="B1181" s="3" t="str">
        <f t="shared" si="2"/>
        <v>OK</v>
      </c>
      <c r="C1181" s="5">
        <v>9282.0</v>
      </c>
      <c r="D1181" s="6" t="s">
        <v>2947</v>
      </c>
      <c r="E1181" s="5" t="s">
        <v>2948</v>
      </c>
      <c r="F1181" s="7"/>
      <c r="G1181" s="3" t="str">
        <f t="shared" si="3"/>
        <v>XTSM2</v>
      </c>
      <c r="H1181" s="3" t="str">
        <f>VLOOKUP($C1181,Userpass!$A$2:$L$3001,12,FALSE)</f>
        <v>TSM2</v>
      </c>
      <c r="I1181" s="5" t="s">
        <v>1212</v>
      </c>
      <c r="J1181" s="5">
        <v>2025.0</v>
      </c>
      <c r="K1181" s="8" t="s">
        <v>2949</v>
      </c>
    </row>
    <row r="1182" hidden="1">
      <c r="A1182" s="3" t="str">
        <f t="shared" si="1"/>
        <v>OK</v>
      </c>
      <c r="B1182" s="3" t="str">
        <f t="shared" si="2"/>
        <v>OK</v>
      </c>
      <c r="C1182" s="5">
        <v>9310.0</v>
      </c>
      <c r="D1182" s="6" t="s">
        <v>2950</v>
      </c>
      <c r="E1182" s="5" t="s">
        <v>2951</v>
      </c>
      <c r="F1182" s="7"/>
      <c r="G1182" s="3" t="str">
        <f t="shared" si="3"/>
        <v>XTSM2</v>
      </c>
      <c r="H1182" s="3" t="str">
        <f>VLOOKUP($C1182,Userpass!$A$2:$L$3001,12,FALSE)</f>
        <v>TSM2</v>
      </c>
      <c r="I1182" s="5" t="s">
        <v>1212</v>
      </c>
      <c r="J1182" s="5">
        <v>2025.0</v>
      </c>
      <c r="K1182" s="8" t="s">
        <v>2952</v>
      </c>
    </row>
    <row r="1183" hidden="1">
      <c r="A1183" s="3" t="str">
        <f t="shared" si="1"/>
        <v>OK</v>
      </c>
      <c r="B1183" s="3" t="str">
        <f t="shared" si="2"/>
        <v>OK</v>
      </c>
      <c r="C1183" s="5">
        <v>9323.0</v>
      </c>
      <c r="D1183" s="6" t="s">
        <v>2953</v>
      </c>
      <c r="E1183" s="5" t="s">
        <v>2954</v>
      </c>
      <c r="F1183" s="7"/>
      <c r="G1183" s="3" t="str">
        <f t="shared" si="3"/>
        <v>XTSM2</v>
      </c>
      <c r="H1183" s="3" t="str">
        <f>VLOOKUP($C1183,Userpass!$A$2:$L$3001,12,FALSE)</f>
        <v>TSM2</v>
      </c>
      <c r="I1183" s="5" t="s">
        <v>1212</v>
      </c>
      <c r="J1183" s="5">
        <v>2025.0</v>
      </c>
      <c r="K1183" s="8" t="s">
        <v>2955</v>
      </c>
    </row>
    <row r="1184" hidden="1">
      <c r="A1184" s="3" t="str">
        <f t="shared" si="1"/>
        <v>OK</v>
      </c>
      <c r="B1184" s="3" t="str">
        <f t="shared" si="2"/>
        <v>OK</v>
      </c>
      <c r="C1184" s="5">
        <v>9362.0</v>
      </c>
      <c r="D1184" s="6" t="s">
        <v>2956</v>
      </c>
      <c r="E1184" s="5" t="s">
        <v>2957</v>
      </c>
      <c r="F1184" s="7"/>
      <c r="G1184" s="3" t="str">
        <f t="shared" si="3"/>
        <v>XTSM2</v>
      </c>
      <c r="H1184" s="3" t="str">
        <f>VLOOKUP($C1184,Userpass!$A$2:$L$3001,12,FALSE)</f>
        <v>TSM2</v>
      </c>
      <c r="I1184" s="5" t="s">
        <v>1212</v>
      </c>
      <c r="J1184" s="5">
        <v>2025.0</v>
      </c>
      <c r="K1184" s="8" t="s">
        <v>2958</v>
      </c>
    </row>
    <row r="1185" hidden="1">
      <c r="A1185" s="3" t="str">
        <f t="shared" si="1"/>
        <v>OK</v>
      </c>
      <c r="B1185" s="3" t="str">
        <f t="shared" si="2"/>
        <v>OK</v>
      </c>
      <c r="C1185" s="5">
        <v>9372.0</v>
      </c>
      <c r="D1185" s="6" t="s">
        <v>2959</v>
      </c>
      <c r="E1185" s="5" t="s">
        <v>2960</v>
      </c>
      <c r="F1185" s="7"/>
      <c r="G1185" s="3" t="str">
        <f t="shared" si="3"/>
        <v>XTSM2</v>
      </c>
      <c r="H1185" s="3" t="str">
        <f>VLOOKUP($C1185,Userpass!$A$2:$L$3001,12,FALSE)</f>
        <v>TSM2</v>
      </c>
      <c r="I1185" s="5" t="s">
        <v>1212</v>
      </c>
      <c r="J1185" s="5">
        <v>2025.0</v>
      </c>
      <c r="K1185" s="8" t="s">
        <v>2961</v>
      </c>
    </row>
    <row r="1186" hidden="1">
      <c r="A1186" s="3" t="str">
        <f t="shared" si="1"/>
        <v>OK</v>
      </c>
      <c r="B1186" s="3" t="str">
        <f t="shared" si="2"/>
        <v>OK</v>
      </c>
      <c r="C1186" s="5">
        <v>9391.0</v>
      </c>
      <c r="D1186" s="6" t="s">
        <v>2962</v>
      </c>
      <c r="E1186" s="5" t="s">
        <v>2963</v>
      </c>
      <c r="F1186" s="7"/>
      <c r="G1186" s="3" t="str">
        <f t="shared" si="3"/>
        <v>XTSM2</v>
      </c>
      <c r="H1186" s="3" t="str">
        <f>VLOOKUP($C1186,Userpass!$A$2:$L$3001,12,FALSE)</f>
        <v>TSM2</v>
      </c>
      <c r="I1186" s="5" t="s">
        <v>1212</v>
      </c>
      <c r="J1186" s="5">
        <v>2025.0</v>
      </c>
      <c r="K1186" s="8" t="s">
        <v>2964</v>
      </c>
    </row>
    <row r="1187" hidden="1">
      <c r="A1187" s="3" t="str">
        <f t="shared" si="1"/>
        <v>OK</v>
      </c>
      <c r="B1187" s="3" t="str">
        <f t="shared" si="2"/>
        <v>OK</v>
      </c>
      <c r="C1187" s="3">
        <v>8797.0</v>
      </c>
      <c r="D1187" s="4" t="s">
        <v>2965</v>
      </c>
      <c r="E1187" s="3" t="s">
        <v>2966</v>
      </c>
      <c r="F1187" s="3" t="s">
        <v>17</v>
      </c>
      <c r="G1187" s="3" t="str">
        <f t="shared" si="3"/>
        <v>XTSM2</v>
      </c>
      <c r="H1187" s="3" t="str">
        <f>VLOOKUP($C1187,Userpass!$A$2:$L$3001,12,FALSE)</f>
        <v>TSM2</v>
      </c>
      <c r="I1187" s="5" t="s">
        <v>1212</v>
      </c>
      <c r="J1187" s="3">
        <v>2024.0</v>
      </c>
      <c r="K1187" s="4" t="s">
        <v>2967</v>
      </c>
    </row>
    <row r="1188" hidden="1">
      <c r="A1188" s="3" t="str">
        <f t="shared" si="1"/>
        <v>OK</v>
      </c>
      <c r="B1188" s="3" t="str">
        <f t="shared" si="2"/>
        <v>OK</v>
      </c>
      <c r="C1188" s="5">
        <v>9428.0</v>
      </c>
      <c r="D1188" s="6" t="s">
        <v>2968</v>
      </c>
      <c r="E1188" s="5" t="s">
        <v>2969</v>
      </c>
      <c r="F1188" s="7"/>
      <c r="G1188" s="3" t="str">
        <f t="shared" si="3"/>
        <v>XTSM2</v>
      </c>
      <c r="H1188" s="3" t="str">
        <f>VLOOKUP($C1188,Userpass!$A$2:$L$3001,12,FALSE)</f>
        <v>TSM2</v>
      </c>
      <c r="I1188" s="5" t="s">
        <v>1212</v>
      </c>
      <c r="J1188" s="5">
        <v>2025.0</v>
      </c>
      <c r="K1188" s="8" t="s">
        <v>2970</v>
      </c>
    </row>
    <row r="1189" hidden="1">
      <c r="A1189" s="3" t="str">
        <f t="shared" si="1"/>
        <v>OK</v>
      </c>
      <c r="B1189" s="3" t="str">
        <f t="shared" si="2"/>
        <v>OK</v>
      </c>
      <c r="C1189" s="5">
        <v>9441.0</v>
      </c>
      <c r="D1189" s="6" t="s">
        <v>2971</v>
      </c>
      <c r="E1189" s="5" t="s">
        <v>2972</v>
      </c>
      <c r="F1189" s="7"/>
      <c r="G1189" s="3" t="str">
        <f t="shared" si="3"/>
        <v>XTSM2</v>
      </c>
      <c r="H1189" s="3" t="str">
        <f>VLOOKUP($C1189,Userpass!$A$2:$L$3001,12,FALSE)</f>
        <v>TSM2</v>
      </c>
      <c r="I1189" s="5" t="s">
        <v>1212</v>
      </c>
      <c r="J1189" s="5">
        <v>2025.0</v>
      </c>
      <c r="K1189" s="8" t="s">
        <v>2973</v>
      </c>
    </row>
    <row r="1190" hidden="1">
      <c r="A1190" s="3" t="str">
        <f t="shared" si="1"/>
        <v>OK</v>
      </c>
      <c r="B1190" s="3" t="str">
        <f t="shared" si="2"/>
        <v>OK</v>
      </c>
      <c r="C1190" s="5">
        <v>9443.0</v>
      </c>
      <c r="D1190" s="6" t="s">
        <v>2974</v>
      </c>
      <c r="E1190" s="5" t="s">
        <v>2975</v>
      </c>
      <c r="F1190" s="7"/>
      <c r="G1190" s="3" t="str">
        <f t="shared" si="3"/>
        <v>XTSM2</v>
      </c>
      <c r="H1190" s="3" t="str">
        <f>VLOOKUP($C1190,Userpass!$A$2:$L$3001,12,FALSE)</f>
        <v>TSM2</v>
      </c>
      <c r="I1190" s="5" t="s">
        <v>1212</v>
      </c>
      <c r="J1190" s="5">
        <v>2025.0</v>
      </c>
      <c r="K1190" s="8" t="s">
        <v>2976</v>
      </c>
    </row>
    <row r="1191" hidden="1">
      <c r="A1191" s="3" t="str">
        <f t="shared" si="1"/>
        <v>OK</v>
      </c>
      <c r="B1191" s="3" t="str">
        <f t="shared" si="2"/>
        <v>OK</v>
      </c>
      <c r="C1191" s="5">
        <v>9475.0</v>
      </c>
      <c r="D1191" s="6" t="s">
        <v>2977</v>
      </c>
      <c r="E1191" s="5" t="s">
        <v>2978</v>
      </c>
      <c r="F1191" s="7"/>
      <c r="G1191" s="3" t="str">
        <f t="shared" si="3"/>
        <v>XTSM2</v>
      </c>
      <c r="H1191" s="3" t="str">
        <f>VLOOKUP($C1191,Userpass!$A$2:$L$3001,12,FALSE)</f>
        <v>TSM2</v>
      </c>
      <c r="I1191" s="5" t="s">
        <v>1212</v>
      </c>
      <c r="J1191" s="5">
        <v>2025.0</v>
      </c>
      <c r="K1191" s="8" t="s">
        <v>2979</v>
      </c>
    </row>
    <row r="1192" hidden="1">
      <c r="A1192" s="3" t="str">
        <f t="shared" si="1"/>
        <v>OK</v>
      </c>
      <c r="B1192" s="3" t="str">
        <f t="shared" si="2"/>
        <v>OK</v>
      </c>
      <c r="C1192" s="5">
        <v>9491.0</v>
      </c>
      <c r="D1192" s="6" t="s">
        <v>2980</v>
      </c>
      <c r="E1192" s="5" t="s">
        <v>2981</v>
      </c>
      <c r="F1192" s="7"/>
      <c r="G1192" s="3" t="str">
        <f t="shared" si="3"/>
        <v>XTSM2</v>
      </c>
      <c r="H1192" s="3" t="str">
        <f>VLOOKUP($C1192,Userpass!$A$2:$L$3001,12,FALSE)</f>
        <v>TSM2</v>
      </c>
      <c r="I1192" s="5" t="s">
        <v>1212</v>
      </c>
      <c r="J1192" s="5">
        <v>2025.0</v>
      </c>
      <c r="K1192" s="8" t="s">
        <v>2982</v>
      </c>
    </row>
    <row r="1193" hidden="1">
      <c r="A1193" s="3" t="str">
        <f t="shared" si="1"/>
        <v>OK</v>
      </c>
      <c r="B1193" s="3" t="str">
        <f t="shared" si="2"/>
        <v>OK</v>
      </c>
      <c r="C1193" s="5">
        <v>9506.0</v>
      </c>
      <c r="D1193" s="6" t="s">
        <v>2983</v>
      </c>
      <c r="E1193" s="5" t="s">
        <v>2984</v>
      </c>
      <c r="F1193" s="7"/>
      <c r="G1193" s="3" t="str">
        <f t="shared" si="3"/>
        <v>XTSM2</v>
      </c>
      <c r="H1193" s="3" t="str">
        <f>VLOOKUP($C1193,Userpass!$A$2:$L$3001,12,FALSE)</f>
        <v>TSM2</v>
      </c>
      <c r="I1193" s="5" t="s">
        <v>1212</v>
      </c>
      <c r="J1193" s="5">
        <v>2025.0</v>
      </c>
      <c r="K1193" s="8" t="s">
        <v>2985</v>
      </c>
    </row>
    <row r="1194" hidden="1">
      <c r="A1194" s="3" t="str">
        <f t="shared" si="1"/>
        <v>OK</v>
      </c>
      <c r="B1194" s="3" t="str">
        <f t="shared" si="2"/>
        <v>OK</v>
      </c>
      <c r="C1194" s="5">
        <v>9523.0</v>
      </c>
      <c r="D1194" s="6" t="s">
        <v>2986</v>
      </c>
      <c r="E1194" s="5" t="s">
        <v>2987</v>
      </c>
      <c r="F1194" s="7"/>
      <c r="G1194" s="3" t="str">
        <f t="shared" si="3"/>
        <v>XTSM2</v>
      </c>
      <c r="H1194" s="3" t="str">
        <f>VLOOKUP($C1194,Userpass!$A$2:$L$3001,12,FALSE)</f>
        <v>TSM2</v>
      </c>
      <c r="I1194" s="5" t="s">
        <v>1212</v>
      </c>
      <c r="J1194" s="5">
        <v>2025.0</v>
      </c>
      <c r="K1194" s="8" t="s">
        <v>2988</v>
      </c>
    </row>
    <row r="1195" hidden="1">
      <c r="A1195" s="3" t="str">
        <f t="shared" si="1"/>
        <v>OK</v>
      </c>
      <c r="B1195" s="3" t="str">
        <f t="shared" si="2"/>
        <v>OK</v>
      </c>
      <c r="C1195" s="5">
        <v>9541.0</v>
      </c>
      <c r="D1195" s="6" t="s">
        <v>2989</v>
      </c>
      <c r="E1195" s="5" t="s">
        <v>2990</v>
      </c>
      <c r="F1195" s="7"/>
      <c r="G1195" s="3" t="str">
        <f t="shared" si="3"/>
        <v>XTSM2</v>
      </c>
      <c r="H1195" s="3" t="str">
        <f>VLOOKUP($C1195,Userpass!$A$2:$L$3001,12,FALSE)</f>
        <v>TSM2</v>
      </c>
      <c r="I1195" s="5" t="s">
        <v>1212</v>
      </c>
      <c r="J1195" s="5">
        <v>2025.0</v>
      </c>
      <c r="K1195" s="8" t="s">
        <v>2991</v>
      </c>
    </row>
    <row r="1196" hidden="1">
      <c r="A1196" s="3" t="str">
        <f t="shared" si="1"/>
        <v>OK</v>
      </c>
      <c r="B1196" s="3" t="str">
        <f t="shared" si="2"/>
        <v>OK</v>
      </c>
      <c r="C1196" s="5">
        <v>9567.0</v>
      </c>
      <c r="D1196" s="6" t="s">
        <v>2992</v>
      </c>
      <c r="E1196" s="5" t="s">
        <v>2993</v>
      </c>
      <c r="F1196" s="7"/>
      <c r="G1196" s="3" t="str">
        <f t="shared" si="3"/>
        <v>XTSM2</v>
      </c>
      <c r="H1196" s="3" t="str">
        <f>VLOOKUP($C1196,Userpass!$A$2:$L$3001,12,FALSE)</f>
        <v>TSM2</v>
      </c>
      <c r="I1196" s="5" t="s">
        <v>1212</v>
      </c>
      <c r="J1196" s="5">
        <v>2025.0</v>
      </c>
      <c r="K1196" s="8" t="s">
        <v>2994</v>
      </c>
    </row>
    <row r="1197" hidden="1">
      <c r="A1197" s="3" t="str">
        <f t="shared" si="1"/>
        <v>OK</v>
      </c>
      <c r="B1197" s="3" t="str">
        <f t="shared" si="2"/>
        <v>OK</v>
      </c>
      <c r="C1197" s="5">
        <v>9578.0</v>
      </c>
      <c r="D1197" s="6" t="s">
        <v>2995</v>
      </c>
      <c r="E1197" s="5" t="s">
        <v>2996</v>
      </c>
      <c r="F1197" s="7"/>
      <c r="G1197" s="3" t="str">
        <f t="shared" si="3"/>
        <v>XTSM2</v>
      </c>
      <c r="H1197" s="3" t="str">
        <f>VLOOKUP($C1197,Userpass!$A$2:$L$3001,12,FALSE)</f>
        <v>TSM2</v>
      </c>
      <c r="I1197" s="5" t="s">
        <v>1212</v>
      </c>
      <c r="J1197" s="5">
        <v>2025.0</v>
      </c>
      <c r="K1197" s="8" t="s">
        <v>2997</v>
      </c>
    </row>
    <row r="1198" hidden="1">
      <c r="A1198" s="3" t="str">
        <f t="shared" si="1"/>
        <v>OK</v>
      </c>
      <c r="B1198" s="3" t="str">
        <f t="shared" si="2"/>
        <v>OK</v>
      </c>
      <c r="C1198" s="5">
        <v>9588.0</v>
      </c>
      <c r="D1198" s="6" t="s">
        <v>2998</v>
      </c>
      <c r="E1198" s="5" t="s">
        <v>2999</v>
      </c>
      <c r="F1198" s="7"/>
      <c r="G1198" s="3" t="str">
        <f t="shared" si="3"/>
        <v>XTSM2</v>
      </c>
      <c r="H1198" s="3" t="str">
        <f>VLOOKUP($C1198,Userpass!$A$2:$L$3001,12,FALSE)</f>
        <v>TSM2</v>
      </c>
      <c r="I1198" s="5" t="s">
        <v>1212</v>
      </c>
      <c r="J1198" s="5">
        <v>2025.0</v>
      </c>
      <c r="K1198" s="8" t="s">
        <v>3000</v>
      </c>
    </row>
    <row r="1199" hidden="1">
      <c r="A1199" s="3" t="str">
        <f t="shared" si="1"/>
        <v>OK</v>
      </c>
      <c r="B1199" s="3" t="str">
        <f t="shared" si="2"/>
        <v>OK</v>
      </c>
      <c r="C1199" s="5">
        <v>9594.0</v>
      </c>
      <c r="D1199" s="6" t="s">
        <v>3001</v>
      </c>
      <c r="E1199" s="5" t="s">
        <v>3002</v>
      </c>
      <c r="F1199" s="7"/>
      <c r="G1199" s="3" t="str">
        <f t="shared" si="3"/>
        <v>XTSM2</v>
      </c>
      <c r="H1199" s="3" t="str">
        <f>VLOOKUP($C1199,Userpass!$A$2:$L$3001,12,FALSE)</f>
        <v>TSM2</v>
      </c>
      <c r="I1199" s="5" t="s">
        <v>1212</v>
      </c>
      <c r="J1199" s="5">
        <v>2025.0</v>
      </c>
      <c r="K1199" s="8" t="s">
        <v>3003</v>
      </c>
    </row>
    <row r="1200" hidden="1">
      <c r="A1200" s="3" t="str">
        <f t="shared" si="1"/>
        <v>OK</v>
      </c>
      <c r="B1200" s="3" t="str">
        <f t="shared" si="2"/>
        <v>OK</v>
      </c>
      <c r="C1200" s="5">
        <v>9598.0</v>
      </c>
      <c r="D1200" s="6" t="s">
        <v>3004</v>
      </c>
      <c r="E1200" s="5" t="s">
        <v>3005</v>
      </c>
      <c r="F1200" s="7"/>
      <c r="G1200" s="3" t="str">
        <f t="shared" si="3"/>
        <v>XTSM2</v>
      </c>
      <c r="H1200" s="3" t="str">
        <f>VLOOKUP($C1200,Userpass!$A$2:$L$3001,12,FALSE)</f>
        <v>TSM2</v>
      </c>
      <c r="I1200" s="5" t="s">
        <v>1212</v>
      </c>
      <c r="J1200" s="5">
        <v>2025.0</v>
      </c>
      <c r="K1200" s="8" t="s">
        <v>3006</v>
      </c>
    </row>
    <row r="1201" hidden="1">
      <c r="A1201" s="3" t="str">
        <f t="shared" si="1"/>
        <v>OK</v>
      </c>
      <c r="B1201" s="3" t="str">
        <f t="shared" si="2"/>
        <v>OK</v>
      </c>
      <c r="C1201" s="5">
        <v>9601.0</v>
      </c>
      <c r="D1201" s="6" t="s">
        <v>3007</v>
      </c>
      <c r="E1201" s="5" t="s">
        <v>3008</v>
      </c>
      <c r="F1201" s="7"/>
      <c r="G1201" s="3" t="str">
        <f t="shared" si="3"/>
        <v>XTSM2</v>
      </c>
      <c r="H1201" s="3" t="str">
        <f>VLOOKUP($C1201,Userpass!$A$2:$L$3001,12,FALSE)</f>
        <v>TSM2</v>
      </c>
      <c r="I1201" s="5" t="s">
        <v>1212</v>
      </c>
      <c r="J1201" s="5">
        <v>2025.0</v>
      </c>
      <c r="K1201" s="8" t="s">
        <v>3009</v>
      </c>
    </row>
    <row r="1202" hidden="1">
      <c r="A1202" s="3" t="str">
        <f t="shared" si="1"/>
        <v>OK</v>
      </c>
      <c r="B1202" s="3" t="str">
        <f t="shared" si="2"/>
        <v>OK</v>
      </c>
      <c r="C1202" s="5">
        <v>9620.0</v>
      </c>
      <c r="D1202" s="6" t="s">
        <v>3010</v>
      </c>
      <c r="E1202" s="5" t="s">
        <v>3011</v>
      </c>
      <c r="F1202" s="7"/>
      <c r="G1202" s="3" t="str">
        <f t="shared" si="3"/>
        <v>XTSM2</v>
      </c>
      <c r="H1202" s="3" t="str">
        <f>VLOOKUP($C1202,Userpass!$A$2:$L$3001,12,FALSE)</f>
        <v>TSM2</v>
      </c>
      <c r="I1202" s="5" t="s">
        <v>1212</v>
      </c>
      <c r="J1202" s="5">
        <v>2025.0</v>
      </c>
      <c r="K1202" s="8" t="s">
        <v>3012</v>
      </c>
    </row>
    <row r="1203" hidden="1">
      <c r="A1203" s="3" t="str">
        <f t="shared" si="1"/>
        <v>OK</v>
      </c>
      <c r="B1203" s="3" t="str">
        <f t="shared" si="2"/>
        <v>OK</v>
      </c>
      <c r="C1203" s="5">
        <v>9625.0</v>
      </c>
      <c r="D1203" s="6" t="s">
        <v>3013</v>
      </c>
      <c r="E1203" s="5" t="s">
        <v>3014</v>
      </c>
      <c r="F1203" s="7"/>
      <c r="G1203" s="3" t="str">
        <f t="shared" si="3"/>
        <v>XTSM2</v>
      </c>
      <c r="H1203" s="3" t="str">
        <f>VLOOKUP($C1203,Userpass!$A$2:$L$3001,12,FALSE)</f>
        <v>TSM2</v>
      </c>
      <c r="I1203" s="5" t="s">
        <v>1212</v>
      </c>
      <c r="J1203" s="5">
        <v>2025.0</v>
      </c>
      <c r="K1203" s="8" t="s">
        <v>3015</v>
      </c>
    </row>
    <row r="1204" hidden="1">
      <c r="A1204" s="3" t="str">
        <f t="shared" si="1"/>
        <v>OK</v>
      </c>
      <c r="B1204" s="3" t="str">
        <f t="shared" si="2"/>
        <v>OK</v>
      </c>
      <c r="C1204" s="5">
        <v>9628.0</v>
      </c>
      <c r="D1204" s="6" t="s">
        <v>3016</v>
      </c>
      <c r="E1204" s="5" t="s">
        <v>3017</v>
      </c>
      <c r="F1204" s="7"/>
      <c r="G1204" s="3" t="str">
        <f t="shared" si="3"/>
        <v>XTSM2</v>
      </c>
      <c r="H1204" s="3" t="str">
        <f>VLOOKUP($C1204,Userpass!$A$2:$L$3001,12,FALSE)</f>
        <v>TSM2</v>
      </c>
      <c r="I1204" s="5" t="s">
        <v>1212</v>
      </c>
      <c r="J1204" s="5">
        <v>2025.0</v>
      </c>
      <c r="K1204" s="8" t="s">
        <v>3018</v>
      </c>
    </row>
    <row r="1205" hidden="1">
      <c r="A1205" s="3" t="str">
        <f t="shared" si="1"/>
        <v>OK</v>
      </c>
      <c r="B1205" s="3" t="str">
        <f t="shared" si="2"/>
        <v>OK</v>
      </c>
      <c r="C1205" s="5">
        <v>9676.0</v>
      </c>
      <c r="D1205" s="6" t="s">
        <v>3019</v>
      </c>
      <c r="E1205" s="5" t="s">
        <v>3020</v>
      </c>
      <c r="F1205" s="7"/>
      <c r="G1205" s="3" t="str">
        <f t="shared" si="3"/>
        <v>XTSM2</v>
      </c>
      <c r="H1205" s="3" t="str">
        <f>VLOOKUP($C1205,Userpass!$A$2:$L$3001,12,FALSE)</f>
        <v>TSM2</v>
      </c>
      <c r="I1205" s="5" t="s">
        <v>1212</v>
      </c>
      <c r="J1205" s="5">
        <v>2025.0</v>
      </c>
      <c r="K1205" s="8" t="s">
        <v>3021</v>
      </c>
    </row>
    <row r="1206" hidden="1">
      <c r="A1206" s="3" t="str">
        <f t="shared" si="1"/>
        <v>OK</v>
      </c>
      <c r="B1206" s="3" t="str">
        <f t="shared" si="2"/>
        <v>OK</v>
      </c>
      <c r="C1206" s="5">
        <v>9697.0</v>
      </c>
      <c r="D1206" s="6" t="s">
        <v>3022</v>
      </c>
      <c r="E1206" s="5" t="s">
        <v>3023</v>
      </c>
      <c r="F1206" s="7"/>
      <c r="G1206" s="3" t="str">
        <f t="shared" si="3"/>
        <v>XTSM2</v>
      </c>
      <c r="H1206" s="3" t="str">
        <f>VLOOKUP($C1206,Userpass!$A$2:$L$3001,12,FALSE)</f>
        <v>TSM2</v>
      </c>
      <c r="I1206" s="5" t="s">
        <v>1212</v>
      </c>
      <c r="J1206" s="5">
        <v>2025.0</v>
      </c>
      <c r="K1206" s="8" t="s">
        <v>3024</v>
      </c>
    </row>
    <row r="1207" hidden="1">
      <c r="A1207" s="3" t="str">
        <f t="shared" si="1"/>
        <v>OK</v>
      </c>
      <c r="B1207" s="3" t="str">
        <f t="shared" si="2"/>
        <v>OK</v>
      </c>
      <c r="C1207" s="5">
        <v>9725.0</v>
      </c>
      <c r="D1207" s="6" t="s">
        <v>3025</v>
      </c>
      <c r="E1207" s="5" t="s">
        <v>3026</v>
      </c>
      <c r="F1207" s="7"/>
      <c r="G1207" s="3" t="str">
        <f t="shared" si="3"/>
        <v>XTSM2</v>
      </c>
      <c r="H1207" s="3" t="str">
        <f>VLOOKUP($C1207,Userpass!$A$2:$L$3001,12,FALSE)</f>
        <v>TSM2</v>
      </c>
      <c r="I1207" s="5" t="s">
        <v>1212</v>
      </c>
      <c r="J1207" s="5">
        <v>2025.0</v>
      </c>
      <c r="K1207" s="8" t="s">
        <v>3027</v>
      </c>
    </row>
    <row r="1208" hidden="1">
      <c r="A1208" s="3" t="str">
        <f t="shared" si="1"/>
        <v>OK</v>
      </c>
      <c r="B1208" s="3" t="str">
        <f t="shared" si="2"/>
        <v>OK</v>
      </c>
      <c r="C1208" s="5">
        <v>9741.0</v>
      </c>
      <c r="D1208" s="6" t="s">
        <v>3028</v>
      </c>
      <c r="E1208" s="5" t="s">
        <v>3029</v>
      </c>
      <c r="F1208" s="7"/>
      <c r="G1208" s="3" t="str">
        <f t="shared" si="3"/>
        <v>XTSM2</v>
      </c>
      <c r="H1208" s="3" t="str">
        <f>VLOOKUP($C1208,Userpass!$A$2:$L$3001,12,FALSE)</f>
        <v>TSM2</v>
      </c>
      <c r="I1208" s="5" t="s">
        <v>1212</v>
      </c>
      <c r="J1208" s="5">
        <v>2025.0</v>
      </c>
      <c r="K1208" s="8" t="s">
        <v>3030</v>
      </c>
    </row>
    <row r="1209" hidden="1">
      <c r="A1209" s="3" t="str">
        <f t="shared" si="1"/>
        <v>OK</v>
      </c>
      <c r="B1209" s="3" t="str">
        <f t="shared" si="2"/>
        <v>OK</v>
      </c>
      <c r="C1209" s="5">
        <v>9767.0</v>
      </c>
      <c r="D1209" s="6" t="s">
        <v>3031</v>
      </c>
      <c r="E1209" s="5" t="s">
        <v>3032</v>
      </c>
      <c r="F1209" s="7"/>
      <c r="G1209" s="3" t="str">
        <f t="shared" si="3"/>
        <v>XTSM2</v>
      </c>
      <c r="H1209" s="3" t="str">
        <f>VLOOKUP($C1209,Userpass!$A$2:$L$3001,12,FALSE)</f>
        <v>TSM2</v>
      </c>
      <c r="I1209" s="5" t="s">
        <v>1212</v>
      </c>
      <c r="J1209" s="5">
        <v>2025.0</v>
      </c>
      <c r="K1209" s="8" t="s">
        <v>3033</v>
      </c>
    </row>
    <row r="1210" hidden="1">
      <c r="A1210" s="3" t="str">
        <f t="shared" si="1"/>
        <v>OK</v>
      </c>
      <c r="B1210" s="3" t="str">
        <f t="shared" si="2"/>
        <v>OK</v>
      </c>
      <c r="C1210" s="5">
        <v>9806.0</v>
      </c>
      <c r="D1210" s="6" t="s">
        <v>3034</v>
      </c>
      <c r="E1210" s="5" t="s">
        <v>3035</v>
      </c>
      <c r="F1210" s="7"/>
      <c r="G1210" s="3" t="str">
        <f t="shared" si="3"/>
        <v>XTSM2</v>
      </c>
      <c r="H1210" s="3" t="str">
        <f>VLOOKUP($C1210,Userpass!$A$2:$L$3001,12,FALSE)</f>
        <v>TSM2</v>
      </c>
      <c r="I1210" s="5" t="s">
        <v>1212</v>
      </c>
      <c r="J1210" s="5">
        <v>2025.0</v>
      </c>
      <c r="K1210" s="8" t="s">
        <v>3036</v>
      </c>
    </row>
    <row r="1211" hidden="1">
      <c r="A1211" s="3" t="str">
        <f t="shared" si="1"/>
        <v>OK</v>
      </c>
      <c r="B1211" s="3" t="str">
        <f t="shared" si="2"/>
        <v>OK</v>
      </c>
      <c r="C1211" s="5">
        <v>9828.0</v>
      </c>
      <c r="D1211" s="6" t="s">
        <v>3037</v>
      </c>
      <c r="E1211" s="5" t="s">
        <v>3038</v>
      </c>
      <c r="F1211" s="7"/>
      <c r="G1211" s="3" t="str">
        <f t="shared" si="3"/>
        <v>XTSM2</v>
      </c>
      <c r="H1211" s="3" t="str">
        <f>VLOOKUP($C1211,Userpass!$A$2:$L$3001,12,FALSE)</f>
        <v>TSM2</v>
      </c>
      <c r="I1211" s="5" t="s">
        <v>1212</v>
      </c>
      <c r="J1211" s="5">
        <v>2025.0</v>
      </c>
      <c r="K1211" s="8" t="s">
        <v>3039</v>
      </c>
    </row>
    <row r="1212" hidden="1">
      <c r="A1212" s="3" t="str">
        <f t="shared" si="1"/>
        <v>OK</v>
      </c>
      <c r="B1212" s="3" t="str">
        <f t="shared" si="2"/>
        <v>OK</v>
      </c>
      <c r="C1212" s="5">
        <v>9836.0</v>
      </c>
      <c r="D1212" s="6" t="s">
        <v>3040</v>
      </c>
      <c r="E1212" s="5" t="s">
        <v>3041</v>
      </c>
      <c r="F1212" s="7"/>
      <c r="G1212" s="3" t="str">
        <f t="shared" si="3"/>
        <v>XTSM2</v>
      </c>
      <c r="H1212" s="3" t="str">
        <f>VLOOKUP($C1212,Userpass!$A$2:$L$3001,12,FALSE)</f>
        <v>TSM2</v>
      </c>
      <c r="I1212" s="5" t="s">
        <v>1212</v>
      </c>
      <c r="J1212" s="5">
        <v>2025.0</v>
      </c>
      <c r="K1212" s="8" t="s">
        <v>3042</v>
      </c>
    </row>
    <row r="1213" hidden="1">
      <c r="A1213" s="3" t="str">
        <f t="shared" si="1"/>
        <v>OK</v>
      </c>
      <c r="B1213" s="3" t="str">
        <f t="shared" si="2"/>
        <v>OK</v>
      </c>
      <c r="C1213" s="3">
        <v>8639.0</v>
      </c>
      <c r="D1213" s="4" t="s">
        <v>3043</v>
      </c>
      <c r="E1213" s="3" t="s">
        <v>3044</v>
      </c>
      <c r="F1213" s="3" t="s">
        <v>17</v>
      </c>
      <c r="G1213" s="3" t="str">
        <f t="shared" si="3"/>
        <v>XIAKL1</v>
      </c>
      <c r="H1213" s="3" t="str">
        <f>VLOOKUP($C1213,Userpass!$A$2:$L$3001,12,FALSE)</f>
        <v>AKL1</v>
      </c>
      <c r="I1213" s="5" t="s">
        <v>3045</v>
      </c>
      <c r="J1213" s="3">
        <v>2024.0</v>
      </c>
      <c r="K1213" s="4" t="str">
        <f>VLOOKUP($C1213,Userpass!$A$2:$R$3001,2,FALSE)</f>
        <v>tsm20259836.siswa@smkn12malang.sch.id</v>
      </c>
    </row>
    <row r="1214" hidden="1">
      <c r="A1214" s="3" t="str">
        <f t="shared" si="1"/>
        <v>OK</v>
      </c>
      <c r="B1214" s="3" t="str">
        <f t="shared" si="2"/>
        <v>OK</v>
      </c>
      <c r="C1214" s="3">
        <v>8650.0</v>
      </c>
      <c r="D1214" s="4" t="s">
        <v>3046</v>
      </c>
      <c r="E1214" s="3" t="s">
        <v>3047</v>
      </c>
      <c r="F1214" s="3" t="s">
        <v>13</v>
      </c>
      <c r="G1214" s="3" t="str">
        <f t="shared" si="3"/>
        <v>XIAKL1</v>
      </c>
      <c r="H1214" s="3" t="str">
        <f>VLOOKUP($C1214,Userpass!$A$2:$L$3001,12,FALSE)</f>
        <v>AKL1</v>
      </c>
      <c r="I1214" s="5" t="s">
        <v>3045</v>
      </c>
      <c r="J1214" s="3">
        <v>2024.0</v>
      </c>
      <c r="K1214" s="4" t="str">
        <f>VLOOKUP($C1214,Userpass!$A$2:$R$3001,2,FALSE)</f>
        <v>akl20248650.siswa@smkn12malang.sch.id</v>
      </c>
    </row>
    <row r="1215" hidden="1">
      <c r="A1215" s="3" t="str">
        <f t="shared" si="1"/>
        <v>OK</v>
      </c>
      <c r="B1215" s="3" t="str">
        <f t="shared" si="2"/>
        <v>OK</v>
      </c>
      <c r="C1215" s="3">
        <v>8675.0</v>
      </c>
      <c r="D1215" s="4" t="s">
        <v>3048</v>
      </c>
      <c r="E1215" s="3" t="s">
        <v>3049</v>
      </c>
      <c r="F1215" s="3" t="s">
        <v>13</v>
      </c>
      <c r="G1215" s="3" t="str">
        <f t="shared" si="3"/>
        <v>XIAKL1</v>
      </c>
      <c r="H1215" s="3" t="str">
        <f>VLOOKUP($C1215,Userpass!$A$2:$L$3001,12,FALSE)</f>
        <v>AKL1</v>
      </c>
      <c r="I1215" s="5" t="s">
        <v>3045</v>
      </c>
      <c r="J1215" s="3">
        <v>2024.0</v>
      </c>
      <c r="K1215" s="4" t="str">
        <f>VLOOKUP($C1215,Userpass!$A$2:$R$3001,2,FALSE)</f>
        <v>akl20248675.siswa@smkn12malang.sch.id</v>
      </c>
    </row>
    <row r="1216" hidden="1">
      <c r="A1216" s="3" t="str">
        <f t="shared" si="1"/>
        <v>OK</v>
      </c>
      <c r="B1216" s="3" t="str">
        <f t="shared" si="2"/>
        <v>OK</v>
      </c>
      <c r="C1216" s="3">
        <v>8693.0</v>
      </c>
      <c r="D1216" s="4" t="s">
        <v>3050</v>
      </c>
      <c r="E1216" s="3" t="s">
        <v>3051</v>
      </c>
      <c r="F1216" s="3" t="s">
        <v>13</v>
      </c>
      <c r="G1216" s="3" t="str">
        <f t="shared" si="3"/>
        <v>XIAKL1</v>
      </c>
      <c r="H1216" s="3" t="str">
        <f>VLOOKUP($C1216,Userpass!$A$2:$L$3001,12,FALSE)</f>
        <v>AKL1</v>
      </c>
      <c r="I1216" s="5" t="s">
        <v>3045</v>
      </c>
      <c r="J1216" s="3">
        <v>2024.0</v>
      </c>
      <c r="K1216" s="4" t="str">
        <f>VLOOKUP($C1216,Userpass!$A$2:$R$3001,2,FALSE)</f>
        <v>akl20248693.siswa@smkn12malang.sch.id</v>
      </c>
    </row>
    <row r="1217" hidden="1">
      <c r="A1217" s="3" t="str">
        <f t="shared" si="1"/>
        <v>OK</v>
      </c>
      <c r="B1217" s="3" t="str">
        <f t="shared" si="2"/>
        <v>OK</v>
      </c>
      <c r="C1217" s="3">
        <v>8707.0</v>
      </c>
      <c r="D1217" s="4" t="s">
        <v>3052</v>
      </c>
      <c r="E1217" s="3" t="s">
        <v>3053</v>
      </c>
      <c r="F1217" s="3" t="s">
        <v>13</v>
      </c>
      <c r="G1217" s="3" t="str">
        <f t="shared" si="3"/>
        <v>XIAKL1</v>
      </c>
      <c r="H1217" s="3" t="str">
        <f>VLOOKUP($C1217,Userpass!$A$2:$L$3001,12,FALSE)</f>
        <v>AKL1</v>
      </c>
      <c r="I1217" s="5" t="s">
        <v>3045</v>
      </c>
      <c r="J1217" s="3">
        <v>2024.0</v>
      </c>
      <c r="K1217" s="4" t="str">
        <f>VLOOKUP($C1217,Userpass!$A$2:$R$3001,2,FALSE)</f>
        <v>akl20248707.siswa@smkn12malang.sch.id</v>
      </c>
    </row>
    <row r="1218" hidden="1">
      <c r="A1218" s="3" t="str">
        <f t="shared" si="1"/>
        <v>OK</v>
      </c>
      <c r="B1218" s="3" t="str">
        <f t="shared" si="2"/>
        <v>OK</v>
      </c>
      <c r="C1218" s="3">
        <v>8714.0</v>
      </c>
      <c r="D1218" s="4" t="s">
        <v>3054</v>
      </c>
      <c r="E1218" s="3" t="s">
        <v>3055</v>
      </c>
      <c r="F1218" s="3" t="s">
        <v>13</v>
      </c>
      <c r="G1218" s="3" t="str">
        <f t="shared" si="3"/>
        <v>XIAKL1</v>
      </c>
      <c r="H1218" s="3" t="str">
        <f>VLOOKUP($C1218,Userpass!$A$2:$L$3001,12,FALSE)</f>
        <v>AKL1</v>
      </c>
      <c r="I1218" s="5" t="s">
        <v>3045</v>
      </c>
      <c r="J1218" s="3">
        <v>2024.0</v>
      </c>
      <c r="K1218" s="4" t="str">
        <f>VLOOKUP($C1218,Userpass!$A$2:$R$3001,2,FALSE)</f>
        <v>akl20248714.siswa@smkn12malang.sch.id</v>
      </c>
    </row>
    <row r="1219" hidden="1">
      <c r="A1219" s="3" t="str">
        <f t="shared" si="1"/>
        <v>OK</v>
      </c>
      <c r="B1219" s="3" t="str">
        <f t="shared" si="2"/>
        <v>OK</v>
      </c>
      <c r="C1219" s="3">
        <v>8737.0</v>
      </c>
      <c r="D1219" s="4" t="s">
        <v>3056</v>
      </c>
      <c r="E1219" s="3" t="s">
        <v>3057</v>
      </c>
      <c r="F1219" s="3" t="s">
        <v>13</v>
      </c>
      <c r="G1219" s="3" t="str">
        <f t="shared" si="3"/>
        <v>XIAKL1</v>
      </c>
      <c r="H1219" s="3" t="str">
        <f>VLOOKUP($C1219,Userpass!$A$2:$L$3001,12,FALSE)</f>
        <v>AKL1</v>
      </c>
      <c r="I1219" s="5" t="s">
        <v>3045</v>
      </c>
      <c r="J1219" s="3">
        <v>2024.0</v>
      </c>
      <c r="K1219" s="4" t="str">
        <f>VLOOKUP($C1219,Userpass!$A$2:$R$3001,2,FALSE)</f>
        <v>akl20248737.siswa@smkn12malang.sch.id</v>
      </c>
    </row>
    <row r="1220" hidden="1">
      <c r="A1220" s="3" t="str">
        <f t="shared" si="1"/>
        <v>OK</v>
      </c>
      <c r="B1220" s="3" t="str">
        <f t="shared" si="2"/>
        <v>OK</v>
      </c>
      <c r="C1220" s="3">
        <v>8789.0</v>
      </c>
      <c r="D1220" s="4" t="s">
        <v>3058</v>
      </c>
      <c r="E1220" s="3" t="s">
        <v>3059</v>
      </c>
      <c r="F1220" s="3" t="s">
        <v>13</v>
      </c>
      <c r="G1220" s="3" t="str">
        <f t="shared" si="3"/>
        <v>XIAKL1</v>
      </c>
      <c r="H1220" s="3" t="str">
        <f>VLOOKUP($C1220,Userpass!$A$2:$L$3001,12,FALSE)</f>
        <v>AKL1</v>
      </c>
      <c r="I1220" s="5" t="s">
        <v>3045</v>
      </c>
      <c r="J1220" s="3">
        <v>2024.0</v>
      </c>
      <c r="K1220" s="4" t="str">
        <f>VLOOKUP($C1220,Userpass!$A$2:$R$3001,2,FALSE)</f>
        <v>akl20248789.siswa@smkn12malang.sch.id</v>
      </c>
    </row>
    <row r="1221" hidden="1">
      <c r="A1221" s="3" t="str">
        <f t="shared" si="1"/>
        <v>OK</v>
      </c>
      <c r="B1221" s="3" t="str">
        <f t="shared" si="2"/>
        <v>OK</v>
      </c>
      <c r="C1221" s="3">
        <v>8813.0</v>
      </c>
      <c r="D1221" s="4" t="s">
        <v>3060</v>
      </c>
      <c r="E1221" s="3" t="s">
        <v>3061</v>
      </c>
      <c r="F1221" s="3" t="s">
        <v>13</v>
      </c>
      <c r="G1221" s="3" t="str">
        <f t="shared" si="3"/>
        <v>XIAKL1</v>
      </c>
      <c r="H1221" s="3" t="str">
        <f>VLOOKUP($C1221,Userpass!$A$2:$L$3001,12,FALSE)</f>
        <v>AKL1</v>
      </c>
      <c r="I1221" s="5" t="s">
        <v>3045</v>
      </c>
      <c r="J1221" s="3">
        <v>2024.0</v>
      </c>
      <c r="K1221" s="4" t="str">
        <f>VLOOKUP($C1221,Userpass!$A$2:$R$3001,2,FALSE)</f>
        <v>akl20248813.siswa@smkn12malang.sch.id</v>
      </c>
    </row>
    <row r="1222" hidden="1">
      <c r="A1222" s="3" t="str">
        <f t="shared" si="1"/>
        <v>OK</v>
      </c>
      <c r="B1222" s="3" t="str">
        <f t="shared" si="2"/>
        <v>OK</v>
      </c>
      <c r="C1222" s="3">
        <v>8839.0</v>
      </c>
      <c r="D1222" s="4" t="s">
        <v>3062</v>
      </c>
      <c r="E1222" s="3" t="s">
        <v>3063</v>
      </c>
      <c r="F1222" s="3" t="s">
        <v>13</v>
      </c>
      <c r="G1222" s="3" t="str">
        <f t="shared" si="3"/>
        <v>XIAKL1</v>
      </c>
      <c r="H1222" s="3" t="str">
        <f>VLOOKUP($C1222,Userpass!$A$2:$L$3001,12,FALSE)</f>
        <v>AKL1</v>
      </c>
      <c r="I1222" s="5" t="s">
        <v>3045</v>
      </c>
      <c r="J1222" s="3">
        <v>2024.0</v>
      </c>
      <c r="K1222" s="4" t="str">
        <f>VLOOKUP($C1222,Userpass!$A$2:$R$3001,2,FALSE)</f>
        <v>akl20248839.siswa@smkn12malang.sch.id</v>
      </c>
    </row>
    <row r="1223" hidden="1">
      <c r="A1223" s="3" t="str">
        <f t="shared" si="1"/>
        <v>OK</v>
      </c>
      <c r="B1223" s="3" t="str">
        <f t="shared" si="2"/>
        <v>OK</v>
      </c>
      <c r="C1223" s="3">
        <v>8840.0</v>
      </c>
      <c r="D1223" s="4" t="s">
        <v>3064</v>
      </c>
      <c r="E1223" s="3" t="s">
        <v>3065</v>
      </c>
      <c r="F1223" s="3" t="s">
        <v>13</v>
      </c>
      <c r="G1223" s="3" t="str">
        <f t="shared" si="3"/>
        <v>XIAKL1</v>
      </c>
      <c r="H1223" s="3" t="str">
        <f>VLOOKUP($C1223,Userpass!$A$2:$L$3001,12,FALSE)</f>
        <v>AKL1</v>
      </c>
      <c r="I1223" s="5" t="s">
        <v>3045</v>
      </c>
      <c r="J1223" s="3">
        <v>2024.0</v>
      </c>
      <c r="K1223" s="4" t="str">
        <f>VLOOKUP($C1223,Userpass!$A$2:$R$3001,2,FALSE)</f>
        <v>akl20248840.siswa@smkn12malang.sch.id</v>
      </c>
    </row>
    <row r="1224" hidden="1">
      <c r="A1224" s="3" t="str">
        <f t="shared" si="1"/>
        <v>OK</v>
      </c>
      <c r="B1224" s="3" t="str">
        <f t="shared" si="2"/>
        <v>OK</v>
      </c>
      <c r="C1224" s="3">
        <v>8871.0</v>
      </c>
      <c r="D1224" s="4" t="s">
        <v>3066</v>
      </c>
      <c r="E1224" s="3" t="s">
        <v>3067</v>
      </c>
      <c r="F1224" s="3" t="s">
        <v>13</v>
      </c>
      <c r="G1224" s="3" t="str">
        <f t="shared" si="3"/>
        <v>XIAKL1</v>
      </c>
      <c r="H1224" s="3" t="str">
        <f>VLOOKUP($C1224,Userpass!$A$2:$L$3001,12,FALSE)</f>
        <v>AKL1</v>
      </c>
      <c r="I1224" s="5" t="s">
        <v>3045</v>
      </c>
      <c r="J1224" s="3">
        <v>2024.0</v>
      </c>
      <c r="K1224" s="4" t="str">
        <f>VLOOKUP($C1224,Userpass!$A$2:$R$3001,2,FALSE)</f>
        <v>akl20248871.siswa@smkn12malang.sch.id</v>
      </c>
    </row>
    <row r="1225" hidden="1">
      <c r="A1225" s="3" t="str">
        <f t="shared" si="1"/>
        <v>OK</v>
      </c>
      <c r="B1225" s="3" t="str">
        <f t="shared" si="2"/>
        <v>OK</v>
      </c>
      <c r="C1225" s="3">
        <v>8872.0</v>
      </c>
      <c r="D1225" s="4" t="s">
        <v>3068</v>
      </c>
      <c r="E1225" s="3" t="s">
        <v>3069</v>
      </c>
      <c r="F1225" s="3" t="s">
        <v>13</v>
      </c>
      <c r="G1225" s="3" t="str">
        <f t="shared" si="3"/>
        <v>XIAKL1</v>
      </c>
      <c r="H1225" s="3" t="str">
        <f>VLOOKUP($C1225,Userpass!$A$2:$L$3001,12,FALSE)</f>
        <v>AKL1</v>
      </c>
      <c r="I1225" s="5" t="s">
        <v>3045</v>
      </c>
      <c r="J1225" s="3">
        <v>2024.0</v>
      </c>
      <c r="K1225" s="4" t="str">
        <f>VLOOKUP($C1225,Userpass!$A$2:$R$3001,2,FALSE)</f>
        <v>akl20248872.siswa@smkn12malang.sch.id</v>
      </c>
    </row>
    <row r="1226" hidden="1">
      <c r="A1226" s="3" t="str">
        <f t="shared" si="1"/>
        <v>OK</v>
      </c>
      <c r="B1226" s="3" t="str">
        <f t="shared" si="2"/>
        <v>OK</v>
      </c>
      <c r="C1226" s="3">
        <v>8889.0</v>
      </c>
      <c r="D1226" s="4" t="s">
        <v>3070</v>
      </c>
      <c r="E1226" s="3" t="s">
        <v>3071</v>
      </c>
      <c r="F1226" s="3" t="s">
        <v>13</v>
      </c>
      <c r="G1226" s="3" t="str">
        <f t="shared" si="3"/>
        <v>XIAKL1</v>
      </c>
      <c r="H1226" s="3" t="str">
        <f>VLOOKUP($C1226,Userpass!$A$2:$L$3001,12,FALSE)</f>
        <v>AKL1</v>
      </c>
      <c r="I1226" s="5" t="s">
        <v>3045</v>
      </c>
      <c r="J1226" s="3">
        <v>2024.0</v>
      </c>
      <c r="K1226" s="4" t="str">
        <f>VLOOKUP($C1226,Userpass!$A$2:$R$3001,2,FALSE)</f>
        <v>akl20248889.siswa@smkn12malang.sch.id</v>
      </c>
    </row>
    <row r="1227" hidden="1">
      <c r="A1227" s="3" t="str">
        <f t="shared" si="1"/>
        <v>OK</v>
      </c>
      <c r="B1227" s="3" t="str">
        <f t="shared" si="2"/>
        <v>OK</v>
      </c>
      <c r="C1227" s="3">
        <v>8898.0</v>
      </c>
      <c r="D1227" s="4" t="s">
        <v>3072</v>
      </c>
      <c r="E1227" s="3" t="s">
        <v>3073</v>
      </c>
      <c r="F1227" s="3" t="s">
        <v>13</v>
      </c>
      <c r="G1227" s="3" t="str">
        <f t="shared" si="3"/>
        <v>XIAKL1</v>
      </c>
      <c r="H1227" s="3" t="str">
        <f>VLOOKUP($C1227,Userpass!$A$2:$L$3001,12,FALSE)</f>
        <v>AKL1</v>
      </c>
      <c r="I1227" s="5" t="s">
        <v>3045</v>
      </c>
      <c r="J1227" s="3">
        <v>2024.0</v>
      </c>
      <c r="K1227" s="4" t="str">
        <f>VLOOKUP($C1227,Userpass!$A$2:$R$3001,2,FALSE)</f>
        <v>akl20248898.siswa@smkn12malang.sch.id</v>
      </c>
    </row>
    <row r="1228" hidden="1">
      <c r="A1228" s="3" t="str">
        <f t="shared" si="1"/>
        <v>OK</v>
      </c>
      <c r="B1228" s="3" t="str">
        <f t="shared" si="2"/>
        <v>OK</v>
      </c>
      <c r="C1228" s="3">
        <v>8899.0</v>
      </c>
      <c r="D1228" s="4" t="s">
        <v>3074</v>
      </c>
      <c r="E1228" s="3" t="s">
        <v>3075</v>
      </c>
      <c r="F1228" s="3" t="s">
        <v>13</v>
      </c>
      <c r="G1228" s="3" t="str">
        <f t="shared" si="3"/>
        <v>XIAKL1</v>
      </c>
      <c r="H1228" s="3" t="str">
        <f>VLOOKUP($C1228,Userpass!$A$2:$L$3001,12,FALSE)</f>
        <v>AKL1</v>
      </c>
      <c r="I1228" s="5" t="s">
        <v>3045</v>
      </c>
      <c r="J1228" s="3">
        <v>2024.0</v>
      </c>
      <c r="K1228" s="4" t="str">
        <f>VLOOKUP($C1228,Userpass!$A$2:$R$3001,2,FALSE)</f>
        <v>akl20248899.siswa@smkn12malang.sch.id</v>
      </c>
    </row>
    <row r="1229" hidden="1">
      <c r="A1229" s="3" t="str">
        <f t="shared" si="1"/>
        <v>OK</v>
      </c>
      <c r="B1229" s="3" t="str">
        <f t="shared" si="2"/>
        <v>OK</v>
      </c>
      <c r="C1229" s="3">
        <v>8900.0</v>
      </c>
      <c r="D1229" s="4" t="s">
        <v>3076</v>
      </c>
      <c r="E1229" s="3" t="s">
        <v>3077</v>
      </c>
      <c r="F1229" s="3" t="s">
        <v>13</v>
      </c>
      <c r="G1229" s="3" t="str">
        <f t="shared" si="3"/>
        <v>XIAKL1</v>
      </c>
      <c r="H1229" s="3" t="str">
        <f>VLOOKUP($C1229,Userpass!$A$2:$L$3001,12,FALSE)</f>
        <v>AKL1</v>
      </c>
      <c r="I1229" s="5" t="s">
        <v>3045</v>
      </c>
      <c r="J1229" s="3">
        <v>2024.0</v>
      </c>
      <c r="K1229" s="4" t="str">
        <f>VLOOKUP($C1229,Userpass!$A$2:$R$3001,2,FALSE)</f>
        <v>akl20248900.siswa@smkn12malang.sch.id</v>
      </c>
    </row>
    <row r="1230" hidden="1">
      <c r="A1230" s="3" t="str">
        <f t="shared" si="1"/>
        <v>OK</v>
      </c>
      <c r="B1230" s="3" t="str">
        <f t="shared" si="2"/>
        <v>OK</v>
      </c>
      <c r="C1230" s="3">
        <v>8905.0</v>
      </c>
      <c r="D1230" s="4" t="s">
        <v>3078</v>
      </c>
      <c r="E1230" s="3" t="s">
        <v>3079</v>
      </c>
      <c r="F1230" s="3" t="s">
        <v>13</v>
      </c>
      <c r="G1230" s="3" t="str">
        <f t="shared" si="3"/>
        <v>XIAKL1</v>
      </c>
      <c r="H1230" s="3" t="str">
        <f>VLOOKUP($C1230,Userpass!$A$2:$L$3001,12,FALSE)</f>
        <v>AKL1</v>
      </c>
      <c r="I1230" s="5" t="s">
        <v>3045</v>
      </c>
      <c r="J1230" s="3">
        <v>2024.0</v>
      </c>
      <c r="K1230" s="4" t="str">
        <f>VLOOKUP($C1230,Userpass!$A$2:$R$3001,2,FALSE)</f>
        <v>akl20248905.siswa@smkn12malang.sch.id</v>
      </c>
    </row>
    <row r="1231" hidden="1">
      <c r="A1231" s="3" t="str">
        <f t="shared" si="1"/>
        <v>OK</v>
      </c>
      <c r="B1231" s="3" t="str">
        <f t="shared" si="2"/>
        <v>OK</v>
      </c>
      <c r="C1231" s="3">
        <v>8916.0</v>
      </c>
      <c r="D1231" s="4" t="s">
        <v>3080</v>
      </c>
      <c r="E1231" s="3" t="s">
        <v>3081</v>
      </c>
      <c r="F1231" s="3" t="s">
        <v>13</v>
      </c>
      <c r="G1231" s="3" t="str">
        <f t="shared" si="3"/>
        <v>XIAKL1</v>
      </c>
      <c r="H1231" s="3" t="str">
        <f>VLOOKUP($C1231,Userpass!$A$2:$L$3001,12,FALSE)</f>
        <v>AKL1</v>
      </c>
      <c r="I1231" s="5" t="s">
        <v>3045</v>
      </c>
      <c r="J1231" s="3">
        <v>2024.0</v>
      </c>
      <c r="K1231" s="4" t="str">
        <f>VLOOKUP($C1231,Userpass!$A$2:$R$3001,2,FALSE)</f>
        <v>akl20248916.siswa@smkn12malang.sch.id</v>
      </c>
    </row>
    <row r="1232" hidden="1">
      <c r="A1232" s="3" t="str">
        <f t="shared" si="1"/>
        <v>OK</v>
      </c>
      <c r="B1232" s="3" t="str">
        <f t="shared" si="2"/>
        <v>OK</v>
      </c>
      <c r="C1232" s="3">
        <v>8949.0</v>
      </c>
      <c r="D1232" s="4" t="s">
        <v>3082</v>
      </c>
      <c r="E1232" s="3" t="s">
        <v>3083</v>
      </c>
      <c r="F1232" s="3" t="s">
        <v>13</v>
      </c>
      <c r="G1232" s="3" t="str">
        <f t="shared" si="3"/>
        <v>XIAKL1</v>
      </c>
      <c r="H1232" s="3" t="str">
        <f>VLOOKUP($C1232,Userpass!$A$2:$L$3001,12,FALSE)</f>
        <v>AKL1</v>
      </c>
      <c r="I1232" s="5" t="s">
        <v>3045</v>
      </c>
      <c r="J1232" s="3">
        <v>2024.0</v>
      </c>
      <c r="K1232" s="4" t="str">
        <f>VLOOKUP($C1232,Userpass!$A$2:$R$3001,2,FALSE)</f>
        <v>akl20248949.siswa@smkn12malang.sch.id</v>
      </c>
    </row>
    <row r="1233" hidden="1">
      <c r="A1233" s="3" t="str">
        <f t="shared" si="1"/>
        <v>OK</v>
      </c>
      <c r="B1233" s="3" t="str">
        <f t="shared" si="2"/>
        <v>OK</v>
      </c>
      <c r="C1233" s="3">
        <v>8955.0</v>
      </c>
      <c r="D1233" s="4" t="s">
        <v>3084</v>
      </c>
      <c r="E1233" s="3" t="s">
        <v>3085</v>
      </c>
      <c r="F1233" s="3" t="s">
        <v>13</v>
      </c>
      <c r="G1233" s="3" t="str">
        <f t="shared" si="3"/>
        <v>XIAKL1</v>
      </c>
      <c r="H1233" s="3" t="str">
        <f>VLOOKUP($C1233,Userpass!$A$2:$L$3001,12,FALSE)</f>
        <v>AKL1</v>
      </c>
      <c r="I1233" s="5" t="s">
        <v>3045</v>
      </c>
      <c r="J1233" s="3">
        <v>2024.0</v>
      </c>
      <c r="K1233" s="4" t="str">
        <f>VLOOKUP($C1233,Userpass!$A$2:$R$3001,2,FALSE)</f>
        <v>akl20248955.siswa@smkn12malang.sch.id</v>
      </c>
    </row>
    <row r="1234" hidden="1">
      <c r="A1234" s="3" t="str">
        <f t="shared" si="1"/>
        <v>OK</v>
      </c>
      <c r="B1234" s="3" t="str">
        <f t="shared" si="2"/>
        <v>OK</v>
      </c>
      <c r="C1234" s="3">
        <v>9004.0</v>
      </c>
      <c r="D1234" s="4" t="s">
        <v>3086</v>
      </c>
      <c r="E1234" s="3" t="s">
        <v>3087</v>
      </c>
      <c r="F1234" s="3" t="s">
        <v>17</v>
      </c>
      <c r="G1234" s="3" t="str">
        <f t="shared" si="3"/>
        <v>XIAKL1</v>
      </c>
      <c r="H1234" s="3" t="str">
        <f>VLOOKUP($C1234,Userpass!$A$2:$L$3001,12,FALSE)</f>
        <v>AKL1</v>
      </c>
      <c r="I1234" s="5" t="s">
        <v>3045</v>
      </c>
      <c r="J1234" s="3">
        <v>2024.0</v>
      </c>
      <c r="K1234" s="4" t="str">
        <f>VLOOKUP($C1234,Userpass!$A$2:$R$3001,2,FALSE)</f>
        <v>akl20249004.siswa@smkn12malang.sch.id</v>
      </c>
    </row>
    <row r="1235" hidden="1">
      <c r="A1235" s="3" t="str">
        <f t="shared" si="1"/>
        <v>OK</v>
      </c>
      <c r="B1235" s="3" t="str">
        <f t="shared" si="2"/>
        <v>OK</v>
      </c>
      <c r="C1235" s="3">
        <v>9033.0</v>
      </c>
      <c r="D1235" s="4" t="s">
        <v>3088</v>
      </c>
      <c r="E1235" s="3" t="s">
        <v>3089</v>
      </c>
      <c r="F1235" s="3" t="s">
        <v>13</v>
      </c>
      <c r="G1235" s="3" t="str">
        <f t="shared" si="3"/>
        <v>XIAKL1</v>
      </c>
      <c r="H1235" s="3" t="str">
        <f>VLOOKUP($C1235,Userpass!$A$2:$L$3001,12,FALSE)</f>
        <v>AKL1</v>
      </c>
      <c r="I1235" s="5" t="s">
        <v>3045</v>
      </c>
      <c r="J1235" s="3">
        <v>2024.0</v>
      </c>
      <c r="K1235" s="4" t="str">
        <f>VLOOKUP($C1235,Userpass!$A$2:$R$3001,2,FALSE)</f>
        <v>akl20249033.siswa@smkn12malang.sch.id</v>
      </c>
    </row>
    <row r="1236" hidden="1">
      <c r="A1236" s="3" t="str">
        <f t="shared" si="1"/>
        <v>OK</v>
      </c>
      <c r="B1236" s="3" t="str">
        <f t="shared" si="2"/>
        <v>OK</v>
      </c>
      <c r="C1236" s="3">
        <v>9040.0</v>
      </c>
      <c r="D1236" s="4" t="s">
        <v>3090</v>
      </c>
      <c r="E1236" s="3" t="s">
        <v>3091</v>
      </c>
      <c r="F1236" s="3" t="s">
        <v>13</v>
      </c>
      <c r="G1236" s="3" t="str">
        <f t="shared" si="3"/>
        <v>XIAKL1</v>
      </c>
      <c r="H1236" s="3" t="str">
        <f>VLOOKUP($C1236,Userpass!$A$2:$L$3001,12,FALSE)</f>
        <v>AKL1</v>
      </c>
      <c r="I1236" s="5" t="s">
        <v>3045</v>
      </c>
      <c r="J1236" s="3">
        <v>2024.0</v>
      </c>
      <c r="K1236" s="4" t="str">
        <f>VLOOKUP($C1236,Userpass!$A$2:$R$3001,2,FALSE)</f>
        <v>akl20249040.siswa@smkn12malang.sch.id</v>
      </c>
    </row>
    <row r="1237" hidden="1">
      <c r="A1237" s="3" t="str">
        <f t="shared" si="1"/>
        <v>OK</v>
      </c>
      <c r="B1237" s="3" t="str">
        <f t="shared" si="2"/>
        <v>OK</v>
      </c>
      <c r="C1237" s="3">
        <v>9060.0</v>
      </c>
      <c r="D1237" s="4" t="s">
        <v>3092</v>
      </c>
      <c r="E1237" s="3" t="s">
        <v>3093</v>
      </c>
      <c r="F1237" s="3" t="s">
        <v>13</v>
      </c>
      <c r="G1237" s="3" t="str">
        <f t="shared" si="3"/>
        <v>XIAKL1</v>
      </c>
      <c r="H1237" s="3" t="str">
        <f>VLOOKUP($C1237,Userpass!$A$2:$L$3001,12,FALSE)</f>
        <v>AKL1</v>
      </c>
      <c r="I1237" s="5" t="s">
        <v>3045</v>
      </c>
      <c r="J1237" s="3">
        <v>2024.0</v>
      </c>
      <c r="K1237" s="4" t="str">
        <f>VLOOKUP($C1237,Userpass!$A$2:$R$3001,2,FALSE)</f>
        <v>akl20249060.siswa@smkn12malang.sch.id</v>
      </c>
    </row>
    <row r="1238" hidden="1">
      <c r="A1238" s="3" t="str">
        <f t="shared" si="1"/>
        <v>OK</v>
      </c>
      <c r="B1238" s="3" t="str">
        <f t="shared" si="2"/>
        <v>OK</v>
      </c>
      <c r="C1238" s="3">
        <v>9147.0</v>
      </c>
      <c r="D1238" s="4" t="s">
        <v>3094</v>
      </c>
      <c r="E1238" s="3" t="s">
        <v>3095</v>
      </c>
      <c r="F1238" s="3" t="s">
        <v>13</v>
      </c>
      <c r="G1238" s="3" t="str">
        <f t="shared" si="3"/>
        <v>XIAKL1</v>
      </c>
      <c r="H1238" s="3" t="str">
        <f>VLOOKUP($C1238,Userpass!$A$2:$L$3001,12,FALSE)</f>
        <v>AKL1</v>
      </c>
      <c r="I1238" s="5" t="s">
        <v>3045</v>
      </c>
      <c r="J1238" s="3">
        <v>2024.0</v>
      </c>
      <c r="K1238" s="4" t="str">
        <f>VLOOKUP($C1238,Userpass!$A$2:$R$3001,2,FALSE)</f>
        <v>akl20249147.siswa@smkn12malang.sch.id</v>
      </c>
    </row>
    <row r="1239" hidden="1">
      <c r="A1239" s="3" t="str">
        <f t="shared" si="1"/>
        <v>OK</v>
      </c>
      <c r="B1239" s="3" t="str">
        <f t="shared" si="2"/>
        <v>OK</v>
      </c>
      <c r="C1239" s="3">
        <v>9159.0</v>
      </c>
      <c r="D1239" s="4" t="s">
        <v>3096</v>
      </c>
      <c r="E1239" s="3" t="s">
        <v>3097</v>
      </c>
      <c r="F1239" s="3" t="s">
        <v>13</v>
      </c>
      <c r="G1239" s="3" t="str">
        <f t="shared" si="3"/>
        <v>XIAKL1</v>
      </c>
      <c r="H1239" s="3" t="str">
        <f>VLOOKUP($C1239,Userpass!$A$2:$L$3001,12,FALSE)</f>
        <v>AKL1</v>
      </c>
      <c r="I1239" s="5" t="s">
        <v>3045</v>
      </c>
      <c r="J1239" s="3">
        <v>2024.0</v>
      </c>
      <c r="K1239" s="4" t="str">
        <f>VLOOKUP($C1239,Userpass!$A$2:$R$3001,2,FALSE)</f>
        <v>akl20249159.siswa@smkn12malang.sch.id</v>
      </c>
    </row>
    <row r="1240" hidden="1">
      <c r="A1240" s="3" t="str">
        <f t="shared" si="1"/>
        <v>OK</v>
      </c>
      <c r="B1240" s="3" t="str">
        <f t="shared" si="2"/>
        <v>OK</v>
      </c>
      <c r="C1240" s="3">
        <v>9168.0</v>
      </c>
      <c r="D1240" s="4" t="s">
        <v>3098</v>
      </c>
      <c r="E1240" s="3" t="s">
        <v>3099</v>
      </c>
      <c r="F1240" s="3" t="s">
        <v>13</v>
      </c>
      <c r="G1240" s="3" t="str">
        <f t="shared" si="3"/>
        <v>XIAKL1</v>
      </c>
      <c r="H1240" s="3" t="str">
        <f>VLOOKUP($C1240,Userpass!$A$2:$L$3001,12,FALSE)</f>
        <v>AKL1</v>
      </c>
      <c r="I1240" s="5" t="s">
        <v>3045</v>
      </c>
      <c r="J1240" s="3">
        <v>2024.0</v>
      </c>
      <c r="K1240" s="4" t="str">
        <f>VLOOKUP($C1240,Userpass!$A$2:$R$3001,2,FALSE)</f>
        <v>akl20249168.siswa@smkn12malang.sch.id</v>
      </c>
    </row>
    <row r="1241" hidden="1">
      <c r="A1241" s="3" t="str">
        <f t="shared" si="1"/>
        <v>OK</v>
      </c>
      <c r="B1241" s="3" t="str">
        <f t="shared" si="2"/>
        <v>OK</v>
      </c>
      <c r="C1241" s="3">
        <v>9176.0</v>
      </c>
      <c r="D1241" s="4" t="s">
        <v>3100</v>
      </c>
      <c r="E1241" s="3" t="s">
        <v>3101</v>
      </c>
      <c r="F1241" s="3" t="s">
        <v>13</v>
      </c>
      <c r="G1241" s="3" t="str">
        <f t="shared" si="3"/>
        <v>XIAKL1</v>
      </c>
      <c r="H1241" s="3" t="str">
        <f>VLOOKUP($C1241,Userpass!$A$2:$L$3001,12,FALSE)</f>
        <v>AKL1</v>
      </c>
      <c r="I1241" s="5" t="s">
        <v>3045</v>
      </c>
      <c r="J1241" s="3">
        <v>2024.0</v>
      </c>
      <c r="K1241" s="4" t="str">
        <f>VLOOKUP($C1241,Userpass!$A$2:$R$3001,2,FALSE)</f>
        <v>akl20249176.siswa@smkn12malang.sch.id</v>
      </c>
    </row>
    <row r="1242" hidden="1">
      <c r="A1242" s="3" t="str">
        <f t="shared" si="1"/>
        <v>OK</v>
      </c>
      <c r="B1242" s="3" t="str">
        <f t="shared" si="2"/>
        <v>OK</v>
      </c>
      <c r="C1242" s="3">
        <v>9181.0</v>
      </c>
      <c r="D1242" s="4" t="s">
        <v>3102</v>
      </c>
      <c r="E1242" s="3" t="s">
        <v>3103</v>
      </c>
      <c r="F1242" s="3" t="s">
        <v>13</v>
      </c>
      <c r="G1242" s="3" t="str">
        <f t="shared" si="3"/>
        <v>XIAKL1</v>
      </c>
      <c r="H1242" s="3" t="str">
        <f>VLOOKUP($C1242,Userpass!$A$2:$L$3001,12,FALSE)</f>
        <v>AKL1</v>
      </c>
      <c r="I1242" s="5" t="s">
        <v>3045</v>
      </c>
      <c r="J1242" s="3">
        <v>2024.0</v>
      </c>
      <c r="K1242" s="4" t="str">
        <f>VLOOKUP($C1242,Userpass!$A$2:$R$3001,2,FALSE)</f>
        <v>akl20249181.siswa@smkn12malang.sch.id</v>
      </c>
    </row>
    <row r="1243" hidden="1">
      <c r="A1243" s="3" t="str">
        <f t="shared" si="1"/>
        <v>OK</v>
      </c>
      <c r="B1243" s="3" t="str">
        <f t="shared" si="2"/>
        <v>OK</v>
      </c>
      <c r="C1243" s="3">
        <v>9186.0</v>
      </c>
      <c r="D1243" s="4" t="s">
        <v>3104</v>
      </c>
      <c r="E1243" s="5" t="s">
        <v>3105</v>
      </c>
      <c r="F1243" s="3" t="s">
        <v>13</v>
      </c>
      <c r="G1243" s="3" t="str">
        <f t="shared" si="3"/>
        <v>XIAKL1</v>
      </c>
      <c r="H1243" s="3" t="str">
        <f>VLOOKUP($C1243,Userpass!$A$2:$L$3001,12,FALSE)</f>
        <v>AKL1</v>
      </c>
      <c r="I1243" s="5" t="s">
        <v>3045</v>
      </c>
      <c r="J1243" s="3">
        <v>2024.0</v>
      </c>
      <c r="K1243" s="4" t="str">
        <f>VLOOKUP($C1243,Userpass!$A$2:$R$3001,2,FALSE)</f>
        <v>akl20249186.siswa@smkn12malang.sch.id</v>
      </c>
    </row>
    <row r="1244" hidden="1">
      <c r="A1244" s="3" t="str">
        <f t="shared" si="1"/>
        <v>OK</v>
      </c>
      <c r="B1244" s="3" t="str">
        <f t="shared" si="2"/>
        <v>OK</v>
      </c>
      <c r="C1244" s="3">
        <v>9190.0</v>
      </c>
      <c r="D1244" s="4" t="s">
        <v>3106</v>
      </c>
      <c r="E1244" s="3" t="s">
        <v>3107</v>
      </c>
      <c r="F1244" s="3" t="s">
        <v>13</v>
      </c>
      <c r="G1244" s="3" t="str">
        <f t="shared" si="3"/>
        <v>XIAKL1</v>
      </c>
      <c r="H1244" s="3" t="str">
        <f>VLOOKUP($C1244,Userpass!$A$2:$L$3001,12,FALSE)</f>
        <v>AKL1</v>
      </c>
      <c r="I1244" s="5" t="s">
        <v>3045</v>
      </c>
      <c r="J1244" s="3">
        <v>2024.0</v>
      </c>
      <c r="K1244" s="4" t="str">
        <f>VLOOKUP($C1244,Userpass!$A$2:$R$3001,2,FALSE)</f>
        <v>akl20249190.siswa@smkn12malang.sch.id</v>
      </c>
    </row>
    <row r="1245" hidden="1">
      <c r="A1245" s="3" t="str">
        <f t="shared" si="1"/>
        <v>OK</v>
      </c>
      <c r="B1245" s="3" t="str">
        <f t="shared" si="2"/>
        <v>OK</v>
      </c>
      <c r="C1245" s="3">
        <v>9197.0</v>
      </c>
      <c r="D1245" s="4" t="s">
        <v>3108</v>
      </c>
      <c r="E1245" s="3" t="s">
        <v>3109</v>
      </c>
      <c r="F1245" s="3" t="s">
        <v>13</v>
      </c>
      <c r="G1245" s="3" t="str">
        <f t="shared" si="3"/>
        <v>XIAKL1</v>
      </c>
      <c r="H1245" s="3" t="str">
        <f>VLOOKUP($C1245,Userpass!$A$2:$L$3001,12,FALSE)</f>
        <v>AKL1</v>
      </c>
      <c r="I1245" s="5" t="s">
        <v>3045</v>
      </c>
      <c r="J1245" s="3">
        <v>2024.0</v>
      </c>
      <c r="K1245" s="4" t="str">
        <f>VLOOKUP($C1245,Userpass!$A$2:$R$3001,2,FALSE)</f>
        <v>akl20249197.siswa@smkn12malang.sch.id</v>
      </c>
    </row>
    <row r="1246" hidden="1">
      <c r="A1246" s="3" t="str">
        <f t="shared" si="1"/>
        <v>OK</v>
      </c>
      <c r="B1246" s="3" t="str">
        <f t="shared" si="2"/>
        <v>OK</v>
      </c>
      <c r="C1246" s="3">
        <v>9206.0</v>
      </c>
      <c r="D1246" s="4" t="s">
        <v>3110</v>
      </c>
      <c r="E1246" s="3" t="s">
        <v>3111</v>
      </c>
      <c r="F1246" s="3" t="s">
        <v>13</v>
      </c>
      <c r="G1246" s="3" t="str">
        <f t="shared" si="3"/>
        <v>XIAKL1</v>
      </c>
      <c r="H1246" s="3" t="str">
        <f>VLOOKUP($C1246,Userpass!$A$2:$L$3001,12,FALSE)</f>
        <v>AKL1</v>
      </c>
      <c r="I1246" s="5" t="s">
        <v>3045</v>
      </c>
      <c r="J1246" s="3">
        <v>2024.0</v>
      </c>
      <c r="K1246" s="4" t="str">
        <f>VLOOKUP($C1246,Userpass!$A$2:$R$3001,2,FALSE)</f>
        <v>akl20249206.siswa@smkn12malang.sch.id</v>
      </c>
    </row>
    <row r="1247" hidden="1">
      <c r="A1247" s="3" t="str">
        <f t="shared" si="1"/>
        <v>OK</v>
      </c>
      <c r="B1247" s="3" t="str">
        <f t="shared" si="2"/>
        <v>OK</v>
      </c>
      <c r="C1247" s="3">
        <v>9230.0</v>
      </c>
      <c r="D1247" s="4" t="s">
        <v>3112</v>
      </c>
      <c r="E1247" s="3" t="s">
        <v>3113</v>
      </c>
      <c r="F1247" s="3" t="s">
        <v>13</v>
      </c>
      <c r="G1247" s="3" t="str">
        <f t="shared" si="3"/>
        <v>XIAKL1</v>
      </c>
      <c r="H1247" s="3" t="str">
        <f>VLOOKUP($C1247,Userpass!$A$2:$L$3001,12,FALSE)</f>
        <v>AKL1</v>
      </c>
      <c r="I1247" s="5" t="s">
        <v>3045</v>
      </c>
      <c r="J1247" s="3">
        <v>2024.0</v>
      </c>
      <c r="K1247" s="4" t="str">
        <f>VLOOKUP($C1247,Userpass!$A$2:$R$3001,2,FALSE)</f>
        <v>akl20249230.siswa@smkn12malang.sch.id</v>
      </c>
    </row>
    <row r="1248" hidden="1">
      <c r="A1248" s="3" t="str">
        <f t="shared" si="1"/>
        <v>OK</v>
      </c>
      <c r="B1248" s="3" t="str">
        <f t="shared" si="2"/>
        <v>OK</v>
      </c>
      <c r="C1248" s="3">
        <v>9243.0</v>
      </c>
      <c r="D1248" s="4" t="s">
        <v>3114</v>
      </c>
      <c r="E1248" s="3" t="s">
        <v>3115</v>
      </c>
      <c r="F1248" s="3" t="s">
        <v>13</v>
      </c>
      <c r="G1248" s="3" t="str">
        <f t="shared" si="3"/>
        <v>XIAKL1</v>
      </c>
      <c r="H1248" s="3" t="str">
        <f>VLOOKUP($C1248,Userpass!$A$2:$L$3001,12,FALSE)</f>
        <v>AKL1</v>
      </c>
      <c r="I1248" s="5" t="s">
        <v>3045</v>
      </c>
      <c r="J1248" s="3">
        <v>2024.0</v>
      </c>
      <c r="K1248" s="4" t="str">
        <f>VLOOKUP($C1248,Userpass!$A$2:$R$3001,2,FALSE)</f>
        <v>akl20249243.siswa@smkn12malang.sch.id</v>
      </c>
    </row>
    <row r="1249" hidden="1">
      <c r="A1249" s="3" t="str">
        <f t="shared" si="1"/>
        <v>OK</v>
      </c>
      <c r="B1249" s="3" t="str">
        <f t="shared" si="2"/>
        <v>OK</v>
      </c>
      <c r="C1249" s="3">
        <v>8640.0</v>
      </c>
      <c r="D1249" s="4" t="s">
        <v>3116</v>
      </c>
      <c r="E1249" s="3" t="s">
        <v>3117</v>
      </c>
      <c r="F1249" s="3" t="s">
        <v>17</v>
      </c>
      <c r="G1249" s="3" t="str">
        <f t="shared" si="3"/>
        <v>XIAKL2</v>
      </c>
      <c r="H1249" s="3" t="str">
        <f>VLOOKUP($C1249,Userpass!$A$2:$L$3001,12,FALSE)</f>
        <v>AKL2</v>
      </c>
      <c r="I1249" s="5" t="s">
        <v>3045</v>
      </c>
      <c r="J1249" s="3">
        <v>2024.0</v>
      </c>
      <c r="K1249" s="4" t="str">
        <f>VLOOKUP($C1249,Userpass!$A$2:$R$3001,2,FALSE)</f>
        <v>akl20248640.siswa@smkn12malang.sch.id</v>
      </c>
    </row>
    <row r="1250" hidden="1">
      <c r="A1250" s="3" t="str">
        <f t="shared" si="1"/>
        <v>OK</v>
      </c>
      <c r="B1250" s="3" t="str">
        <f t="shared" si="2"/>
        <v>OK</v>
      </c>
      <c r="C1250" s="3">
        <v>8661.0</v>
      </c>
      <c r="D1250" s="4" t="s">
        <v>3118</v>
      </c>
      <c r="E1250" s="3" t="s">
        <v>3119</v>
      </c>
      <c r="F1250" s="3" t="s">
        <v>17</v>
      </c>
      <c r="G1250" s="3" t="str">
        <f t="shared" si="3"/>
        <v>XIAKL2</v>
      </c>
      <c r="H1250" s="3" t="str">
        <f>VLOOKUP($C1250,Userpass!$A$2:$L$3001,12,FALSE)</f>
        <v>AKL2</v>
      </c>
      <c r="I1250" s="5" t="s">
        <v>3045</v>
      </c>
      <c r="J1250" s="3">
        <v>2024.0</v>
      </c>
      <c r="K1250" s="4" t="str">
        <f>VLOOKUP($C1250,Userpass!$A$2:$R$3001,2,FALSE)</f>
        <v>akl20248661.siswa@smkn12malang.sch.id</v>
      </c>
    </row>
    <row r="1251" hidden="1">
      <c r="A1251" s="3" t="str">
        <f t="shared" si="1"/>
        <v>OK</v>
      </c>
      <c r="B1251" s="3" t="str">
        <f t="shared" si="2"/>
        <v>OK</v>
      </c>
      <c r="C1251" s="3">
        <v>8679.0</v>
      </c>
      <c r="D1251" s="4" t="s">
        <v>3120</v>
      </c>
      <c r="E1251" s="5" t="s">
        <v>3121</v>
      </c>
      <c r="F1251" s="3" t="s">
        <v>13</v>
      </c>
      <c r="G1251" s="3" t="str">
        <f t="shared" si="3"/>
        <v>XIAKL2</v>
      </c>
      <c r="H1251" s="3" t="str">
        <f>VLOOKUP($C1251,Userpass!$A$2:$L$3001,12,FALSE)</f>
        <v>AKL2</v>
      </c>
      <c r="I1251" s="5" t="s">
        <v>3045</v>
      </c>
      <c r="J1251" s="3">
        <v>2024.0</v>
      </c>
      <c r="K1251" s="4" t="str">
        <f>VLOOKUP($C1251,Userpass!$A$2:$R$3001,2,FALSE)</f>
        <v>akl20248679.siswa@smkn12malang.sch.id</v>
      </c>
    </row>
    <row r="1252" hidden="1">
      <c r="A1252" s="3" t="str">
        <f t="shared" si="1"/>
        <v>OK</v>
      </c>
      <c r="B1252" s="3" t="str">
        <f t="shared" si="2"/>
        <v>OK</v>
      </c>
      <c r="C1252" s="3">
        <v>8685.0</v>
      </c>
      <c r="D1252" s="4" t="s">
        <v>3122</v>
      </c>
      <c r="E1252" s="3" t="s">
        <v>3123</v>
      </c>
      <c r="F1252" s="3" t="s">
        <v>13</v>
      </c>
      <c r="G1252" s="3" t="str">
        <f t="shared" si="3"/>
        <v>XIAKL2</v>
      </c>
      <c r="H1252" s="3" t="str">
        <f>VLOOKUP($C1252,Userpass!$A$2:$L$3001,12,FALSE)</f>
        <v>AKL2</v>
      </c>
      <c r="I1252" s="5" t="s">
        <v>3045</v>
      </c>
      <c r="J1252" s="3">
        <v>2024.0</v>
      </c>
      <c r="K1252" s="4" t="str">
        <f>VLOOKUP($C1252,Userpass!$A$2:$R$3001,2,FALSE)</f>
        <v>akl20248685.siswa@smkn12malang.sch.id</v>
      </c>
    </row>
    <row r="1253" hidden="1">
      <c r="A1253" s="3" t="str">
        <f t="shared" si="1"/>
        <v>OK</v>
      </c>
      <c r="B1253" s="3" t="str">
        <f t="shared" si="2"/>
        <v>OK</v>
      </c>
      <c r="C1253" s="3">
        <v>8718.0</v>
      </c>
      <c r="D1253" s="4" t="s">
        <v>3124</v>
      </c>
      <c r="E1253" s="3" t="s">
        <v>3125</v>
      </c>
      <c r="F1253" s="3" t="s">
        <v>13</v>
      </c>
      <c r="G1253" s="3" t="str">
        <f t="shared" si="3"/>
        <v>XIAKL2</v>
      </c>
      <c r="H1253" s="3" t="str">
        <f>VLOOKUP($C1253,Userpass!$A$2:$L$3001,12,FALSE)</f>
        <v>AKL2</v>
      </c>
      <c r="I1253" s="5" t="s">
        <v>3045</v>
      </c>
      <c r="J1253" s="3">
        <v>2024.0</v>
      </c>
      <c r="K1253" s="4" t="str">
        <f>VLOOKUP($C1253,Userpass!$A$2:$R$3001,2,FALSE)</f>
        <v>akl20248718.siswa@smkn12malang.sch.id</v>
      </c>
    </row>
    <row r="1254" hidden="1">
      <c r="A1254" s="3" t="str">
        <f t="shared" si="1"/>
        <v>OK</v>
      </c>
      <c r="B1254" s="3" t="str">
        <f t="shared" si="2"/>
        <v>OK</v>
      </c>
      <c r="C1254" s="3">
        <v>8740.0</v>
      </c>
      <c r="D1254" s="4" t="s">
        <v>3126</v>
      </c>
      <c r="E1254" s="3" t="s">
        <v>3127</v>
      </c>
      <c r="F1254" s="3" t="s">
        <v>13</v>
      </c>
      <c r="G1254" s="3" t="str">
        <f t="shared" si="3"/>
        <v>XIAKL2</v>
      </c>
      <c r="H1254" s="3" t="str">
        <f>VLOOKUP($C1254,Userpass!$A$2:$L$3001,12,FALSE)</f>
        <v>AKL2</v>
      </c>
      <c r="I1254" s="5" t="s">
        <v>3045</v>
      </c>
      <c r="J1254" s="3">
        <v>2024.0</v>
      </c>
      <c r="K1254" s="4" t="str">
        <f>VLOOKUP($C1254,Userpass!$A$2:$R$3001,2,FALSE)</f>
        <v>akl20248740.siswa@smkn12malang.sch.id</v>
      </c>
    </row>
    <row r="1255" hidden="1">
      <c r="A1255" s="3" t="str">
        <f t="shared" si="1"/>
        <v>OK</v>
      </c>
      <c r="B1255" s="3" t="str">
        <f t="shared" si="2"/>
        <v>OK</v>
      </c>
      <c r="C1255" s="3">
        <v>8754.0</v>
      </c>
      <c r="D1255" s="4" t="s">
        <v>3128</v>
      </c>
      <c r="E1255" s="3" t="s">
        <v>3129</v>
      </c>
      <c r="F1255" s="3" t="s">
        <v>13</v>
      </c>
      <c r="G1255" s="3" t="str">
        <f t="shared" si="3"/>
        <v>XIAKL2</v>
      </c>
      <c r="H1255" s="3" t="str">
        <f>VLOOKUP($C1255,Userpass!$A$2:$L$3001,12,FALSE)</f>
        <v>AKL2</v>
      </c>
      <c r="I1255" s="5" t="s">
        <v>3045</v>
      </c>
      <c r="J1255" s="3">
        <v>2024.0</v>
      </c>
      <c r="K1255" s="4" t="str">
        <f>VLOOKUP($C1255,Userpass!$A$2:$R$3001,2,FALSE)</f>
        <v>akl20248754.siswa@smkn12malang.sch.id</v>
      </c>
    </row>
    <row r="1256" hidden="1">
      <c r="A1256" s="3" t="str">
        <f t="shared" si="1"/>
        <v>OK</v>
      </c>
      <c r="B1256" s="3" t="str">
        <f t="shared" si="2"/>
        <v>OK</v>
      </c>
      <c r="C1256" s="3">
        <v>8763.0</v>
      </c>
      <c r="D1256" s="4" t="s">
        <v>3130</v>
      </c>
      <c r="E1256" s="3" t="s">
        <v>3131</v>
      </c>
      <c r="F1256" s="3" t="s">
        <v>13</v>
      </c>
      <c r="G1256" s="3" t="str">
        <f t="shared" si="3"/>
        <v>XIAKL2</v>
      </c>
      <c r="H1256" s="3" t="str">
        <f>VLOOKUP($C1256,Userpass!$A$2:$L$3001,12,FALSE)</f>
        <v>AKL2</v>
      </c>
      <c r="I1256" s="5" t="s">
        <v>3045</v>
      </c>
      <c r="J1256" s="3">
        <v>2024.0</v>
      </c>
      <c r="K1256" s="4" t="str">
        <f>VLOOKUP($C1256,Userpass!$A$2:$R$3001,2,FALSE)</f>
        <v>akl20248763.siswa@smkn12malang.sch.id</v>
      </c>
    </row>
    <row r="1257" hidden="1">
      <c r="A1257" s="3" t="str">
        <f t="shared" si="1"/>
        <v>OK</v>
      </c>
      <c r="B1257" s="3" t="str">
        <f t="shared" si="2"/>
        <v>OK</v>
      </c>
      <c r="C1257" s="3">
        <v>8767.0</v>
      </c>
      <c r="D1257" s="4" t="s">
        <v>3132</v>
      </c>
      <c r="E1257" s="3" t="s">
        <v>3133</v>
      </c>
      <c r="F1257" s="3" t="s">
        <v>13</v>
      </c>
      <c r="G1257" s="3" t="str">
        <f t="shared" si="3"/>
        <v>XIAKL2</v>
      </c>
      <c r="H1257" s="3" t="str">
        <f>VLOOKUP($C1257,Userpass!$A$2:$L$3001,12,FALSE)</f>
        <v>AKL2</v>
      </c>
      <c r="I1257" s="5" t="s">
        <v>3045</v>
      </c>
      <c r="J1257" s="3">
        <v>2024.0</v>
      </c>
      <c r="K1257" s="4" t="str">
        <f>VLOOKUP($C1257,Userpass!$A$2:$R$3001,2,FALSE)</f>
        <v>akl20248767.siswa@smkn12malang.sch.id</v>
      </c>
    </row>
    <row r="1258" hidden="1">
      <c r="A1258" s="3" t="str">
        <f t="shared" si="1"/>
        <v>OK</v>
      </c>
      <c r="B1258" s="3" t="str">
        <f t="shared" si="2"/>
        <v>OK</v>
      </c>
      <c r="C1258" s="3">
        <v>8771.0</v>
      </c>
      <c r="D1258" s="4" t="s">
        <v>3134</v>
      </c>
      <c r="E1258" s="3" t="s">
        <v>3135</v>
      </c>
      <c r="F1258" s="3" t="s">
        <v>13</v>
      </c>
      <c r="G1258" s="3" t="str">
        <f t="shared" si="3"/>
        <v>XIAKL2</v>
      </c>
      <c r="H1258" s="3" t="str">
        <f>VLOOKUP($C1258,Userpass!$A$2:$L$3001,12,FALSE)</f>
        <v>AKL2</v>
      </c>
      <c r="I1258" s="5" t="s">
        <v>3045</v>
      </c>
      <c r="J1258" s="3">
        <v>2024.0</v>
      </c>
      <c r="K1258" s="4" t="str">
        <f>VLOOKUP($C1258,Userpass!$A$2:$R$3001,2,FALSE)</f>
        <v>akl20248771.siswa@smkn12malang.sch.id</v>
      </c>
    </row>
    <row r="1259" hidden="1">
      <c r="A1259" s="3" t="str">
        <f t="shared" si="1"/>
        <v>OK</v>
      </c>
      <c r="B1259" s="3" t="str">
        <f t="shared" si="2"/>
        <v>OK</v>
      </c>
      <c r="C1259" s="3">
        <v>8783.0</v>
      </c>
      <c r="D1259" s="4" t="s">
        <v>3136</v>
      </c>
      <c r="E1259" s="3" t="s">
        <v>3137</v>
      </c>
      <c r="F1259" s="3" t="s">
        <v>13</v>
      </c>
      <c r="G1259" s="3" t="str">
        <f t="shared" si="3"/>
        <v>XIAKL2</v>
      </c>
      <c r="H1259" s="3" t="str">
        <f>VLOOKUP($C1259,Userpass!$A$2:$L$3001,12,FALSE)</f>
        <v>AKL2</v>
      </c>
      <c r="I1259" s="5" t="s">
        <v>3045</v>
      </c>
      <c r="J1259" s="3">
        <v>2024.0</v>
      </c>
      <c r="K1259" s="4" t="str">
        <f>VLOOKUP($C1259,Userpass!$A$2:$R$3001,2,FALSE)</f>
        <v>akl20248783.siswa@smkn12malang.sch.id</v>
      </c>
    </row>
    <row r="1260" hidden="1">
      <c r="A1260" s="3" t="str">
        <f t="shared" si="1"/>
        <v>OK</v>
      </c>
      <c r="B1260" s="3" t="str">
        <f t="shared" si="2"/>
        <v>OK</v>
      </c>
      <c r="C1260" s="3">
        <v>8784.0</v>
      </c>
      <c r="D1260" s="4" t="s">
        <v>3138</v>
      </c>
      <c r="E1260" s="3" t="s">
        <v>3139</v>
      </c>
      <c r="F1260" s="3" t="s">
        <v>13</v>
      </c>
      <c r="G1260" s="3" t="str">
        <f t="shared" si="3"/>
        <v>XIAKL2</v>
      </c>
      <c r="H1260" s="3" t="str">
        <f>VLOOKUP($C1260,Userpass!$A$2:$L$3001,12,FALSE)</f>
        <v>AKL2</v>
      </c>
      <c r="I1260" s="5" t="s">
        <v>3045</v>
      </c>
      <c r="J1260" s="3">
        <v>2024.0</v>
      </c>
      <c r="K1260" s="4" t="str">
        <f>VLOOKUP($C1260,Userpass!$A$2:$R$3001,2,FALSE)</f>
        <v>akl20248784.siswa@smkn12malang.sch.id</v>
      </c>
    </row>
    <row r="1261" hidden="1">
      <c r="A1261" s="3" t="str">
        <f t="shared" si="1"/>
        <v>OK</v>
      </c>
      <c r="B1261" s="3" t="str">
        <f t="shared" si="2"/>
        <v>OK</v>
      </c>
      <c r="C1261" s="3">
        <v>8791.0</v>
      </c>
      <c r="D1261" s="4" t="s">
        <v>3140</v>
      </c>
      <c r="E1261" s="3" t="s">
        <v>3141</v>
      </c>
      <c r="F1261" s="3" t="s">
        <v>13</v>
      </c>
      <c r="G1261" s="3" t="str">
        <f t="shared" si="3"/>
        <v>XIAKL2</v>
      </c>
      <c r="H1261" s="3" t="str">
        <f>VLOOKUP($C1261,Userpass!$A$2:$L$3001,12,FALSE)</f>
        <v>AKL2</v>
      </c>
      <c r="I1261" s="5" t="s">
        <v>3045</v>
      </c>
      <c r="J1261" s="3">
        <v>2024.0</v>
      </c>
      <c r="K1261" s="4" t="str">
        <f>VLOOKUP($C1261,Userpass!$A$2:$R$3001,2,FALSE)</f>
        <v>akl20248791.siswa@smkn12malang.sch.id</v>
      </c>
    </row>
    <row r="1262" hidden="1">
      <c r="A1262" s="3" t="str">
        <f t="shared" si="1"/>
        <v>OK</v>
      </c>
      <c r="B1262" s="3" t="str">
        <f t="shared" si="2"/>
        <v>OK</v>
      </c>
      <c r="C1262" s="3">
        <v>8803.0</v>
      </c>
      <c r="D1262" s="4" t="s">
        <v>3142</v>
      </c>
      <c r="E1262" s="3" t="s">
        <v>3143</v>
      </c>
      <c r="F1262" s="3" t="s">
        <v>13</v>
      </c>
      <c r="G1262" s="3" t="str">
        <f t="shared" si="3"/>
        <v>XIAKL2</v>
      </c>
      <c r="H1262" s="3" t="str">
        <f>VLOOKUP($C1262,Userpass!$A$2:$L$3001,12,FALSE)</f>
        <v>AKL2</v>
      </c>
      <c r="I1262" s="5" t="s">
        <v>3045</v>
      </c>
      <c r="J1262" s="3">
        <v>2024.0</v>
      </c>
      <c r="K1262" s="4" t="str">
        <f>VLOOKUP($C1262,Userpass!$A$2:$R$3001,2,FALSE)</f>
        <v>akl20248803.siswa@smkn12malang.sch.id</v>
      </c>
    </row>
    <row r="1263" hidden="1">
      <c r="A1263" s="3" t="str">
        <f t="shared" si="1"/>
        <v>OK</v>
      </c>
      <c r="B1263" s="3" t="str">
        <f t="shared" si="2"/>
        <v>OK</v>
      </c>
      <c r="C1263" s="3">
        <v>8804.0</v>
      </c>
      <c r="D1263" s="4" t="s">
        <v>3144</v>
      </c>
      <c r="E1263" s="3" t="s">
        <v>3145</v>
      </c>
      <c r="F1263" s="3" t="s">
        <v>13</v>
      </c>
      <c r="G1263" s="3" t="str">
        <f t="shared" si="3"/>
        <v>XIAKL2</v>
      </c>
      <c r="H1263" s="3" t="str">
        <f>VLOOKUP($C1263,Userpass!$A$2:$L$3001,12,FALSE)</f>
        <v>AKL2</v>
      </c>
      <c r="I1263" s="5" t="s">
        <v>3045</v>
      </c>
      <c r="J1263" s="3">
        <v>2024.0</v>
      </c>
      <c r="K1263" s="4" t="str">
        <f>VLOOKUP($C1263,Userpass!$A$2:$R$3001,2,FALSE)</f>
        <v>akl20248804.siswa@smkn12malang.sch.id</v>
      </c>
    </row>
    <row r="1264" hidden="1">
      <c r="A1264" s="3" t="str">
        <f t="shared" si="1"/>
        <v>OK</v>
      </c>
      <c r="B1264" s="3" t="str">
        <f t="shared" si="2"/>
        <v>OK</v>
      </c>
      <c r="C1264" s="3">
        <v>8822.0</v>
      </c>
      <c r="D1264" s="4" t="s">
        <v>3146</v>
      </c>
      <c r="E1264" s="3" t="s">
        <v>3147</v>
      </c>
      <c r="F1264" s="3" t="s">
        <v>13</v>
      </c>
      <c r="G1264" s="3" t="str">
        <f t="shared" si="3"/>
        <v>XIAKL2</v>
      </c>
      <c r="H1264" s="3" t="str">
        <f>VLOOKUP($C1264,Userpass!$A$2:$L$3001,12,FALSE)</f>
        <v>AKL2</v>
      </c>
      <c r="I1264" s="5" t="s">
        <v>3045</v>
      </c>
      <c r="J1264" s="3">
        <v>2024.0</v>
      </c>
      <c r="K1264" s="4" t="str">
        <f>VLOOKUP($C1264,Userpass!$A$2:$R$3001,2,FALSE)</f>
        <v>akl20248822.siswa@smkn12malang.sch.id</v>
      </c>
    </row>
    <row r="1265" hidden="1">
      <c r="A1265" s="3" t="str">
        <f t="shared" si="1"/>
        <v>OK</v>
      </c>
      <c r="B1265" s="3" t="str">
        <f t="shared" si="2"/>
        <v>OK</v>
      </c>
      <c r="C1265" s="3">
        <v>8876.0</v>
      </c>
      <c r="D1265" s="4" t="s">
        <v>3148</v>
      </c>
      <c r="E1265" s="3" t="s">
        <v>3149</v>
      </c>
      <c r="F1265" s="3" t="s">
        <v>13</v>
      </c>
      <c r="G1265" s="3" t="str">
        <f t="shared" si="3"/>
        <v>XIAKL2</v>
      </c>
      <c r="H1265" s="3" t="str">
        <f>VLOOKUP($C1265,Userpass!$A$2:$L$3001,12,FALSE)</f>
        <v>AKL2</v>
      </c>
      <c r="I1265" s="5" t="s">
        <v>3045</v>
      </c>
      <c r="J1265" s="3">
        <v>2024.0</v>
      </c>
      <c r="K1265" s="4" t="str">
        <f>VLOOKUP($C1265,Userpass!$A$2:$R$3001,2,FALSE)</f>
        <v>akl20248876.siswa@smkn12malang.sch.id</v>
      </c>
    </row>
    <row r="1266" hidden="1">
      <c r="A1266" s="3" t="str">
        <f t="shared" si="1"/>
        <v>OK</v>
      </c>
      <c r="B1266" s="3" t="str">
        <f t="shared" si="2"/>
        <v>OK</v>
      </c>
      <c r="C1266" s="3">
        <v>8892.0</v>
      </c>
      <c r="D1266" s="4" t="s">
        <v>3150</v>
      </c>
      <c r="E1266" s="3" t="s">
        <v>3151</v>
      </c>
      <c r="F1266" s="3" t="s">
        <v>13</v>
      </c>
      <c r="G1266" s="3" t="str">
        <f t="shared" si="3"/>
        <v>XIAKL2</v>
      </c>
      <c r="H1266" s="3" t="str">
        <f>VLOOKUP($C1266,Userpass!$A$2:$L$3001,12,FALSE)</f>
        <v>AKL2</v>
      </c>
      <c r="I1266" s="5" t="s">
        <v>3045</v>
      </c>
      <c r="J1266" s="3">
        <v>2024.0</v>
      </c>
      <c r="K1266" s="4" t="str">
        <f>VLOOKUP($C1266,Userpass!$A$2:$R$3001,2,FALSE)</f>
        <v>akl20248892.siswa@smkn12malang.sch.id</v>
      </c>
    </row>
    <row r="1267" hidden="1">
      <c r="A1267" s="3" t="str">
        <f t="shared" si="1"/>
        <v>OK</v>
      </c>
      <c r="B1267" s="3" t="str">
        <f t="shared" si="2"/>
        <v>OK</v>
      </c>
      <c r="C1267" s="3">
        <v>8912.0</v>
      </c>
      <c r="D1267" s="4" t="s">
        <v>3152</v>
      </c>
      <c r="E1267" s="3" t="s">
        <v>3153</v>
      </c>
      <c r="F1267" s="3" t="s">
        <v>13</v>
      </c>
      <c r="G1267" s="3" t="str">
        <f t="shared" si="3"/>
        <v>XIAKL2</v>
      </c>
      <c r="H1267" s="3" t="str">
        <f>VLOOKUP($C1267,Userpass!$A$2:$L$3001,12,FALSE)</f>
        <v>AKL2</v>
      </c>
      <c r="I1267" s="5" t="s">
        <v>3045</v>
      </c>
      <c r="J1267" s="3">
        <v>2024.0</v>
      </c>
      <c r="K1267" s="4" t="str">
        <f>VLOOKUP($C1267,Userpass!$A$2:$R$3001,2,FALSE)</f>
        <v>akl20248912.siswa@smkn12malang.sch.id</v>
      </c>
    </row>
    <row r="1268" hidden="1">
      <c r="A1268" s="3" t="str">
        <f t="shared" si="1"/>
        <v>OK</v>
      </c>
      <c r="B1268" s="3" t="str">
        <f t="shared" si="2"/>
        <v>OK</v>
      </c>
      <c r="C1268" s="3">
        <v>8913.0</v>
      </c>
      <c r="D1268" s="4" t="s">
        <v>3154</v>
      </c>
      <c r="E1268" s="3" t="s">
        <v>3155</v>
      </c>
      <c r="F1268" s="3" t="s">
        <v>13</v>
      </c>
      <c r="G1268" s="3" t="str">
        <f t="shared" si="3"/>
        <v>XIAKL2</v>
      </c>
      <c r="H1268" s="3" t="str">
        <f>VLOOKUP($C1268,Userpass!$A$2:$L$3001,12,FALSE)</f>
        <v>AKL2</v>
      </c>
      <c r="I1268" s="5" t="s">
        <v>3045</v>
      </c>
      <c r="J1268" s="3">
        <v>2024.0</v>
      </c>
      <c r="K1268" s="4" t="str">
        <f>VLOOKUP($C1268,Userpass!$A$2:$R$3001,2,FALSE)</f>
        <v>akl20248913.siswa@smkn12malang.sch.id</v>
      </c>
    </row>
    <row r="1269" hidden="1">
      <c r="A1269" s="3" t="str">
        <f t="shared" si="1"/>
        <v>OK</v>
      </c>
      <c r="B1269" s="3" t="str">
        <f t="shared" si="2"/>
        <v>OK</v>
      </c>
      <c r="C1269" s="3">
        <v>8928.0</v>
      </c>
      <c r="D1269" s="4" t="s">
        <v>3156</v>
      </c>
      <c r="E1269" s="3" t="s">
        <v>3157</v>
      </c>
      <c r="F1269" s="3" t="s">
        <v>13</v>
      </c>
      <c r="G1269" s="3" t="str">
        <f t="shared" si="3"/>
        <v>XIAKL2</v>
      </c>
      <c r="H1269" s="3" t="str">
        <f>VLOOKUP($C1269,Userpass!$A$2:$L$3001,12,FALSE)</f>
        <v>AKL2</v>
      </c>
      <c r="I1269" s="5" t="s">
        <v>3045</v>
      </c>
      <c r="J1269" s="3">
        <v>2024.0</v>
      </c>
      <c r="K1269" s="4" t="str">
        <f>VLOOKUP($C1269,Userpass!$A$2:$R$3001,2,FALSE)</f>
        <v>akl20248928.siswa@smkn12malang.sch.id</v>
      </c>
    </row>
    <row r="1270" hidden="1">
      <c r="A1270" s="3" t="str">
        <f t="shared" si="1"/>
        <v>OK</v>
      </c>
      <c r="B1270" s="3" t="str">
        <f t="shared" si="2"/>
        <v>OK</v>
      </c>
      <c r="C1270" s="3">
        <v>8931.0</v>
      </c>
      <c r="D1270" s="4" t="s">
        <v>3158</v>
      </c>
      <c r="E1270" s="3" t="s">
        <v>3159</v>
      </c>
      <c r="F1270" s="3" t="s">
        <v>13</v>
      </c>
      <c r="G1270" s="3" t="str">
        <f t="shared" si="3"/>
        <v>XIAKL2</v>
      </c>
      <c r="H1270" s="3" t="str">
        <f>VLOOKUP($C1270,Userpass!$A$2:$L$3001,12,FALSE)</f>
        <v>AKL2</v>
      </c>
      <c r="I1270" s="5" t="s">
        <v>3045</v>
      </c>
      <c r="J1270" s="3">
        <v>2024.0</v>
      </c>
      <c r="K1270" s="4" t="str">
        <f>VLOOKUP($C1270,Userpass!$A$2:$R$3001,2,FALSE)</f>
        <v>akl20248931.siswa@smkn12malang.sch.id</v>
      </c>
    </row>
    <row r="1271" hidden="1">
      <c r="A1271" s="3" t="str">
        <f t="shared" si="1"/>
        <v>OK</v>
      </c>
      <c r="B1271" s="3" t="str">
        <f t="shared" si="2"/>
        <v>OK</v>
      </c>
      <c r="C1271" s="3">
        <v>8938.0</v>
      </c>
      <c r="D1271" s="4" t="s">
        <v>3160</v>
      </c>
      <c r="E1271" s="3" t="s">
        <v>3161</v>
      </c>
      <c r="F1271" s="3" t="s">
        <v>13</v>
      </c>
      <c r="G1271" s="3" t="str">
        <f t="shared" si="3"/>
        <v>XIAKL2</v>
      </c>
      <c r="H1271" s="3" t="str">
        <f>VLOOKUP($C1271,Userpass!$A$2:$L$3001,12,FALSE)</f>
        <v>AKL2</v>
      </c>
      <c r="I1271" s="5" t="s">
        <v>3045</v>
      </c>
      <c r="J1271" s="3">
        <v>2024.0</v>
      </c>
      <c r="K1271" s="4" t="str">
        <f>VLOOKUP($C1271,Userpass!$A$2:$R$3001,2,FALSE)</f>
        <v>akl20248938.siswa@smkn12malang.sch.id</v>
      </c>
    </row>
    <row r="1272" hidden="1">
      <c r="A1272" s="3" t="str">
        <f t="shared" si="1"/>
        <v>OK</v>
      </c>
      <c r="B1272" s="3" t="str">
        <f t="shared" si="2"/>
        <v>OK</v>
      </c>
      <c r="C1272" s="3">
        <v>9019.0</v>
      </c>
      <c r="D1272" s="4" t="s">
        <v>3162</v>
      </c>
      <c r="E1272" s="3" t="s">
        <v>3163</v>
      </c>
      <c r="F1272" s="3" t="s">
        <v>17</v>
      </c>
      <c r="G1272" s="3" t="str">
        <f t="shared" si="3"/>
        <v>XIAKL2</v>
      </c>
      <c r="H1272" s="3" t="str">
        <f>VLOOKUP($C1272,Userpass!$A$2:$L$3001,12,FALSE)</f>
        <v>AKL2</v>
      </c>
      <c r="I1272" s="5" t="s">
        <v>3045</v>
      </c>
      <c r="J1272" s="3">
        <v>2024.0</v>
      </c>
      <c r="K1272" s="4" t="str">
        <f>VLOOKUP($C1272,Userpass!$A$2:$R$3001,2,FALSE)</f>
        <v>akl20249019.siswa@smkn12malang.sch.id</v>
      </c>
    </row>
    <row r="1273" hidden="1">
      <c r="A1273" s="3" t="str">
        <f t="shared" si="1"/>
        <v>OK</v>
      </c>
      <c r="B1273" s="3" t="str">
        <f t="shared" si="2"/>
        <v>OK</v>
      </c>
      <c r="C1273" s="3">
        <v>9036.0</v>
      </c>
      <c r="D1273" s="4" t="s">
        <v>3164</v>
      </c>
      <c r="E1273" s="3" t="s">
        <v>3165</v>
      </c>
      <c r="F1273" s="3" t="s">
        <v>13</v>
      </c>
      <c r="G1273" s="3" t="str">
        <f t="shared" si="3"/>
        <v>XIAKL2</v>
      </c>
      <c r="H1273" s="3" t="str">
        <f>VLOOKUP($C1273,Userpass!$A$2:$L$3001,12,FALSE)</f>
        <v>AKL2</v>
      </c>
      <c r="I1273" s="5" t="s">
        <v>3045</v>
      </c>
      <c r="J1273" s="3">
        <v>2024.0</v>
      </c>
      <c r="K1273" s="4" t="str">
        <f>VLOOKUP($C1273,Userpass!$A$2:$R$3001,2,FALSE)</f>
        <v>akl20249036.siswa@smkn12malang.sch.id</v>
      </c>
    </row>
    <row r="1274" hidden="1">
      <c r="A1274" s="3" t="str">
        <f t="shared" si="1"/>
        <v>OK</v>
      </c>
      <c r="B1274" s="3" t="str">
        <f t="shared" si="2"/>
        <v>OK</v>
      </c>
      <c r="C1274" s="3">
        <v>9077.0</v>
      </c>
      <c r="D1274" s="4" t="s">
        <v>3166</v>
      </c>
      <c r="E1274" s="3" t="s">
        <v>3167</v>
      </c>
      <c r="F1274" s="3" t="s">
        <v>13</v>
      </c>
      <c r="G1274" s="3" t="str">
        <f t="shared" si="3"/>
        <v>XIAKL2</v>
      </c>
      <c r="H1274" s="3" t="str">
        <f>VLOOKUP($C1274,Userpass!$A$2:$L$3001,12,FALSE)</f>
        <v>AKL2</v>
      </c>
      <c r="I1274" s="5" t="s">
        <v>3045</v>
      </c>
      <c r="J1274" s="3">
        <v>2024.0</v>
      </c>
      <c r="K1274" s="4" t="str">
        <f>VLOOKUP($C1274,Userpass!$A$2:$R$3001,2,FALSE)</f>
        <v>akl20249077.siswa@smkn12malang.sch.id</v>
      </c>
    </row>
    <row r="1275" hidden="1">
      <c r="A1275" s="3" t="str">
        <f t="shared" si="1"/>
        <v>OK</v>
      </c>
      <c r="B1275" s="3" t="str">
        <f t="shared" si="2"/>
        <v>OK</v>
      </c>
      <c r="C1275" s="3">
        <v>9094.0</v>
      </c>
      <c r="D1275" s="4" t="s">
        <v>3168</v>
      </c>
      <c r="E1275" s="3" t="s">
        <v>3169</v>
      </c>
      <c r="F1275" s="3" t="s">
        <v>13</v>
      </c>
      <c r="G1275" s="3" t="str">
        <f t="shared" si="3"/>
        <v>XIAKL2</v>
      </c>
      <c r="H1275" s="3" t="str">
        <f>VLOOKUP($C1275,Userpass!$A$2:$L$3001,12,FALSE)</f>
        <v>AKL2</v>
      </c>
      <c r="I1275" s="5" t="s">
        <v>3045</v>
      </c>
      <c r="J1275" s="3">
        <v>2024.0</v>
      </c>
      <c r="K1275" s="4" t="str">
        <f>VLOOKUP($C1275,Userpass!$A$2:$R$3001,2,FALSE)</f>
        <v>akl20249094.siswa@smkn12malang.sch.id</v>
      </c>
    </row>
    <row r="1276" hidden="1">
      <c r="A1276" s="3" t="str">
        <f t="shared" si="1"/>
        <v>OK</v>
      </c>
      <c r="B1276" s="3" t="str">
        <f t="shared" si="2"/>
        <v>OK</v>
      </c>
      <c r="C1276" s="3">
        <v>9123.0</v>
      </c>
      <c r="D1276" s="4" t="s">
        <v>3170</v>
      </c>
      <c r="E1276" s="3" t="s">
        <v>3171</v>
      </c>
      <c r="F1276" s="3" t="s">
        <v>13</v>
      </c>
      <c r="G1276" s="3" t="str">
        <f t="shared" si="3"/>
        <v>XIAKL2</v>
      </c>
      <c r="H1276" s="3" t="str">
        <f>VLOOKUP($C1276,Userpass!$A$2:$L$3001,12,FALSE)</f>
        <v>AKL2</v>
      </c>
      <c r="I1276" s="5" t="s">
        <v>3045</v>
      </c>
      <c r="J1276" s="3">
        <v>2024.0</v>
      </c>
      <c r="K1276" s="4" t="str">
        <f>VLOOKUP($C1276,Userpass!$A$2:$R$3001,2,FALSE)</f>
        <v>akl20249123.siswa@smkn12malang.sch.id</v>
      </c>
    </row>
    <row r="1277" hidden="1">
      <c r="A1277" s="3" t="str">
        <f t="shared" si="1"/>
        <v>OK</v>
      </c>
      <c r="B1277" s="3" t="str">
        <f t="shared" si="2"/>
        <v>OK</v>
      </c>
      <c r="C1277" s="3">
        <v>9133.0</v>
      </c>
      <c r="D1277" s="4" t="s">
        <v>3172</v>
      </c>
      <c r="E1277" s="3" t="s">
        <v>3173</v>
      </c>
      <c r="F1277" s="3" t="s">
        <v>13</v>
      </c>
      <c r="G1277" s="3" t="str">
        <f t="shared" si="3"/>
        <v>XIAKL2</v>
      </c>
      <c r="H1277" s="3" t="str">
        <f>VLOOKUP($C1277,Userpass!$A$2:$L$3001,12,FALSE)</f>
        <v>AKL2</v>
      </c>
      <c r="I1277" s="5" t="s">
        <v>3045</v>
      </c>
      <c r="J1277" s="3">
        <v>2024.0</v>
      </c>
      <c r="K1277" s="4" t="str">
        <f>VLOOKUP($C1277,Userpass!$A$2:$R$3001,2,FALSE)</f>
        <v>akl20249133.siswa@smkn12malang.sch.id</v>
      </c>
    </row>
    <row r="1278" hidden="1">
      <c r="A1278" s="3" t="str">
        <f t="shared" si="1"/>
        <v>OK</v>
      </c>
      <c r="B1278" s="3" t="str">
        <f t="shared" si="2"/>
        <v>OK</v>
      </c>
      <c r="C1278" s="3">
        <v>9135.0</v>
      </c>
      <c r="D1278" s="4" t="s">
        <v>3174</v>
      </c>
      <c r="E1278" s="3" t="s">
        <v>3175</v>
      </c>
      <c r="F1278" s="3" t="s">
        <v>13</v>
      </c>
      <c r="G1278" s="3" t="str">
        <f t="shared" si="3"/>
        <v>XIAKL2</v>
      </c>
      <c r="H1278" s="3" t="str">
        <f>VLOOKUP($C1278,Userpass!$A$2:$L$3001,12,FALSE)</f>
        <v>AKL2</v>
      </c>
      <c r="I1278" s="5" t="s">
        <v>3045</v>
      </c>
      <c r="J1278" s="3">
        <v>2024.0</v>
      </c>
      <c r="K1278" s="4" t="str">
        <f>VLOOKUP($C1278,Userpass!$A$2:$R$3001,2,FALSE)</f>
        <v>akl20249135.siswa@smkn12malang.sch.id</v>
      </c>
    </row>
    <row r="1279" hidden="1">
      <c r="A1279" s="3" t="str">
        <f t="shared" si="1"/>
        <v>OK</v>
      </c>
      <c r="B1279" s="3" t="str">
        <f t="shared" si="2"/>
        <v>OK</v>
      </c>
      <c r="C1279" s="3">
        <v>9173.0</v>
      </c>
      <c r="D1279" s="4" t="s">
        <v>3176</v>
      </c>
      <c r="E1279" s="3" t="s">
        <v>3177</v>
      </c>
      <c r="F1279" s="3" t="s">
        <v>13</v>
      </c>
      <c r="G1279" s="3" t="str">
        <f t="shared" si="3"/>
        <v>XIAKL2</v>
      </c>
      <c r="H1279" s="3" t="str">
        <f>VLOOKUP($C1279,Userpass!$A$2:$L$3001,12,FALSE)</f>
        <v>AKL2</v>
      </c>
      <c r="I1279" s="5" t="s">
        <v>3045</v>
      </c>
      <c r="J1279" s="3">
        <v>2024.0</v>
      </c>
      <c r="K1279" s="4" t="str">
        <f>VLOOKUP($C1279,Userpass!$A$2:$R$3001,2,FALSE)</f>
        <v>akl20249173.siswa@smkn12malang.sch.id</v>
      </c>
    </row>
    <row r="1280" hidden="1">
      <c r="A1280" s="3" t="str">
        <f t="shared" si="1"/>
        <v>OK</v>
      </c>
      <c r="B1280" s="3" t="str">
        <f t="shared" si="2"/>
        <v>OK</v>
      </c>
      <c r="C1280" s="3">
        <v>9179.0</v>
      </c>
      <c r="D1280" s="4" t="s">
        <v>3178</v>
      </c>
      <c r="E1280" s="3" t="s">
        <v>3179</v>
      </c>
      <c r="F1280" s="3" t="s">
        <v>13</v>
      </c>
      <c r="G1280" s="3" t="str">
        <f t="shared" si="3"/>
        <v>XIAKL2</v>
      </c>
      <c r="H1280" s="3" t="str">
        <f>VLOOKUP($C1280,Userpass!$A$2:$L$3001,12,FALSE)</f>
        <v>AKL2</v>
      </c>
      <c r="I1280" s="5" t="s">
        <v>3045</v>
      </c>
      <c r="J1280" s="3">
        <v>2024.0</v>
      </c>
      <c r="K1280" s="4" t="str">
        <f>VLOOKUP($C1280,Userpass!$A$2:$R$3001,2,FALSE)</f>
        <v>akl20249179.siswa@smkn12malang.sch.id</v>
      </c>
    </row>
    <row r="1281" hidden="1">
      <c r="A1281" s="3" t="str">
        <f t="shared" si="1"/>
        <v>OK</v>
      </c>
      <c r="B1281" s="3" t="str">
        <f t="shared" si="2"/>
        <v>OK</v>
      </c>
      <c r="C1281" s="3">
        <v>9185.0</v>
      </c>
      <c r="D1281" s="4" t="s">
        <v>3180</v>
      </c>
      <c r="E1281" s="3" t="s">
        <v>3181</v>
      </c>
      <c r="F1281" s="3" t="s">
        <v>13</v>
      </c>
      <c r="G1281" s="3" t="str">
        <f t="shared" si="3"/>
        <v>XIAKL2</v>
      </c>
      <c r="H1281" s="3" t="str">
        <f>VLOOKUP($C1281,Userpass!$A$2:$L$3001,12,FALSE)</f>
        <v>AKL2</v>
      </c>
      <c r="I1281" s="5" t="s">
        <v>3045</v>
      </c>
      <c r="J1281" s="3">
        <v>2024.0</v>
      </c>
      <c r="K1281" s="4" t="str">
        <f>VLOOKUP($C1281,Userpass!$A$2:$R$3001,2,FALSE)</f>
        <v>akl20249185.siswa@smkn12malang.sch.id</v>
      </c>
    </row>
    <row r="1282" hidden="1">
      <c r="A1282" s="3" t="str">
        <f t="shared" si="1"/>
        <v>OK</v>
      </c>
      <c r="B1282" s="3" t="str">
        <f t="shared" si="2"/>
        <v>OK</v>
      </c>
      <c r="C1282" s="3">
        <v>9205.0</v>
      </c>
      <c r="D1282" s="4" t="s">
        <v>3182</v>
      </c>
      <c r="E1282" s="3" t="s">
        <v>3183</v>
      </c>
      <c r="F1282" s="3" t="s">
        <v>13</v>
      </c>
      <c r="G1282" s="3" t="str">
        <f t="shared" si="3"/>
        <v>XIAKL2</v>
      </c>
      <c r="H1282" s="3" t="str">
        <f>VLOOKUP($C1282,Userpass!$A$2:$L$3001,12,FALSE)</f>
        <v>AKL2</v>
      </c>
      <c r="I1282" s="5" t="s">
        <v>3045</v>
      </c>
      <c r="J1282" s="3">
        <v>2024.0</v>
      </c>
      <c r="K1282" s="4" t="str">
        <f>VLOOKUP($C1282,Userpass!$A$2:$R$3001,2,FALSE)</f>
        <v>akl20249205.siswa@smkn12malang.sch.id</v>
      </c>
    </row>
    <row r="1283" hidden="1">
      <c r="A1283" s="3" t="str">
        <f t="shared" si="1"/>
        <v>OK</v>
      </c>
      <c r="B1283" s="3" t="str">
        <f t="shared" si="2"/>
        <v>OK</v>
      </c>
      <c r="C1283" s="3">
        <v>9209.0</v>
      </c>
      <c r="D1283" s="4" t="s">
        <v>3184</v>
      </c>
      <c r="E1283" s="3" t="s">
        <v>3185</v>
      </c>
      <c r="F1283" s="3" t="s">
        <v>13</v>
      </c>
      <c r="G1283" s="3" t="str">
        <f t="shared" si="3"/>
        <v>XIAKL2</v>
      </c>
      <c r="H1283" s="3" t="str">
        <f>VLOOKUP($C1283,Userpass!$A$2:$L$3001,12,FALSE)</f>
        <v>AKL2</v>
      </c>
      <c r="I1283" s="5" t="s">
        <v>3045</v>
      </c>
      <c r="J1283" s="3">
        <v>2024.0</v>
      </c>
      <c r="K1283" s="4" t="str">
        <f>VLOOKUP($C1283,Userpass!$A$2:$R$3001,2,FALSE)</f>
        <v>akl20249209.siswa@smkn12malang.sch.id</v>
      </c>
    </row>
    <row r="1284" hidden="1">
      <c r="A1284" s="3" t="str">
        <f t="shared" si="1"/>
        <v>OK</v>
      </c>
      <c r="B1284" s="3" t="str">
        <f t="shared" si="2"/>
        <v>OK</v>
      </c>
      <c r="C1284" s="3">
        <v>9219.0</v>
      </c>
      <c r="D1284" s="4" t="s">
        <v>3186</v>
      </c>
      <c r="E1284" s="3" t="s">
        <v>3187</v>
      </c>
      <c r="F1284" s="3" t="s">
        <v>13</v>
      </c>
      <c r="G1284" s="3" t="str">
        <f t="shared" si="3"/>
        <v>XIAKL2</v>
      </c>
      <c r="H1284" s="3" t="str">
        <f>VLOOKUP($C1284,Userpass!$A$2:$L$3001,12,FALSE)</f>
        <v>AKL2</v>
      </c>
      <c r="I1284" s="5" t="s">
        <v>3045</v>
      </c>
      <c r="J1284" s="3">
        <v>2024.0</v>
      </c>
      <c r="K1284" s="4" t="str">
        <f>VLOOKUP($C1284,Userpass!$A$2:$R$3001,2,FALSE)</f>
        <v>akl20249219.siswa@smkn12malang.sch.id</v>
      </c>
    </row>
    <row r="1285" hidden="1">
      <c r="A1285" s="3" t="str">
        <f t="shared" si="1"/>
        <v>OK</v>
      </c>
      <c r="B1285" s="3" t="str">
        <f t="shared" si="2"/>
        <v>OK</v>
      </c>
      <c r="C1285" s="3">
        <v>8654.0</v>
      </c>
      <c r="D1285" s="4" t="s">
        <v>3188</v>
      </c>
      <c r="E1285" s="3" t="s">
        <v>3189</v>
      </c>
      <c r="F1285" s="3" t="s">
        <v>17</v>
      </c>
      <c r="G1285" s="3" t="str">
        <f t="shared" si="3"/>
        <v>XIAKL3</v>
      </c>
      <c r="H1285" s="3" t="str">
        <f>VLOOKUP($C1285,Userpass!$A$2:$L$3001,12,FALSE)</f>
        <v>AKL3</v>
      </c>
      <c r="I1285" s="5" t="s">
        <v>3045</v>
      </c>
      <c r="J1285" s="3">
        <v>2024.0</v>
      </c>
      <c r="K1285" s="4" t="str">
        <f>VLOOKUP($C1285,Userpass!$A$2:$R$3001,2,FALSE)</f>
        <v>akl20248654.siswa@smkn12malang.sch.id</v>
      </c>
    </row>
    <row r="1286" hidden="1">
      <c r="A1286" s="3" t="str">
        <f t="shared" si="1"/>
        <v>OK</v>
      </c>
      <c r="B1286" s="3" t="str">
        <f t="shared" si="2"/>
        <v>OK</v>
      </c>
      <c r="C1286" s="3">
        <v>8692.0</v>
      </c>
      <c r="D1286" s="4" t="s">
        <v>3190</v>
      </c>
      <c r="E1286" s="3" t="s">
        <v>3191</v>
      </c>
      <c r="F1286" s="3" t="s">
        <v>13</v>
      </c>
      <c r="G1286" s="3" t="str">
        <f t="shared" si="3"/>
        <v>XIAKL3</v>
      </c>
      <c r="H1286" s="3" t="str">
        <f>VLOOKUP($C1286,Userpass!$A$2:$L$3001,12,FALSE)</f>
        <v>AKL3</v>
      </c>
      <c r="I1286" s="5" t="s">
        <v>3045</v>
      </c>
      <c r="J1286" s="3">
        <v>2024.0</v>
      </c>
      <c r="K1286" s="4" t="str">
        <f>VLOOKUP($C1286,Userpass!$A$2:$R$3001,2,FALSE)</f>
        <v>akl20248692.siswa@smkn12malang.sch.id</v>
      </c>
    </row>
    <row r="1287" hidden="1">
      <c r="A1287" s="3" t="str">
        <f t="shared" si="1"/>
        <v>OK</v>
      </c>
      <c r="B1287" s="3" t="str">
        <f t="shared" si="2"/>
        <v>OK</v>
      </c>
      <c r="C1287" s="3">
        <v>8694.0</v>
      </c>
      <c r="D1287" s="4" t="s">
        <v>3192</v>
      </c>
      <c r="E1287" s="3" t="s">
        <v>3193</v>
      </c>
      <c r="F1287" s="3" t="s">
        <v>13</v>
      </c>
      <c r="G1287" s="3" t="str">
        <f t="shared" si="3"/>
        <v>XIAKL3</v>
      </c>
      <c r="H1287" s="3" t="str">
        <f>VLOOKUP($C1287,Userpass!$A$2:$L$3001,12,FALSE)</f>
        <v>AKL3</v>
      </c>
      <c r="I1287" s="5" t="s">
        <v>3045</v>
      </c>
      <c r="J1287" s="3">
        <v>2024.0</v>
      </c>
      <c r="K1287" s="4" t="str">
        <f>VLOOKUP($C1287,Userpass!$A$2:$R$3001,2,FALSE)</f>
        <v>akl20248694.siswa@smkn12malang.sch.id</v>
      </c>
    </row>
    <row r="1288" hidden="1">
      <c r="A1288" s="3" t="str">
        <f t="shared" si="1"/>
        <v>OK</v>
      </c>
      <c r="B1288" s="3" t="str">
        <f t="shared" si="2"/>
        <v>OK</v>
      </c>
      <c r="C1288" s="3">
        <v>8709.0</v>
      </c>
      <c r="D1288" s="4" t="s">
        <v>3194</v>
      </c>
      <c r="E1288" s="3" t="s">
        <v>3195</v>
      </c>
      <c r="F1288" s="3" t="s">
        <v>13</v>
      </c>
      <c r="G1288" s="3" t="str">
        <f t="shared" si="3"/>
        <v>XIAKL3</v>
      </c>
      <c r="H1288" s="3" t="str">
        <f>VLOOKUP($C1288,Userpass!$A$2:$L$3001,12,FALSE)</f>
        <v>AKL3</v>
      </c>
      <c r="I1288" s="5" t="s">
        <v>3045</v>
      </c>
      <c r="J1288" s="3">
        <v>2024.0</v>
      </c>
      <c r="K1288" s="4" t="str">
        <f>VLOOKUP($C1288,Userpass!$A$2:$R$3001,2,FALSE)</f>
        <v>akl20248709.siswa@smkn12malang.sch.id</v>
      </c>
    </row>
    <row r="1289" hidden="1">
      <c r="A1289" s="3" t="str">
        <f t="shared" si="1"/>
        <v>OK</v>
      </c>
      <c r="B1289" s="3" t="str">
        <f t="shared" si="2"/>
        <v>OK</v>
      </c>
      <c r="C1289" s="3">
        <v>8734.0</v>
      </c>
      <c r="D1289" s="4" t="s">
        <v>3196</v>
      </c>
      <c r="E1289" s="3" t="s">
        <v>3197</v>
      </c>
      <c r="F1289" s="3" t="s">
        <v>13</v>
      </c>
      <c r="G1289" s="3" t="str">
        <f t="shared" si="3"/>
        <v>XIAKL3</v>
      </c>
      <c r="H1289" s="3" t="str">
        <f>VLOOKUP($C1289,Userpass!$A$2:$L$3001,12,FALSE)</f>
        <v>AKL3</v>
      </c>
      <c r="I1289" s="5" t="s">
        <v>3045</v>
      </c>
      <c r="J1289" s="3">
        <v>2024.0</v>
      </c>
      <c r="K1289" s="4" t="str">
        <f>VLOOKUP($C1289,Userpass!$A$2:$R$3001,2,FALSE)</f>
        <v>akl20248734.siswa@smkn12malang.sch.id</v>
      </c>
    </row>
    <row r="1290" hidden="1">
      <c r="A1290" s="3" t="str">
        <f t="shared" si="1"/>
        <v>OK</v>
      </c>
      <c r="B1290" s="3" t="str">
        <f t="shared" si="2"/>
        <v>OK</v>
      </c>
      <c r="C1290" s="3">
        <v>8807.0</v>
      </c>
      <c r="D1290" s="4" t="s">
        <v>3198</v>
      </c>
      <c r="E1290" s="3" t="s">
        <v>3199</v>
      </c>
      <c r="F1290" s="3" t="s">
        <v>13</v>
      </c>
      <c r="G1290" s="3" t="str">
        <f t="shared" si="3"/>
        <v>XIAKL3</v>
      </c>
      <c r="H1290" s="3" t="str">
        <f>VLOOKUP($C1290,Userpass!$A$2:$L$3001,12,FALSE)</f>
        <v>AKL3</v>
      </c>
      <c r="I1290" s="5" t="s">
        <v>3045</v>
      </c>
      <c r="J1290" s="3">
        <v>2024.0</v>
      </c>
      <c r="K1290" s="4" t="str">
        <f>VLOOKUP($C1290,Userpass!$A$2:$R$3001,2,FALSE)</f>
        <v>akl20248807.siswa@smkn12malang.sch.id</v>
      </c>
    </row>
    <row r="1291" hidden="1">
      <c r="A1291" s="3" t="str">
        <f t="shared" si="1"/>
        <v>OK</v>
      </c>
      <c r="B1291" s="3" t="str">
        <f t="shared" si="2"/>
        <v>OK</v>
      </c>
      <c r="C1291" s="3">
        <v>8808.0</v>
      </c>
      <c r="D1291" s="4" t="s">
        <v>3200</v>
      </c>
      <c r="E1291" s="3" t="s">
        <v>3201</v>
      </c>
      <c r="F1291" s="3" t="s">
        <v>13</v>
      </c>
      <c r="G1291" s="3" t="str">
        <f t="shared" si="3"/>
        <v>XIAKL3</v>
      </c>
      <c r="H1291" s="3" t="str">
        <f>VLOOKUP($C1291,Userpass!$A$2:$L$3001,12,FALSE)</f>
        <v>AKL3</v>
      </c>
      <c r="I1291" s="5" t="s">
        <v>3045</v>
      </c>
      <c r="J1291" s="3">
        <v>2024.0</v>
      </c>
      <c r="K1291" s="4" t="str">
        <f>VLOOKUP($C1291,Userpass!$A$2:$R$3001,2,FALSE)</f>
        <v>akl20248808.siswa@smkn12malang.sch.id</v>
      </c>
    </row>
    <row r="1292" hidden="1">
      <c r="A1292" s="3" t="str">
        <f t="shared" si="1"/>
        <v>OK</v>
      </c>
      <c r="B1292" s="3" t="str">
        <f t="shared" si="2"/>
        <v>OK</v>
      </c>
      <c r="C1292" s="3">
        <v>8816.0</v>
      </c>
      <c r="D1292" s="4" t="s">
        <v>3202</v>
      </c>
      <c r="E1292" s="3" t="s">
        <v>3203</v>
      </c>
      <c r="F1292" s="3" t="s">
        <v>13</v>
      </c>
      <c r="G1292" s="3" t="str">
        <f t="shared" si="3"/>
        <v>XIAKL3</v>
      </c>
      <c r="H1292" s="3" t="str">
        <f>VLOOKUP($C1292,Userpass!$A$2:$L$3001,12,FALSE)</f>
        <v>AKL3</v>
      </c>
      <c r="I1292" s="5" t="s">
        <v>3045</v>
      </c>
      <c r="J1292" s="3">
        <v>2024.0</v>
      </c>
      <c r="K1292" s="4" t="str">
        <f>VLOOKUP($C1292,Userpass!$A$2:$R$3001,2,FALSE)</f>
        <v>akl20248816.siswa@smkn12malang.sch.id</v>
      </c>
    </row>
    <row r="1293" hidden="1">
      <c r="A1293" s="3" t="str">
        <f t="shared" si="1"/>
        <v>OK</v>
      </c>
      <c r="B1293" s="3" t="str">
        <f t="shared" si="2"/>
        <v>OK</v>
      </c>
      <c r="C1293" s="3">
        <v>8817.0</v>
      </c>
      <c r="D1293" s="4" t="s">
        <v>3204</v>
      </c>
      <c r="E1293" s="3" t="s">
        <v>3205</v>
      </c>
      <c r="F1293" s="3" t="s">
        <v>13</v>
      </c>
      <c r="G1293" s="3" t="str">
        <f t="shared" si="3"/>
        <v>XIAKL3</v>
      </c>
      <c r="H1293" s="3" t="str">
        <f>VLOOKUP($C1293,Userpass!$A$2:$L$3001,12,FALSE)</f>
        <v>AKL3</v>
      </c>
      <c r="I1293" s="5" t="s">
        <v>3045</v>
      </c>
      <c r="J1293" s="3">
        <v>2024.0</v>
      </c>
      <c r="K1293" s="4" t="str">
        <f>VLOOKUP($C1293,Userpass!$A$2:$R$3001,2,FALSE)</f>
        <v>akl20248817.siswa@smkn12malang.sch.id</v>
      </c>
    </row>
    <row r="1294" hidden="1">
      <c r="A1294" s="3" t="str">
        <f t="shared" si="1"/>
        <v>OK</v>
      </c>
      <c r="B1294" s="3" t="str">
        <f t="shared" si="2"/>
        <v>OK</v>
      </c>
      <c r="C1294" s="3">
        <v>8821.0</v>
      </c>
      <c r="D1294" s="4" t="s">
        <v>3206</v>
      </c>
      <c r="E1294" s="3" t="s">
        <v>3207</v>
      </c>
      <c r="F1294" s="3" t="s">
        <v>13</v>
      </c>
      <c r="G1294" s="3" t="str">
        <f t="shared" si="3"/>
        <v>XIAKL3</v>
      </c>
      <c r="H1294" s="3" t="str">
        <f>VLOOKUP($C1294,Userpass!$A$2:$L$3001,12,FALSE)</f>
        <v>AKL3</v>
      </c>
      <c r="I1294" s="5" t="s">
        <v>3045</v>
      </c>
      <c r="J1294" s="3">
        <v>2024.0</v>
      </c>
      <c r="K1294" s="4" t="str">
        <f>VLOOKUP($C1294,Userpass!$A$2:$R$3001,2,FALSE)</f>
        <v>akl20248821.siswa@smkn12malang.sch.id</v>
      </c>
    </row>
    <row r="1295" hidden="1">
      <c r="A1295" s="3" t="str">
        <f t="shared" si="1"/>
        <v>OK</v>
      </c>
      <c r="B1295" s="3" t="str">
        <f t="shared" si="2"/>
        <v>OK</v>
      </c>
      <c r="C1295" s="3">
        <v>8838.0</v>
      </c>
      <c r="D1295" s="4" t="s">
        <v>3208</v>
      </c>
      <c r="E1295" s="3" t="s">
        <v>3209</v>
      </c>
      <c r="F1295" s="3" t="s">
        <v>13</v>
      </c>
      <c r="G1295" s="3" t="str">
        <f t="shared" si="3"/>
        <v>XIAKL3</v>
      </c>
      <c r="H1295" s="3" t="str">
        <f>VLOOKUP($C1295,Userpass!$A$2:$L$3001,12,FALSE)</f>
        <v>AKL3</v>
      </c>
      <c r="I1295" s="5" t="s">
        <v>3045</v>
      </c>
      <c r="J1295" s="3">
        <v>2024.0</v>
      </c>
      <c r="K1295" s="4" t="str">
        <f>VLOOKUP($C1295,Userpass!$A$2:$R$3001,2,FALSE)</f>
        <v>akl20248838.siswa@smkn12malang.sch.id</v>
      </c>
    </row>
    <row r="1296" hidden="1">
      <c r="A1296" s="3" t="str">
        <f t="shared" si="1"/>
        <v>OK</v>
      </c>
      <c r="B1296" s="3" t="str">
        <f t="shared" si="2"/>
        <v>OK</v>
      </c>
      <c r="C1296" s="3">
        <v>8848.0</v>
      </c>
      <c r="D1296" s="4" t="s">
        <v>3210</v>
      </c>
      <c r="E1296" s="3" t="s">
        <v>3211</v>
      </c>
      <c r="F1296" s="3" t="s">
        <v>13</v>
      </c>
      <c r="G1296" s="3" t="str">
        <f t="shared" si="3"/>
        <v>XIAKL3</v>
      </c>
      <c r="H1296" s="3" t="str">
        <f>VLOOKUP($C1296,Userpass!$A$2:$L$3001,12,FALSE)</f>
        <v>AKL3</v>
      </c>
      <c r="I1296" s="5" t="s">
        <v>3045</v>
      </c>
      <c r="J1296" s="3">
        <v>2024.0</v>
      </c>
      <c r="K1296" s="4" t="str">
        <f>VLOOKUP($C1296,Userpass!$A$2:$R$3001,2,FALSE)</f>
        <v>akl20248848.siswa@smkn12malang.sch.id</v>
      </c>
    </row>
    <row r="1297" hidden="1">
      <c r="A1297" s="3" t="str">
        <f t="shared" si="1"/>
        <v>OK</v>
      </c>
      <c r="B1297" s="3" t="str">
        <f t="shared" si="2"/>
        <v>OK</v>
      </c>
      <c r="C1297" s="3">
        <v>8849.0</v>
      </c>
      <c r="D1297" s="4" t="s">
        <v>3212</v>
      </c>
      <c r="E1297" s="3" t="s">
        <v>3213</v>
      </c>
      <c r="F1297" s="3" t="s">
        <v>13</v>
      </c>
      <c r="G1297" s="3" t="str">
        <f t="shared" si="3"/>
        <v>XIAKL3</v>
      </c>
      <c r="H1297" s="3" t="str">
        <f>VLOOKUP($C1297,Userpass!$A$2:$L$3001,12,FALSE)</f>
        <v>AKL3</v>
      </c>
      <c r="I1297" s="5" t="s">
        <v>3045</v>
      </c>
      <c r="J1297" s="3">
        <v>2024.0</v>
      </c>
      <c r="K1297" s="4" t="str">
        <f>VLOOKUP($C1297,Userpass!$A$2:$R$3001,2,FALSE)</f>
        <v>akl20248849.siswa@smkn12malang.sch.id</v>
      </c>
    </row>
    <row r="1298" hidden="1">
      <c r="A1298" s="3" t="str">
        <f t="shared" si="1"/>
        <v>OK</v>
      </c>
      <c r="B1298" s="3" t="str">
        <f t="shared" si="2"/>
        <v>OK</v>
      </c>
      <c r="C1298" s="3">
        <v>8852.0</v>
      </c>
      <c r="D1298" s="4" t="s">
        <v>3214</v>
      </c>
      <c r="E1298" s="3" t="s">
        <v>3215</v>
      </c>
      <c r="F1298" s="3" t="s">
        <v>13</v>
      </c>
      <c r="G1298" s="3" t="str">
        <f t="shared" si="3"/>
        <v>XIAKL3</v>
      </c>
      <c r="H1298" s="3" t="str">
        <f>VLOOKUP($C1298,Userpass!$A$2:$L$3001,12,FALSE)</f>
        <v>AKL3</v>
      </c>
      <c r="I1298" s="5" t="s">
        <v>3045</v>
      </c>
      <c r="J1298" s="3">
        <v>2024.0</v>
      </c>
      <c r="K1298" s="4" t="str">
        <f>VLOOKUP($C1298,Userpass!$A$2:$R$3001,2,FALSE)</f>
        <v>akl20248852.siswa@smkn12malang.sch.id</v>
      </c>
    </row>
    <row r="1299" hidden="1">
      <c r="A1299" s="3" t="str">
        <f t="shared" si="1"/>
        <v>OK</v>
      </c>
      <c r="B1299" s="3" t="str">
        <f t="shared" si="2"/>
        <v>OK</v>
      </c>
      <c r="C1299" s="3">
        <v>8853.0</v>
      </c>
      <c r="D1299" s="4" t="s">
        <v>3216</v>
      </c>
      <c r="E1299" s="3" t="s">
        <v>3217</v>
      </c>
      <c r="F1299" s="3" t="s">
        <v>17</v>
      </c>
      <c r="G1299" s="3" t="str">
        <f t="shared" si="3"/>
        <v>XIAKL3</v>
      </c>
      <c r="H1299" s="3" t="str">
        <f>VLOOKUP($C1299,Userpass!$A$2:$L$3001,12,FALSE)</f>
        <v>AKL3</v>
      </c>
      <c r="I1299" s="5" t="s">
        <v>3045</v>
      </c>
      <c r="J1299" s="3">
        <v>2024.0</v>
      </c>
      <c r="K1299" s="4" t="str">
        <f>VLOOKUP($C1299,Userpass!$A$2:$R$3001,2,FALSE)</f>
        <v>akl20248853.siswa@smkn12malang.sch.id</v>
      </c>
    </row>
    <row r="1300" hidden="1">
      <c r="A1300" s="3" t="str">
        <f t="shared" si="1"/>
        <v>OK</v>
      </c>
      <c r="B1300" s="3" t="str">
        <f t="shared" si="2"/>
        <v>OK</v>
      </c>
      <c r="C1300" s="3">
        <v>8861.0</v>
      </c>
      <c r="D1300" s="4" t="s">
        <v>3218</v>
      </c>
      <c r="E1300" s="3" t="s">
        <v>3219</v>
      </c>
      <c r="F1300" s="3" t="s">
        <v>17</v>
      </c>
      <c r="G1300" s="3" t="str">
        <f t="shared" si="3"/>
        <v>XIAKL3</v>
      </c>
      <c r="H1300" s="3" t="str">
        <f>VLOOKUP($C1300,Userpass!$A$2:$L$3001,12,FALSE)</f>
        <v>AKL3</v>
      </c>
      <c r="I1300" s="5" t="s">
        <v>3045</v>
      </c>
      <c r="J1300" s="3">
        <v>2024.0</v>
      </c>
      <c r="K1300" s="4" t="str">
        <f>VLOOKUP($C1300,Userpass!$A$2:$R$3001,2,FALSE)</f>
        <v>akl20248861.siswa@smkn12malang.sch.id</v>
      </c>
    </row>
    <row r="1301" hidden="1">
      <c r="A1301" s="3" t="str">
        <f t="shared" si="1"/>
        <v>OK</v>
      </c>
      <c r="B1301" s="3" t="str">
        <f t="shared" si="2"/>
        <v>OK</v>
      </c>
      <c r="C1301" s="3">
        <v>8869.0</v>
      </c>
      <c r="D1301" s="4" t="s">
        <v>3220</v>
      </c>
      <c r="E1301" s="3" t="s">
        <v>3221</v>
      </c>
      <c r="F1301" s="3" t="s">
        <v>13</v>
      </c>
      <c r="G1301" s="3" t="str">
        <f t="shared" si="3"/>
        <v>XIAKL3</v>
      </c>
      <c r="H1301" s="3" t="str">
        <f>VLOOKUP($C1301,Userpass!$A$2:$L$3001,12,FALSE)</f>
        <v>AKL3</v>
      </c>
      <c r="I1301" s="5" t="s">
        <v>3045</v>
      </c>
      <c r="J1301" s="3">
        <v>2024.0</v>
      </c>
      <c r="K1301" s="4" t="str">
        <f>VLOOKUP($C1301,Userpass!$A$2:$R$3001,2,FALSE)</f>
        <v>akl20248869.siswa@smkn12malang.sch.id</v>
      </c>
    </row>
    <row r="1302" hidden="1">
      <c r="A1302" s="3" t="str">
        <f t="shared" si="1"/>
        <v>OK</v>
      </c>
      <c r="B1302" s="3" t="str">
        <f t="shared" si="2"/>
        <v>OK</v>
      </c>
      <c r="C1302" s="3">
        <v>8891.0</v>
      </c>
      <c r="D1302" s="4" t="s">
        <v>3222</v>
      </c>
      <c r="E1302" s="3" t="s">
        <v>3223</v>
      </c>
      <c r="F1302" s="3" t="s">
        <v>13</v>
      </c>
      <c r="G1302" s="3" t="str">
        <f t="shared" si="3"/>
        <v>XIAKL3</v>
      </c>
      <c r="H1302" s="3" t="str">
        <f>VLOOKUP($C1302,Userpass!$A$2:$L$3001,12,FALSE)</f>
        <v>AKL3</v>
      </c>
      <c r="I1302" s="5" t="s">
        <v>3045</v>
      </c>
      <c r="J1302" s="3">
        <v>2024.0</v>
      </c>
      <c r="K1302" s="4" t="str">
        <f>VLOOKUP($C1302,Userpass!$A$2:$R$3001,2,FALSE)</f>
        <v>akl20248891.siswa@smkn12malang.sch.id</v>
      </c>
    </row>
    <row r="1303" hidden="1">
      <c r="A1303" s="3" t="str">
        <f t="shared" si="1"/>
        <v>OK</v>
      </c>
      <c r="B1303" s="3" t="str">
        <f t="shared" si="2"/>
        <v>OK</v>
      </c>
      <c r="C1303" s="3">
        <v>8906.0</v>
      </c>
      <c r="D1303" s="4" t="s">
        <v>3224</v>
      </c>
      <c r="E1303" s="3" t="s">
        <v>3225</v>
      </c>
      <c r="F1303" s="3" t="s">
        <v>13</v>
      </c>
      <c r="G1303" s="3" t="str">
        <f t="shared" si="3"/>
        <v>XIAKL3</v>
      </c>
      <c r="H1303" s="3" t="str">
        <f>VLOOKUP($C1303,Userpass!$A$2:$L$3001,12,FALSE)</f>
        <v>AKL3</v>
      </c>
      <c r="I1303" s="5" t="s">
        <v>3045</v>
      </c>
      <c r="J1303" s="3">
        <v>2024.0</v>
      </c>
      <c r="K1303" s="4" t="str">
        <f>VLOOKUP($C1303,Userpass!$A$2:$R$3001,2,FALSE)</f>
        <v>akl20248906.siswa@smkn12malang.sch.id</v>
      </c>
    </row>
    <row r="1304" hidden="1">
      <c r="A1304" s="3" t="str">
        <f t="shared" si="1"/>
        <v>OK</v>
      </c>
      <c r="B1304" s="3" t="str">
        <f t="shared" si="2"/>
        <v>OK</v>
      </c>
      <c r="C1304" s="3">
        <v>8936.0</v>
      </c>
      <c r="D1304" s="4" t="s">
        <v>3226</v>
      </c>
      <c r="E1304" s="3" t="s">
        <v>3227</v>
      </c>
      <c r="F1304" s="3" t="s">
        <v>13</v>
      </c>
      <c r="G1304" s="3" t="str">
        <f t="shared" si="3"/>
        <v>XIAKL3</v>
      </c>
      <c r="H1304" s="3" t="str">
        <f>VLOOKUP($C1304,Userpass!$A$2:$L$3001,12,FALSE)</f>
        <v>AKL3</v>
      </c>
      <c r="I1304" s="5" t="s">
        <v>3045</v>
      </c>
      <c r="J1304" s="3">
        <v>2024.0</v>
      </c>
      <c r="K1304" s="4" t="str">
        <f>VLOOKUP($C1304,Userpass!$A$2:$R$3001,2,FALSE)</f>
        <v>akl20248936.siswa@smkn12malang.sch.id</v>
      </c>
    </row>
    <row r="1305" hidden="1">
      <c r="A1305" s="3" t="str">
        <f t="shared" si="1"/>
        <v>OK</v>
      </c>
      <c r="B1305" s="3" t="str">
        <f t="shared" si="2"/>
        <v>OK</v>
      </c>
      <c r="C1305" s="3">
        <v>8965.0</v>
      </c>
      <c r="D1305" s="4" t="s">
        <v>3228</v>
      </c>
      <c r="E1305" s="3" t="s">
        <v>3229</v>
      </c>
      <c r="F1305" s="3" t="s">
        <v>13</v>
      </c>
      <c r="G1305" s="3" t="str">
        <f t="shared" si="3"/>
        <v>XIAKL3</v>
      </c>
      <c r="H1305" s="3" t="str">
        <f>VLOOKUP($C1305,Userpass!$A$2:$L$3001,12,FALSE)</f>
        <v>AKL3</v>
      </c>
      <c r="I1305" s="5" t="s">
        <v>3045</v>
      </c>
      <c r="J1305" s="3">
        <v>2024.0</v>
      </c>
      <c r="K1305" s="4" t="str">
        <f>VLOOKUP($C1305,Userpass!$A$2:$R$3001,2,FALSE)</f>
        <v>akl20248965.siswa@smkn12malang.sch.id</v>
      </c>
    </row>
    <row r="1306" hidden="1">
      <c r="A1306" s="3" t="str">
        <f t="shared" si="1"/>
        <v>OK</v>
      </c>
      <c r="B1306" s="3" t="str">
        <f t="shared" si="2"/>
        <v>OK</v>
      </c>
      <c r="C1306" s="3">
        <v>8968.0</v>
      </c>
      <c r="D1306" s="4" t="s">
        <v>3230</v>
      </c>
      <c r="E1306" s="3" t="s">
        <v>3231</v>
      </c>
      <c r="F1306" s="3" t="s">
        <v>13</v>
      </c>
      <c r="G1306" s="3" t="str">
        <f t="shared" si="3"/>
        <v>XIAKL3</v>
      </c>
      <c r="H1306" s="3" t="str">
        <f>VLOOKUP($C1306,Userpass!$A$2:$L$3001,12,FALSE)</f>
        <v>AKL3</v>
      </c>
      <c r="I1306" s="5" t="s">
        <v>3045</v>
      </c>
      <c r="J1306" s="3">
        <v>2024.0</v>
      </c>
      <c r="K1306" s="4" t="str">
        <f>VLOOKUP($C1306,Userpass!$A$2:$R$3001,2,FALSE)</f>
        <v>akl20248968.siswa@smkn12malang.sch.id</v>
      </c>
    </row>
    <row r="1307" hidden="1">
      <c r="A1307" s="3" t="str">
        <f t="shared" si="1"/>
        <v>OK</v>
      </c>
      <c r="B1307" s="3" t="str">
        <f t="shared" si="2"/>
        <v>OK</v>
      </c>
      <c r="C1307" s="3">
        <v>9021.0</v>
      </c>
      <c r="D1307" s="4" t="s">
        <v>3232</v>
      </c>
      <c r="E1307" s="3" t="s">
        <v>3233</v>
      </c>
      <c r="F1307" s="3" t="s">
        <v>17</v>
      </c>
      <c r="G1307" s="3" t="str">
        <f t="shared" si="3"/>
        <v>XIAKL3</v>
      </c>
      <c r="H1307" s="3" t="str">
        <f>VLOOKUP($C1307,Userpass!$A$2:$L$3001,12,FALSE)</f>
        <v>AKL3</v>
      </c>
      <c r="I1307" s="5" t="s">
        <v>3045</v>
      </c>
      <c r="J1307" s="3">
        <v>2024.0</v>
      </c>
      <c r="K1307" s="4" t="str">
        <f>VLOOKUP($C1307,Userpass!$A$2:$R$3001,2,FALSE)</f>
        <v>akl20249021.siswa@smkn12malang.sch.id</v>
      </c>
    </row>
    <row r="1308" hidden="1">
      <c r="A1308" s="3" t="str">
        <f t="shared" si="1"/>
        <v>OK</v>
      </c>
      <c r="B1308" s="3" t="str">
        <f t="shared" si="2"/>
        <v>OK</v>
      </c>
      <c r="C1308" s="3">
        <v>9047.0</v>
      </c>
      <c r="D1308" s="4" t="s">
        <v>3234</v>
      </c>
      <c r="E1308" s="3" t="s">
        <v>3235</v>
      </c>
      <c r="F1308" s="3" t="s">
        <v>13</v>
      </c>
      <c r="G1308" s="3" t="str">
        <f t="shared" si="3"/>
        <v>XIAKL3</v>
      </c>
      <c r="H1308" s="3" t="str">
        <f>VLOOKUP($C1308,Userpass!$A$2:$L$3001,12,FALSE)</f>
        <v>AKL3</v>
      </c>
      <c r="I1308" s="5" t="s">
        <v>3045</v>
      </c>
      <c r="J1308" s="3">
        <v>2024.0</v>
      </c>
      <c r="K1308" s="4" t="str">
        <f>VLOOKUP($C1308,Userpass!$A$2:$R$3001,2,FALSE)</f>
        <v>akl20249047.siswa@smkn12malang.sch.id</v>
      </c>
    </row>
    <row r="1309" hidden="1">
      <c r="A1309" s="3" t="str">
        <f t="shared" si="1"/>
        <v>OK</v>
      </c>
      <c r="B1309" s="3" t="str">
        <f t="shared" si="2"/>
        <v>OK</v>
      </c>
      <c r="C1309" s="3">
        <v>9050.0</v>
      </c>
      <c r="D1309" s="4" t="s">
        <v>3236</v>
      </c>
      <c r="E1309" s="3" t="s">
        <v>3237</v>
      </c>
      <c r="F1309" s="3" t="s">
        <v>13</v>
      </c>
      <c r="G1309" s="3" t="str">
        <f t="shared" si="3"/>
        <v>XIAKL3</v>
      </c>
      <c r="H1309" s="3" t="str">
        <f>VLOOKUP($C1309,Userpass!$A$2:$L$3001,12,FALSE)</f>
        <v>AKL3</v>
      </c>
      <c r="I1309" s="5" t="s">
        <v>3045</v>
      </c>
      <c r="J1309" s="3">
        <v>2024.0</v>
      </c>
      <c r="K1309" s="4" t="str">
        <f>VLOOKUP($C1309,Userpass!$A$2:$R$3001,2,FALSE)</f>
        <v>akl20249050.siswa@smkn12malang.sch.id</v>
      </c>
    </row>
    <row r="1310" hidden="1">
      <c r="A1310" s="3" t="str">
        <f t="shared" si="1"/>
        <v>OK</v>
      </c>
      <c r="B1310" s="3" t="str">
        <f t="shared" si="2"/>
        <v>OK</v>
      </c>
      <c r="C1310" s="3">
        <v>9053.0</v>
      </c>
      <c r="D1310" s="4" t="s">
        <v>3238</v>
      </c>
      <c r="E1310" s="3" t="s">
        <v>3239</v>
      </c>
      <c r="F1310" s="3" t="s">
        <v>13</v>
      </c>
      <c r="G1310" s="3" t="str">
        <f t="shared" si="3"/>
        <v>XIAKL3</v>
      </c>
      <c r="H1310" s="3" t="str">
        <f>VLOOKUP($C1310,Userpass!$A$2:$L$3001,12,FALSE)</f>
        <v>AKL3</v>
      </c>
      <c r="I1310" s="5" t="s">
        <v>3045</v>
      </c>
      <c r="J1310" s="3">
        <v>2024.0</v>
      </c>
      <c r="K1310" s="4" t="str">
        <f>VLOOKUP($C1310,Userpass!$A$2:$R$3001,2,FALSE)</f>
        <v>akl20249053.siswa@smkn12malang.sch.id</v>
      </c>
    </row>
    <row r="1311" hidden="1">
      <c r="A1311" s="3" t="str">
        <f t="shared" si="1"/>
        <v>OK</v>
      </c>
      <c r="B1311" s="3" t="str">
        <f t="shared" si="2"/>
        <v>OK</v>
      </c>
      <c r="C1311" s="3">
        <v>9068.0</v>
      </c>
      <c r="D1311" s="4" t="s">
        <v>3240</v>
      </c>
      <c r="E1311" s="3" t="s">
        <v>3241</v>
      </c>
      <c r="F1311" s="3" t="s">
        <v>13</v>
      </c>
      <c r="G1311" s="3" t="str">
        <f t="shared" si="3"/>
        <v>XIAKL3</v>
      </c>
      <c r="H1311" s="3" t="str">
        <f>VLOOKUP($C1311,Userpass!$A$2:$L$3001,12,FALSE)</f>
        <v>AKL3</v>
      </c>
      <c r="I1311" s="5" t="s">
        <v>3045</v>
      </c>
      <c r="J1311" s="3">
        <v>2024.0</v>
      </c>
      <c r="K1311" s="4" t="str">
        <f>VLOOKUP($C1311,Userpass!$A$2:$R$3001,2,FALSE)</f>
        <v>akl20249068.siswa@smkn12malang.sch.id</v>
      </c>
    </row>
    <row r="1312" hidden="1">
      <c r="A1312" s="3" t="str">
        <f t="shared" si="1"/>
        <v>OK</v>
      </c>
      <c r="B1312" s="3" t="str">
        <f t="shared" si="2"/>
        <v>OK</v>
      </c>
      <c r="C1312" s="3">
        <v>9074.0</v>
      </c>
      <c r="D1312" s="4" t="s">
        <v>3242</v>
      </c>
      <c r="E1312" s="3" t="s">
        <v>3243</v>
      </c>
      <c r="F1312" s="3" t="s">
        <v>13</v>
      </c>
      <c r="G1312" s="3" t="str">
        <f t="shared" si="3"/>
        <v>XIAKL3</v>
      </c>
      <c r="H1312" s="3" t="str">
        <f>VLOOKUP($C1312,Userpass!$A$2:$L$3001,12,FALSE)</f>
        <v>AKL3</v>
      </c>
      <c r="I1312" s="5" t="s">
        <v>3045</v>
      </c>
      <c r="J1312" s="3">
        <v>2024.0</v>
      </c>
      <c r="K1312" s="4" t="str">
        <f>VLOOKUP($C1312,Userpass!$A$2:$R$3001,2,FALSE)</f>
        <v>akl20249074.siswa@smkn12malang.sch.id</v>
      </c>
    </row>
    <row r="1313" hidden="1">
      <c r="A1313" s="3" t="str">
        <f t="shared" si="1"/>
        <v>OK</v>
      </c>
      <c r="B1313" s="3" t="str">
        <f t="shared" si="2"/>
        <v>OK</v>
      </c>
      <c r="C1313" s="3">
        <v>9081.0</v>
      </c>
      <c r="D1313" s="4" t="s">
        <v>3244</v>
      </c>
      <c r="E1313" s="3" t="s">
        <v>3245</v>
      </c>
      <c r="F1313" s="3" t="s">
        <v>13</v>
      </c>
      <c r="G1313" s="3" t="str">
        <f t="shared" si="3"/>
        <v>XIAKL3</v>
      </c>
      <c r="H1313" s="3" t="str">
        <f>VLOOKUP($C1313,Userpass!$A$2:$L$3001,12,FALSE)</f>
        <v>AKL3</v>
      </c>
      <c r="I1313" s="5" t="s">
        <v>3045</v>
      </c>
      <c r="J1313" s="3">
        <v>2024.0</v>
      </c>
      <c r="K1313" s="4" t="str">
        <f>VLOOKUP($C1313,Userpass!$A$2:$R$3001,2,FALSE)</f>
        <v>akl20249081.siswa@smkn12malang.sch.id</v>
      </c>
    </row>
    <row r="1314" hidden="1">
      <c r="A1314" s="3" t="str">
        <f t="shared" si="1"/>
        <v>OK</v>
      </c>
      <c r="B1314" s="3" t="str">
        <f t="shared" si="2"/>
        <v>OK</v>
      </c>
      <c r="C1314" s="3">
        <v>9082.0</v>
      </c>
      <c r="D1314" s="4" t="s">
        <v>3246</v>
      </c>
      <c r="E1314" s="3" t="s">
        <v>3247</v>
      </c>
      <c r="F1314" s="3" t="s">
        <v>13</v>
      </c>
      <c r="G1314" s="3" t="str">
        <f t="shared" si="3"/>
        <v>XIAKL3</v>
      </c>
      <c r="H1314" s="3" t="str">
        <f>VLOOKUP($C1314,Userpass!$A$2:$L$3001,12,FALSE)</f>
        <v>AKL3</v>
      </c>
      <c r="I1314" s="5" t="s">
        <v>3045</v>
      </c>
      <c r="J1314" s="3">
        <v>2024.0</v>
      </c>
      <c r="K1314" s="4" t="str">
        <f>VLOOKUP($C1314,Userpass!$A$2:$R$3001,2,FALSE)</f>
        <v>akl20249082.siswa@smkn12malang.sch.id</v>
      </c>
    </row>
    <row r="1315" hidden="1">
      <c r="A1315" s="3" t="str">
        <f t="shared" si="1"/>
        <v>OK</v>
      </c>
      <c r="B1315" s="3" t="str">
        <f t="shared" si="2"/>
        <v>OK</v>
      </c>
      <c r="C1315" s="3">
        <v>9087.0</v>
      </c>
      <c r="D1315" s="4" t="s">
        <v>3248</v>
      </c>
      <c r="E1315" s="3" t="s">
        <v>3249</v>
      </c>
      <c r="F1315" s="3" t="s">
        <v>13</v>
      </c>
      <c r="G1315" s="3" t="str">
        <f t="shared" si="3"/>
        <v>XIAKL3</v>
      </c>
      <c r="H1315" s="3" t="str">
        <f>VLOOKUP($C1315,Userpass!$A$2:$L$3001,12,FALSE)</f>
        <v>AKL3</v>
      </c>
      <c r="I1315" s="5" t="s">
        <v>3045</v>
      </c>
      <c r="J1315" s="3">
        <v>2024.0</v>
      </c>
      <c r="K1315" s="4" t="str">
        <f>VLOOKUP($C1315,Userpass!$A$2:$R$3001,2,FALSE)</f>
        <v>akl20249087.siswa@smkn12malang.sch.id</v>
      </c>
    </row>
    <row r="1316" hidden="1">
      <c r="A1316" s="3" t="str">
        <f t="shared" si="1"/>
        <v>OK</v>
      </c>
      <c r="B1316" s="3" t="str">
        <f t="shared" si="2"/>
        <v>OK</v>
      </c>
      <c r="C1316" s="3">
        <v>9136.0</v>
      </c>
      <c r="D1316" s="4" t="s">
        <v>3250</v>
      </c>
      <c r="E1316" s="3" t="s">
        <v>3251</v>
      </c>
      <c r="F1316" s="3" t="s">
        <v>13</v>
      </c>
      <c r="G1316" s="3" t="str">
        <f t="shared" si="3"/>
        <v>XIAKL3</v>
      </c>
      <c r="H1316" s="3" t="str">
        <f>VLOOKUP($C1316,Userpass!$A$2:$L$3001,12,FALSE)</f>
        <v>AKL3</v>
      </c>
      <c r="I1316" s="5" t="s">
        <v>3045</v>
      </c>
      <c r="J1316" s="3">
        <v>2024.0</v>
      </c>
      <c r="K1316" s="4" t="str">
        <f>VLOOKUP($C1316,Userpass!$A$2:$R$3001,2,FALSE)</f>
        <v>akl20249136.siswa@smkn12malang.sch.id</v>
      </c>
    </row>
    <row r="1317" hidden="1">
      <c r="A1317" s="3" t="str">
        <f t="shared" si="1"/>
        <v>OK</v>
      </c>
      <c r="B1317" s="3" t="str">
        <f t="shared" si="2"/>
        <v>OK</v>
      </c>
      <c r="C1317" s="3">
        <v>9151.0</v>
      </c>
      <c r="D1317" s="4" t="s">
        <v>3252</v>
      </c>
      <c r="E1317" s="3" t="s">
        <v>3253</v>
      </c>
      <c r="F1317" s="3" t="s">
        <v>13</v>
      </c>
      <c r="G1317" s="3" t="str">
        <f t="shared" si="3"/>
        <v>XIAKL3</v>
      </c>
      <c r="H1317" s="3" t="str">
        <f>VLOOKUP($C1317,Userpass!$A$2:$L$3001,12,FALSE)</f>
        <v>AKL3</v>
      </c>
      <c r="I1317" s="5" t="s">
        <v>3045</v>
      </c>
      <c r="J1317" s="3">
        <v>2024.0</v>
      </c>
      <c r="K1317" s="4" t="str">
        <f>VLOOKUP($C1317,Userpass!$A$2:$R$3001,2,FALSE)</f>
        <v>akl20249151.siswa@smkn12malang.sch.id</v>
      </c>
    </row>
    <row r="1318" hidden="1">
      <c r="A1318" s="3" t="str">
        <f t="shared" si="1"/>
        <v>OK</v>
      </c>
      <c r="B1318" s="3" t="str">
        <f t="shared" si="2"/>
        <v>OK</v>
      </c>
      <c r="C1318" s="3">
        <v>9175.0</v>
      </c>
      <c r="D1318" s="4" t="s">
        <v>3254</v>
      </c>
      <c r="E1318" s="3" t="s">
        <v>3255</v>
      </c>
      <c r="F1318" s="3" t="s">
        <v>13</v>
      </c>
      <c r="G1318" s="3" t="str">
        <f t="shared" si="3"/>
        <v>XIAKL3</v>
      </c>
      <c r="H1318" s="3" t="str">
        <f>VLOOKUP($C1318,Userpass!$A$2:$L$3001,12,FALSE)</f>
        <v>AKL3</v>
      </c>
      <c r="I1318" s="5" t="s">
        <v>3045</v>
      </c>
      <c r="J1318" s="3">
        <v>2024.0</v>
      </c>
      <c r="K1318" s="4" t="str">
        <f>VLOOKUP($C1318,Userpass!$A$2:$R$3001,2,FALSE)</f>
        <v>akl20249175.siswa@smkn12malang.sch.id</v>
      </c>
    </row>
    <row r="1319" hidden="1">
      <c r="A1319" s="3" t="str">
        <f t="shared" si="1"/>
        <v>OK</v>
      </c>
      <c r="B1319" s="3" t="str">
        <f t="shared" si="2"/>
        <v>OK</v>
      </c>
      <c r="C1319" s="3">
        <v>9178.0</v>
      </c>
      <c r="D1319" s="4" t="s">
        <v>3256</v>
      </c>
      <c r="E1319" s="3" t="s">
        <v>3257</v>
      </c>
      <c r="F1319" s="3" t="s">
        <v>13</v>
      </c>
      <c r="G1319" s="3" t="str">
        <f t="shared" si="3"/>
        <v>XIAKL3</v>
      </c>
      <c r="H1319" s="3" t="str">
        <f>VLOOKUP($C1319,Userpass!$A$2:$L$3001,12,FALSE)</f>
        <v>AKL3</v>
      </c>
      <c r="I1319" s="5" t="s">
        <v>3045</v>
      </c>
      <c r="J1319" s="3">
        <v>2024.0</v>
      </c>
      <c r="K1319" s="4" t="str">
        <f>VLOOKUP($C1319,Userpass!$A$2:$R$3001,2,FALSE)</f>
        <v>akl20249178.siswa@smkn12malang.sch.id</v>
      </c>
    </row>
    <row r="1320" hidden="1">
      <c r="A1320" s="3" t="str">
        <f t="shared" si="1"/>
        <v>OK</v>
      </c>
      <c r="B1320" s="3" t="str">
        <f t="shared" si="2"/>
        <v>OK</v>
      </c>
      <c r="C1320" s="3">
        <v>9217.0</v>
      </c>
      <c r="D1320" s="4" t="s">
        <v>3258</v>
      </c>
      <c r="E1320" s="3" t="s">
        <v>3259</v>
      </c>
      <c r="F1320" s="3" t="s">
        <v>13</v>
      </c>
      <c r="G1320" s="3" t="str">
        <f t="shared" si="3"/>
        <v>XIAKL3</v>
      </c>
      <c r="H1320" s="3" t="str">
        <f>VLOOKUP($C1320,Userpass!$A$2:$L$3001,12,FALSE)</f>
        <v>AKL3</v>
      </c>
      <c r="I1320" s="5" t="s">
        <v>3045</v>
      </c>
      <c r="J1320" s="3">
        <v>2024.0</v>
      </c>
      <c r="K1320" s="4" t="str">
        <f>VLOOKUP($C1320,Userpass!$A$2:$R$3001,2,FALSE)</f>
        <v>akl20249217.siswa@smkn12malang.sch.id</v>
      </c>
    </row>
    <row r="1321" hidden="1">
      <c r="A1321" s="3" t="str">
        <f t="shared" si="1"/>
        <v>OK</v>
      </c>
      <c r="B1321" s="3" t="str">
        <f t="shared" si="2"/>
        <v>OK</v>
      </c>
      <c r="C1321" s="3">
        <v>8651.0</v>
      </c>
      <c r="D1321" s="4" t="s">
        <v>3260</v>
      </c>
      <c r="E1321" s="3" t="s">
        <v>3261</v>
      </c>
      <c r="F1321" s="3" t="s">
        <v>13</v>
      </c>
      <c r="G1321" s="3" t="str">
        <f t="shared" si="3"/>
        <v>XIAKL4</v>
      </c>
      <c r="H1321" s="3" t="str">
        <f>VLOOKUP($C1321,Userpass!$A$2:$L$3001,12,FALSE)</f>
        <v>AKL4</v>
      </c>
      <c r="I1321" s="5" t="s">
        <v>3045</v>
      </c>
      <c r="J1321" s="3">
        <v>2024.0</v>
      </c>
      <c r="K1321" s="4" t="str">
        <f>VLOOKUP($C1321,Userpass!$A$2:$R$3001,2,FALSE)</f>
        <v>akl20248651.siswa@smkn12malang.sch.id</v>
      </c>
    </row>
    <row r="1322" hidden="1">
      <c r="A1322" s="3" t="str">
        <f t="shared" si="1"/>
        <v>OK</v>
      </c>
      <c r="B1322" s="3" t="str">
        <f t="shared" si="2"/>
        <v>OK</v>
      </c>
      <c r="C1322" s="3">
        <v>8699.0</v>
      </c>
      <c r="D1322" s="4" t="s">
        <v>3262</v>
      </c>
      <c r="E1322" s="3" t="s">
        <v>3263</v>
      </c>
      <c r="F1322" s="3" t="s">
        <v>13</v>
      </c>
      <c r="G1322" s="3" t="str">
        <f t="shared" si="3"/>
        <v>XIAKL4</v>
      </c>
      <c r="H1322" s="3" t="str">
        <f>VLOOKUP($C1322,Userpass!$A$2:$L$3001,12,FALSE)</f>
        <v>AKL4</v>
      </c>
      <c r="I1322" s="5" t="s">
        <v>3045</v>
      </c>
      <c r="J1322" s="3">
        <v>2024.0</v>
      </c>
      <c r="K1322" s="4" t="str">
        <f>VLOOKUP($C1322,Userpass!$A$2:$R$3001,2,FALSE)</f>
        <v>akl20248699.siswa@smkn12malang.sch.id</v>
      </c>
    </row>
    <row r="1323" hidden="1">
      <c r="A1323" s="3" t="str">
        <f t="shared" si="1"/>
        <v>OK</v>
      </c>
      <c r="B1323" s="3" t="str">
        <f t="shared" si="2"/>
        <v>OK</v>
      </c>
      <c r="C1323" s="3">
        <v>8706.0</v>
      </c>
      <c r="D1323" s="4" t="s">
        <v>3264</v>
      </c>
      <c r="E1323" s="3" t="s">
        <v>3265</v>
      </c>
      <c r="F1323" s="3" t="s">
        <v>13</v>
      </c>
      <c r="G1323" s="3" t="str">
        <f t="shared" si="3"/>
        <v>XIAKL4</v>
      </c>
      <c r="H1323" s="3" t="str">
        <f>VLOOKUP($C1323,Userpass!$A$2:$L$3001,12,FALSE)</f>
        <v>AKL4</v>
      </c>
      <c r="I1323" s="5" t="s">
        <v>3045</v>
      </c>
      <c r="J1323" s="3">
        <v>2024.0</v>
      </c>
      <c r="K1323" s="4" t="str">
        <f>VLOOKUP($C1323,Userpass!$A$2:$R$3001,2,FALSE)</f>
        <v>akl20248706.siswa@smkn12malang.sch.id</v>
      </c>
    </row>
    <row r="1324" hidden="1">
      <c r="A1324" s="3" t="str">
        <f t="shared" si="1"/>
        <v>OK</v>
      </c>
      <c r="B1324" s="3" t="str">
        <f t="shared" si="2"/>
        <v>OK</v>
      </c>
      <c r="C1324" s="3">
        <v>8710.0</v>
      </c>
      <c r="D1324" s="4" t="s">
        <v>3266</v>
      </c>
      <c r="E1324" s="3" t="s">
        <v>3195</v>
      </c>
      <c r="F1324" s="3" t="s">
        <v>13</v>
      </c>
      <c r="G1324" s="3" t="str">
        <f t="shared" si="3"/>
        <v>XIAKL4</v>
      </c>
      <c r="H1324" s="3" t="str">
        <f>VLOOKUP($C1324,Userpass!$A$2:$L$3001,12,FALSE)</f>
        <v>AKL4</v>
      </c>
      <c r="I1324" s="5" t="s">
        <v>3045</v>
      </c>
      <c r="J1324" s="3">
        <v>2024.0</v>
      </c>
      <c r="K1324" s="4" t="str">
        <f>VLOOKUP($C1324,Userpass!$A$2:$R$3001,2,FALSE)</f>
        <v>akl20248710.siswa@smkn12malang.sch.id</v>
      </c>
    </row>
    <row r="1325" hidden="1">
      <c r="A1325" s="3" t="str">
        <f t="shared" si="1"/>
        <v>OK</v>
      </c>
      <c r="B1325" s="3" t="str">
        <f t="shared" si="2"/>
        <v>OK</v>
      </c>
      <c r="C1325" s="3">
        <v>8724.0</v>
      </c>
      <c r="D1325" s="4" t="s">
        <v>3267</v>
      </c>
      <c r="E1325" s="3" t="s">
        <v>3268</v>
      </c>
      <c r="F1325" s="3" t="s">
        <v>17</v>
      </c>
      <c r="G1325" s="3" t="str">
        <f t="shared" si="3"/>
        <v>XIAKL4</v>
      </c>
      <c r="H1325" s="3" t="str">
        <f>VLOOKUP($C1325,Userpass!$A$2:$L$3001,12,FALSE)</f>
        <v>AKL4</v>
      </c>
      <c r="I1325" s="5" t="s">
        <v>3045</v>
      </c>
      <c r="J1325" s="3">
        <v>2024.0</v>
      </c>
      <c r="K1325" s="4" t="str">
        <f>VLOOKUP($C1325,Userpass!$A$2:$R$3001,2,FALSE)</f>
        <v>akl20248724.siswa@smkn12malang.sch.id</v>
      </c>
    </row>
    <row r="1326" hidden="1">
      <c r="A1326" s="3" t="str">
        <f t="shared" si="1"/>
        <v>OK</v>
      </c>
      <c r="B1326" s="3" t="str">
        <f t="shared" si="2"/>
        <v>OK</v>
      </c>
      <c r="C1326" s="3">
        <v>8727.0</v>
      </c>
      <c r="D1326" s="4" t="s">
        <v>3269</v>
      </c>
      <c r="E1326" s="3" t="s">
        <v>3270</v>
      </c>
      <c r="F1326" s="3" t="s">
        <v>13</v>
      </c>
      <c r="G1326" s="3" t="str">
        <f t="shared" si="3"/>
        <v>XIAKL4</v>
      </c>
      <c r="H1326" s="3" t="str">
        <f>VLOOKUP($C1326,Userpass!$A$2:$L$3001,12,FALSE)</f>
        <v>AKL4</v>
      </c>
      <c r="I1326" s="5" t="s">
        <v>3045</v>
      </c>
      <c r="J1326" s="3">
        <v>2024.0</v>
      </c>
      <c r="K1326" s="4" t="str">
        <f>VLOOKUP($C1326,Userpass!$A$2:$R$3001,2,FALSE)</f>
        <v>akl20248727.siswa@smkn12malang.sch.id</v>
      </c>
    </row>
    <row r="1327" hidden="1">
      <c r="A1327" s="3" t="str">
        <f t="shared" si="1"/>
        <v>OK</v>
      </c>
      <c r="B1327" s="3" t="str">
        <f t="shared" si="2"/>
        <v>OK</v>
      </c>
      <c r="C1327" s="3">
        <v>8731.0</v>
      </c>
      <c r="D1327" s="4" t="s">
        <v>3271</v>
      </c>
      <c r="E1327" s="3" t="s">
        <v>3272</v>
      </c>
      <c r="F1327" s="3" t="s">
        <v>13</v>
      </c>
      <c r="G1327" s="3" t="str">
        <f t="shared" si="3"/>
        <v>XIAKL4</v>
      </c>
      <c r="H1327" s="3" t="str">
        <f>VLOOKUP($C1327,Userpass!$A$2:$L$3001,12,FALSE)</f>
        <v>AKL4</v>
      </c>
      <c r="I1327" s="5" t="s">
        <v>3045</v>
      </c>
      <c r="J1327" s="3">
        <v>2024.0</v>
      </c>
      <c r="K1327" s="4" t="str">
        <f>VLOOKUP($C1327,Userpass!$A$2:$R$3001,2,FALSE)</f>
        <v>akl20248731.siswa@smkn12malang.sch.id</v>
      </c>
    </row>
    <row r="1328" hidden="1">
      <c r="A1328" s="3" t="str">
        <f t="shared" si="1"/>
        <v>OK</v>
      </c>
      <c r="B1328" s="3" t="str">
        <f t="shared" si="2"/>
        <v>OK</v>
      </c>
      <c r="C1328" s="3">
        <v>8774.0</v>
      </c>
      <c r="D1328" s="4" t="s">
        <v>3273</v>
      </c>
      <c r="E1328" s="3" t="s">
        <v>3274</v>
      </c>
      <c r="F1328" s="3" t="s">
        <v>13</v>
      </c>
      <c r="G1328" s="3" t="str">
        <f t="shared" si="3"/>
        <v>XIAKL4</v>
      </c>
      <c r="H1328" s="3" t="str">
        <f>VLOOKUP($C1328,Userpass!$A$2:$L$3001,12,FALSE)</f>
        <v>AKL4</v>
      </c>
      <c r="I1328" s="5" t="s">
        <v>3045</v>
      </c>
      <c r="J1328" s="3">
        <v>2024.0</v>
      </c>
      <c r="K1328" s="4" t="str">
        <f>VLOOKUP($C1328,Userpass!$A$2:$R$3001,2,FALSE)</f>
        <v>akl20248774.siswa@smkn12malang.sch.id</v>
      </c>
    </row>
    <row r="1329" hidden="1">
      <c r="A1329" s="3" t="str">
        <f t="shared" si="1"/>
        <v>OK</v>
      </c>
      <c r="B1329" s="3" t="str">
        <f t="shared" si="2"/>
        <v>OK</v>
      </c>
      <c r="C1329" s="3">
        <v>8815.0</v>
      </c>
      <c r="D1329" s="4" t="s">
        <v>3275</v>
      </c>
      <c r="E1329" s="3" t="s">
        <v>3276</v>
      </c>
      <c r="F1329" s="3" t="s">
        <v>13</v>
      </c>
      <c r="G1329" s="3" t="str">
        <f t="shared" si="3"/>
        <v>XIAKL4</v>
      </c>
      <c r="H1329" s="3" t="str">
        <f>VLOOKUP($C1329,Userpass!$A$2:$L$3001,12,FALSE)</f>
        <v>AKL4</v>
      </c>
      <c r="I1329" s="5" t="s">
        <v>3045</v>
      </c>
      <c r="J1329" s="3">
        <v>2024.0</v>
      </c>
      <c r="K1329" s="4" t="str">
        <f>VLOOKUP($C1329,Userpass!$A$2:$R$3001,2,FALSE)</f>
        <v>akl20248815.siswa@smkn12malang.sch.id</v>
      </c>
    </row>
    <row r="1330" hidden="1">
      <c r="A1330" s="3" t="str">
        <f t="shared" si="1"/>
        <v>OK</v>
      </c>
      <c r="B1330" s="3" t="str">
        <f t="shared" si="2"/>
        <v>OK</v>
      </c>
      <c r="C1330" s="3">
        <v>8870.0</v>
      </c>
      <c r="D1330" s="4" t="s">
        <v>3277</v>
      </c>
      <c r="E1330" s="3" t="s">
        <v>3278</v>
      </c>
      <c r="F1330" s="3" t="s">
        <v>13</v>
      </c>
      <c r="G1330" s="3" t="str">
        <f t="shared" si="3"/>
        <v>XIAKL4</v>
      </c>
      <c r="H1330" s="3" t="str">
        <f>VLOOKUP($C1330,Userpass!$A$2:$L$3001,12,FALSE)</f>
        <v>AKL4</v>
      </c>
      <c r="I1330" s="5" t="s">
        <v>3045</v>
      </c>
      <c r="J1330" s="3">
        <v>2024.0</v>
      </c>
      <c r="K1330" s="4" t="str">
        <f>VLOOKUP($C1330,Userpass!$A$2:$R$3001,2,FALSE)</f>
        <v>akl20248870.siswa@smkn12malang.sch.id</v>
      </c>
    </row>
    <row r="1331" hidden="1">
      <c r="A1331" s="3" t="str">
        <f t="shared" si="1"/>
        <v>OK</v>
      </c>
      <c r="B1331" s="3" t="str">
        <f t="shared" si="2"/>
        <v>OK</v>
      </c>
      <c r="C1331" s="3">
        <v>8904.0</v>
      </c>
      <c r="D1331" s="4" t="s">
        <v>3279</v>
      </c>
      <c r="E1331" s="3" t="s">
        <v>3280</v>
      </c>
      <c r="F1331" s="3" t="s">
        <v>13</v>
      </c>
      <c r="G1331" s="3" t="str">
        <f t="shared" si="3"/>
        <v>XIAKL4</v>
      </c>
      <c r="H1331" s="3" t="str">
        <f>VLOOKUP($C1331,Userpass!$A$2:$L$3001,12,FALSE)</f>
        <v>AKL4</v>
      </c>
      <c r="I1331" s="5" t="s">
        <v>3045</v>
      </c>
      <c r="J1331" s="3">
        <v>2024.0</v>
      </c>
      <c r="K1331" s="4" t="str">
        <f>VLOOKUP($C1331,Userpass!$A$2:$R$3001,2,FALSE)</f>
        <v>akl20248904.siswa@smkn12malang.sch.id</v>
      </c>
    </row>
    <row r="1332" hidden="1">
      <c r="A1332" s="3" t="str">
        <f t="shared" si="1"/>
        <v>OK</v>
      </c>
      <c r="B1332" s="3" t="str">
        <f t="shared" si="2"/>
        <v>OK</v>
      </c>
      <c r="C1332" s="3">
        <v>8922.0</v>
      </c>
      <c r="D1332" s="4" t="s">
        <v>3281</v>
      </c>
      <c r="E1332" s="3" t="s">
        <v>3282</v>
      </c>
      <c r="F1332" s="3" t="s">
        <v>13</v>
      </c>
      <c r="G1332" s="3" t="str">
        <f t="shared" si="3"/>
        <v>XIAKL4</v>
      </c>
      <c r="H1332" s="3" t="str">
        <f>VLOOKUP($C1332,Userpass!$A$2:$L$3001,12,FALSE)</f>
        <v>AKL4</v>
      </c>
      <c r="I1332" s="5" t="s">
        <v>3045</v>
      </c>
      <c r="J1332" s="3">
        <v>2024.0</v>
      </c>
      <c r="K1332" s="4" t="str">
        <f>VLOOKUP($C1332,Userpass!$A$2:$R$3001,2,FALSE)</f>
        <v>akl20248922.siswa@smkn12malang.sch.id</v>
      </c>
    </row>
    <row r="1333" hidden="1">
      <c r="A1333" s="3" t="str">
        <f t="shared" si="1"/>
        <v>OK</v>
      </c>
      <c r="B1333" s="3" t="str">
        <f t="shared" si="2"/>
        <v>OK</v>
      </c>
      <c r="C1333" s="3">
        <v>8923.0</v>
      </c>
      <c r="D1333" s="4" t="s">
        <v>3283</v>
      </c>
      <c r="E1333" s="3" t="s">
        <v>3284</v>
      </c>
      <c r="F1333" s="3" t="s">
        <v>13</v>
      </c>
      <c r="G1333" s="3" t="str">
        <f t="shared" si="3"/>
        <v>XIAKL4</v>
      </c>
      <c r="H1333" s="3" t="str">
        <f>VLOOKUP($C1333,Userpass!$A$2:$L$3001,12,FALSE)</f>
        <v>AKL4</v>
      </c>
      <c r="I1333" s="5" t="s">
        <v>3045</v>
      </c>
      <c r="J1333" s="3">
        <v>2024.0</v>
      </c>
      <c r="K1333" s="4" t="str">
        <f>VLOOKUP($C1333,Userpass!$A$2:$R$3001,2,FALSE)</f>
        <v>akl20248923.siswa@smkn12malang.sch.id</v>
      </c>
    </row>
    <row r="1334" hidden="1">
      <c r="A1334" s="3" t="str">
        <f t="shared" si="1"/>
        <v>OK</v>
      </c>
      <c r="B1334" s="3" t="str">
        <f t="shared" si="2"/>
        <v>OK</v>
      </c>
      <c r="C1334" s="3">
        <v>8929.0</v>
      </c>
      <c r="D1334" s="4" t="s">
        <v>3285</v>
      </c>
      <c r="E1334" s="3" t="s">
        <v>3286</v>
      </c>
      <c r="F1334" s="3" t="s">
        <v>13</v>
      </c>
      <c r="G1334" s="3" t="str">
        <f t="shared" si="3"/>
        <v>XIAKL4</v>
      </c>
      <c r="H1334" s="3" t="str">
        <f>VLOOKUP($C1334,Userpass!$A$2:$L$3001,12,FALSE)</f>
        <v>AKL4</v>
      </c>
      <c r="I1334" s="5" t="s">
        <v>3045</v>
      </c>
      <c r="J1334" s="3">
        <v>2024.0</v>
      </c>
      <c r="K1334" s="4" t="str">
        <f>VLOOKUP($C1334,Userpass!$A$2:$R$3001,2,FALSE)</f>
        <v>akl20248929.siswa@smkn12malang.sch.id</v>
      </c>
    </row>
    <row r="1335" hidden="1">
      <c r="A1335" s="3" t="str">
        <f t="shared" si="1"/>
        <v>OK</v>
      </c>
      <c r="B1335" s="3" t="str">
        <f t="shared" si="2"/>
        <v>OK</v>
      </c>
      <c r="C1335" s="3">
        <v>8930.0</v>
      </c>
      <c r="D1335" s="4" t="s">
        <v>3287</v>
      </c>
      <c r="E1335" s="3" t="s">
        <v>3288</v>
      </c>
      <c r="F1335" s="3" t="s">
        <v>13</v>
      </c>
      <c r="G1335" s="3" t="str">
        <f t="shared" si="3"/>
        <v>XIAKL4</v>
      </c>
      <c r="H1335" s="3" t="str">
        <f>VLOOKUP($C1335,Userpass!$A$2:$L$3001,12,FALSE)</f>
        <v>AKL4</v>
      </c>
      <c r="I1335" s="5" t="s">
        <v>3045</v>
      </c>
      <c r="J1335" s="3">
        <v>2024.0</v>
      </c>
      <c r="K1335" s="4" t="str">
        <f>VLOOKUP($C1335,Userpass!$A$2:$R$3001,2,FALSE)</f>
        <v>akl20248930.siswa@smkn12malang.sch.id</v>
      </c>
    </row>
    <row r="1336" hidden="1">
      <c r="A1336" s="3" t="str">
        <f t="shared" si="1"/>
        <v>OK</v>
      </c>
      <c r="B1336" s="3" t="str">
        <f t="shared" si="2"/>
        <v>OK</v>
      </c>
      <c r="C1336" s="3">
        <v>8950.0</v>
      </c>
      <c r="D1336" s="4" t="s">
        <v>3289</v>
      </c>
      <c r="E1336" s="3" t="s">
        <v>3290</v>
      </c>
      <c r="F1336" s="3" t="s">
        <v>13</v>
      </c>
      <c r="G1336" s="3" t="str">
        <f t="shared" si="3"/>
        <v>XIAKL4</v>
      </c>
      <c r="H1336" s="3" t="str">
        <f>VLOOKUP($C1336,Userpass!$A$2:$L$3001,12,FALSE)</f>
        <v>AKL4</v>
      </c>
      <c r="I1336" s="5" t="s">
        <v>3045</v>
      </c>
      <c r="J1336" s="3">
        <v>2024.0</v>
      </c>
      <c r="K1336" s="4" t="str">
        <f>VLOOKUP($C1336,Userpass!$A$2:$R$3001,2,FALSE)</f>
        <v>akl20248950.siswa@smkn12malang.sch.id</v>
      </c>
    </row>
    <row r="1337" hidden="1">
      <c r="A1337" s="3" t="str">
        <f t="shared" si="1"/>
        <v>OK</v>
      </c>
      <c r="B1337" s="3" t="str">
        <f t="shared" si="2"/>
        <v>OK</v>
      </c>
      <c r="C1337" s="3">
        <v>8967.0</v>
      </c>
      <c r="D1337" s="4" t="s">
        <v>3291</v>
      </c>
      <c r="E1337" s="3" t="s">
        <v>3292</v>
      </c>
      <c r="F1337" s="3" t="s">
        <v>13</v>
      </c>
      <c r="G1337" s="3" t="str">
        <f t="shared" si="3"/>
        <v>XIAKL4</v>
      </c>
      <c r="H1337" s="3" t="str">
        <f>VLOOKUP($C1337,Userpass!$A$2:$L$3001,12,FALSE)</f>
        <v>AKL4</v>
      </c>
      <c r="I1337" s="5" t="s">
        <v>3045</v>
      </c>
      <c r="J1337" s="3">
        <v>2024.0</v>
      </c>
      <c r="K1337" s="4" t="str">
        <f>VLOOKUP($C1337,Userpass!$A$2:$R$3001,2,FALSE)</f>
        <v>akl20248967.siswa@smkn12malang.sch.id</v>
      </c>
    </row>
    <row r="1338" hidden="1">
      <c r="A1338" s="3" t="str">
        <f t="shared" si="1"/>
        <v>OK</v>
      </c>
      <c r="B1338" s="3" t="str">
        <f t="shared" si="2"/>
        <v>OK</v>
      </c>
      <c r="C1338" s="3">
        <v>8977.0</v>
      </c>
      <c r="D1338" s="4" t="s">
        <v>3293</v>
      </c>
      <c r="E1338" s="3" t="s">
        <v>3294</v>
      </c>
      <c r="F1338" s="3" t="s">
        <v>17</v>
      </c>
      <c r="G1338" s="3" t="str">
        <f t="shared" si="3"/>
        <v>XIAKL4</v>
      </c>
      <c r="H1338" s="3" t="str">
        <f>VLOOKUP($C1338,Userpass!$A$2:$L$3001,12,FALSE)</f>
        <v>AKL4</v>
      </c>
      <c r="I1338" s="5" t="s">
        <v>3045</v>
      </c>
      <c r="J1338" s="3">
        <v>2024.0</v>
      </c>
      <c r="K1338" s="4" t="str">
        <f>VLOOKUP($C1338,Userpass!$A$2:$R$3001,2,FALSE)</f>
        <v>akl20248977.siswa@smkn12malang.sch.id</v>
      </c>
    </row>
    <row r="1339" hidden="1">
      <c r="A1339" s="3" t="str">
        <f t="shared" si="1"/>
        <v>OK</v>
      </c>
      <c r="B1339" s="3" t="str">
        <f t="shared" si="2"/>
        <v>OK</v>
      </c>
      <c r="C1339" s="3">
        <v>9032.0</v>
      </c>
      <c r="D1339" s="4" t="s">
        <v>3295</v>
      </c>
      <c r="E1339" s="3" t="s">
        <v>3296</v>
      </c>
      <c r="F1339" s="3" t="s">
        <v>13</v>
      </c>
      <c r="G1339" s="3" t="str">
        <f t="shared" si="3"/>
        <v>XIAKL4</v>
      </c>
      <c r="H1339" s="3" t="str">
        <f>VLOOKUP($C1339,Userpass!$A$2:$L$3001,12,FALSE)</f>
        <v>AKL4</v>
      </c>
      <c r="I1339" s="5" t="s">
        <v>3045</v>
      </c>
      <c r="J1339" s="3">
        <v>2024.0</v>
      </c>
      <c r="K1339" s="4" t="str">
        <f>VLOOKUP($C1339,Userpass!$A$2:$R$3001,2,FALSE)</f>
        <v>akl20249032.siswa@smkn12malang.sch.id</v>
      </c>
    </row>
    <row r="1340" hidden="1">
      <c r="A1340" s="3" t="str">
        <f t="shared" si="1"/>
        <v>OK</v>
      </c>
      <c r="B1340" s="3" t="str">
        <f t="shared" si="2"/>
        <v>OK</v>
      </c>
      <c r="C1340" s="3">
        <v>9067.0</v>
      </c>
      <c r="D1340" s="4" t="s">
        <v>3297</v>
      </c>
      <c r="E1340" s="3" t="s">
        <v>3298</v>
      </c>
      <c r="F1340" s="3" t="s">
        <v>13</v>
      </c>
      <c r="G1340" s="3" t="str">
        <f t="shared" si="3"/>
        <v>XIAKL4</v>
      </c>
      <c r="H1340" s="3" t="str">
        <f>VLOOKUP($C1340,Userpass!$A$2:$L$3001,12,FALSE)</f>
        <v>AKL4</v>
      </c>
      <c r="I1340" s="5" t="s">
        <v>3045</v>
      </c>
      <c r="J1340" s="3">
        <v>2024.0</v>
      </c>
      <c r="K1340" s="4" t="str">
        <f>VLOOKUP($C1340,Userpass!$A$2:$R$3001,2,FALSE)</f>
        <v>akl20249067.siswa@smkn12malang.sch.id</v>
      </c>
    </row>
    <row r="1341" hidden="1">
      <c r="A1341" s="3" t="str">
        <f t="shared" si="1"/>
        <v>OK</v>
      </c>
      <c r="B1341" s="3" t="str">
        <f t="shared" si="2"/>
        <v>OK</v>
      </c>
      <c r="C1341" s="3">
        <v>9073.0</v>
      </c>
      <c r="D1341" s="4" t="s">
        <v>3299</v>
      </c>
      <c r="E1341" s="3" t="s">
        <v>3300</v>
      </c>
      <c r="F1341" s="3" t="s">
        <v>13</v>
      </c>
      <c r="G1341" s="3" t="str">
        <f t="shared" si="3"/>
        <v>XIAKL4</v>
      </c>
      <c r="H1341" s="3" t="str">
        <f>VLOOKUP($C1341,Userpass!$A$2:$L$3001,12,FALSE)</f>
        <v>AKL4</v>
      </c>
      <c r="I1341" s="5" t="s">
        <v>3045</v>
      </c>
      <c r="J1341" s="3">
        <v>2024.0</v>
      </c>
      <c r="K1341" s="4" t="str">
        <f>VLOOKUP($C1341,Userpass!$A$2:$R$3001,2,FALSE)</f>
        <v>akl20249073.siswa@smkn12malang.sch.id</v>
      </c>
    </row>
    <row r="1342" hidden="1">
      <c r="A1342" s="3" t="str">
        <f t="shared" si="1"/>
        <v>OK</v>
      </c>
      <c r="B1342" s="3" t="str">
        <f t="shared" si="2"/>
        <v>OK</v>
      </c>
      <c r="C1342" s="3">
        <v>9080.0</v>
      </c>
      <c r="D1342" s="4" t="s">
        <v>3301</v>
      </c>
      <c r="E1342" s="3" t="s">
        <v>3302</v>
      </c>
      <c r="F1342" s="3" t="s">
        <v>13</v>
      </c>
      <c r="G1342" s="3" t="str">
        <f t="shared" si="3"/>
        <v>XIAKL4</v>
      </c>
      <c r="H1342" s="3" t="str">
        <f>VLOOKUP($C1342,Userpass!$A$2:$L$3001,12,FALSE)</f>
        <v>AKL4</v>
      </c>
      <c r="I1342" s="5" t="s">
        <v>3045</v>
      </c>
      <c r="J1342" s="3">
        <v>2024.0</v>
      </c>
      <c r="K1342" s="4" t="str">
        <f>VLOOKUP($C1342,Userpass!$A$2:$R$3001,2,FALSE)</f>
        <v>akl20249080.siswa@smkn12malang.sch.id</v>
      </c>
    </row>
    <row r="1343" hidden="1">
      <c r="A1343" s="3" t="str">
        <f t="shared" si="1"/>
        <v>OK</v>
      </c>
      <c r="B1343" s="3" t="str">
        <f t="shared" si="2"/>
        <v>OK</v>
      </c>
      <c r="C1343" s="3">
        <v>9086.0</v>
      </c>
      <c r="D1343" s="4" t="s">
        <v>3303</v>
      </c>
      <c r="E1343" s="3" t="s">
        <v>3304</v>
      </c>
      <c r="F1343" s="3" t="s">
        <v>13</v>
      </c>
      <c r="G1343" s="3" t="str">
        <f t="shared" si="3"/>
        <v>XIAKL4</v>
      </c>
      <c r="H1343" s="3" t="str">
        <f>VLOOKUP($C1343,Userpass!$A$2:$L$3001,12,FALSE)</f>
        <v>AKL4</v>
      </c>
      <c r="I1343" s="5" t="s">
        <v>3045</v>
      </c>
      <c r="J1343" s="3">
        <v>2024.0</v>
      </c>
      <c r="K1343" s="4" t="str">
        <f>VLOOKUP($C1343,Userpass!$A$2:$R$3001,2,FALSE)</f>
        <v>akl20249086.siswa@smkn12malang.sch.id</v>
      </c>
    </row>
    <row r="1344" hidden="1">
      <c r="A1344" s="3" t="str">
        <f t="shared" si="1"/>
        <v>OK</v>
      </c>
      <c r="B1344" s="3" t="str">
        <f t="shared" si="2"/>
        <v>OK</v>
      </c>
      <c r="C1344" s="3">
        <v>9093.0</v>
      </c>
      <c r="D1344" s="4" t="s">
        <v>3305</v>
      </c>
      <c r="E1344" s="3" t="s">
        <v>3306</v>
      </c>
      <c r="F1344" s="3" t="s">
        <v>13</v>
      </c>
      <c r="G1344" s="3" t="str">
        <f t="shared" si="3"/>
        <v>XIAKL4</v>
      </c>
      <c r="H1344" s="3" t="str">
        <f>VLOOKUP($C1344,Userpass!$A$2:$L$3001,12,FALSE)</f>
        <v>AKL4</v>
      </c>
      <c r="I1344" s="5" t="s">
        <v>3045</v>
      </c>
      <c r="J1344" s="3">
        <v>2024.0</v>
      </c>
      <c r="K1344" s="4" t="str">
        <f>VLOOKUP($C1344,Userpass!$A$2:$R$3001,2,FALSE)</f>
        <v>akl20249093.siswa@smkn12malang.sch.id</v>
      </c>
    </row>
    <row r="1345" hidden="1">
      <c r="A1345" s="3" t="str">
        <f t="shared" si="1"/>
        <v>OK</v>
      </c>
      <c r="B1345" s="3" t="str">
        <f t="shared" si="2"/>
        <v>OK</v>
      </c>
      <c r="C1345" s="3">
        <v>9107.0</v>
      </c>
      <c r="D1345" s="4" t="s">
        <v>3307</v>
      </c>
      <c r="E1345" s="3" t="s">
        <v>3308</v>
      </c>
      <c r="F1345" s="3" t="s">
        <v>13</v>
      </c>
      <c r="G1345" s="3" t="str">
        <f t="shared" si="3"/>
        <v>XIAKL4</v>
      </c>
      <c r="H1345" s="3" t="str">
        <f>VLOOKUP($C1345,Userpass!$A$2:$L$3001,12,FALSE)</f>
        <v>AKL4</v>
      </c>
      <c r="I1345" s="5" t="s">
        <v>3045</v>
      </c>
      <c r="J1345" s="3">
        <v>2024.0</v>
      </c>
      <c r="K1345" s="4" t="str">
        <f>VLOOKUP($C1345,Userpass!$A$2:$R$3001,2,FALSE)</f>
        <v>akl20249107.siswa@smkn12malang.sch.id</v>
      </c>
    </row>
    <row r="1346" hidden="1">
      <c r="A1346" s="3" t="str">
        <f t="shared" si="1"/>
        <v>OK</v>
      </c>
      <c r="B1346" s="3" t="str">
        <f t="shared" si="2"/>
        <v>OK</v>
      </c>
      <c r="C1346" s="3">
        <v>9132.0</v>
      </c>
      <c r="D1346" s="4" t="s">
        <v>3309</v>
      </c>
      <c r="E1346" s="3" t="s">
        <v>3310</v>
      </c>
      <c r="F1346" s="3" t="s">
        <v>17</v>
      </c>
      <c r="G1346" s="3" t="str">
        <f t="shared" si="3"/>
        <v>XIAKL4</v>
      </c>
      <c r="H1346" s="3" t="str">
        <f>VLOOKUP($C1346,Userpass!$A$2:$L$3001,12,FALSE)</f>
        <v>AKL4</v>
      </c>
      <c r="I1346" s="5" t="s">
        <v>3045</v>
      </c>
      <c r="J1346" s="3">
        <v>2024.0</v>
      </c>
      <c r="K1346" s="4" t="str">
        <f>VLOOKUP($C1346,Userpass!$A$2:$R$3001,2,FALSE)</f>
        <v>akl20249132.siswa@smkn12malang.sch.id</v>
      </c>
    </row>
    <row r="1347" hidden="1">
      <c r="A1347" s="3" t="str">
        <f t="shared" si="1"/>
        <v>OK</v>
      </c>
      <c r="B1347" s="3" t="str">
        <f t="shared" si="2"/>
        <v>OK</v>
      </c>
      <c r="C1347" s="3">
        <v>9154.0</v>
      </c>
      <c r="D1347" s="4" t="s">
        <v>3311</v>
      </c>
      <c r="E1347" s="3" t="s">
        <v>3312</v>
      </c>
      <c r="F1347" s="3" t="s">
        <v>13</v>
      </c>
      <c r="G1347" s="3" t="str">
        <f t="shared" si="3"/>
        <v>XIAKL4</v>
      </c>
      <c r="H1347" s="3" t="str">
        <f>VLOOKUP($C1347,Userpass!$A$2:$L$3001,12,FALSE)</f>
        <v>AKL4</v>
      </c>
      <c r="I1347" s="5" t="s">
        <v>3045</v>
      </c>
      <c r="J1347" s="3">
        <v>2024.0</v>
      </c>
      <c r="K1347" s="4" t="str">
        <f>VLOOKUP($C1347,Userpass!$A$2:$R$3001,2,FALSE)</f>
        <v>akl20249154.siswa@smkn12malang.sch.id</v>
      </c>
    </row>
    <row r="1348" hidden="1">
      <c r="A1348" s="3" t="str">
        <f t="shared" si="1"/>
        <v>OK</v>
      </c>
      <c r="B1348" s="3" t="str">
        <f t="shared" si="2"/>
        <v>OK</v>
      </c>
      <c r="C1348" s="3">
        <v>9155.0</v>
      </c>
      <c r="D1348" s="4" t="s">
        <v>3313</v>
      </c>
      <c r="E1348" s="3" t="s">
        <v>3314</v>
      </c>
      <c r="F1348" s="3" t="s">
        <v>13</v>
      </c>
      <c r="G1348" s="3" t="str">
        <f t="shared" si="3"/>
        <v>XIAKL4</v>
      </c>
      <c r="H1348" s="3" t="str">
        <f>VLOOKUP($C1348,Userpass!$A$2:$L$3001,12,FALSE)</f>
        <v>AKL4</v>
      </c>
      <c r="I1348" s="5" t="s">
        <v>3045</v>
      </c>
      <c r="J1348" s="3">
        <v>2024.0</v>
      </c>
      <c r="K1348" s="4" t="str">
        <f>VLOOKUP($C1348,Userpass!$A$2:$R$3001,2,FALSE)</f>
        <v>akl20249155.siswa@smkn12malang.sch.id</v>
      </c>
    </row>
    <row r="1349" hidden="1">
      <c r="A1349" s="3" t="str">
        <f t="shared" si="1"/>
        <v>OK</v>
      </c>
      <c r="B1349" s="3" t="str">
        <f t="shared" si="2"/>
        <v>OK</v>
      </c>
      <c r="C1349" s="3">
        <v>9167.0</v>
      </c>
      <c r="D1349" s="4" t="s">
        <v>3315</v>
      </c>
      <c r="E1349" s="3" t="s">
        <v>3316</v>
      </c>
      <c r="F1349" s="3" t="s">
        <v>13</v>
      </c>
      <c r="G1349" s="3" t="str">
        <f t="shared" si="3"/>
        <v>XIAKL4</v>
      </c>
      <c r="H1349" s="3" t="str">
        <f>VLOOKUP($C1349,Userpass!$A$2:$L$3001,12,FALSE)</f>
        <v>AKL4</v>
      </c>
      <c r="I1349" s="5" t="s">
        <v>3045</v>
      </c>
      <c r="J1349" s="3">
        <v>2024.0</v>
      </c>
      <c r="K1349" s="4" t="str">
        <f>VLOOKUP($C1349,Userpass!$A$2:$R$3001,2,FALSE)</f>
        <v>akl20249167.siswa@smkn12malang.sch.id</v>
      </c>
    </row>
    <row r="1350" hidden="1">
      <c r="A1350" s="3" t="str">
        <f t="shared" si="1"/>
        <v>OK</v>
      </c>
      <c r="B1350" s="3" t="str">
        <f t="shared" si="2"/>
        <v>OK</v>
      </c>
      <c r="C1350" s="3">
        <v>9169.0</v>
      </c>
      <c r="D1350" s="4" t="s">
        <v>3317</v>
      </c>
      <c r="E1350" s="3" t="s">
        <v>3318</v>
      </c>
      <c r="F1350" s="3" t="s">
        <v>13</v>
      </c>
      <c r="G1350" s="3" t="str">
        <f t="shared" si="3"/>
        <v>XIAKL4</v>
      </c>
      <c r="H1350" s="3" t="str">
        <f>VLOOKUP($C1350,Userpass!$A$2:$L$3001,12,FALSE)</f>
        <v>AKL4</v>
      </c>
      <c r="I1350" s="5" t="s">
        <v>3045</v>
      </c>
      <c r="J1350" s="3">
        <v>2024.0</v>
      </c>
      <c r="K1350" s="4" t="str">
        <f>VLOOKUP($C1350,Userpass!$A$2:$R$3001,2,FALSE)</f>
        <v>akl20249169.siswa@smkn12malang.sch.id</v>
      </c>
    </row>
    <row r="1351" hidden="1">
      <c r="A1351" s="3" t="str">
        <f t="shared" si="1"/>
        <v>OK</v>
      </c>
      <c r="B1351" s="3" t="str">
        <f t="shared" si="2"/>
        <v>OK</v>
      </c>
      <c r="C1351" s="3">
        <v>9174.0</v>
      </c>
      <c r="D1351" s="4" t="s">
        <v>3319</v>
      </c>
      <c r="E1351" s="3" t="s">
        <v>3320</v>
      </c>
      <c r="F1351" s="3" t="s">
        <v>13</v>
      </c>
      <c r="G1351" s="3" t="str">
        <f t="shared" si="3"/>
        <v>XIAKL4</v>
      </c>
      <c r="H1351" s="3" t="str">
        <f>VLOOKUP($C1351,Userpass!$A$2:$L$3001,12,FALSE)</f>
        <v>AKL4</v>
      </c>
      <c r="I1351" s="5" t="s">
        <v>3045</v>
      </c>
      <c r="J1351" s="3">
        <v>2024.0</v>
      </c>
      <c r="K1351" s="4" t="str">
        <f>VLOOKUP($C1351,Userpass!$A$2:$R$3001,2,FALSE)</f>
        <v>akl20249174.siswa@smkn12malang.sch.id</v>
      </c>
    </row>
    <row r="1352" hidden="1">
      <c r="A1352" s="3" t="str">
        <f t="shared" si="1"/>
        <v>OK</v>
      </c>
      <c r="B1352" s="3" t="str">
        <f t="shared" si="2"/>
        <v>OK</v>
      </c>
      <c r="C1352" s="3">
        <v>9194.0</v>
      </c>
      <c r="D1352" s="4" t="s">
        <v>3321</v>
      </c>
      <c r="E1352" s="3" t="s">
        <v>3322</v>
      </c>
      <c r="F1352" s="3" t="s">
        <v>13</v>
      </c>
      <c r="G1352" s="3" t="str">
        <f t="shared" si="3"/>
        <v>XIAKL4</v>
      </c>
      <c r="H1352" s="3" t="str">
        <f>VLOOKUP($C1352,Userpass!$A$2:$L$3001,12,FALSE)</f>
        <v>AKL4</v>
      </c>
      <c r="I1352" s="5" t="s">
        <v>3045</v>
      </c>
      <c r="J1352" s="3">
        <v>2024.0</v>
      </c>
      <c r="K1352" s="4" t="str">
        <f>VLOOKUP($C1352,Userpass!$A$2:$R$3001,2,FALSE)</f>
        <v>akl20249194.siswa@smkn12malang.sch.id</v>
      </c>
    </row>
    <row r="1353" hidden="1">
      <c r="A1353" s="3" t="str">
        <f t="shared" si="1"/>
        <v>OK</v>
      </c>
      <c r="B1353" s="3" t="str">
        <f t="shared" si="2"/>
        <v>OK</v>
      </c>
      <c r="C1353" s="3">
        <v>9199.0</v>
      </c>
      <c r="D1353" s="4" t="s">
        <v>3323</v>
      </c>
      <c r="E1353" s="3" t="s">
        <v>3324</v>
      </c>
      <c r="F1353" s="3" t="s">
        <v>13</v>
      </c>
      <c r="G1353" s="3" t="str">
        <f t="shared" si="3"/>
        <v>XIAKL4</v>
      </c>
      <c r="H1353" s="3" t="str">
        <f>VLOOKUP($C1353,Userpass!$A$2:$L$3001,12,FALSE)</f>
        <v>AKL4</v>
      </c>
      <c r="I1353" s="5" t="s">
        <v>3045</v>
      </c>
      <c r="J1353" s="3">
        <v>2024.0</v>
      </c>
      <c r="K1353" s="4" t="str">
        <f>VLOOKUP($C1353,Userpass!$A$2:$R$3001,2,FALSE)</f>
        <v>akl20249199.siswa@smkn12malang.sch.id</v>
      </c>
    </row>
    <row r="1354" hidden="1">
      <c r="A1354" s="3" t="str">
        <f t="shared" si="1"/>
        <v>OK</v>
      </c>
      <c r="B1354" s="3" t="str">
        <f t="shared" si="2"/>
        <v>OK</v>
      </c>
      <c r="C1354" s="3">
        <v>9211.0</v>
      </c>
      <c r="D1354" s="4" t="s">
        <v>3325</v>
      </c>
      <c r="E1354" s="3" t="s">
        <v>3326</v>
      </c>
      <c r="F1354" s="3" t="s">
        <v>13</v>
      </c>
      <c r="G1354" s="3" t="str">
        <f t="shared" si="3"/>
        <v>XIAKL4</v>
      </c>
      <c r="H1354" s="3" t="str">
        <f>VLOOKUP($C1354,Userpass!$A$2:$L$3001,12,FALSE)</f>
        <v>AKL4</v>
      </c>
      <c r="I1354" s="5" t="s">
        <v>3045</v>
      </c>
      <c r="J1354" s="3">
        <v>2024.0</v>
      </c>
      <c r="K1354" s="4" t="str">
        <f>VLOOKUP($C1354,Userpass!$A$2:$R$3001,2,FALSE)</f>
        <v>akl20249211.siswa@smkn12malang.sch.id</v>
      </c>
    </row>
    <row r="1355" hidden="1">
      <c r="A1355" s="3" t="str">
        <f t="shared" si="1"/>
        <v>OK</v>
      </c>
      <c r="B1355" s="3" t="str">
        <f t="shared" si="2"/>
        <v>OK</v>
      </c>
      <c r="C1355" s="3">
        <v>9229.0</v>
      </c>
      <c r="D1355" s="4" t="s">
        <v>3327</v>
      </c>
      <c r="E1355" s="3" t="s">
        <v>3328</v>
      </c>
      <c r="F1355" s="3" t="s">
        <v>13</v>
      </c>
      <c r="G1355" s="3" t="str">
        <f t="shared" si="3"/>
        <v>XIAKL4</v>
      </c>
      <c r="H1355" s="3" t="str">
        <f>VLOOKUP($C1355,Userpass!$A$2:$L$3001,12,FALSE)</f>
        <v>AKL4</v>
      </c>
      <c r="I1355" s="5" t="s">
        <v>3045</v>
      </c>
      <c r="J1355" s="3">
        <v>2024.0</v>
      </c>
      <c r="K1355" s="4" t="str">
        <f>VLOOKUP($C1355,Userpass!$A$2:$R$3001,2,FALSE)</f>
        <v>akl20249229.siswa@smkn12malang.sch.id</v>
      </c>
    </row>
    <row r="1356" hidden="1">
      <c r="A1356" s="3" t="str">
        <f t="shared" si="1"/>
        <v>OK</v>
      </c>
      <c r="B1356" s="3" t="str">
        <f t="shared" si="2"/>
        <v>OK</v>
      </c>
      <c r="C1356" s="3">
        <v>9238.0</v>
      </c>
      <c r="D1356" s="4" t="s">
        <v>3329</v>
      </c>
      <c r="E1356" s="3" t="s">
        <v>3330</v>
      </c>
      <c r="F1356" s="3" t="s">
        <v>13</v>
      </c>
      <c r="G1356" s="3" t="str">
        <f t="shared" si="3"/>
        <v>XIAKL4</v>
      </c>
      <c r="H1356" s="3" t="str">
        <f>VLOOKUP($C1356,Userpass!$A$2:$L$3001,12,FALSE)</f>
        <v>AKL4</v>
      </c>
      <c r="I1356" s="5" t="s">
        <v>3045</v>
      </c>
      <c r="J1356" s="3">
        <v>2024.0</v>
      </c>
      <c r="K1356" s="4" t="str">
        <f>VLOOKUP($C1356,Userpass!$A$2:$R$3001,2,FALSE)</f>
        <v>akl20249238.siswa@smkn12malang.sch.id</v>
      </c>
    </row>
    <row r="1357" hidden="1">
      <c r="A1357" s="3" t="str">
        <f t="shared" si="1"/>
        <v>OK</v>
      </c>
      <c r="B1357" s="3" t="str">
        <f t="shared" si="2"/>
        <v>OK</v>
      </c>
      <c r="C1357" s="3">
        <v>8678.0</v>
      </c>
      <c r="D1357" s="4" t="s">
        <v>3331</v>
      </c>
      <c r="E1357" s="3" t="s">
        <v>3332</v>
      </c>
      <c r="F1357" s="3" t="s">
        <v>13</v>
      </c>
      <c r="G1357" s="3" t="str">
        <f t="shared" si="3"/>
        <v>XIBCF1</v>
      </c>
      <c r="H1357" s="3" t="str">
        <f>VLOOKUP($C1357,Userpass!$A$2:$L$3001,12,FALSE)</f>
        <v>BCF1</v>
      </c>
      <c r="I1357" s="5" t="s">
        <v>3045</v>
      </c>
      <c r="J1357" s="3">
        <v>2024.0</v>
      </c>
      <c r="K1357" s="4" t="str">
        <f>VLOOKUP($C1357,Userpass!$A$2:$R$3001,2,FALSE)</f>
        <v>bcf20248678.siswa@smkn12malang.sch.id</v>
      </c>
    </row>
    <row r="1358" hidden="1">
      <c r="A1358" s="3" t="str">
        <f t="shared" si="1"/>
        <v>OK</v>
      </c>
      <c r="B1358" s="3" t="str">
        <f t="shared" si="2"/>
        <v>OK</v>
      </c>
      <c r="C1358" s="3">
        <v>8705.0</v>
      </c>
      <c r="D1358" s="4" t="s">
        <v>3333</v>
      </c>
      <c r="E1358" s="3" t="s">
        <v>3334</v>
      </c>
      <c r="F1358" s="3" t="s">
        <v>13</v>
      </c>
      <c r="G1358" s="3" t="str">
        <f t="shared" si="3"/>
        <v>XIBCF1</v>
      </c>
      <c r="H1358" s="3" t="str">
        <f>VLOOKUP($C1358,Userpass!$A$2:$L$3001,12,FALSE)</f>
        <v>BCF1</v>
      </c>
      <c r="I1358" s="5" t="s">
        <v>3045</v>
      </c>
      <c r="J1358" s="3">
        <v>2024.0</v>
      </c>
      <c r="K1358" s="4" t="str">
        <f>VLOOKUP($C1358,Userpass!$A$2:$R$3001,2,FALSE)</f>
        <v>bcf20248705.siswa@smkn12malang.sch.id</v>
      </c>
    </row>
    <row r="1359" hidden="1">
      <c r="A1359" s="3" t="str">
        <f t="shared" si="1"/>
        <v>OK</v>
      </c>
      <c r="B1359" s="3" t="str">
        <f t="shared" si="2"/>
        <v>OK</v>
      </c>
      <c r="C1359" s="3">
        <v>8711.0</v>
      </c>
      <c r="D1359" s="4" t="s">
        <v>3335</v>
      </c>
      <c r="E1359" s="3" t="s">
        <v>3336</v>
      </c>
      <c r="F1359" s="3" t="s">
        <v>13</v>
      </c>
      <c r="G1359" s="3" t="str">
        <f t="shared" si="3"/>
        <v>XIBCF1</v>
      </c>
      <c r="H1359" s="3" t="str">
        <f>VLOOKUP($C1359,Userpass!$A$2:$L$3001,12,FALSE)</f>
        <v>BCF1</v>
      </c>
      <c r="I1359" s="5" t="s">
        <v>3045</v>
      </c>
      <c r="J1359" s="3">
        <v>2024.0</v>
      </c>
      <c r="K1359" s="4" t="str">
        <f>VLOOKUP($C1359,Userpass!$A$2:$R$3001,2,FALSE)</f>
        <v>bcf20248711.siswa@smkn12malang.sch.id</v>
      </c>
    </row>
    <row r="1360" hidden="1">
      <c r="A1360" s="3" t="str">
        <f t="shared" si="1"/>
        <v>OK</v>
      </c>
      <c r="B1360" s="3" t="str">
        <f t="shared" si="2"/>
        <v>OK</v>
      </c>
      <c r="C1360" s="3">
        <v>8721.0</v>
      </c>
      <c r="D1360" s="4" t="s">
        <v>3337</v>
      </c>
      <c r="E1360" s="3" t="s">
        <v>3338</v>
      </c>
      <c r="F1360" s="3" t="s">
        <v>13</v>
      </c>
      <c r="G1360" s="3" t="str">
        <f t="shared" si="3"/>
        <v>XIBCF1</v>
      </c>
      <c r="H1360" s="3" t="str">
        <f>VLOOKUP($C1360,Userpass!$A$2:$L$3001,12,FALSE)</f>
        <v>BCF1</v>
      </c>
      <c r="I1360" s="5" t="s">
        <v>3045</v>
      </c>
      <c r="J1360" s="3">
        <v>2024.0</v>
      </c>
      <c r="K1360" s="4" t="str">
        <f>VLOOKUP($C1360,Userpass!$A$2:$R$3001,2,FALSE)</f>
        <v>bcf20248721.siswa@smkn12malang.sch.id</v>
      </c>
    </row>
    <row r="1361" hidden="1">
      <c r="A1361" s="3" t="str">
        <f t="shared" si="1"/>
        <v>OK</v>
      </c>
      <c r="B1361" s="3" t="str">
        <f t="shared" si="2"/>
        <v>OK</v>
      </c>
      <c r="C1361" s="3">
        <v>8732.0</v>
      </c>
      <c r="D1361" s="4" t="s">
        <v>3339</v>
      </c>
      <c r="E1361" s="3" t="s">
        <v>3340</v>
      </c>
      <c r="F1361" s="3" t="s">
        <v>13</v>
      </c>
      <c r="G1361" s="3" t="str">
        <f t="shared" si="3"/>
        <v>XIBCF1</v>
      </c>
      <c r="H1361" s="3" t="str">
        <f>VLOOKUP($C1361,Userpass!$A$2:$L$3001,12,FALSE)</f>
        <v>BCF1</v>
      </c>
      <c r="I1361" s="5" t="s">
        <v>3045</v>
      </c>
      <c r="J1361" s="3">
        <v>2024.0</v>
      </c>
      <c r="K1361" s="4" t="str">
        <f>VLOOKUP($C1361,Userpass!$A$2:$R$3001,2,FALSE)</f>
        <v>bcf20248732.siswa@smkn12malang.sch.id</v>
      </c>
    </row>
    <row r="1362" hidden="1">
      <c r="A1362" s="3" t="str">
        <f t="shared" si="1"/>
        <v>OK</v>
      </c>
      <c r="B1362" s="3" t="str">
        <f t="shared" si="2"/>
        <v>OK</v>
      </c>
      <c r="C1362" s="3">
        <v>8738.0</v>
      </c>
      <c r="D1362" s="4" t="s">
        <v>3341</v>
      </c>
      <c r="E1362" s="3" t="s">
        <v>3342</v>
      </c>
      <c r="F1362" s="3" t="s">
        <v>17</v>
      </c>
      <c r="G1362" s="3" t="str">
        <f t="shared" si="3"/>
        <v>XIBCF1</v>
      </c>
      <c r="H1362" s="3" t="str">
        <f>VLOOKUP($C1362,Userpass!$A$2:$L$3001,12,FALSE)</f>
        <v>BCF1</v>
      </c>
      <c r="I1362" s="5" t="s">
        <v>3045</v>
      </c>
      <c r="J1362" s="3">
        <v>2024.0</v>
      </c>
      <c r="K1362" s="4" t="str">
        <f>VLOOKUP($C1362,Userpass!$A$2:$R$3001,2,FALSE)</f>
        <v>bcf20248738.siswa@smkn12malang.sch.id</v>
      </c>
    </row>
    <row r="1363" hidden="1">
      <c r="A1363" s="3" t="str">
        <f t="shared" si="1"/>
        <v>OK</v>
      </c>
      <c r="B1363" s="3" t="str">
        <f t="shared" si="2"/>
        <v>OK</v>
      </c>
      <c r="C1363" s="3">
        <v>8775.0</v>
      </c>
      <c r="D1363" s="4" t="s">
        <v>3343</v>
      </c>
      <c r="E1363" s="3" t="s">
        <v>3344</v>
      </c>
      <c r="F1363" s="3" t="s">
        <v>13</v>
      </c>
      <c r="G1363" s="3" t="str">
        <f t="shared" si="3"/>
        <v>XIBCF1</v>
      </c>
      <c r="H1363" s="3" t="str">
        <f>VLOOKUP($C1363,Userpass!$A$2:$L$3001,12,FALSE)</f>
        <v>BCF1</v>
      </c>
      <c r="I1363" s="5" t="s">
        <v>3045</v>
      </c>
      <c r="J1363" s="3">
        <v>2024.0</v>
      </c>
      <c r="K1363" s="4" t="str">
        <f>VLOOKUP($C1363,Userpass!$A$2:$R$3001,2,FALSE)</f>
        <v>bcf20248775.siswa@smkn12malang.sch.id</v>
      </c>
    </row>
    <row r="1364" hidden="1">
      <c r="A1364" s="3" t="str">
        <f t="shared" si="1"/>
        <v>OK</v>
      </c>
      <c r="B1364" s="3" t="str">
        <f t="shared" si="2"/>
        <v>OK</v>
      </c>
      <c r="C1364" s="3">
        <v>8776.0</v>
      </c>
      <c r="D1364" s="4" t="s">
        <v>3345</v>
      </c>
      <c r="E1364" s="3" t="s">
        <v>3346</v>
      </c>
      <c r="F1364" s="3" t="s">
        <v>13</v>
      </c>
      <c r="G1364" s="3" t="str">
        <f t="shared" si="3"/>
        <v>XIBCF1</v>
      </c>
      <c r="H1364" s="3" t="str">
        <f>VLOOKUP($C1364,Userpass!$A$2:$L$3001,12,FALSE)</f>
        <v>BCF1</v>
      </c>
      <c r="I1364" s="5" t="s">
        <v>3045</v>
      </c>
      <c r="J1364" s="3">
        <v>2024.0</v>
      </c>
      <c r="K1364" s="4" t="str">
        <f>VLOOKUP($C1364,Userpass!$A$2:$R$3001,2,FALSE)</f>
        <v>bcf20248776.siswa@smkn12malang.sch.id</v>
      </c>
    </row>
    <row r="1365" hidden="1">
      <c r="A1365" s="3" t="str">
        <f t="shared" si="1"/>
        <v>OK</v>
      </c>
      <c r="B1365" s="3" t="str">
        <f t="shared" si="2"/>
        <v>OK</v>
      </c>
      <c r="C1365" s="3">
        <v>8786.0</v>
      </c>
      <c r="D1365" s="4" t="s">
        <v>3347</v>
      </c>
      <c r="E1365" s="3" t="s">
        <v>3348</v>
      </c>
      <c r="F1365" s="3" t="s">
        <v>13</v>
      </c>
      <c r="G1365" s="3" t="str">
        <f t="shared" si="3"/>
        <v>XIBCF1</v>
      </c>
      <c r="H1365" s="3" t="str">
        <f>VLOOKUP($C1365,Userpass!$A$2:$L$3001,12,FALSE)</f>
        <v>BCF1</v>
      </c>
      <c r="I1365" s="5" t="s">
        <v>3045</v>
      </c>
      <c r="J1365" s="3">
        <v>2024.0</v>
      </c>
      <c r="K1365" s="4" t="str">
        <f>VLOOKUP($C1365,Userpass!$A$2:$R$3001,2,FALSE)</f>
        <v>bcf20248786.siswa@smkn12malang.sch.id</v>
      </c>
    </row>
    <row r="1366" hidden="1">
      <c r="A1366" s="3" t="str">
        <f t="shared" si="1"/>
        <v>OK</v>
      </c>
      <c r="B1366" s="3" t="str">
        <f t="shared" si="2"/>
        <v>OK</v>
      </c>
      <c r="C1366" s="3">
        <v>8790.0</v>
      </c>
      <c r="D1366" s="4" t="s">
        <v>3349</v>
      </c>
      <c r="E1366" s="3" t="s">
        <v>3350</v>
      </c>
      <c r="F1366" s="3" t="s">
        <v>17</v>
      </c>
      <c r="G1366" s="3" t="str">
        <f t="shared" si="3"/>
        <v>XIBCF1</v>
      </c>
      <c r="H1366" s="3" t="str">
        <f>VLOOKUP($C1366,Userpass!$A$2:$L$3001,12,FALSE)</f>
        <v>BCF1</v>
      </c>
      <c r="I1366" s="5" t="s">
        <v>3045</v>
      </c>
      <c r="J1366" s="3">
        <v>2024.0</v>
      </c>
      <c r="K1366" s="4" t="str">
        <f>VLOOKUP($C1366,Userpass!$A$2:$R$3001,2,FALSE)</f>
        <v>bcf20248790.siswa@smkn12malang.sch.id</v>
      </c>
    </row>
    <row r="1367" hidden="1">
      <c r="A1367" s="3" t="str">
        <f t="shared" si="1"/>
        <v>OK</v>
      </c>
      <c r="B1367" s="3" t="str">
        <f t="shared" si="2"/>
        <v>OK</v>
      </c>
      <c r="C1367" s="3">
        <v>8795.0</v>
      </c>
      <c r="D1367" s="4" t="s">
        <v>3351</v>
      </c>
      <c r="E1367" s="3" t="s">
        <v>3352</v>
      </c>
      <c r="F1367" s="3" t="s">
        <v>13</v>
      </c>
      <c r="G1367" s="3" t="str">
        <f t="shared" si="3"/>
        <v>XIBCF1</v>
      </c>
      <c r="H1367" s="3" t="str">
        <f>VLOOKUP($C1367,Userpass!$A$2:$L$3001,12,FALSE)</f>
        <v>BCF1</v>
      </c>
      <c r="I1367" s="5" t="s">
        <v>3045</v>
      </c>
      <c r="J1367" s="3">
        <v>2024.0</v>
      </c>
      <c r="K1367" s="4" t="str">
        <f>VLOOKUP($C1367,Userpass!$A$2:$R$3001,2,FALSE)</f>
        <v>bcf20248795.siswa@smkn12malang.sch.id</v>
      </c>
    </row>
    <row r="1368" hidden="1">
      <c r="A1368" s="3" t="str">
        <f t="shared" si="1"/>
        <v>OK</v>
      </c>
      <c r="B1368" s="3" t="str">
        <f t="shared" si="2"/>
        <v>OK</v>
      </c>
      <c r="C1368" s="3">
        <v>8811.0</v>
      </c>
      <c r="D1368" s="4" t="s">
        <v>3353</v>
      </c>
      <c r="E1368" s="3" t="s">
        <v>3354</v>
      </c>
      <c r="F1368" s="3" t="s">
        <v>13</v>
      </c>
      <c r="G1368" s="3" t="str">
        <f t="shared" si="3"/>
        <v>XIBCF1</v>
      </c>
      <c r="H1368" s="3" t="str">
        <f>VLOOKUP($C1368,Userpass!$A$2:$L$3001,12,FALSE)</f>
        <v>BCF1</v>
      </c>
      <c r="I1368" s="5" t="s">
        <v>3045</v>
      </c>
      <c r="J1368" s="3">
        <v>2024.0</v>
      </c>
      <c r="K1368" s="4" t="str">
        <f>VLOOKUP($C1368,Userpass!$A$2:$R$3001,2,FALSE)</f>
        <v>bcf20248811.siswa@smkn12malang.sch.id</v>
      </c>
    </row>
    <row r="1369" hidden="1">
      <c r="A1369" s="3" t="str">
        <f t="shared" si="1"/>
        <v>OK</v>
      </c>
      <c r="B1369" s="3" t="str">
        <f t="shared" si="2"/>
        <v>OK</v>
      </c>
      <c r="C1369" s="3">
        <v>8820.0</v>
      </c>
      <c r="D1369" s="4" t="s">
        <v>3355</v>
      </c>
      <c r="E1369" s="3" t="s">
        <v>3356</v>
      </c>
      <c r="F1369" s="3" t="s">
        <v>13</v>
      </c>
      <c r="G1369" s="3" t="str">
        <f t="shared" si="3"/>
        <v>XIBCF1</v>
      </c>
      <c r="H1369" s="3" t="str">
        <f>VLOOKUP($C1369,Userpass!$A$2:$L$3001,12,FALSE)</f>
        <v>BCF1</v>
      </c>
      <c r="I1369" s="5" t="s">
        <v>3045</v>
      </c>
      <c r="J1369" s="3">
        <v>2024.0</v>
      </c>
      <c r="K1369" s="4" t="str">
        <f>VLOOKUP($C1369,Userpass!$A$2:$R$3001,2,FALSE)</f>
        <v>bcf20248820.siswa@smkn12malang.sch.id</v>
      </c>
    </row>
    <row r="1370" hidden="1">
      <c r="A1370" s="3" t="str">
        <f t="shared" si="1"/>
        <v>OK</v>
      </c>
      <c r="B1370" s="3" t="str">
        <f t="shared" si="2"/>
        <v>OK</v>
      </c>
      <c r="C1370" s="3">
        <v>8842.0</v>
      </c>
      <c r="D1370" s="4" t="s">
        <v>3357</v>
      </c>
      <c r="E1370" s="3" t="s">
        <v>3358</v>
      </c>
      <c r="F1370" s="3" t="s">
        <v>17</v>
      </c>
      <c r="G1370" s="3" t="str">
        <f t="shared" si="3"/>
        <v>XIBCF1</v>
      </c>
      <c r="H1370" s="3" t="str">
        <f>VLOOKUP($C1370,Userpass!$A$2:$L$3001,12,FALSE)</f>
        <v>BCF1</v>
      </c>
      <c r="I1370" s="5" t="s">
        <v>3045</v>
      </c>
      <c r="J1370" s="3">
        <v>2024.0</v>
      </c>
      <c r="K1370" s="4" t="str">
        <f>VLOOKUP($C1370,Userpass!$A$2:$R$3001,2,FALSE)</f>
        <v>bcf20248842.siswa@smkn12malang.sch.id</v>
      </c>
    </row>
    <row r="1371" hidden="1">
      <c r="A1371" s="3" t="str">
        <f t="shared" si="1"/>
        <v>OK</v>
      </c>
      <c r="B1371" s="3" t="str">
        <f t="shared" si="2"/>
        <v>OK</v>
      </c>
      <c r="C1371" s="3">
        <v>8846.0</v>
      </c>
      <c r="D1371" s="4" t="s">
        <v>3359</v>
      </c>
      <c r="E1371" s="3" t="s">
        <v>3360</v>
      </c>
      <c r="F1371" s="3" t="s">
        <v>13</v>
      </c>
      <c r="G1371" s="3" t="str">
        <f t="shared" si="3"/>
        <v>XIBCF1</v>
      </c>
      <c r="H1371" s="3" t="str">
        <f>VLOOKUP($C1371,Userpass!$A$2:$L$3001,12,FALSE)</f>
        <v>BCF1</v>
      </c>
      <c r="I1371" s="5" t="s">
        <v>3045</v>
      </c>
      <c r="J1371" s="3">
        <v>2024.0</v>
      </c>
      <c r="K1371" s="4" t="str">
        <f>VLOOKUP($C1371,Userpass!$A$2:$R$3001,2,FALSE)</f>
        <v>bcf20248846.siswa@smkn12malang.sch.id</v>
      </c>
    </row>
    <row r="1372" hidden="1">
      <c r="A1372" s="3" t="str">
        <f t="shared" si="1"/>
        <v>OK</v>
      </c>
      <c r="B1372" s="3" t="str">
        <f t="shared" si="2"/>
        <v>OK</v>
      </c>
      <c r="C1372" s="3">
        <v>8850.0</v>
      </c>
      <c r="D1372" s="4" t="s">
        <v>3361</v>
      </c>
      <c r="E1372" s="3" t="s">
        <v>3362</v>
      </c>
      <c r="F1372" s="3" t="s">
        <v>13</v>
      </c>
      <c r="G1372" s="3" t="str">
        <f t="shared" si="3"/>
        <v>XIBCF1</v>
      </c>
      <c r="H1372" s="3" t="str">
        <f>VLOOKUP($C1372,Userpass!$A$2:$L$3001,12,FALSE)</f>
        <v>BCF1</v>
      </c>
      <c r="I1372" s="5" t="s">
        <v>3045</v>
      </c>
      <c r="J1372" s="3">
        <v>2024.0</v>
      </c>
      <c r="K1372" s="4" t="str">
        <f>VLOOKUP($C1372,Userpass!$A$2:$R$3001,2,FALSE)</f>
        <v>bcf20248850.siswa@smkn12malang.sch.id</v>
      </c>
    </row>
    <row r="1373" hidden="1">
      <c r="A1373" s="3" t="str">
        <f t="shared" si="1"/>
        <v>OK</v>
      </c>
      <c r="B1373" s="3" t="str">
        <f t="shared" si="2"/>
        <v>OK</v>
      </c>
      <c r="C1373" s="3">
        <v>8953.0</v>
      </c>
      <c r="D1373" s="4" t="s">
        <v>3363</v>
      </c>
      <c r="E1373" s="3" t="s">
        <v>3364</v>
      </c>
      <c r="F1373" s="3" t="s">
        <v>13</v>
      </c>
      <c r="G1373" s="3" t="str">
        <f t="shared" si="3"/>
        <v>XIBCF1</v>
      </c>
      <c r="H1373" s="3" t="str">
        <f>VLOOKUP($C1373,Userpass!$A$2:$L$3001,12,FALSE)</f>
        <v>BCF1</v>
      </c>
      <c r="I1373" s="5" t="s">
        <v>3045</v>
      </c>
      <c r="J1373" s="3">
        <v>2024.0</v>
      </c>
      <c r="K1373" s="4" t="str">
        <f>VLOOKUP($C1373,Userpass!$A$2:$R$3001,2,FALSE)</f>
        <v>bcf20248953.siswa@smkn12malang.sch.id</v>
      </c>
    </row>
    <row r="1374" hidden="1">
      <c r="A1374" s="3" t="str">
        <f t="shared" si="1"/>
        <v>OK</v>
      </c>
      <c r="B1374" s="3" t="str">
        <f t="shared" si="2"/>
        <v>OK</v>
      </c>
      <c r="C1374" s="3">
        <v>8960.0</v>
      </c>
      <c r="D1374" s="4" t="s">
        <v>3365</v>
      </c>
      <c r="E1374" s="3" t="s">
        <v>3366</v>
      </c>
      <c r="F1374" s="3" t="s">
        <v>13</v>
      </c>
      <c r="G1374" s="3" t="str">
        <f t="shared" si="3"/>
        <v>XIBCF1</v>
      </c>
      <c r="H1374" s="3" t="str">
        <f>VLOOKUP($C1374,Userpass!$A$2:$L$3001,12,FALSE)</f>
        <v>BCF1</v>
      </c>
      <c r="I1374" s="5" t="s">
        <v>3045</v>
      </c>
      <c r="J1374" s="3">
        <v>2024.0</v>
      </c>
      <c r="K1374" s="4" t="str">
        <f>VLOOKUP($C1374,Userpass!$A$2:$R$3001,2,FALSE)</f>
        <v>bcf20248960.siswa@smkn12malang.sch.id</v>
      </c>
    </row>
    <row r="1375" hidden="1">
      <c r="A1375" s="3" t="str">
        <f t="shared" si="1"/>
        <v>OK</v>
      </c>
      <c r="B1375" s="3" t="str">
        <f t="shared" si="2"/>
        <v>OK</v>
      </c>
      <c r="C1375" s="3">
        <v>9008.0</v>
      </c>
      <c r="D1375" s="4" t="s">
        <v>3367</v>
      </c>
      <c r="E1375" s="3" t="s">
        <v>3368</v>
      </c>
      <c r="F1375" s="3" t="s">
        <v>17</v>
      </c>
      <c r="G1375" s="3" t="str">
        <f t="shared" si="3"/>
        <v>XIBCF1</v>
      </c>
      <c r="H1375" s="3" t="str">
        <f>VLOOKUP($C1375,Userpass!$A$2:$L$3001,12,FALSE)</f>
        <v>BCF1</v>
      </c>
      <c r="I1375" s="5" t="s">
        <v>3045</v>
      </c>
      <c r="J1375" s="3">
        <v>2024.0</v>
      </c>
      <c r="K1375" s="4" t="str">
        <f>VLOOKUP($C1375,Userpass!$A$2:$R$3001,2,FALSE)</f>
        <v>bcf20249008.siswa@smkn12malang.sch.id</v>
      </c>
    </row>
    <row r="1376" hidden="1">
      <c r="A1376" s="3" t="str">
        <f t="shared" si="1"/>
        <v>OK</v>
      </c>
      <c r="B1376" s="3" t="str">
        <f t="shared" si="2"/>
        <v>OK</v>
      </c>
      <c r="C1376" s="3">
        <v>9034.0</v>
      </c>
      <c r="D1376" s="4" t="s">
        <v>3369</v>
      </c>
      <c r="E1376" s="3" t="s">
        <v>3370</v>
      </c>
      <c r="F1376" s="3" t="s">
        <v>17</v>
      </c>
      <c r="G1376" s="3" t="str">
        <f t="shared" si="3"/>
        <v>XIBCF1</v>
      </c>
      <c r="H1376" s="3" t="str">
        <f>VLOOKUP($C1376,Userpass!$A$2:$L$3001,12,FALSE)</f>
        <v>BCF1</v>
      </c>
      <c r="I1376" s="5" t="s">
        <v>3045</v>
      </c>
      <c r="J1376" s="3">
        <v>2024.0</v>
      </c>
      <c r="K1376" s="4" t="str">
        <f>VLOOKUP($C1376,Userpass!$A$2:$R$3001,2,FALSE)</f>
        <v>bcf20249034.siswa@smkn12malang.sch.id</v>
      </c>
    </row>
    <row r="1377" hidden="1">
      <c r="A1377" s="3" t="str">
        <f t="shared" si="1"/>
        <v>OK</v>
      </c>
      <c r="B1377" s="3" t="str">
        <f t="shared" si="2"/>
        <v>OK</v>
      </c>
      <c r="C1377" s="3">
        <v>9039.0</v>
      </c>
      <c r="D1377" s="4" t="s">
        <v>3371</v>
      </c>
      <c r="E1377" s="3" t="s">
        <v>3372</v>
      </c>
      <c r="F1377" s="3" t="s">
        <v>13</v>
      </c>
      <c r="G1377" s="3" t="str">
        <f t="shared" si="3"/>
        <v>XIBCF1</v>
      </c>
      <c r="H1377" s="3" t="str">
        <f>VLOOKUP($C1377,Userpass!$A$2:$L$3001,12,FALSE)</f>
        <v>BCF1</v>
      </c>
      <c r="I1377" s="5" t="s">
        <v>3045</v>
      </c>
      <c r="J1377" s="3">
        <v>2024.0</v>
      </c>
      <c r="K1377" s="4" t="str">
        <f>VLOOKUP($C1377,Userpass!$A$2:$R$3001,2,FALSE)</f>
        <v>bcf20249039.siswa@smkn12malang.sch.id</v>
      </c>
    </row>
    <row r="1378" hidden="1">
      <c r="A1378" s="3" t="str">
        <f t="shared" si="1"/>
        <v>OK</v>
      </c>
      <c r="B1378" s="3" t="str">
        <f t="shared" si="2"/>
        <v>OK</v>
      </c>
      <c r="C1378" s="3">
        <v>9049.0</v>
      </c>
      <c r="D1378" s="4" t="s">
        <v>3373</v>
      </c>
      <c r="E1378" s="3" t="s">
        <v>3374</v>
      </c>
      <c r="F1378" s="3" t="s">
        <v>13</v>
      </c>
      <c r="G1378" s="3" t="str">
        <f t="shared" si="3"/>
        <v>XIBCF1</v>
      </c>
      <c r="H1378" s="3" t="str">
        <f>VLOOKUP($C1378,Userpass!$A$2:$L$3001,12,FALSE)</f>
        <v>BCF1</v>
      </c>
      <c r="I1378" s="5" t="s">
        <v>3045</v>
      </c>
      <c r="J1378" s="3">
        <v>2024.0</v>
      </c>
      <c r="K1378" s="4" t="str">
        <f>VLOOKUP($C1378,Userpass!$A$2:$R$3001,2,FALSE)</f>
        <v>bcf20249049.siswa@smkn12malang.sch.id</v>
      </c>
    </row>
    <row r="1379" hidden="1">
      <c r="A1379" s="3" t="str">
        <f t="shared" si="1"/>
        <v>OK</v>
      </c>
      <c r="B1379" s="3" t="str">
        <f t="shared" si="2"/>
        <v>OK</v>
      </c>
      <c r="C1379" s="3">
        <v>9069.0</v>
      </c>
      <c r="D1379" s="4" t="s">
        <v>3375</v>
      </c>
      <c r="E1379" s="3" t="s">
        <v>3376</v>
      </c>
      <c r="F1379" s="3" t="s">
        <v>13</v>
      </c>
      <c r="G1379" s="3" t="str">
        <f t="shared" si="3"/>
        <v>XIBCF1</v>
      </c>
      <c r="H1379" s="3" t="str">
        <f>VLOOKUP($C1379,Userpass!$A$2:$L$3001,12,FALSE)</f>
        <v>BCF1</v>
      </c>
      <c r="I1379" s="5" t="s">
        <v>3045</v>
      </c>
      <c r="J1379" s="3">
        <v>2024.0</v>
      </c>
      <c r="K1379" s="4" t="str">
        <f>VLOOKUP($C1379,Userpass!$A$2:$R$3001,2,FALSE)</f>
        <v>bcf20249069.siswa@smkn12malang.sch.id</v>
      </c>
    </row>
    <row r="1380" hidden="1">
      <c r="A1380" s="3" t="str">
        <f t="shared" si="1"/>
        <v>OK</v>
      </c>
      <c r="B1380" s="3" t="str">
        <f t="shared" si="2"/>
        <v>OK</v>
      </c>
      <c r="C1380" s="3">
        <v>9095.0</v>
      </c>
      <c r="D1380" s="4" t="s">
        <v>3377</v>
      </c>
      <c r="E1380" s="3" t="s">
        <v>3378</v>
      </c>
      <c r="F1380" s="3" t="s">
        <v>13</v>
      </c>
      <c r="G1380" s="3" t="str">
        <f t="shared" si="3"/>
        <v>XIBCF1</v>
      </c>
      <c r="H1380" s="3" t="str">
        <f>VLOOKUP($C1380,Userpass!$A$2:$L$3001,12,FALSE)</f>
        <v>BCF1</v>
      </c>
      <c r="I1380" s="5" t="s">
        <v>3045</v>
      </c>
      <c r="J1380" s="3">
        <v>2024.0</v>
      </c>
      <c r="K1380" s="4" t="str">
        <f>VLOOKUP($C1380,Userpass!$A$2:$R$3001,2,FALSE)</f>
        <v>bcf20249095.siswa@smkn12malang.sch.id</v>
      </c>
    </row>
    <row r="1381" hidden="1">
      <c r="A1381" s="3" t="str">
        <f t="shared" si="1"/>
        <v>OK</v>
      </c>
      <c r="B1381" s="3" t="str">
        <f t="shared" si="2"/>
        <v>OK</v>
      </c>
      <c r="C1381" s="3">
        <v>9112.0</v>
      </c>
      <c r="D1381" s="4" t="s">
        <v>3379</v>
      </c>
      <c r="E1381" s="3" t="s">
        <v>3380</v>
      </c>
      <c r="F1381" s="3" t="s">
        <v>17</v>
      </c>
      <c r="G1381" s="3" t="str">
        <f t="shared" si="3"/>
        <v>XIBCF1</v>
      </c>
      <c r="H1381" s="3" t="str">
        <f>VLOOKUP($C1381,Userpass!$A$2:$L$3001,12,FALSE)</f>
        <v>BCF1</v>
      </c>
      <c r="I1381" s="5" t="s">
        <v>3045</v>
      </c>
      <c r="J1381" s="3">
        <v>2024.0</v>
      </c>
      <c r="K1381" s="4" t="str">
        <f>VLOOKUP($C1381,Userpass!$A$2:$R$3001,2,FALSE)</f>
        <v>bcf20249112.siswa@smkn12malang.sch.id</v>
      </c>
    </row>
    <row r="1382" hidden="1">
      <c r="A1382" s="3" t="str">
        <f t="shared" si="1"/>
        <v>OK</v>
      </c>
      <c r="B1382" s="3" t="str">
        <f t="shared" si="2"/>
        <v>OK</v>
      </c>
      <c r="C1382" s="3">
        <v>9124.0</v>
      </c>
      <c r="D1382" s="4" t="s">
        <v>3381</v>
      </c>
      <c r="E1382" s="3" t="s">
        <v>3382</v>
      </c>
      <c r="F1382" s="3" t="s">
        <v>13</v>
      </c>
      <c r="G1382" s="3" t="str">
        <f t="shared" si="3"/>
        <v>XIBCF1</v>
      </c>
      <c r="H1382" s="3" t="str">
        <f>VLOOKUP($C1382,Userpass!$A$2:$L$3001,12,FALSE)</f>
        <v>BCF1</v>
      </c>
      <c r="I1382" s="5" t="s">
        <v>3045</v>
      </c>
      <c r="J1382" s="3">
        <v>2024.0</v>
      </c>
      <c r="K1382" s="4" t="str">
        <f>VLOOKUP($C1382,Userpass!$A$2:$R$3001,2,FALSE)</f>
        <v>bcf20249124.siswa@smkn12malang.sch.id</v>
      </c>
    </row>
    <row r="1383" hidden="1">
      <c r="A1383" s="3" t="str">
        <f t="shared" si="1"/>
        <v>OK</v>
      </c>
      <c r="B1383" s="3" t="str">
        <f t="shared" si="2"/>
        <v>OK</v>
      </c>
      <c r="C1383" s="3">
        <v>9193.0</v>
      </c>
      <c r="D1383" s="4" t="s">
        <v>3383</v>
      </c>
      <c r="E1383" s="3" t="s">
        <v>3384</v>
      </c>
      <c r="F1383" s="3" t="s">
        <v>17</v>
      </c>
      <c r="G1383" s="3" t="str">
        <f t="shared" si="3"/>
        <v>XIBCF1</v>
      </c>
      <c r="H1383" s="3" t="str">
        <f>VLOOKUP($C1383,Userpass!$A$2:$L$3001,12,FALSE)</f>
        <v>BCF1</v>
      </c>
      <c r="I1383" s="5" t="s">
        <v>3045</v>
      </c>
      <c r="J1383" s="3">
        <v>2024.0</v>
      </c>
      <c r="K1383" s="4" t="str">
        <f>VLOOKUP($C1383,Userpass!$A$2:$R$3001,2,FALSE)</f>
        <v>bcf20249193.siswa@smkn12malang.sch.id</v>
      </c>
    </row>
    <row r="1384" hidden="1">
      <c r="A1384" s="3" t="str">
        <f t="shared" si="1"/>
        <v>OK</v>
      </c>
      <c r="B1384" s="3" t="str">
        <f t="shared" si="2"/>
        <v>OK</v>
      </c>
      <c r="C1384" s="3">
        <v>9198.0</v>
      </c>
      <c r="D1384" s="4" t="s">
        <v>3385</v>
      </c>
      <c r="E1384" s="3" t="s">
        <v>3386</v>
      </c>
      <c r="F1384" s="3" t="s">
        <v>17</v>
      </c>
      <c r="G1384" s="3" t="str">
        <f t="shared" si="3"/>
        <v>XIBCF1</v>
      </c>
      <c r="H1384" s="3" t="str">
        <f>VLOOKUP($C1384,Userpass!$A$2:$L$3001,12,FALSE)</f>
        <v>BCF1</v>
      </c>
      <c r="I1384" s="5" t="s">
        <v>3045</v>
      </c>
      <c r="J1384" s="3">
        <v>2024.0</v>
      </c>
      <c r="K1384" s="4" t="str">
        <f>VLOOKUP($C1384,Userpass!$A$2:$R$3001,2,FALSE)</f>
        <v>bcf20249198.siswa@smkn12malang.sch.id</v>
      </c>
    </row>
    <row r="1385" hidden="1">
      <c r="A1385" s="3" t="str">
        <f t="shared" si="1"/>
        <v>OK</v>
      </c>
      <c r="B1385" s="3" t="str">
        <f t="shared" si="2"/>
        <v>OK</v>
      </c>
      <c r="C1385" s="3">
        <v>9202.0</v>
      </c>
      <c r="D1385" s="4" t="s">
        <v>3387</v>
      </c>
      <c r="E1385" s="3" t="s">
        <v>3388</v>
      </c>
      <c r="F1385" s="3" t="s">
        <v>17</v>
      </c>
      <c r="G1385" s="3" t="str">
        <f t="shared" si="3"/>
        <v>XIBCF1</v>
      </c>
      <c r="H1385" s="3" t="str">
        <f>VLOOKUP($C1385,Userpass!$A$2:$L$3001,12,FALSE)</f>
        <v>BCF1</v>
      </c>
      <c r="I1385" s="5" t="s">
        <v>3045</v>
      </c>
      <c r="J1385" s="3">
        <v>2024.0</v>
      </c>
      <c r="K1385" s="4" t="str">
        <f>VLOOKUP($C1385,Userpass!$A$2:$R$3001,2,FALSE)</f>
        <v>bcf20249202.siswa@smkn12malang.sch.id</v>
      </c>
    </row>
    <row r="1386" hidden="1">
      <c r="A1386" s="3" t="str">
        <f t="shared" si="1"/>
        <v>OK</v>
      </c>
      <c r="B1386" s="3" t="str">
        <f t="shared" si="2"/>
        <v>OK</v>
      </c>
      <c r="C1386" s="3">
        <v>9225.0</v>
      </c>
      <c r="D1386" s="4" t="s">
        <v>3389</v>
      </c>
      <c r="E1386" s="3" t="s">
        <v>3390</v>
      </c>
      <c r="F1386" s="3" t="s">
        <v>13</v>
      </c>
      <c r="G1386" s="3" t="str">
        <f t="shared" si="3"/>
        <v>XIBCF1</v>
      </c>
      <c r="H1386" s="3" t="str">
        <f>VLOOKUP($C1386,Userpass!$A$2:$L$3001,12,FALSE)</f>
        <v>BCF1</v>
      </c>
      <c r="I1386" s="5" t="s">
        <v>3045</v>
      </c>
      <c r="J1386" s="3">
        <v>2024.0</v>
      </c>
      <c r="K1386" s="4" t="str">
        <f>VLOOKUP($C1386,Userpass!$A$2:$R$3001,2,FALSE)</f>
        <v>bcf20249225.siswa@smkn12malang.sch.id</v>
      </c>
    </row>
    <row r="1387" hidden="1">
      <c r="A1387" s="3" t="str">
        <f t="shared" si="1"/>
        <v>OK</v>
      </c>
      <c r="B1387" s="3" t="str">
        <f t="shared" si="2"/>
        <v>OK</v>
      </c>
      <c r="C1387" s="3">
        <v>9236.0</v>
      </c>
      <c r="D1387" s="4" t="s">
        <v>3391</v>
      </c>
      <c r="E1387" s="3" t="s">
        <v>3392</v>
      </c>
      <c r="F1387" s="3" t="s">
        <v>13</v>
      </c>
      <c r="G1387" s="3" t="str">
        <f t="shared" si="3"/>
        <v>XIBCF1</v>
      </c>
      <c r="H1387" s="3" t="str">
        <f>VLOOKUP($C1387,Userpass!$A$2:$L$3001,12,FALSE)</f>
        <v>BCF1</v>
      </c>
      <c r="I1387" s="5" t="s">
        <v>3045</v>
      </c>
      <c r="J1387" s="3">
        <v>2024.0</v>
      </c>
      <c r="K1387" s="4" t="str">
        <f>VLOOKUP($C1387,Userpass!$A$2:$R$3001,2,FALSE)</f>
        <v>bcf20249236.siswa@smkn12malang.sch.id</v>
      </c>
    </row>
    <row r="1388" hidden="1">
      <c r="A1388" s="3" t="str">
        <f t="shared" si="1"/>
        <v>OK</v>
      </c>
      <c r="B1388" s="3" t="str">
        <f t="shared" si="2"/>
        <v>OK</v>
      </c>
      <c r="C1388" s="3">
        <v>9241.0</v>
      </c>
      <c r="D1388" s="4" t="s">
        <v>3393</v>
      </c>
      <c r="E1388" s="3" t="s">
        <v>3394</v>
      </c>
      <c r="F1388" s="3" t="s">
        <v>13</v>
      </c>
      <c r="G1388" s="3" t="str">
        <f t="shared" si="3"/>
        <v>XIBCF1</v>
      </c>
      <c r="H1388" s="3" t="str">
        <f>VLOOKUP($C1388,Userpass!$A$2:$L$3001,12,FALSE)</f>
        <v>BCF1</v>
      </c>
      <c r="I1388" s="5" t="s">
        <v>3045</v>
      </c>
      <c r="J1388" s="3">
        <v>2024.0</v>
      </c>
      <c r="K1388" s="4" t="str">
        <f>VLOOKUP($C1388,Userpass!$A$2:$R$3001,2,FALSE)</f>
        <v>bcf20249241.siswa@smkn12malang.sch.id</v>
      </c>
    </row>
    <row r="1389" hidden="1">
      <c r="A1389" s="3" t="str">
        <f t="shared" si="1"/>
        <v>OK</v>
      </c>
      <c r="B1389" s="3" t="str">
        <f t="shared" si="2"/>
        <v>OK</v>
      </c>
      <c r="C1389" s="3">
        <v>8652.0</v>
      </c>
      <c r="D1389" s="4" t="s">
        <v>3395</v>
      </c>
      <c r="E1389" s="3" t="s">
        <v>3396</v>
      </c>
      <c r="F1389" s="3" t="s">
        <v>13</v>
      </c>
      <c r="G1389" s="3" t="str">
        <f t="shared" si="3"/>
        <v>XIDKV1</v>
      </c>
      <c r="H1389" s="3" t="str">
        <f>VLOOKUP($C1389,Userpass!$A$2:$L$3001,12,FALSE)</f>
        <v>DKV1</v>
      </c>
      <c r="I1389" s="5" t="s">
        <v>3045</v>
      </c>
      <c r="J1389" s="3">
        <v>2024.0</v>
      </c>
      <c r="K1389" s="4" t="str">
        <f>VLOOKUP($C1389,Userpass!$A$2:$R$3001,2,FALSE)</f>
        <v>dkv20248652.siswa@smkn12malang.sch.id</v>
      </c>
    </row>
    <row r="1390" hidden="1">
      <c r="A1390" s="3" t="str">
        <f t="shared" si="1"/>
        <v>OK</v>
      </c>
      <c r="B1390" s="3" t="str">
        <f t="shared" si="2"/>
        <v>OK</v>
      </c>
      <c r="C1390" s="3">
        <v>8676.0</v>
      </c>
      <c r="D1390" s="4" t="s">
        <v>3397</v>
      </c>
      <c r="E1390" s="3" t="s">
        <v>3398</v>
      </c>
      <c r="F1390" s="3" t="s">
        <v>13</v>
      </c>
      <c r="G1390" s="3" t="str">
        <f t="shared" si="3"/>
        <v>XIDKV1</v>
      </c>
      <c r="H1390" s="3" t="str">
        <f>VLOOKUP($C1390,Userpass!$A$2:$L$3001,12,FALSE)</f>
        <v>DKV1</v>
      </c>
      <c r="I1390" s="5" t="s">
        <v>3045</v>
      </c>
      <c r="J1390" s="3">
        <v>2024.0</v>
      </c>
      <c r="K1390" s="4" t="str">
        <f>VLOOKUP($C1390,Userpass!$A$2:$R$3001,2,FALSE)</f>
        <v>dkv20248676.siswa@smkn12malang.sch.id</v>
      </c>
    </row>
    <row r="1391" hidden="1">
      <c r="A1391" s="3" t="str">
        <f t="shared" si="1"/>
        <v>OK</v>
      </c>
      <c r="B1391" s="3" t="str">
        <f t="shared" si="2"/>
        <v>OK</v>
      </c>
      <c r="C1391" s="3">
        <v>8708.0</v>
      </c>
      <c r="D1391" s="4" t="s">
        <v>3399</v>
      </c>
      <c r="E1391" s="3" t="s">
        <v>3400</v>
      </c>
      <c r="F1391" s="3" t="s">
        <v>13</v>
      </c>
      <c r="G1391" s="3" t="str">
        <f t="shared" si="3"/>
        <v>XIDKV1</v>
      </c>
      <c r="H1391" s="3" t="str">
        <f>VLOOKUP($C1391,Userpass!$A$2:$L$3001,12,FALSE)</f>
        <v>DKV1</v>
      </c>
      <c r="I1391" s="5" t="s">
        <v>3045</v>
      </c>
      <c r="J1391" s="3">
        <v>2024.0</v>
      </c>
      <c r="K1391" s="4" t="str">
        <f>VLOOKUP($C1391,Userpass!$A$2:$R$3001,2,FALSE)</f>
        <v>dkv20248708.siswa@smkn12malang.sch.id</v>
      </c>
    </row>
    <row r="1392" hidden="1">
      <c r="A1392" s="3" t="str">
        <f t="shared" si="1"/>
        <v>OK</v>
      </c>
      <c r="B1392" s="3" t="str">
        <f t="shared" si="2"/>
        <v>OK</v>
      </c>
      <c r="C1392" s="3">
        <v>8729.0</v>
      </c>
      <c r="D1392" s="4" t="s">
        <v>3401</v>
      </c>
      <c r="E1392" s="3" t="s">
        <v>3402</v>
      </c>
      <c r="F1392" s="3" t="s">
        <v>13</v>
      </c>
      <c r="G1392" s="3" t="str">
        <f t="shared" si="3"/>
        <v>XIDKV1</v>
      </c>
      <c r="H1392" s="3" t="str">
        <f>VLOOKUP($C1392,Userpass!$A$2:$L$3001,12,FALSE)</f>
        <v>DKV1</v>
      </c>
      <c r="I1392" s="5" t="s">
        <v>3045</v>
      </c>
      <c r="J1392" s="3">
        <v>2024.0</v>
      </c>
      <c r="K1392" s="4" t="str">
        <f>VLOOKUP($C1392,Userpass!$A$2:$R$3001,2,FALSE)</f>
        <v>dkv20248729.siswa@smkn12malang.sch.id</v>
      </c>
    </row>
    <row r="1393" hidden="1">
      <c r="A1393" s="3" t="str">
        <f t="shared" si="1"/>
        <v>OK</v>
      </c>
      <c r="B1393" s="3" t="str">
        <f t="shared" si="2"/>
        <v>OK</v>
      </c>
      <c r="C1393" s="3">
        <v>8736.0</v>
      </c>
      <c r="D1393" s="4" t="s">
        <v>3403</v>
      </c>
      <c r="E1393" s="3" t="s">
        <v>3404</v>
      </c>
      <c r="F1393" s="3" t="s">
        <v>13</v>
      </c>
      <c r="G1393" s="3" t="str">
        <f t="shared" si="3"/>
        <v>XIDKV1</v>
      </c>
      <c r="H1393" s="3" t="str">
        <f>VLOOKUP($C1393,Userpass!$A$2:$L$3001,12,FALSE)</f>
        <v>DKV1</v>
      </c>
      <c r="I1393" s="5" t="s">
        <v>3045</v>
      </c>
      <c r="J1393" s="3">
        <v>2024.0</v>
      </c>
      <c r="K1393" s="4" t="str">
        <f>VLOOKUP($C1393,Userpass!$A$2:$R$3001,2,FALSE)</f>
        <v>dkv20248736.siswa@smkn12malang.sch.id</v>
      </c>
    </row>
    <row r="1394" hidden="1">
      <c r="A1394" s="3" t="str">
        <f t="shared" si="1"/>
        <v>OK</v>
      </c>
      <c r="B1394" s="3" t="str">
        <f t="shared" si="2"/>
        <v>OK</v>
      </c>
      <c r="C1394" s="3">
        <v>8745.0</v>
      </c>
      <c r="D1394" s="4" t="s">
        <v>3405</v>
      </c>
      <c r="E1394" s="3" t="s">
        <v>3406</v>
      </c>
      <c r="F1394" s="3" t="s">
        <v>13</v>
      </c>
      <c r="G1394" s="3" t="str">
        <f t="shared" si="3"/>
        <v>XIDKV1</v>
      </c>
      <c r="H1394" s="3" t="str">
        <f>VLOOKUP($C1394,Userpass!$A$2:$L$3001,12,FALSE)</f>
        <v>DKV1</v>
      </c>
      <c r="I1394" s="5" t="s">
        <v>3045</v>
      </c>
      <c r="J1394" s="3">
        <v>2024.0</v>
      </c>
      <c r="K1394" s="4" t="str">
        <f>VLOOKUP($C1394,Userpass!$A$2:$R$3001,2,FALSE)</f>
        <v>dkv20248745.siswa@smkn12malang.sch.id</v>
      </c>
    </row>
    <row r="1395" hidden="1">
      <c r="A1395" s="3" t="str">
        <f t="shared" si="1"/>
        <v>OK</v>
      </c>
      <c r="B1395" s="3" t="str">
        <f t="shared" si="2"/>
        <v>OK</v>
      </c>
      <c r="C1395" s="3">
        <v>8756.0</v>
      </c>
      <c r="D1395" s="4" t="s">
        <v>3407</v>
      </c>
      <c r="E1395" s="3" t="s">
        <v>3408</v>
      </c>
      <c r="F1395" s="3" t="s">
        <v>13</v>
      </c>
      <c r="G1395" s="3" t="str">
        <f t="shared" si="3"/>
        <v>XIDKV1</v>
      </c>
      <c r="H1395" s="3" t="str">
        <f>VLOOKUP($C1395,Userpass!$A$2:$L$3001,12,FALSE)</f>
        <v>DKV1</v>
      </c>
      <c r="I1395" s="5" t="s">
        <v>3045</v>
      </c>
      <c r="J1395" s="3">
        <v>2024.0</v>
      </c>
      <c r="K1395" s="4" t="str">
        <f>VLOOKUP($C1395,Userpass!$A$2:$R$3001,2,FALSE)</f>
        <v>dkv20248756.siswa@smkn12malang.sch.id</v>
      </c>
    </row>
    <row r="1396" hidden="1">
      <c r="A1396" s="3" t="str">
        <f t="shared" si="1"/>
        <v>OK</v>
      </c>
      <c r="B1396" s="3" t="str">
        <f t="shared" si="2"/>
        <v>OK</v>
      </c>
      <c r="C1396" s="3">
        <v>8766.0</v>
      </c>
      <c r="D1396" s="4" t="s">
        <v>3409</v>
      </c>
      <c r="E1396" s="3" t="s">
        <v>3410</v>
      </c>
      <c r="F1396" s="3" t="s">
        <v>13</v>
      </c>
      <c r="G1396" s="3" t="str">
        <f t="shared" si="3"/>
        <v>XIDKV1</v>
      </c>
      <c r="H1396" s="3" t="str">
        <f>VLOOKUP($C1396,Userpass!$A$2:$L$3001,12,FALSE)</f>
        <v>DKV1</v>
      </c>
      <c r="I1396" s="5" t="s">
        <v>3045</v>
      </c>
      <c r="J1396" s="3">
        <v>2024.0</v>
      </c>
      <c r="K1396" s="4" t="str">
        <f>VLOOKUP($C1396,Userpass!$A$2:$R$3001,2,FALSE)</f>
        <v>dkv20248766.siswa@smkn12malang.sch.id</v>
      </c>
    </row>
    <row r="1397" hidden="1">
      <c r="A1397" s="3" t="str">
        <f t="shared" si="1"/>
        <v>OK</v>
      </c>
      <c r="B1397" s="3" t="str">
        <f t="shared" si="2"/>
        <v>OK</v>
      </c>
      <c r="C1397" s="3">
        <v>8788.0</v>
      </c>
      <c r="D1397" s="4" t="s">
        <v>3411</v>
      </c>
      <c r="E1397" s="3" t="s">
        <v>3412</v>
      </c>
      <c r="F1397" s="3" t="s">
        <v>13</v>
      </c>
      <c r="G1397" s="3" t="str">
        <f t="shared" si="3"/>
        <v>XIDKV1</v>
      </c>
      <c r="H1397" s="3" t="str">
        <f>VLOOKUP($C1397,Userpass!$A$2:$L$3001,12,FALSE)</f>
        <v>DKV1</v>
      </c>
      <c r="I1397" s="5" t="s">
        <v>3045</v>
      </c>
      <c r="J1397" s="3">
        <v>2024.0</v>
      </c>
      <c r="K1397" s="4" t="str">
        <f>VLOOKUP($C1397,Userpass!$A$2:$R$3001,2,FALSE)</f>
        <v>dkv20248788.siswa@smkn12malang.sch.id</v>
      </c>
    </row>
    <row r="1398" hidden="1">
      <c r="A1398" s="3" t="str">
        <f t="shared" si="1"/>
        <v>OK</v>
      </c>
      <c r="B1398" s="3" t="str">
        <f t="shared" si="2"/>
        <v>OK</v>
      </c>
      <c r="C1398" s="3">
        <v>8798.0</v>
      </c>
      <c r="D1398" s="4" t="s">
        <v>3413</v>
      </c>
      <c r="E1398" s="3" t="s">
        <v>3414</v>
      </c>
      <c r="F1398" s="3" t="s">
        <v>13</v>
      </c>
      <c r="G1398" s="3" t="str">
        <f t="shared" si="3"/>
        <v>XIDKV1</v>
      </c>
      <c r="H1398" s="3" t="str">
        <f>VLOOKUP($C1398,Userpass!$A$2:$L$3001,12,FALSE)</f>
        <v>DKV1</v>
      </c>
      <c r="I1398" s="5" t="s">
        <v>3045</v>
      </c>
      <c r="J1398" s="3">
        <v>2024.0</v>
      </c>
      <c r="K1398" s="4" t="str">
        <f>VLOOKUP($C1398,Userpass!$A$2:$R$3001,2,FALSE)</f>
        <v>dkv20248798.siswa@smkn12malang.sch.id</v>
      </c>
    </row>
    <row r="1399" hidden="1">
      <c r="A1399" s="3" t="str">
        <f t="shared" si="1"/>
        <v>OK</v>
      </c>
      <c r="B1399" s="3" t="str">
        <f t="shared" si="2"/>
        <v>OK</v>
      </c>
      <c r="C1399" s="3">
        <v>8828.0</v>
      </c>
      <c r="D1399" s="4" t="s">
        <v>3415</v>
      </c>
      <c r="E1399" s="3" t="s">
        <v>3416</v>
      </c>
      <c r="F1399" s="3" t="s">
        <v>13</v>
      </c>
      <c r="G1399" s="3" t="str">
        <f t="shared" si="3"/>
        <v>XIDKV1</v>
      </c>
      <c r="H1399" s="3" t="str">
        <f>VLOOKUP($C1399,Userpass!$A$2:$L$3001,12,FALSE)</f>
        <v>DKV1</v>
      </c>
      <c r="I1399" s="5" t="s">
        <v>3045</v>
      </c>
      <c r="J1399" s="3">
        <v>2024.0</v>
      </c>
      <c r="K1399" s="4" t="str">
        <f>VLOOKUP($C1399,Userpass!$A$2:$R$3001,2,FALSE)</f>
        <v>dkv20248828.siswa@smkn12malang.sch.id</v>
      </c>
    </row>
    <row r="1400" hidden="1">
      <c r="A1400" s="3" t="str">
        <f t="shared" si="1"/>
        <v>OK</v>
      </c>
      <c r="B1400" s="3" t="str">
        <f t="shared" si="2"/>
        <v>OK</v>
      </c>
      <c r="C1400" s="3">
        <v>8866.0</v>
      </c>
      <c r="D1400" s="4" t="s">
        <v>3417</v>
      </c>
      <c r="E1400" s="3" t="s">
        <v>3418</v>
      </c>
      <c r="F1400" s="3" t="s">
        <v>17</v>
      </c>
      <c r="G1400" s="3" t="str">
        <f t="shared" si="3"/>
        <v>XIDKV1</v>
      </c>
      <c r="H1400" s="3" t="str">
        <f>VLOOKUP($C1400,Userpass!$A$2:$L$3001,12,FALSE)</f>
        <v>DKV1</v>
      </c>
      <c r="I1400" s="5" t="s">
        <v>3045</v>
      </c>
      <c r="J1400" s="3">
        <v>2024.0</v>
      </c>
      <c r="K1400" s="4" t="str">
        <f>VLOOKUP($C1400,Userpass!$A$2:$R$3001,2,FALSE)</f>
        <v>dkv20248866.siswa@smkn12malang.sch.id</v>
      </c>
    </row>
    <row r="1401" hidden="1">
      <c r="A1401" s="3" t="str">
        <f t="shared" si="1"/>
        <v>OK</v>
      </c>
      <c r="B1401" s="3" t="str">
        <f t="shared" si="2"/>
        <v>OK</v>
      </c>
      <c r="C1401" s="3">
        <v>8893.0</v>
      </c>
      <c r="D1401" s="4" t="s">
        <v>3419</v>
      </c>
      <c r="E1401" s="3" t="s">
        <v>3420</v>
      </c>
      <c r="F1401" s="3" t="s">
        <v>13</v>
      </c>
      <c r="G1401" s="3" t="str">
        <f t="shared" si="3"/>
        <v>XIDKV1</v>
      </c>
      <c r="H1401" s="3" t="str">
        <f>VLOOKUP($C1401,Userpass!$A$2:$L$3001,12,FALSE)</f>
        <v>DKV1</v>
      </c>
      <c r="I1401" s="5" t="s">
        <v>3045</v>
      </c>
      <c r="J1401" s="3">
        <v>2024.0</v>
      </c>
      <c r="K1401" s="4" t="str">
        <f>VLOOKUP($C1401,Userpass!$A$2:$R$3001,2,FALSE)</f>
        <v>dkv20248893.siswa@smkn12malang.sch.id</v>
      </c>
    </row>
    <row r="1402" hidden="1">
      <c r="A1402" s="3" t="str">
        <f t="shared" si="1"/>
        <v>OK</v>
      </c>
      <c r="B1402" s="3" t="str">
        <f t="shared" si="2"/>
        <v>OK</v>
      </c>
      <c r="C1402" s="3">
        <v>8897.0</v>
      </c>
      <c r="D1402" s="4" t="s">
        <v>3421</v>
      </c>
      <c r="E1402" s="3" t="s">
        <v>3422</v>
      </c>
      <c r="F1402" s="3" t="s">
        <v>17</v>
      </c>
      <c r="G1402" s="3" t="str">
        <f t="shared" si="3"/>
        <v>XIDKV1</v>
      </c>
      <c r="H1402" s="3" t="str">
        <f>VLOOKUP($C1402,Userpass!$A$2:$L$3001,12,FALSE)</f>
        <v>DKV1</v>
      </c>
      <c r="I1402" s="5" t="s">
        <v>3045</v>
      </c>
      <c r="J1402" s="3">
        <v>2024.0</v>
      </c>
      <c r="K1402" s="4" t="str">
        <f>VLOOKUP($C1402,Userpass!$A$2:$R$3001,2,FALSE)</f>
        <v>dkv20248897.siswa@smkn12malang.sch.id</v>
      </c>
    </row>
    <row r="1403" hidden="1">
      <c r="A1403" s="3" t="str">
        <f t="shared" si="1"/>
        <v>OK</v>
      </c>
      <c r="B1403" s="3" t="str">
        <f t="shared" si="2"/>
        <v>OK</v>
      </c>
      <c r="C1403" s="3">
        <v>8908.0</v>
      </c>
      <c r="D1403" s="4" t="s">
        <v>3423</v>
      </c>
      <c r="E1403" s="3" t="s">
        <v>3424</v>
      </c>
      <c r="F1403" s="3" t="s">
        <v>13</v>
      </c>
      <c r="G1403" s="3" t="str">
        <f t="shared" si="3"/>
        <v>XIDKV1</v>
      </c>
      <c r="H1403" s="3" t="str">
        <f>VLOOKUP($C1403,Userpass!$A$2:$L$3001,12,FALSE)</f>
        <v>DKV1</v>
      </c>
      <c r="I1403" s="5" t="s">
        <v>3045</v>
      </c>
      <c r="J1403" s="3">
        <v>2024.0</v>
      </c>
      <c r="K1403" s="4" t="str">
        <f>VLOOKUP($C1403,Userpass!$A$2:$R$3001,2,FALSE)</f>
        <v>dkv20248908.siswa@smkn12malang.sch.id</v>
      </c>
    </row>
    <row r="1404" hidden="1">
      <c r="A1404" s="3" t="str">
        <f t="shared" si="1"/>
        <v>OK</v>
      </c>
      <c r="B1404" s="3" t="str">
        <f t="shared" si="2"/>
        <v>OK</v>
      </c>
      <c r="C1404" s="3">
        <v>8911.0</v>
      </c>
      <c r="D1404" s="4" t="s">
        <v>3425</v>
      </c>
      <c r="E1404" s="3" t="s">
        <v>3426</v>
      </c>
      <c r="F1404" s="3" t="s">
        <v>13</v>
      </c>
      <c r="G1404" s="3" t="str">
        <f t="shared" si="3"/>
        <v>XIDKV1</v>
      </c>
      <c r="H1404" s="3" t="str">
        <f>VLOOKUP($C1404,Userpass!$A$2:$L$3001,12,FALSE)</f>
        <v>DKV1</v>
      </c>
      <c r="I1404" s="5" t="s">
        <v>3045</v>
      </c>
      <c r="J1404" s="3">
        <v>2024.0</v>
      </c>
      <c r="K1404" s="4" t="str">
        <f>VLOOKUP($C1404,Userpass!$A$2:$R$3001,2,FALSE)</f>
        <v>dkv20248911.siswa@smkn12malang.sch.id</v>
      </c>
    </row>
    <row r="1405" hidden="1">
      <c r="A1405" s="3" t="str">
        <f t="shared" si="1"/>
        <v>OK</v>
      </c>
      <c r="B1405" s="3" t="str">
        <f t="shared" si="2"/>
        <v>OK</v>
      </c>
      <c r="C1405" s="3">
        <v>8932.0</v>
      </c>
      <c r="D1405" s="4" t="s">
        <v>3427</v>
      </c>
      <c r="E1405" s="3" t="s">
        <v>3428</v>
      </c>
      <c r="F1405" s="3" t="s">
        <v>13</v>
      </c>
      <c r="G1405" s="3" t="str">
        <f t="shared" si="3"/>
        <v>XIDKV1</v>
      </c>
      <c r="H1405" s="3" t="str">
        <f>VLOOKUP($C1405,Userpass!$A$2:$L$3001,12,FALSE)</f>
        <v>DKV1</v>
      </c>
      <c r="I1405" s="5" t="s">
        <v>3045</v>
      </c>
      <c r="J1405" s="3">
        <v>2024.0</v>
      </c>
      <c r="K1405" s="4" t="str">
        <f>VLOOKUP($C1405,Userpass!$A$2:$R$3001,2,FALSE)</f>
        <v>dkv20248932.siswa@smkn12malang.sch.id</v>
      </c>
    </row>
    <row r="1406" hidden="1">
      <c r="A1406" s="3" t="str">
        <f t="shared" si="1"/>
        <v>OK</v>
      </c>
      <c r="B1406" s="3" t="str">
        <f t="shared" si="2"/>
        <v>OK</v>
      </c>
      <c r="C1406" s="3">
        <v>8948.0</v>
      </c>
      <c r="D1406" s="4" t="s">
        <v>3429</v>
      </c>
      <c r="E1406" s="3" t="s">
        <v>3430</v>
      </c>
      <c r="F1406" s="3" t="s">
        <v>13</v>
      </c>
      <c r="G1406" s="3" t="str">
        <f t="shared" si="3"/>
        <v>XIDKV1</v>
      </c>
      <c r="H1406" s="3" t="str">
        <f>VLOOKUP($C1406,Userpass!$A$2:$L$3001,12,FALSE)</f>
        <v>DKV1</v>
      </c>
      <c r="I1406" s="5" t="s">
        <v>3045</v>
      </c>
      <c r="J1406" s="3">
        <v>2024.0</v>
      </c>
      <c r="K1406" s="4" t="str">
        <f>VLOOKUP($C1406,Userpass!$A$2:$R$3001,2,FALSE)</f>
        <v>dkv20248948.siswa@smkn12malang.sch.id</v>
      </c>
    </row>
    <row r="1407" hidden="1">
      <c r="A1407" s="3" t="str">
        <f t="shared" si="1"/>
        <v>OK</v>
      </c>
      <c r="B1407" s="3" t="str">
        <f t="shared" si="2"/>
        <v>OK</v>
      </c>
      <c r="C1407" s="3">
        <v>8954.0</v>
      </c>
      <c r="D1407" s="4" t="s">
        <v>3431</v>
      </c>
      <c r="E1407" s="3" t="s">
        <v>3432</v>
      </c>
      <c r="F1407" s="3" t="s">
        <v>13</v>
      </c>
      <c r="G1407" s="3" t="str">
        <f t="shared" si="3"/>
        <v>XIDKV1</v>
      </c>
      <c r="H1407" s="3" t="str">
        <f>VLOOKUP($C1407,Userpass!$A$2:$L$3001,12,FALSE)</f>
        <v>DKV1</v>
      </c>
      <c r="I1407" s="5" t="s">
        <v>3045</v>
      </c>
      <c r="J1407" s="3">
        <v>2024.0</v>
      </c>
      <c r="K1407" s="4" t="str">
        <f>VLOOKUP($C1407,Userpass!$A$2:$R$3001,2,FALSE)</f>
        <v>dkv20248954.siswa@smkn12malang.sch.id</v>
      </c>
    </row>
    <row r="1408" hidden="1">
      <c r="A1408" s="3" t="str">
        <f t="shared" si="1"/>
        <v>OK</v>
      </c>
      <c r="B1408" s="3" t="str">
        <f t="shared" si="2"/>
        <v>OK</v>
      </c>
      <c r="C1408" s="3">
        <v>8964.0</v>
      </c>
      <c r="D1408" s="4" t="s">
        <v>3433</v>
      </c>
      <c r="E1408" s="3" t="s">
        <v>3434</v>
      </c>
      <c r="F1408" s="3" t="s">
        <v>13</v>
      </c>
      <c r="G1408" s="3" t="str">
        <f t="shared" si="3"/>
        <v>XIDKV1</v>
      </c>
      <c r="H1408" s="3" t="str">
        <f>VLOOKUP($C1408,Userpass!$A$2:$L$3001,12,FALSE)</f>
        <v>DKV1</v>
      </c>
      <c r="I1408" s="5" t="s">
        <v>3045</v>
      </c>
      <c r="J1408" s="3">
        <v>2024.0</v>
      </c>
      <c r="K1408" s="4" t="str">
        <f>VLOOKUP($C1408,Userpass!$A$2:$R$3001,2,FALSE)</f>
        <v>dkv20248964.siswa@smkn12malang.sch.id</v>
      </c>
    </row>
    <row r="1409" hidden="1">
      <c r="A1409" s="3" t="str">
        <f t="shared" si="1"/>
        <v>OK</v>
      </c>
      <c r="B1409" s="3" t="str">
        <f t="shared" si="2"/>
        <v>OK</v>
      </c>
      <c r="C1409" s="3">
        <v>9016.0</v>
      </c>
      <c r="D1409" s="4" t="s">
        <v>3435</v>
      </c>
      <c r="E1409" s="3" t="s">
        <v>3436</v>
      </c>
      <c r="F1409" s="3" t="s">
        <v>17</v>
      </c>
      <c r="G1409" s="3" t="str">
        <f t="shared" si="3"/>
        <v>XIDKV1</v>
      </c>
      <c r="H1409" s="3" t="str">
        <f>VLOOKUP($C1409,Userpass!$A$2:$L$3001,12,FALSE)</f>
        <v>DKV1</v>
      </c>
      <c r="I1409" s="5" t="s">
        <v>3045</v>
      </c>
      <c r="J1409" s="3">
        <v>2024.0</v>
      </c>
      <c r="K1409" s="4" t="str">
        <f>VLOOKUP($C1409,Userpass!$A$2:$R$3001,2,FALSE)</f>
        <v>dkv20249016.siswa@smkn12malang.sch.id</v>
      </c>
    </row>
    <row r="1410" hidden="1">
      <c r="A1410" s="3" t="str">
        <f t="shared" si="1"/>
        <v>OK</v>
      </c>
      <c r="B1410" s="3" t="str">
        <f t="shared" si="2"/>
        <v>OK</v>
      </c>
      <c r="C1410" s="3">
        <v>9041.0</v>
      </c>
      <c r="D1410" s="4" t="s">
        <v>3437</v>
      </c>
      <c r="E1410" s="3" t="s">
        <v>3438</v>
      </c>
      <c r="F1410" s="3" t="s">
        <v>13</v>
      </c>
      <c r="G1410" s="3" t="str">
        <f t="shared" si="3"/>
        <v>XIDKV1</v>
      </c>
      <c r="H1410" s="3" t="str">
        <f>VLOOKUP($C1410,Userpass!$A$2:$L$3001,12,FALSE)</f>
        <v>DKV1</v>
      </c>
      <c r="I1410" s="5" t="s">
        <v>3045</v>
      </c>
      <c r="J1410" s="3">
        <v>2024.0</v>
      </c>
      <c r="K1410" s="4" t="str">
        <f>VLOOKUP($C1410,Userpass!$A$2:$R$3001,2,FALSE)</f>
        <v>dkv20249041.siswa@smkn12malang.sch.id</v>
      </c>
    </row>
    <row r="1411" hidden="1">
      <c r="A1411" s="3" t="str">
        <f t="shared" si="1"/>
        <v>OK</v>
      </c>
      <c r="B1411" s="3" t="str">
        <f t="shared" si="2"/>
        <v>OK</v>
      </c>
      <c r="C1411" s="3">
        <v>9052.0</v>
      </c>
      <c r="D1411" s="4" t="s">
        <v>3439</v>
      </c>
      <c r="E1411" s="3" t="s">
        <v>3440</v>
      </c>
      <c r="F1411" s="3" t="s">
        <v>13</v>
      </c>
      <c r="G1411" s="3" t="str">
        <f t="shared" si="3"/>
        <v>XIDKV1</v>
      </c>
      <c r="H1411" s="3" t="str">
        <f>VLOOKUP($C1411,Userpass!$A$2:$L$3001,12,FALSE)</f>
        <v>DKV1</v>
      </c>
      <c r="I1411" s="5" t="s">
        <v>3045</v>
      </c>
      <c r="J1411" s="3">
        <v>2024.0</v>
      </c>
      <c r="K1411" s="4" t="str">
        <f>VLOOKUP($C1411,Userpass!$A$2:$R$3001,2,FALSE)</f>
        <v>dkv20249052.siswa@smkn12malang.sch.id</v>
      </c>
    </row>
    <row r="1412" hidden="1">
      <c r="A1412" s="3" t="str">
        <f t="shared" si="1"/>
        <v>OK</v>
      </c>
      <c r="B1412" s="3" t="str">
        <f t="shared" si="2"/>
        <v>OK</v>
      </c>
      <c r="C1412" s="3">
        <v>9062.0</v>
      </c>
      <c r="D1412" s="4" t="s">
        <v>3441</v>
      </c>
      <c r="E1412" s="3" t="s">
        <v>3442</v>
      </c>
      <c r="F1412" s="3" t="s">
        <v>13</v>
      </c>
      <c r="G1412" s="3" t="str">
        <f t="shared" si="3"/>
        <v>XIDKV1</v>
      </c>
      <c r="H1412" s="3" t="str">
        <f>VLOOKUP($C1412,Userpass!$A$2:$L$3001,12,FALSE)</f>
        <v>DKV1</v>
      </c>
      <c r="I1412" s="5" t="s">
        <v>3045</v>
      </c>
      <c r="J1412" s="3">
        <v>2024.0</v>
      </c>
      <c r="K1412" s="4" t="str">
        <f>VLOOKUP($C1412,Userpass!$A$2:$R$3001,2,FALSE)</f>
        <v>dkv20249062.siswa@smkn12malang.sch.id</v>
      </c>
    </row>
    <row r="1413" hidden="1">
      <c r="A1413" s="3" t="str">
        <f t="shared" si="1"/>
        <v>OK</v>
      </c>
      <c r="B1413" s="3" t="str">
        <f t="shared" si="2"/>
        <v>OK</v>
      </c>
      <c r="C1413" s="3">
        <v>9070.0</v>
      </c>
      <c r="D1413" s="4" t="s">
        <v>3443</v>
      </c>
      <c r="E1413" s="3" t="s">
        <v>3444</v>
      </c>
      <c r="F1413" s="3" t="s">
        <v>13</v>
      </c>
      <c r="G1413" s="3" t="str">
        <f t="shared" si="3"/>
        <v>XIDKV1</v>
      </c>
      <c r="H1413" s="3" t="str">
        <f>VLOOKUP($C1413,Userpass!$A$2:$L$3001,12,FALSE)</f>
        <v>DKV1</v>
      </c>
      <c r="I1413" s="5" t="s">
        <v>3045</v>
      </c>
      <c r="J1413" s="3">
        <v>2024.0</v>
      </c>
      <c r="K1413" s="4" t="str">
        <f>VLOOKUP($C1413,Userpass!$A$2:$R$3001,2,FALSE)</f>
        <v>dkv20249070.siswa@smkn12malang.sch.id</v>
      </c>
    </row>
    <row r="1414" hidden="1">
      <c r="A1414" s="3" t="str">
        <f t="shared" si="1"/>
        <v>OK</v>
      </c>
      <c r="B1414" s="3" t="str">
        <f t="shared" si="2"/>
        <v>OK</v>
      </c>
      <c r="C1414" s="3">
        <v>9075.0</v>
      </c>
      <c r="D1414" s="4" t="s">
        <v>3445</v>
      </c>
      <c r="E1414" s="3" t="s">
        <v>3446</v>
      </c>
      <c r="F1414" s="3" t="s">
        <v>13</v>
      </c>
      <c r="G1414" s="3" t="str">
        <f t="shared" si="3"/>
        <v>XIDKV1</v>
      </c>
      <c r="H1414" s="3" t="str">
        <f>VLOOKUP($C1414,Userpass!$A$2:$L$3001,12,FALSE)</f>
        <v>DKV1</v>
      </c>
      <c r="I1414" s="5" t="s">
        <v>3045</v>
      </c>
      <c r="J1414" s="3">
        <v>2024.0</v>
      </c>
      <c r="K1414" s="4" t="str">
        <f>VLOOKUP($C1414,Userpass!$A$2:$R$3001,2,FALSE)</f>
        <v>dkv20249075.siswa@smkn12malang.sch.id</v>
      </c>
    </row>
    <row r="1415" hidden="1">
      <c r="A1415" s="3" t="str">
        <f t="shared" si="1"/>
        <v>OK</v>
      </c>
      <c r="B1415" s="3" t="str">
        <f t="shared" si="2"/>
        <v>OK</v>
      </c>
      <c r="C1415" s="3">
        <v>9084.0</v>
      </c>
      <c r="D1415" s="4" t="s">
        <v>3447</v>
      </c>
      <c r="E1415" s="3" t="s">
        <v>3448</v>
      </c>
      <c r="F1415" s="3" t="s">
        <v>13</v>
      </c>
      <c r="G1415" s="3" t="str">
        <f t="shared" si="3"/>
        <v>XIDKV1</v>
      </c>
      <c r="H1415" s="3" t="str">
        <f>VLOOKUP($C1415,Userpass!$A$2:$L$3001,12,FALSE)</f>
        <v>DKV1</v>
      </c>
      <c r="I1415" s="5" t="s">
        <v>3045</v>
      </c>
      <c r="J1415" s="3">
        <v>2024.0</v>
      </c>
      <c r="K1415" s="4" t="str">
        <f>VLOOKUP($C1415,Userpass!$A$2:$R$3001,2,FALSE)</f>
        <v>dkv20249084.siswa@smkn12malang.sch.id</v>
      </c>
    </row>
    <row r="1416" hidden="1">
      <c r="A1416" s="3" t="str">
        <f t="shared" si="1"/>
        <v>OK</v>
      </c>
      <c r="B1416" s="3" t="str">
        <f t="shared" si="2"/>
        <v>OK</v>
      </c>
      <c r="C1416" s="3">
        <v>9105.0</v>
      </c>
      <c r="D1416" s="4" t="s">
        <v>3449</v>
      </c>
      <c r="E1416" s="3" t="s">
        <v>3450</v>
      </c>
      <c r="F1416" s="3" t="s">
        <v>17</v>
      </c>
      <c r="G1416" s="3" t="str">
        <f t="shared" si="3"/>
        <v>XIDKV1</v>
      </c>
      <c r="H1416" s="3" t="str">
        <f>VLOOKUP($C1416,Userpass!$A$2:$L$3001,12,FALSE)</f>
        <v>DKV1</v>
      </c>
      <c r="I1416" s="5" t="s">
        <v>3045</v>
      </c>
      <c r="J1416" s="3">
        <v>2024.0</v>
      </c>
      <c r="K1416" s="4" t="str">
        <f>VLOOKUP($C1416,Userpass!$A$2:$R$3001,2,FALSE)</f>
        <v>dkv20249105.siswa@smkn12malang.sch.id</v>
      </c>
    </row>
    <row r="1417" hidden="1">
      <c r="A1417" s="3" t="str">
        <f t="shared" si="1"/>
        <v>OK</v>
      </c>
      <c r="B1417" s="3" t="str">
        <f t="shared" si="2"/>
        <v>OK</v>
      </c>
      <c r="C1417" s="3">
        <v>9126.0</v>
      </c>
      <c r="D1417" s="4" t="s">
        <v>3451</v>
      </c>
      <c r="E1417" s="3" t="s">
        <v>3452</v>
      </c>
      <c r="F1417" s="3" t="s">
        <v>17</v>
      </c>
      <c r="G1417" s="3" t="str">
        <f t="shared" si="3"/>
        <v>XIDKV1</v>
      </c>
      <c r="H1417" s="3" t="str">
        <f>VLOOKUP($C1417,Userpass!$A$2:$L$3001,12,FALSE)</f>
        <v>DKV1</v>
      </c>
      <c r="I1417" s="5" t="s">
        <v>3045</v>
      </c>
      <c r="J1417" s="3">
        <v>2024.0</v>
      </c>
      <c r="K1417" s="4" t="str">
        <f>VLOOKUP($C1417,Userpass!$A$2:$R$3001,2,FALSE)</f>
        <v>dkv20249126.siswa@smkn12malang.sch.id</v>
      </c>
    </row>
    <row r="1418" hidden="1">
      <c r="A1418" s="3" t="str">
        <f t="shared" si="1"/>
        <v>OK</v>
      </c>
      <c r="B1418" s="3" t="str">
        <f t="shared" si="2"/>
        <v>OK</v>
      </c>
      <c r="C1418" s="3">
        <v>9130.0</v>
      </c>
      <c r="D1418" s="4" t="s">
        <v>3453</v>
      </c>
      <c r="E1418" s="3" t="s">
        <v>3454</v>
      </c>
      <c r="F1418" s="3" t="s">
        <v>17</v>
      </c>
      <c r="G1418" s="3" t="str">
        <f t="shared" si="3"/>
        <v>XIDKV1</v>
      </c>
      <c r="H1418" s="3" t="str">
        <f>VLOOKUP($C1418,Userpass!$A$2:$L$3001,12,FALSE)</f>
        <v>DKV1</v>
      </c>
      <c r="I1418" s="5" t="s">
        <v>3045</v>
      </c>
      <c r="J1418" s="3">
        <v>2024.0</v>
      </c>
      <c r="K1418" s="4" t="str">
        <f>VLOOKUP($C1418,Userpass!$A$2:$R$3001,2,FALSE)</f>
        <v>dkv20249130.siswa@smkn12malang.sch.id</v>
      </c>
    </row>
    <row r="1419" hidden="1">
      <c r="A1419" s="3" t="str">
        <f t="shared" si="1"/>
        <v>OK</v>
      </c>
      <c r="B1419" s="3" t="str">
        <f t="shared" si="2"/>
        <v>OK</v>
      </c>
      <c r="C1419" s="3">
        <v>9153.0</v>
      </c>
      <c r="D1419" s="4" t="s">
        <v>3455</v>
      </c>
      <c r="E1419" s="3" t="s">
        <v>3456</v>
      </c>
      <c r="F1419" s="3" t="s">
        <v>17</v>
      </c>
      <c r="G1419" s="3" t="str">
        <f t="shared" si="3"/>
        <v>XIDKV1</v>
      </c>
      <c r="H1419" s="3" t="str">
        <f>VLOOKUP($C1419,Userpass!$A$2:$L$3001,12,FALSE)</f>
        <v>DKV1</v>
      </c>
      <c r="I1419" s="5" t="s">
        <v>3045</v>
      </c>
      <c r="J1419" s="3">
        <v>2024.0</v>
      </c>
      <c r="K1419" s="4" t="str">
        <f>VLOOKUP($C1419,Userpass!$A$2:$R$3001,2,FALSE)</f>
        <v>dkv20249153.siswa@smkn12malang.sch.id</v>
      </c>
    </row>
    <row r="1420" hidden="1">
      <c r="A1420" s="3" t="str">
        <f t="shared" si="1"/>
        <v>OK</v>
      </c>
      <c r="B1420" s="3" t="str">
        <f t="shared" si="2"/>
        <v>OK</v>
      </c>
      <c r="C1420" s="3">
        <v>9161.0</v>
      </c>
      <c r="D1420" s="4" t="s">
        <v>3457</v>
      </c>
      <c r="E1420" s="3" t="s">
        <v>3458</v>
      </c>
      <c r="F1420" s="3" t="s">
        <v>13</v>
      </c>
      <c r="G1420" s="3" t="str">
        <f t="shared" si="3"/>
        <v>XIDKV1</v>
      </c>
      <c r="H1420" s="3" t="str">
        <f>VLOOKUP($C1420,Userpass!$A$2:$L$3001,12,FALSE)</f>
        <v>DKV1</v>
      </c>
      <c r="I1420" s="5" t="s">
        <v>3045</v>
      </c>
      <c r="J1420" s="3">
        <v>2024.0</v>
      </c>
      <c r="K1420" s="4" t="str">
        <f>VLOOKUP($C1420,Userpass!$A$2:$R$3001,2,FALSE)</f>
        <v>dkv20249161.siswa@smkn12malang.sch.id</v>
      </c>
    </row>
    <row r="1421" hidden="1">
      <c r="A1421" s="3" t="str">
        <f t="shared" si="1"/>
        <v>OK</v>
      </c>
      <c r="B1421" s="3" t="str">
        <f t="shared" si="2"/>
        <v>OK</v>
      </c>
      <c r="C1421" s="3">
        <v>9171.0</v>
      </c>
      <c r="D1421" s="4" t="s">
        <v>3459</v>
      </c>
      <c r="E1421" s="3" t="s">
        <v>3460</v>
      </c>
      <c r="F1421" s="3" t="s">
        <v>13</v>
      </c>
      <c r="G1421" s="3" t="str">
        <f t="shared" si="3"/>
        <v>XIDKV1</v>
      </c>
      <c r="H1421" s="3" t="str">
        <f>VLOOKUP($C1421,Userpass!$A$2:$L$3001,12,FALSE)</f>
        <v>DKV1</v>
      </c>
      <c r="I1421" s="5" t="s">
        <v>3045</v>
      </c>
      <c r="J1421" s="3">
        <v>2024.0</v>
      </c>
      <c r="K1421" s="4" t="str">
        <f>VLOOKUP($C1421,Userpass!$A$2:$R$3001,2,FALSE)</f>
        <v>dkv20249171.siswa@smkn12malang.sch.id</v>
      </c>
    </row>
    <row r="1422" hidden="1">
      <c r="A1422" s="3" t="str">
        <f t="shared" si="1"/>
        <v>OK</v>
      </c>
      <c r="B1422" s="3" t="str">
        <f t="shared" si="2"/>
        <v>OK</v>
      </c>
      <c r="C1422" s="3">
        <v>9182.0</v>
      </c>
      <c r="D1422" s="4" t="s">
        <v>3461</v>
      </c>
      <c r="E1422" s="3" t="s">
        <v>3462</v>
      </c>
      <c r="F1422" s="3" t="s">
        <v>13</v>
      </c>
      <c r="G1422" s="3" t="str">
        <f t="shared" si="3"/>
        <v>XIDKV1</v>
      </c>
      <c r="H1422" s="3" t="str">
        <f>VLOOKUP($C1422,Userpass!$A$2:$L$3001,12,FALSE)</f>
        <v>DKV1</v>
      </c>
      <c r="I1422" s="5" t="s">
        <v>3045</v>
      </c>
      <c r="J1422" s="3">
        <v>2024.0</v>
      </c>
      <c r="K1422" s="4" t="str">
        <f>VLOOKUP($C1422,Userpass!$A$2:$R$3001,2,FALSE)</f>
        <v>dkv20249182.siswa@smkn12malang.sch.id</v>
      </c>
    </row>
    <row r="1423" hidden="1">
      <c r="A1423" s="3" t="str">
        <f t="shared" si="1"/>
        <v>OK</v>
      </c>
      <c r="B1423" s="3" t="str">
        <f t="shared" si="2"/>
        <v>OK</v>
      </c>
      <c r="C1423" s="3">
        <v>9201.0</v>
      </c>
      <c r="D1423" s="4" t="s">
        <v>3463</v>
      </c>
      <c r="E1423" s="3" t="s">
        <v>3464</v>
      </c>
      <c r="F1423" s="3" t="s">
        <v>13</v>
      </c>
      <c r="G1423" s="3" t="str">
        <f t="shared" si="3"/>
        <v>XIDKV1</v>
      </c>
      <c r="H1423" s="3" t="str">
        <f>VLOOKUP($C1423,Userpass!$A$2:$L$3001,12,FALSE)</f>
        <v>DKV1</v>
      </c>
      <c r="I1423" s="5" t="s">
        <v>3045</v>
      </c>
      <c r="J1423" s="3">
        <v>2024.0</v>
      </c>
      <c r="K1423" s="4" t="str">
        <f>VLOOKUP($C1423,Userpass!$A$2:$R$3001,2,FALSE)</f>
        <v>dkv20249201.siswa@smkn12malang.sch.id</v>
      </c>
    </row>
    <row r="1424" hidden="1">
      <c r="A1424" s="3" t="str">
        <f t="shared" si="1"/>
        <v>OK</v>
      </c>
      <c r="B1424" s="3" t="str">
        <f t="shared" si="2"/>
        <v>OK</v>
      </c>
      <c r="C1424" s="3">
        <v>9232.0</v>
      </c>
      <c r="D1424" s="4" t="s">
        <v>3465</v>
      </c>
      <c r="E1424" s="3" t="s">
        <v>3466</v>
      </c>
      <c r="F1424" s="3" t="s">
        <v>13</v>
      </c>
      <c r="G1424" s="3" t="str">
        <f t="shared" si="3"/>
        <v>XIDKV1</v>
      </c>
      <c r="H1424" s="3" t="str">
        <f>VLOOKUP($C1424,Userpass!$A$2:$L$3001,12,FALSE)</f>
        <v>DKV1</v>
      </c>
      <c r="I1424" s="5" t="s">
        <v>3045</v>
      </c>
      <c r="J1424" s="3">
        <v>2024.0</v>
      </c>
      <c r="K1424" s="4" t="str">
        <f>VLOOKUP($C1424,Userpass!$A$2:$R$3001,2,FALSE)</f>
        <v>dkv20249232.siswa@smkn12malang.sch.id</v>
      </c>
    </row>
    <row r="1425" hidden="1">
      <c r="A1425" s="3" t="str">
        <f t="shared" si="1"/>
        <v>OK</v>
      </c>
      <c r="B1425" s="3" t="str">
        <f t="shared" si="2"/>
        <v>OK</v>
      </c>
      <c r="C1425" s="3">
        <v>8659.0</v>
      </c>
      <c r="D1425" s="4" t="s">
        <v>3467</v>
      </c>
      <c r="E1425" s="3" t="s">
        <v>3468</v>
      </c>
      <c r="F1425" s="3" t="s">
        <v>13</v>
      </c>
      <c r="G1425" s="3" t="str">
        <f t="shared" si="3"/>
        <v>XIDKV2</v>
      </c>
      <c r="H1425" s="3" t="str">
        <f>VLOOKUP($C1425,Userpass!$A$2:$L$3001,12,FALSE)</f>
        <v>DKV2</v>
      </c>
      <c r="I1425" s="5" t="s">
        <v>3045</v>
      </c>
      <c r="J1425" s="3">
        <v>2024.0</v>
      </c>
      <c r="K1425" s="4" t="str">
        <f>VLOOKUP($C1425,Userpass!$A$2:$R$3001,2,FALSE)</f>
        <v>dkv20248659.siswa@smkn12malang.sch.id</v>
      </c>
    </row>
    <row r="1426" hidden="1">
      <c r="A1426" s="3" t="str">
        <f t="shared" si="1"/>
        <v>OK</v>
      </c>
      <c r="B1426" s="3" t="str">
        <f t="shared" si="2"/>
        <v>OK</v>
      </c>
      <c r="C1426" s="3">
        <v>8688.0</v>
      </c>
      <c r="D1426" s="4" t="s">
        <v>3469</v>
      </c>
      <c r="E1426" s="3" t="s">
        <v>3470</v>
      </c>
      <c r="F1426" s="3" t="s">
        <v>13</v>
      </c>
      <c r="G1426" s="3" t="str">
        <f t="shared" si="3"/>
        <v>XIDKV2</v>
      </c>
      <c r="H1426" s="3" t="str">
        <f>VLOOKUP($C1426,Userpass!$A$2:$L$3001,12,FALSE)</f>
        <v>DKV2</v>
      </c>
      <c r="I1426" s="5" t="s">
        <v>3045</v>
      </c>
      <c r="J1426" s="3">
        <v>2024.0</v>
      </c>
      <c r="K1426" s="4" t="str">
        <f>VLOOKUP($C1426,Userpass!$A$2:$R$3001,2,FALSE)</f>
        <v>dkv20248688.siswa@smkn12malang.sch.id</v>
      </c>
    </row>
    <row r="1427" hidden="1">
      <c r="A1427" s="3" t="str">
        <f t="shared" si="1"/>
        <v>OK</v>
      </c>
      <c r="B1427" s="3" t="str">
        <f t="shared" si="2"/>
        <v>OK</v>
      </c>
      <c r="C1427" s="3">
        <v>8726.0</v>
      </c>
      <c r="D1427" s="4" t="s">
        <v>3471</v>
      </c>
      <c r="E1427" s="3" t="s">
        <v>3472</v>
      </c>
      <c r="F1427" s="3" t="s">
        <v>13</v>
      </c>
      <c r="G1427" s="3" t="str">
        <f t="shared" si="3"/>
        <v>XIDKV2</v>
      </c>
      <c r="H1427" s="3" t="str">
        <f>VLOOKUP($C1427,Userpass!$A$2:$L$3001,12,FALSE)</f>
        <v>DKV2</v>
      </c>
      <c r="I1427" s="5" t="s">
        <v>3045</v>
      </c>
      <c r="J1427" s="3">
        <v>2024.0</v>
      </c>
      <c r="K1427" s="4" t="str">
        <f>VLOOKUP($C1427,Userpass!$A$2:$R$3001,2,FALSE)</f>
        <v>dkv20248726.siswa@smkn12malang.sch.id</v>
      </c>
    </row>
    <row r="1428" hidden="1">
      <c r="A1428" s="3" t="str">
        <f t="shared" si="1"/>
        <v>OK</v>
      </c>
      <c r="B1428" s="3" t="str">
        <f t="shared" si="2"/>
        <v>OK</v>
      </c>
      <c r="C1428" s="3">
        <v>8730.0</v>
      </c>
      <c r="D1428" s="4" t="s">
        <v>3473</v>
      </c>
      <c r="E1428" s="3" t="s">
        <v>3474</v>
      </c>
      <c r="F1428" s="3" t="s">
        <v>17</v>
      </c>
      <c r="G1428" s="3" t="str">
        <f t="shared" si="3"/>
        <v>XIDKV2</v>
      </c>
      <c r="H1428" s="3" t="str">
        <f>VLOOKUP($C1428,Userpass!$A$2:$L$3001,12,FALSE)</f>
        <v>DKV2</v>
      </c>
      <c r="I1428" s="5" t="s">
        <v>3045</v>
      </c>
      <c r="J1428" s="3">
        <v>2024.0</v>
      </c>
      <c r="K1428" s="4" t="str">
        <f>VLOOKUP($C1428,Userpass!$A$2:$R$3001,2,FALSE)</f>
        <v>dkv20248730.siswa@smkn12malang.sch.id</v>
      </c>
    </row>
    <row r="1429" hidden="1">
      <c r="A1429" s="3" t="str">
        <f t="shared" si="1"/>
        <v>OK</v>
      </c>
      <c r="B1429" s="3" t="str">
        <f t="shared" si="2"/>
        <v>OK</v>
      </c>
      <c r="C1429" s="3">
        <v>8739.0</v>
      </c>
      <c r="D1429" s="4" t="s">
        <v>3475</v>
      </c>
      <c r="E1429" s="3" t="s">
        <v>3476</v>
      </c>
      <c r="F1429" s="3" t="s">
        <v>13</v>
      </c>
      <c r="G1429" s="3" t="str">
        <f t="shared" si="3"/>
        <v>XIDKV2</v>
      </c>
      <c r="H1429" s="3" t="str">
        <f>VLOOKUP($C1429,Userpass!$A$2:$L$3001,12,FALSE)</f>
        <v>DKV2</v>
      </c>
      <c r="I1429" s="5" t="s">
        <v>3045</v>
      </c>
      <c r="J1429" s="3">
        <v>2024.0</v>
      </c>
      <c r="K1429" s="4" t="str">
        <f>VLOOKUP($C1429,Userpass!$A$2:$R$3001,2,FALSE)</f>
        <v>dkv20248739.siswa@smkn12malang.sch.id</v>
      </c>
    </row>
    <row r="1430" hidden="1">
      <c r="A1430" s="3" t="str">
        <f t="shared" si="1"/>
        <v>OK</v>
      </c>
      <c r="B1430" s="3" t="str">
        <f t="shared" si="2"/>
        <v>OK</v>
      </c>
      <c r="C1430" s="3">
        <v>8755.0</v>
      </c>
      <c r="D1430" s="4" t="s">
        <v>3477</v>
      </c>
      <c r="E1430" s="3" t="s">
        <v>3478</v>
      </c>
      <c r="F1430" s="3" t="s">
        <v>13</v>
      </c>
      <c r="G1430" s="3" t="str">
        <f t="shared" si="3"/>
        <v>XIDKV2</v>
      </c>
      <c r="H1430" s="3" t="str">
        <f>VLOOKUP($C1430,Userpass!$A$2:$L$3001,12,FALSE)</f>
        <v>DKV2</v>
      </c>
      <c r="I1430" s="5" t="s">
        <v>3045</v>
      </c>
      <c r="J1430" s="3">
        <v>2024.0</v>
      </c>
      <c r="K1430" s="4" t="str">
        <f>VLOOKUP($C1430,Userpass!$A$2:$R$3001,2,FALSE)</f>
        <v>dkv20248755.siswa@smkn12malang.sch.id</v>
      </c>
    </row>
    <row r="1431" hidden="1">
      <c r="A1431" s="3" t="str">
        <f t="shared" si="1"/>
        <v>OK</v>
      </c>
      <c r="B1431" s="3" t="str">
        <f t="shared" si="2"/>
        <v>OK</v>
      </c>
      <c r="C1431" s="3">
        <v>8765.0</v>
      </c>
      <c r="D1431" s="4" t="s">
        <v>3479</v>
      </c>
      <c r="E1431" s="3" t="s">
        <v>3480</v>
      </c>
      <c r="F1431" s="3" t="s">
        <v>17</v>
      </c>
      <c r="G1431" s="3" t="str">
        <f t="shared" si="3"/>
        <v>XIDKV2</v>
      </c>
      <c r="H1431" s="3" t="str">
        <f>VLOOKUP($C1431,Userpass!$A$2:$L$3001,12,FALSE)</f>
        <v>DKV2</v>
      </c>
      <c r="I1431" s="5" t="s">
        <v>3045</v>
      </c>
      <c r="J1431" s="3">
        <v>2024.0</v>
      </c>
      <c r="K1431" s="4" t="str">
        <f>VLOOKUP($C1431,Userpass!$A$2:$R$3001,2,FALSE)</f>
        <v>dkv20248765.siswa@smkn12malang.sch.id</v>
      </c>
    </row>
    <row r="1432" hidden="1">
      <c r="A1432" s="3" t="str">
        <f t="shared" si="1"/>
        <v>OK</v>
      </c>
      <c r="B1432" s="3" t="str">
        <f t="shared" si="2"/>
        <v>OK</v>
      </c>
      <c r="C1432" s="3">
        <v>8770.0</v>
      </c>
      <c r="D1432" s="4" t="s">
        <v>3481</v>
      </c>
      <c r="E1432" s="3" t="s">
        <v>3482</v>
      </c>
      <c r="F1432" s="3" t="s">
        <v>13</v>
      </c>
      <c r="G1432" s="3" t="str">
        <f t="shared" si="3"/>
        <v>XIDKV2</v>
      </c>
      <c r="H1432" s="3" t="str">
        <f>VLOOKUP($C1432,Userpass!$A$2:$L$3001,12,FALSE)</f>
        <v>DKV2</v>
      </c>
      <c r="I1432" s="5" t="s">
        <v>3045</v>
      </c>
      <c r="J1432" s="3">
        <v>2024.0</v>
      </c>
      <c r="K1432" s="4" t="str">
        <f>VLOOKUP($C1432,Userpass!$A$2:$R$3001,2,FALSE)</f>
        <v>dkv20248770.siswa@smkn12malang.sch.id</v>
      </c>
    </row>
    <row r="1433" hidden="1">
      <c r="A1433" s="3" t="str">
        <f t="shared" si="1"/>
        <v>OK</v>
      </c>
      <c r="B1433" s="3" t="str">
        <f t="shared" si="2"/>
        <v>OK</v>
      </c>
      <c r="C1433" s="3">
        <v>8794.0</v>
      </c>
      <c r="D1433" s="4" t="s">
        <v>3483</v>
      </c>
      <c r="E1433" s="3" t="s">
        <v>3484</v>
      </c>
      <c r="F1433" s="3" t="s">
        <v>13</v>
      </c>
      <c r="G1433" s="3" t="str">
        <f t="shared" si="3"/>
        <v>XIDKV2</v>
      </c>
      <c r="H1433" s="3" t="str">
        <f>VLOOKUP($C1433,Userpass!$A$2:$L$3001,12,FALSE)</f>
        <v>DKV2</v>
      </c>
      <c r="I1433" s="5" t="s">
        <v>3045</v>
      </c>
      <c r="J1433" s="3">
        <v>2024.0</v>
      </c>
      <c r="K1433" s="4" t="str">
        <f>VLOOKUP($C1433,Userpass!$A$2:$R$3001,2,FALSE)</f>
        <v>dkv20248794.siswa@smkn12malang.sch.id</v>
      </c>
    </row>
    <row r="1434" hidden="1">
      <c r="A1434" s="3" t="str">
        <f t="shared" si="1"/>
        <v>OK</v>
      </c>
      <c r="B1434" s="3" t="str">
        <f t="shared" si="2"/>
        <v>OK</v>
      </c>
      <c r="C1434" s="3">
        <v>8812.0</v>
      </c>
      <c r="D1434" s="4" t="s">
        <v>3485</v>
      </c>
      <c r="E1434" s="3" t="s">
        <v>3486</v>
      </c>
      <c r="F1434" s="3" t="s">
        <v>13</v>
      </c>
      <c r="G1434" s="3" t="str">
        <f t="shared" si="3"/>
        <v>XIDKV2</v>
      </c>
      <c r="H1434" s="3" t="str">
        <f>VLOOKUP($C1434,Userpass!$A$2:$L$3001,12,FALSE)</f>
        <v>DKV2</v>
      </c>
      <c r="I1434" s="5" t="s">
        <v>3045</v>
      </c>
      <c r="J1434" s="3">
        <v>2024.0</v>
      </c>
      <c r="K1434" s="4" t="str">
        <f>VLOOKUP($C1434,Userpass!$A$2:$R$3001,2,FALSE)</f>
        <v>dkv20248812.siswa@smkn12malang.sch.id</v>
      </c>
    </row>
    <row r="1435" hidden="1">
      <c r="A1435" s="3" t="str">
        <f t="shared" si="1"/>
        <v>OK</v>
      </c>
      <c r="B1435" s="3" t="str">
        <f t="shared" si="2"/>
        <v>OK</v>
      </c>
      <c r="C1435" s="3">
        <v>8833.0</v>
      </c>
      <c r="D1435" s="4" t="s">
        <v>3487</v>
      </c>
      <c r="E1435" s="3" t="s">
        <v>3488</v>
      </c>
      <c r="F1435" s="3" t="s">
        <v>13</v>
      </c>
      <c r="G1435" s="3" t="str">
        <f t="shared" si="3"/>
        <v>XIDKV2</v>
      </c>
      <c r="H1435" s="3" t="str">
        <f>VLOOKUP($C1435,Userpass!$A$2:$L$3001,12,FALSE)</f>
        <v>DKV2</v>
      </c>
      <c r="I1435" s="5" t="s">
        <v>3045</v>
      </c>
      <c r="J1435" s="3">
        <v>2024.0</v>
      </c>
      <c r="K1435" s="4" t="str">
        <f>VLOOKUP($C1435,Userpass!$A$2:$R$3001,2,FALSE)</f>
        <v>dkv20248833.siswa@smkn12malang.sch.id</v>
      </c>
    </row>
    <row r="1436" hidden="1">
      <c r="A1436" s="3" t="str">
        <f t="shared" si="1"/>
        <v>OK</v>
      </c>
      <c r="B1436" s="3" t="str">
        <f t="shared" si="2"/>
        <v>OK</v>
      </c>
      <c r="C1436" s="3">
        <v>8873.0</v>
      </c>
      <c r="D1436" s="4" t="s">
        <v>3489</v>
      </c>
      <c r="E1436" s="3" t="s">
        <v>3490</v>
      </c>
      <c r="F1436" s="3" t="s">
        <v>17</v>
      </c>
      <c r="G1436" s="3" t="str">
        <f t="shared" si="3"/>
        <v>XIDKV2</v>
      </c>
      <c r="H1436" s="3" t="str">
        <f>VLOOKUP($C1436,Userpass!$A$2:$L$3001,12,FALSE)</f>
        <v>DKV2</v>
      </c>
      <c r="I1436" s="5" t="s">
        <v>3045</v>
      </c>
      <c r="J1436" s="3">
        <v>2024.0</v>
      </c>
      <c r="K1436" s="4" t="str">
        <f>VLOOKUP($C1436,Userpass!$A$2:$R$3001,2,FALSE)</f>
        <v>dkv20248873.siswa@smkn12malang.sch.id</v>
      </c>
    </row>
    <row r="1437" hidden="1">
      <c r="A1437" s="3" t="str">
        <f t="shared" si="1"/>
        <v>OK</v>
      </c>
      <c r="B1437" s="3" t="str">
        <f t="shared" si="2"/>
        <v>OK</v>
      </c>
      <c r="C1437" s="3">
        <v>8894.0</v>
      </c>
      <c r="D1437" s="4" t="s">
        <v>3491</v>
      </c>
      <c r="E1437" s="3" t="s">
        <v>3492</v>
      </c>
      <c r="F1437" s="3" t="s">
        <v>17</v>
      </c>
      <c r="G1437" s="3" t="str">
        <f t="shared" si="3"/>
        <v>XIDKV2</v>
      </c>
      <c r="H1437" s="3" t="str">
        <f>VLOOKUP($C1437,Userpass!$A$2:$L$3001,12,FALSE)</f>
        <v>DKV2</v>
      </c>
      <c r="I1437" s="5" t="s">
        <v>3045</v>
      </c>
      <c r="J1437" s="3">
        <v>2024.0</v>
      </c>
      <c r="K1437" s="4" t="str">
        <f>VLOOKUP($C1437,Userpass!$A$2:$R$3001,2,FALSE)</f>
        <v>dkv20248894.siswa@smkn12malang.sch.id</v>
      </c>
    </row>
    <row r="1438" hidden="1">
      <c r="A1438" s="3" t="str">
        <f t="shared" si="1"/>
        <v>OK</v>
      </c>
      <c r="B1438" s="3" t="str">
        <f t="shared" si="2"/>
        <v>OK</v>
      </c>
      <c r="C1438" s="3">
        <v>8901.0</v>
      </c>
      <c r="D1438" s="4" t="s">
        <v>3493</v>
      </c>
      <c r="E1438" s="3" t="s">
        <v>3494</v>
      </c>
      <c r="F1438" s="3" t="s">
        <v>17</v>
      </c>
      <c r="G1438" s="3" t="str">
        <f t="shared" si="3"/>
        <v>XIDKV2</v>
      </c>
      <c r="H1438" s="3" t="str">
        <f>VLOOKUP($C1438,Userpass!$A$2:$L$3001,12,FALSE)</f>
        <v>DKV2</v>
      </c>
      <c r="I1438" s="5" t="s">
        <v>3045</v>
      </c>
      <c r="J1438" s="3">
        <v>2024.0</v>
      </c>
      <c r="K1438" s="4" t="str">
        <f>VLOOKUP($C1438,Userpass!$A$2:$R$3001,2,FALSE)</f>
        <v>dkv20248901.siswa@smkn12malang.sch.id</v>
      </c>
    </row>
    <row r="1439" hidden="1">
      <c r="A1439" s="3" t="str">
        <f t="shared" si="1"/>
        <v>OK</v>
      </c>
      <c r="B1439" s="3" t="str">
        <f t="shared" si="2"/>
        <v>OK</v>
      </c>
      <c r="C1439" s="3">
        <v>8909.0</v>
      </c>
      <c r="D1439" s="4" t="s">
        <v>3495</v>
      </c>
      <c r="E1439" s="3" t="s">
        <v>3496</v>
      </c>
      <c r="F1439" s="3" t="s">
        <v>13</v>
      </c>
      <c r="G1439" s="3" t="str">
        <f t="shared" si="3"/>
        <v>XIDKV2</v>
      </c>
      <c r="H1439" s="3" t="str">
        <f>VLOOKUP($C1439,Userpass!$A$2:$L$3001,12,FALSE)</f>
        <v>DKV2</v>
      </c>
      <c r="I1439" s="5" t="s">
        <v>3045</v>
      </c>
      <c r="J1439" s="3">
        <v>2024.0</v>
      </c>
      <c r="K1439" s="4" t="str">
        <f>VLOOKUP($C1439,Userpass!$A$2:$R$3001,2,FALSE)</f>
        <v>dkv20248909.siswa@smkn12malang.sch.id</v>
      </c>
    </row>
    <row r="1440" hidden="1">
      <c r="A1440" s="3" t="str">
        <f t="shared" si="1"/>
        <v>OK</v>
      </c>
      <c r="B1440" s="3" t="str">
        <f t="shared" si="2"/>
        <v>OK</v>
      </c>
      <c r="C1440" s="3">
        <v>8918.0</v>
      </c>
      <c r="D1440" s="4" t="s">
        <v>3497</v>
      </c>
      <c r="E1440" s="3" t="s">
        <v>3498</v>
      </c>
      <c r="F1440" s="3" t="s">
        <v>13</v>
      </c>
      <c r="G1440" s="3" t="str">
        <f t="shared" si="3"/>
        <v>XIDKV2</v>
      </c>
      <c r="H1440" s="3" t="str">
        <f>VLOOKUP($C1440,Userpass!$A$2:$L$3001,12,FALSE)</f>
        <v>DKV2</v>
      </c>
      <c r="I1440" s="5" t="s">
        <v>3045</v>
      </c>
      <c r="J1440" s="3">
        <v>2024.0</v>
      </c>
      <c r="K1440" s="4" t="str">
        <f>VLOOKUP($C1440,Userpass!$A$2:$R$3001,2,FALSE)</f>
        <v>dkv20248918.siswa@smkn12malang.sch.id</v>
      </c>
    </row>
    <row r="1441" hidden="1">
      <c r="A1441" s="3" t="str">
        <f t="shared" si="1"/>
        <v>OK</v>
      </c>
      <c r="B1441" s="3" t="str">
        <f t="shared" si="2"/>
        <v>OK</v>
      </c>
      <c r="C1441" s="3">
        <v>8939.0</v>
      </c>
      <c r="D1441" s="4" t="s">
        <v>3499</v>
      </c>
      <c r="E1441" s="3" t="s">
        <v>3500</v>
      </c>
      <c r="F1441" s="3" t="s">
        <v>13</v>
      </c>
      <c r="G1441" s="3" t="str">
        <f t="shared" si="3"/>
        <v>XIDKV2</v>
      </c>
      <c r="H1441" s="3" t="str">
        <f>VLOOKUP($C1441,Userpass!$A$2:$L$3001,12,FALSE)</f>
        <v>DKV2</v>
      </c>
      <c r="I1441" s="5" t="s">
        <v>3045</v>
      </c>
      <c r="J1441" s="3">
        <v>2024.0</v>
      </c>
      <c r="K1441" s="4" t="str">
        <f>VLOOKUP($C1441,Userpass!$A$2:$R$3001,2,FALSE)</f>
        <v>dkv20248939.siswa@smkn12malang.sch.id</v>
      </c>
    </row>
    <row r="1442" hidden="1">
      <c r="A1442" s="3" t="str">
        <f t="shared" si="1"/>
        <v>OK</v>
      </c>
      <c r="B1442" s="3" t="str">
        <f t="shared" si="2"/>
        <v>OK</v>
      </c>
      <c r="C1442" s="3">
        <v>8951.0</v>
      </c>
      <c r="D1442" s="4" t="s">
        <v>3501</v>
      </c>
      <c r="E1442" s="3" t="s">
        <v>3502</v>
      </c>
      <c r="F1442" s="3" t="s">
        <v>13</v>
      </c>
      <c r="G1442" s="3" t="str">
        <f t="shared" si="3"/>
        <v>XIDKV2</v>
      </c>
      <c r="H1442" s="3" t="str">
        <f>VLOOKUP($C1442,Userpass!$A$2:$L$3001,12,FALSE)</f>
        <v>DKV2</v>
      </c>
      <c r="I1442" s="5" t="s">
        <v>3045</v>
      </c>
      <c r="J1442" s="3">
        <v>2024.0</v>
      </c>
      <c r="K1442" s="4" t="str">
        <f>VLOOKUP($C1442,Userpass!$A$2:$R$3001,2,FALSE)</f>
        <v>dkv20248951.siswa@smkn12malang.sch.id</v>
      </c>
    </row>
    <row r="1443" hidden="1">
      <c r="A1443" s="3" t="str">
        <f t="shared" si="1"/>
        <v>OK</v>
      </c>
      <c r="B1443" s="3" t="str">
        <f t="shared" si="2"/>
        <v>OK</v>
      </c>
      <c r="C1443" s="3">
        <v>8961.0</v>
      </c>
      <c r="D1443" s="4" t="s">
        <v>3503</v>
      </c>
      <c r="E1443" s="3" t="s">
        <v>3504</v>
      </c>
      <c r="F1443" s="3" t="s">
        <v>13</v>
      </c>
      <c r="G1443" s="3" t="str">
        <f t="shared" si="3"/>
        <v>XIDKV2</v>
      </c>
      <c r="H1443" s="3" t="str">
        <f>VLOOKUP($C1443,Userpass!$A$2:$L$3001,12,FALSE)</f>
        <v>DKV2</v>
      </c>
      <c r="I1443" s="5" t="s">
        <v>3045</v>
      </c>
      <c r="J1443" s="3">
        <v>2024.0</v>
      </c>
      <c r="K1443" s="4" t="str">
        <f>VLOOKUP($C1443,Userpass!$A$2:$R$3001,2,FALSE)</f>
        <v>dkv20248961.siswa@smkn12malang.sch.id</v>
      </c>
    </row>
    <row r="1444" hidden="1">
      <c r="A1444" s="3" t="str">
        <f t="shared" si="1"/>
        <v>OK</v>
      </c>
      <c r="B1444" s="3" t="str">
        <f t="shared" si="2"/>
        <v>OK</v>
      </c>
      <c r="C1444" s="3">
        <v>9024.0</v>
      </c>
      <c r="D1444" s="4" t="s">
        <v>3505</v>
      </c>
      <c r="E1444" s="3" t="s">
        <v>3506</v>
      </c>
      <c r="F1444" s="3" t="s">
        <v>17</v>
      </c>
      <c r="G1444" s="3" t="str">
        <f t="shared" si="3"/>
        <v>XIDKV2</v>
      </c>
      <c r="H1444" s="3" t="str">
        <f>VLOOKUP($C1444,Userpass!$A$2:$L$3001,12,FALSE)</f>
        <v>DKV2</v>
      </c>
      <c r="I1444" s="5" t="s">
        <v>3045</v>
      </c>
      <c r="J1444" s="3">
        <v>2024.0</v>
      </c>
      <c r="K1444" s="4" t="str">
        <f>VLOOKUP($C1444,Userpass!$A$2:$R$3001,2,FALSE)</f>
        <v>dkv20249024.siswa@smkn12malang.sch.id</v>
      </c>
    </row>
    <row r="1445" hidden="1">
      <c r="A1445" s="3" t="str">
        <f t="shared" si="1"/>
        <v>OK</v>
      </c>
      <c r="B1445" s="3" t="str">
        <f t="shared" si="2"/>
        <v>OK</v>
      </c>
      <c r="C1445" s="3">
        <v>9051.0</v>
      </c>
      <c r="D1445" s="4" t="s">
        <v>3507</v>
      </c>
      <c r="E1445" s="3" t="s">
        <v>3508</v>
      </c>
      <c r="F1445" s="3" t="s">
        <v>13</v>
      </c>
      <c r="G1445" s="3" t="str">
        <f t="shared" si="3"/>
        <v>XIDKV2</v>
      </c>
      <c r="H1445" s="3" t="str">
        <f>VLOOKUP($C1445,Userpass!$A$2:$L$3001,12,FALSE)</f>
        <v>DKV2</v>
      </c>
      <c r="I1445" s="5" t="s">
        <v>3045</v>
      </c>
      <c r="J1445" s="3">
        <v>2024.0</v>
      </c>
      <c r="K1445" s="4" t="str">
        <f>VLOOKUP($C1445,Userpass!$A$2:$R$3001,2,FALSE)</f>
        <v>dkv20249051.siswa@smkn12malang.sch.id</v>
      </c>
    </row>
    <row r="1446" hidden="1">
      <c r="A1446" s="3" t="str">
        <f t="shared" si="1"/>
        <v>OK</v>
      </c>
      <c r="B1446" s="3" t="str">
        <f t="shared" si="2"/>
        <v>OK</v>
      </c>
      <c r="C1446" s="3">
        <v>9057.0</v>
      </c>
      <c r="D1446" s="4" t="s">
        <v>3509</v>
      </c>
      <c r="E1446" s="3" t="s">
        <v>3510</v>
      </c>
      <c r="F1446" s="3" t="s">
        <v>13</v>
      </c>
      <c r="G1446" s="3" t="str">
        <f t="shared" si="3"/>
        <v>XIDKV2</v>
      </c>
      <c r="H1446" s="3" t="str">
        <f>VLOOKUP($C1446,Userpass!$A$2:$L$3001,12,FALSE)</f>
        <v>DKV2</v>
      </c>
      <c r="I1446" s="5" t="s">
        <v>3045</v>
      </c>
      <c r="J1446" s="3">
        <v>2024.0</v>
      </c>
      <c r="K1446" s="4" t="str">
        <f>VLOOKUP($C1446,Userpass!$A$2:$R$3001,2,FALSE)</f>
        <v>dkv20249057.siswa@smkn12malang.sch.id</v>
      </c>
    </row>
    <row r="1447" hidden="1">
      <c r="A1447" s="3" t="str">
        <f t="shared" si="1"/>
        <v>OK</v>
      </c>
      <c r="B1447" s="3" t="str">
        <f t="shared" si="2"/>
        <v>OK</v>
      </c>
      <c r="C1447" s="3">
        <v>9064.0</v>
      </c>
      <c r="D1447" s="4" t="s">
        <v>3511</v>
      </c>
      <c r="E1447" s="3" t="s">
        <v>3512</v>
      </c>
      <c r="F1447" s="3" t="s">
        <v>17</v>
      </c>
      <c r="G1447" s="3" t="str">
        <f t="shared" si="3"/>
        <v>XIDKV2</v>
      </c>
      <c r="H1447" s="3" t="str">
        <f>VLOOKUP($C1447,Userpass!$A$2:$L$3001,12,FALSE)</f>
        <v>DKV2</v>
      </c>
      <c r="I1447" s="5" t="s">
        <v>3045</v>
      </c>
      <c r="J1447" s="3">
        <v>2024.0</v>
      </c>
      <c r="K1447" s="4" t="str">
        <f>VLOOKUP($C1447,Userpass!$A$2:$R$3001,2,FALSE)</f>
        <v>dkv20249064.siswa@smkn12malang.sch.id</v>
      </c>
    </row>
    <row r="1448" hidden="1">
      <c r="A1448" s="3" t="str">
        <f t="shared" si="1"/>
        <v>OK</v>
      </c>
      <c r="B1448" s="3" t="str">
        <f t="shared" si="2"/>
        <v>OK</v>
      </c>
      <c r="C1448" s="3">
        <v>9072.0</v>
      </c>
      <c r="D1448" s="4" t="s">
        <v>3513</v>
      </c>
      <c r="E1448" s="3" t="s">
        <v>3514</v>
      </c>
      <c r="F1448" s="3" t="s">
        <v>13</v>
      </c>
      <c r="G1448" s="3" t="str">
        <f t="shared" si="3"/>
        <v>XIDKV2</v>
      </c>
      <c r="H1448" s="3" t="str">
        <f>VLOOKUP($C1448,Userpass!$A$2:$L$3001,12,FALSE)</f>
        <v>DKV2</v>
      </c>
      <c r="I1448" s="5" t="s">
        <v>3045</v>
      </c>
      <c r="J1448" s="3">
        <v>2024.0</v>
      </c>
      <c r="K1448" s="4" t="str">
        <f>VLOOKUP($C1448,Userpass!$A$2:$R$3001,2,FALSE)</f>
        <v>dkv20249072.siswa@smkn12malang.sch.id</v>
      </c>
    </row>
    <row r="1449" hidden="1">
      <c r="A1449" s="3" t="str">
        <f t="shared" si="1"/>
        <v>OK</v>
      </c>
      <c r="B1449" s="3" t="str">
        <f t="shared" si="2"/>
        <v>OK</v>
      </c>
      <c r="C1449" s="3">
        <v>9076.0</v>
      </c>
      <c r="D1449" s="4" t="s">
        <v>3515</v>
      </c>
      <c r="E1449" s="3" t="s">
        <v>3516</v>
      </c>
      <c r="F1449" s="3" t="s">
        <v>13</v>
      </c>
      <c r="G1449" s="3" t="str">
        <f t="shared" si="3"/>
        <v>XIDKV2</v>
      </c>
      <c r="H1449" s="3" t="str">
        <f>VLOOKUP($C1449,Userpass!$A$2:$L$3001,12,FALSE)</f>
        <v>DKV2</v>
      </c>
      <c r="I1449" s="5" t="s">
        <v>3045</v>
      </c>
      <c r="J1449" s="3">
        <v>2024.0</v>
      </c>
      <c r="K1449" s="4" t="str">
        <f>VLOOKUP($C1449,Userpass!$A$2:$R$3001,2,FALSE)</f>
        <v>dkv20249076.siswa@smkn12malang.sch.id</v>
      </c>
    </row>
    <row r="1450" hidden="1">
      <c r="A1450" s="3" t="str">
        <f t="shared" si="1"/>
        <v>OK</v>
      </c>
      <c r="B1450" s="3" t="str">
        <f t="shared" si="2"/>
        <v>OK</v>
      </c>
      <c r="C1450" s="3">
        <v>9097.0</v>
      </c>
      <c r="D1450" s="4" t="s">
        <v>3517</v>
      </c>
      <c r="E1450" s="3" t="s">
        <v>3518</v>
      </c>
      <c r="F1450" s="3" t="s">
        <v>13</v>
      </c>
      <c r="G1450" s="3" t="str">
        <f t="shared" si="3"/>
        <v>XIDKV2</v>
      </c>
      <c r="H1450" s="3" t="str">
        <f>VLOOKUP($C1450,Userpass!$A$2:$L$3001,12,FALSE)</f>
        <v>DKV2</v>
      </c>
      <c r="I1450" s="5" t="s">
        <v>3045</v>
      </c>
      <c r="J1450" s="3">
        <v>2024.0</v>
      </c>
      <c r="K1450" s="4" t="str">
        <f>VLOOKUP($C1450,Userpass!$A$2:$R$3001,2,FALSE)</f>
        <v>dkv20249097.siswa@smkn12malang.sch.id</v>
      </c>
    </row>
    <row r="1451" hidden="1">
      <c r="A1451" s="3" t="str">
        <f t="shared" si="1"/>
        <v>OK</v>
      </c>
      <c r="B1451" s="3" t="str">
        <f t="shared" si="2"/>
        <v>OK</v>
      </c>
      <c r="C1451" s="3">
        <v>9117.0</v>
      </c>
      <c r="D1451" s="4" t="s">
        <v>3519</v>
      </c>
      <c r="E1451" s="3" t="s">
        <v>3520</v>
      </c>
      <c r="F1451" s="3" t="s">
        <v>13</v>
      </c>
      <c r="G1451" s="3" t="str">
        <f t="shared" si="3"/>
        <v>XIDKV2</v>
      </c>
      <c r="H1451" s="3" t="str">
        <f>VLOOKUP($C1451,Userpass!$A$2:$L$3001,12,FALSE)</f>
        <v>DKV2</v>
      </c>
      <c r="I1451" s="5" t="s">
        <v>3045</v>
      </c>
      <c r="J1451" s="3">
        <v>2024.0</v>
      </c>
      <c r="K1451" s="4" t="str">
        <f>VLOOKUP($C1451,Userpass!$A$2:$R$3001,2,FALSE)</f>
        <v>dkv20249117.siswa@smkn12malang.sch.id</v>
      </c>
    </row>
    <row r="1452" hidden="1">
      <c r="A1452" s="3" t="str">
        <f t="shared" si="1"/>
        <v>OK</v>
      </c>
      <c r="B1452" s="3" t="str">
        <f t="shared" si="2"/>
        <v>OK</v>
      </c>
      <c r="C1452" s="3">
        <v>9127.0</v>
      </c>
      <c r="D1452" s="4" t="s">
        <v>3521</v>
      </c>
      <c r="E1452" s="3" t="s">
        <v>3522</v>
      </c>
      <c r="F1452" s="3" t="s">
        <v>13</v>
      </c>
      <c r="G1452" s="3" t="str">
        <f t="shared" si="3"/>
        <v>XIDKV2</v>
      </c>
      <c r="H1452" s="3" t="str">
        <f>VLOOKUP($C1452,Userpass!$A$2:$L$3001,12,FALSE)</f>
        <v>DKV2</v>
      </c>
      <c r="I1452" s="5" t="s">
        <v>3045</v>
      </c>
      <c r="J1452" s="3">
        <v>2024.0</v>
      </c>
      <c r="K1452" s="4" t="str">
        <f>VLOOKUP($C1452,Userpass!$A$2:$R$3001,2,FALSE)</f>
        <v>dkv20249127.siswa@smkn12malang.sch.id</v>
      </c>
    </row>
    <row r="1453" hidden="1">
      <c r="A1453" s="3" t="str">
        <f t="shared" si="1"/>
        <v>OK</v>
      </c>
      <c r="B1453" s="3" t="str">
        <f t="shared" si="2"/>
        <v>OK</v>
      </c>
      <c r="C1453" s="3">
        <v>9134.0</v>
      </c>
      <c r="D1453" s="4" t="s">
        <v>3523</v>
      </c>
      <c r="E1453" s="3" t="s">
        <v>3524</v>
      </c>
      <c r="F1453" s="3" t="s">
        <v>13</v>
      </c>
      <c r="G1453" s="3" t="str">
        <f t="shared" si="3"/>
        <v>XIDKV2</v>
      </c>
      <c r="H1453" s="3" t="str">
        <f>VLOOKUP($C1453,Userpass!$A$2:$L$3001,12,FALSE)</f>
        <v>DKV2</v>
      </c>
      <c r="I1453" s="5" t="s">
        <v>3045</v>
      </c>
      <c r="J1453" s="3">
        <v>2024.0</v>
      </c>
      <c r="K1453" s="4" t="str">
        <f>VLOOKUP($C1453,Userpass!$A$2:$R$3001,2,FALSE)</f>
        <v>dkv20249134.siswa@smkn12malang.sch.id</v>
      </c>
    </row>
    <row r="1454" hidden="1">
      <c r="A1454" s="3" t="str">
        <f t="shared" si="1"/>
        <v>OK</v>
      </c>
      <c r="B1454" s="3" t="str">
        <f t="shared" si="2"/>
        <v>OK</v>
      </c>
      <c r="C1454" s="3">
        <v>9157.0</v>
      </c>
      <c r="D1454" s="4" t="s">
        <v>3525</v>
      </c>
      <c r="E1454" s="3" t="s">
        <v>3526</v>
      </c>
      <c r="F1454" s="3" t="s">
        <v>13</v>
      </c>
      <c r="G1454" s="3" t="str">
        <f t="shared" si="3"/>
        <v>XIDKV2</v>
      </c>
      <c r="H1454" s="3" t="str">
        <f>VLOOKUP($C1454,Userpass!$A$2:$L$3001,12,FALSE)</f>
        <v>DKV2</v>
      </c>
      <c r="I1454" s="5" t="s">
        <v>3045</v>
      </c>
      <c r="J1454" s="3">
        <v>2024.0</v>
      </c>
      <c r="K1454" s="4" t="str">
        <f>VLOOKUP($C1454,Userpass!$A$2:$R$3001,2,FALSE)</f>
        <v>dkv20249157.siswa@smkn12malang.sch.id</v>
      </c>
    </row>
    <row r="1455" hidden="1">
      <c r="A1455" s="3" t="str">
        <f t="shared" si="1"/>
        <v>OK</v>
      </c>
      <c r="B1455" s="3" t="str">
        <f t="shared" si="2"/>
        <v>OK</v>
      </c>
      <c r="C1455" s="3">
        <v>9170.0</v>
      </c>
      <c r="D1455" s="4" t="s">
        <v>3527</v>
      </c>
      <c r="E1455" s="3" t="s">
        <v>3528</v>
      </c>
      <c r="F1455" s="3" t="s">
        <v>13</v>
      </c>
      <c r="G1455" s="3" t="str">
        <f t="shared" si="3"/>
        <v>XIDKV2</v>
      </c>
      <c r="H1455" s="3" t="str">
        <f>VLOOKUP($C1455,Userpass!$A$2:$L$3001,12,FALSE)</f>
        <v>DKV2</v>
      </c>
      <c r="I1455" s="5" t="s">
        <v>3045</v>
      </c>
      <c r="J1455" s="3">
        <v>2024.0</v>
      </c>
      <c r="K1455" s="4" t="str">
        <f>VLOOKUP($C1455,Userpass!$A$2:$R$3001,2,FALSE)</f>
        <v>dkv20249170.siswa@smkn12malang.sch.id</v>
      </c>
    </row>
    <row r="1456" hidden="1">
      <c r="A1456" s="3" t="str">
        <f t="shared" si="1"/>
        <v>OK</v>
      </c>
      <c r="B1456" s="3" t="str">
        <f t="shared" si="2"/>
        <v>OK</v>
      </c>
      <c r="C1456" s="3">
        <v>9180.0</v>
      </c>
      <c r="D1456" s="4" t="s">
        <v>3529</v>
      </c>
      <c r="E1456" s="3" t="s">
        <v>3530</v>
      </c>
      <c r="F1456" s="3" t="s">
        <v>13</v>
      </c>
      <c r="G1456" s="3" t="str">
        <f t="shared" si="3"/>
        <v>XIDKV2</v>
      </c>
      <c r="H1456" s="3" t="str">
        <f>VLOOKUP($C1456,Userpass!$A$2:$L$3001,12,FALSE)</f>
        <v>DKV2</v>
      </c>
      <c r="I1456" s="5" t="s">
        <v>3045</v>
      </c>
      <c r="J1456" s="3">
        <v>2024.0</v>
      </c>
      <c r="K1456" s="4" t="str">
        <f>VLOOKUP($C1456,Userpass!$A$2:$R$3001,2,FALSE)</f>
        <v>dkv20249180.siswa@smkn12malang.sch.id</v>
      </c>
    </row>
    <row r="1457" hidden="1">
      <c r="A1457" s="3" t="str">
        <f t="shared" si="1"/>
        <v>OK</v>
      </c>
      <c r="B1457" s="3" t="str">
        <f t="shared" si="2"/>
        <v>OK</v>
      </c>
      <c r="C1457" s="3">
        <v>9183.0</v>
      </c>
      <c r="D1457" s="4" t="s">
        <v>3531</v>
      </c>
      <c r="E1457" s="3" t="s">
        <v>3532</v>
      </c>
      <c r="F1457" s="3" t="s">
        <v>13</v>
      </c>
      <c r="G1457" s="3" t="str">
        <f t="shared" si="3"/>
        <v>XIDKV2</v>
      </c>
      <c r="H1457" s="3" t="str">
        <f>VLOOKUP($C1457,Userpass!$A$2:$L$3001,12,FALSE)</f>
        <v>DKV2</v>
      </c>
      <c r="I1457" s="5" t="s">
        <v>3045</v>
      </c>
      <c r="J1457" s="3">
        <v>2024.0</v>
      </c>
      <c r="K1457" s="4" t="str">
        <f>VLOOKUP($C1457,Userpass!$A$2:$R$3001,2,FALSE)</f>
        <v>dkv20249183.siswa@smkn12malang.sch.id</v>
      </c>
    </row>
    <row r="1458" hidden="1">
      <c r="A1458" s="3" t="str">
        <f t="shared" si="1"/>
        <v>OK</v>
      </c>
      <c r="B1458" s="3" t="str">
        <f t="shared" si="2"/>
        <v>OK</v>
      </c>
      <c r="C1458" s="3">
        <v>9215.0</v>
      </c>
      <c r="D1458" s="4" t="s">
        <v>3533</v>
      </c>
      <c r="E1458" s="3" t="s">
        <v>3534</v>
      </c>
      <c r="F1458" s="3" t="s">
        <v>13</v>
      </c>
      <c r="G1458" s="3" t="str">
        <f t="shared" si="3"/>
        <v>XIDKV2</v>
      </c>
      <c r="H1458" s="3" t="str">
        <f>VLOOKUP($C1458,Userpass!$A$2:$L$3001,12,FALSE)</f>
        <v>DKV2</v>
      </c>
      <c r="I1458" s="5" t="s">
        <v>3045</v>
      </c>
      <c r="J1458" s="3">
        <v>2024.0</v>
      </c>
      <c r="K1458" s="4" t="str">
        <f>VLOOKUP($C1458,Userpass!$A$2:$R$3001,2,FALSE)</f>
        <v>dkv20249215.siswa@smkn12malang.sch.id</v>
      </c>
    </row>
    <row r="1459" hidden="1">
      <c r="A1459" s="3" t="str">
        <f t="shared" si="1"/>
        <v>OK</v>
      </c>
      <c r="B1459" s="3" t="str">
        <f t="shared" si="2"/>
        <v>OK</v>
      </c>
      <c r="C1459" s="3">
        <v>9235.0</v>
      </c>
      <c r="D1459" s="4" t="s">
        <v>3535</v>
      </c>
      <c r="E1459" s="3" t="s">
        <v>3536</v>
      </c>
      <c r="F1459" s="3" t="s">
        <v>13</v>
      </c>
      <c r="G1459" s="3" t="str">
        <f t="shared" si="3"/>
        <v>XIDKV2</v>
      </c>
      <c r="H1459" s="3" t="str">
        <f>VLOOKUP($C1459,Userpass!$A$2:$L$3001,12,FALSE)</f>
        <v>DKV2</v>
      </c>
      <c r="I1459" s="5" t="s">
        <v>3045</v>
      </c>
      <c r="J1459" s="3">
        <v>2024.0</v>
      </c>
      <c r="K1459" s="4" t="str">
        <f>VLOOKUP($C1459,Userpass!$A$2:$R$3001,2,FALSE)</f>
        <v>dkv20249235.siswa@smkn12malang.sch.id</v>
      </c>
    </row>
    <row r="1460" hidden="1">
      <c r="A1460" s="3" t="str">
        <f t="shared" si="1"/>
        <v>OK</v>
      </c>
      <c r="B1460" s="3" t="str">
        <f t="shared" si="2"/>
        <v>OK</v>
      </c>
      <c r="C1460" s="3">
        <v>8638.0</v>
      </c>
      <c r="D1460" s="4" t="s">
        <v>3537</v>
      </c>
      <c r="E1460" s="3" t="s">
        <v>3538</v>
      </c>
      <c r="F1460" s="3" t="s">
        <v>17</v>
      </c>
      <c r="G1460" s="3" t="str">
        <f t="shared" si="3"/>
        <v>XIJKT1</v>
      </c>
      <c r="H1460" s="3" t="str">
        <f>VLOOKUP($C1460,Userpass!$A$2:$L$3001,12,FALSE)</f>
        <v>JKT1</v>
      </c>
      <c r="I1460" s="5" t="s">
        <v>3045</v>
      </c>
      <c r="J1460" s="3">
        <v>2024.0</v>
      </c>
      <c r="K1460" s="4" t="str">
        <f>VLOOKUP($C1460,Userpass!$A$2:$R$3001,2,FALSE)</f>
        <v>jkt20248638.siswa@smkn12malang.sch.id</v>
      </c>
    </row>
    <row r="1461" hidden="1">
      <c r="A1461" s="3" t="str">
        <f t="shared" si="1"/>
        <v>OK</v>
      </c>
      <c r="B1461" s="3" t="str">
        <f t="shared" si="2"/>
        <v>OK</v>
      </c>
      <c r="C1461" s="3">
        <v>8662.0</v>
      </c>
      <c r="D1461" s="4" t="s">
        <v>3539</v>
      </c>
      <c r="E1461" s="3" t="s">
        <v>3540</v>
      </c>
      <c r="F1461" s="3" t="s">
        <v>17</v>
      </c>
      <c r="G1461" s="3" t="str">
        <f t="shared" si="3"/>
        <v>XIJKT1</v>
      </c>
      <c r="H1461" s="3" t="str">
        <f>VLOOKUP($C1461,Userpass!$A$2:$L$3001,12,FALSE)</f>
        <v>JKT1</v>
      </c>
      <c r="I1461" s="5" t="s">
        <v>3045</v>
      </c>
      <c r="J1461" s="3">
        <v>2024.0</v>
      </c>
      <c r="K1461" s="4" t="str">
        <f>VLOOKUP($C1461,Userpass!$A$2:$R$3001,2,FALSE)</f>
        <v>jkt20248662.siswa@smkn12malang.sch.id</v>
      </c>
    </row>
    <row r="1462" hidden="1">
      <c r="A1462" s="3" t="str">
        <f t="shared" si="1"/>
        <v>OK</v>
      </c>
      <c r="B1462" s="3" t="str">
        <f t="shared" si="2"/>
        <v>OK</v>
      </c>
      <c r="C1462" s="3">
        <v>8681.0</v>
      </c>
      <c r="D1462" s="4" t="s">
        <v>3541</v>
      </c>
      <c r="E1462" s="3" t="s">
        <v>3542</v>
      </c>
      <c r="F1462" s="3" t="s">
        <v>17</v>
      </c>
      <c r="G1462" s="3" t="str">
        <f t="shared" si="3"/>
        <v>XIJKT1</v>
      </c>
      <c r="H1462" s="3" t="str">
        <f>VLOOKUP($C1462,Userpass!$A$2:$L$3001,12,FALSE)</f>
        <v>JKT1</v>
      </c>
      <c r="I1462" s="5" t="s">
        <v>3045</v>
      </c>
      <c r="J1462" s="3">
        <v>2024.0</v>
      </c>
      <c r="K1462" s="4" t="str">
        <f>VLOOKUP($C1462,Userpass!$A$2:$R$3001,2,FALSE)</f>
        <v>jkt20248681.siswa@smkn12malang.sch.id</v>
      </c>
    </row>
    <row r="1463" hidden="1">
      <c r="A1463" s="3" t="str">
        <f t="shared" si="1"/>
        <v>OK</v>
      </c>
      <c r="B1463" s="3" t="str">
        <f t="shared" si="2"/>
        <v>OK</v>
      </c>
      <c r="C1463" s="3">
        <v>8687.0</v>
      </c>
      <c r="D1463" s="4" t="s">
        <v>3543</v>
      </c>
      <c r="E1463" s="3" t="s">
        <v>3544</v>
      </c>
      <c r="F1463" s="3" t="s">
        <v>13</v>
      </c>
      <c r="G1463" s="3" t="str">
        <f t="shared" si="3"/>
        <v>XIJKT1</v>
      </c>
      <c r="H1463" s="3" t="str">
        <f>VLOOKUP($C1463,Userpass!$A$2:$L$3001,12,FALSE)</f>
        <v>JKT1</v>
      </c>
      <c r="I1463" s="5" t="s">
        <v>3045</v>
      </c>
      <c r="J1463" s="3">
        <v>2024.0</v>
      </c>
      <c r="K1463" s="4" t="str">
        <f>VLOOKUP($C1463,Userpass!$A$2:$R$3001,2,FALSE)</f>
        <v>jkt20248687.siswa@smkn12malang.sch.id</v>
      </c>
    </row>
    <row r="1464" hidden="1">
      <c r="A1464" s="3" t="str">
        <f t="shared" si="1"/>
        <v>OK</v>
      </c>
      <c r="B1464" s="3" t="str">
        <f t="shared" si="2"/>
        <v>OK</v>
      </c>
      <c r="C1464" s="3">
        <v>8744.0</v>
      </c>
      <c r="D1464" s="4" t="s">
        <v>3545</v>
      </c>
      <c r="E1464" s="3" t="s">
        <v>3546</v>
      </c>
      <c r="F1464" s="3" t="s">
        <v>13</v>
      </c>
      <c r="G1464" s="3" t="str">
        <f t="shared" si="3"/>
        <v>XIJKT1</v>
      </c>
      <c r="H1464" s="3" t="str">
        <f>VLOOKUP($C1464,Userpass!$A$2:$L$3001,12,FALSE)</f>
        <v>JKT1</v>
      </c>
      <c r="I1464" s="5" t="s">
        <v>3045</v>
      </c>
      <c r="J1464" s="3">
        <v>2024.0</v>
      </c>
      <c r="K1464" s="4" t="str">
        <f>VLOOKUP($C1464,Userpass!$A$2:$R$3001,2,FALSE)</f>
        <v>jkt20248744.siswa@smkn12malang.sch.id</v>
      </c>
    </row>
    <row r="1465" hidden="1">
      <c r="A1465" s="3" t="str">
        <f t="shared" si="1"/>
        <v>OK</v>
      </c>
      <c r="B1465" s="3" t="str">
        <f t="shared" si="2"/>
        <v>OK</v>
      </c>
      <c r="C1465" s="3">
        <v>8768.0</v>
      </c>
      <c r="D1465" s="4" t="s">
        <v>3547</v>
      </c>
      <c r="E1465" s="3" t="s">
        <v>3548</v>
      </c>
      <c r="F1465" s="3" t="s">
        <v>13</v>
      </c>
      <c r="G1465" s="3" t="str">
        <f t="shared" si="3"/>
        <v>XIJKT1</v>
      </c>
      <c r="H1465" s="3" t="str">
        <f>VLOOKUP($C1465,Userpass!$A$2:$L$3001,12,FALSE)</f>
        <v>JKT1</v>
      </c>
      <c r="I1465" s="5" t="s">
        <v>3045</v>
      </c>
      <c r="J1465" s="3">
        <v>2024.0</v>
      </c>
      <c r="K1465" s="4" t="str">
        <f>VLOOKUP($C1465,Userpass!$A$2:$R$3001,2,FALSE)</f>
        <v>jkt20248768.siswa@smkn12malang.sch.id</v>
      </c>
    </row>
    <row r="1466" hidden="1">
      <c r="A1466" s="3" t="str">
        <f t="shared" si="1"/>
        <v>OK</v>
      </c>
      <c r="B1466" s="3" t="str">
        <f t="shared" si="2"/>
        <v>OK</v>
      </c>
      <c r="C1466" s="3">
        <v>8796.0</v>
      </c>
      <c r="D1466" s="4" t="s">
        <v>3549</v>
      </c>
      <c r="E1466" s="3" t="s">
        <v>3550</v>
      </c>
      <c r="F1466" s="3" t="s">
        <v>17</v>
      </c>
      <c r="G1466" s="3" t="str">
        <f t="shared" si="3"/>
        <v>XIJKT1</v>
      </c>
      <c r="H1466" s="3" t="str">
        <f>VLOOKUP($C1466,Userpass!$A$2:$L$3001,12,FALSE)</f>
        <v>JKT1</v>
      </c>
      <c r="I1466" s="5" t="s">
        <v>3045</v>
      </c>
      <c r="J1466" s="3">
        <v>2024.0</v>
      </c>
      <c r="K1466" s="4" t="str">
        <f>VLOOKUP($C1466,Userpass!$A$2:$R$3001,2,FALSE)</f>
        <v>jkt20248796.siswa@smkn12malang.sch.id</v>
      </c>
    </row>
    <row r="1467" hidden="1">
      <c r="A1467" s="3" t="str">
        <f t="shared" si="1"/>
        <v>OK</v>
      </c>
      <c r="B1467" s="3" t="str">
        <f t="shared" si="2"/>
        <v>OK</v>
      </c>
      <c r="C1467" s="3">
        <v>8802.0</v>
      </c>
      <c r="D1467" s="4" t="s">
        <v>3551</v>
      </c>
      <c r="E1467" s="3" t="s">
        <v>3552</v>
      </c>
      <c r="F1467" s="3" t="s">
        <v>13</v>
      </c>
      <c r="G1467" s="3" t="str">
        <f t="shared" si="3"/>
        <v>XIJKT1</v>
      </c>
      <c r="H1467" s="3" t="str">
        <f>VLOOKUP($C1467,Userpass!$A$2:$L$3001,12,FALSE)</f>
        <v>JKT1</v>
      </c>
      <c r="I1467" s="5" t="s">
        <v>3045</v>
      </c>
      <c r="J1467" s="3">
        <v>2024.0</v>
      </c>
      <c r="K1467" s="4" t="str">
        <f>VLOOKUP($C1467,Userpass!$A$2:$R$3001,2,FALSE)</f>
        <v>jkt20248802.siswa@smkn12malang.sch.id</v>
      </c>
    </row>
    <row r="1468" hidden="1">
      <c r="A1468" s="3" t="str">
        <f t="shared" si="1"/>
        <v>OK</v>
      </c>
      <c r="B1468" s="3" t="str">
        <f t="shared" si="2"/>
        <v>OK</v>
      </c>
      <c r="C1468" s="3">
        <v>8819.0</v>
      </c>
      <c r="D1468" s="4" t="s">
        <v>3553</v>
      </c>
      <c r="E1468" s="3" t="s">
        <v>3554</v>
      </c>
      <c r="F1468" s="3" t="s">
        <v>17</v>
      </c>
      <c r="G1468" s="3" t="str">
        <f t="shared" si="3"/>
        <v>XIJKT1</v>
      </c>
      <c r="H1468" s="3" t="str">
        <f>VLOOKUP($C1468,Userpass!$A$2:$L$3001,12,FALSE)</f>
        <v>JKT1</v>
      </c>
      <c r="I1468" s="5" t="s">
        <v>3045</v>
      </c>
      <c r="J1468" s="3">
        <v>2024.0</v>
      </c>
      <c r="K1468" s="4" t="str">
        <f>VLOOKUP($C1468,Userpass!$A$2:$R$3001,2,FALSE)</f>
        <v>jkt20248819.siswa@smkn12malang.sch.id</v>
      </c>
    </row>
    <row r="1469" hidden="1">
      <c r="A1469" s="3" t="str">
        <f t="shared" si="1"/>
        <v>OK</v>
      </c>
      <c r="B1469" s="3" t="str">
        <f t="shared" si="2"/>
        <v>OK</v>
      </c>
      <c r="C1469" s="3">
        <v>8831.0</v>
      </c>
      <c r="D1469" s="4" t="s">
        <v>3555</v>
      </c>
      <c r="E1469" s="3" t="s">
        <v>3556</v>
      </c>
      <c r="F1469" s="3" t="s">
        <v>13</v>
      </c>
      <c r="G1469" s="3" t="str">
        <f t="shared" si="3"/>
        <v>XIJKT1</v>
      </c>
      <c r="H1469" s="3" t="str">
        <f>VLOOKUP($C1469,Userpass!$A$2:$L$3001,12,FALSE)</f>
        <v>JKT1</v>
      </c>
      <c r="I1469" s="5" t="s">
        <v>3045</v>
      </c>
      <c r="J1469" s="3">
        <v>2024.0</v>
      </c>
      <c r="K1469" s="4" t="str">
        <f>VLOOKUP($C1469,Userpass!$A$2:$R$3001,2,FALSE)</f>
        <v>jkt20248831.siswa@smkn12malang.sch.id</v>
      </c>
    </row>
    <row r="1470" hidden="1">
      <c r="A1470" s="3" t="str">
        <f t="shared" si="1"/>
        <v>OK</v>
      </c>
      <c r="B1470" s="3" t="str">
        <f t="shared" si="2"/>
        <v>OK</v>
      </c>
      <c r="C1470" s="3">
        <v>8857.0</v>
      </c>
      <c r="D1470" s="4" t="s">
        <v>3557</v>
      </c>
      <c r="E1470" s="3" t="s">
        <v>3558</v>
      </c>
      <c r="F1470" s="3" t="s">
        <v>13</v>
      </c>
      <c r="G1470" s="3" t="str">
        <f t="shared" si="3"/>
        <v>XIJKT1</v>
      </c>
      <c r="H1470" s="3" t="str">
        <f>VLOOKUP($C1470,Userpass!$A$2:$L$3001,12,FALSE)</f>
        <v>JKT1</v>
      </c>
      <c r="I1470" s="5" t="s">
        <v>3045</v>
      </c>
      <c r="J1470" s="3">
        <v>2024.0</v>
      </c>
      <c r="K1470" s="4" t="str">
        <f>VLOOKUP($C1470,Userpass!$A$2:$R$3001,2,FALSE)</f>
        <v>jkt20248857.siswa@smkn12malang.sch.id</v>
      </c>
    </row>
    <row r="1471" hidden="1">
      <c r="A1471" s="3" t="str">
        <f t="shared" si="1"/>
        <v>OK</v>
      </c>
      <c r="B1471" s="3" t="str">
        <f t="shared" si="2"/>
        <v>OK</v>
      </c>
      <c r="C1471" s="3">
        <v>8882.0</v>
      </c>
      <c r="D1471" s="4" t="s">
        <v>3559</v>
      </c>
      <c r="E1471" s="3" t="s">
        <v>3560</v>
      </c>
      <c r="F1471" s="3" t="s">
        <v>17</v>
      </c>
      <c r="G1471" s="3" t="str">
        <f t="shared" si="3"/>
        <v>XIJKT1</v>
      </c>
      <c r="H1471" s="3" t="str">
        <f>VLOOKUP($C1471,Userpass!$A$2:$L$3001,12,FALSE)</f>
        <v>JKT1</v>
      </c>
      <c r="I1471" s="5" t="s">
        <v>3045</v>
      </c>
      <c r="J1471" s="3">
        <v>2024.0</v>
      </c>
      <c r="K1471" s="4" t="str">
        <f>VLOOKUP($C1471,Userpass!$A$2:$R$3001,2,FALSE)</f>
        <v>jkt20248882.siswa@smkn12malang.sch.id</v>
      </c>
    </row>
    <row r="1472" hidden="1">
      <c r="A1472" s="3" t="str">
        <f t="shared" si="1"/>
        <v>OK</v>
      </c>
      <c r="B1472" s="3" t="str">
        <f t="shared" si="2"/>
        <v>OK</v>
      </c>
      <c r="C1472" s="3">
        <v>8903.0</v>
      </c>
      <c r="D1472" s="4" t="s">
        <v>3561</v>
      </c>
      <c r="E1472" s="3" t="s">
        <v>3562</v>
      </c>
      <c r="F1472" s="3" t="s">
        <v>13</v>
      </c>
      <c r="G1472" s="3" t="str">
        <f t="shared" si="3"/>
        <v>XIJKT1</v>
      </c>
      <c r="H1472" s="3" t="str">
        <f>VLOOKUP($C1472,Userpass!$A$2:$L$3001,12,FALSE)</f>
        <v>JKT1</v>
      </c>
      <c r="I1472" s="5" t="s">
        <v>3045</v>
      </c>
      <c r="J1472" s="3">
        <v>2024.0</v>
      </c>
      <c r="K1472" s="4" t="str">
        <f>VLOOKUP($C1472,Userpass!$A$2:$R$3001,2,FALSE)</f>
        <v>jkt20248903.siswa@smkn12malang.sch.id</v>
      </c>
    </row>
    <row r="1473" hidden="1">
      <c r="A1473" s="3" t="str">
        <f t="shared" si="1"/>
        <v>OK</v>
      </c>
      <c r="B1473" s="3" t="str">
        <f t="shared" si="2"/>
        <v>OK</v>
      </c>
      <c r="C1473" s="3">
        <v>8924.0</v>
      </c>
      <c r="D1473" s="4" t="s">
        <v>3563</v>
      </c>
      <c r="E1473" s="3" t="s">
        <v>3564</v>
      </c>
      <c r="F1473" s="3" t="s">
        <v>13</v>
      </c>
      <c r="G1473" s="3" t="str">
        <f t="shared" si="3"/>
        <v>XIJKT1</v>
      </c>
      <c r="H1473" s="3" t="str">
        <f>VLOOKUP($C1473,Userpass!$A$2:$L$3001,12,FALSE)</f>
        <v>JKT1</v>
      </c>
      <c r="I1473" s="5" t="s">
        <v>3045</v>
      </c>
      <c r="J1473" s="3">
        <v>2024.0</v>
      </c>
      <c r="K1473" s="4" t="str">
        <f>VLOOKUP($C1473,Userpass!$A$2:$R$3001,2,FALSE)</f>
        <v>jkt20248924.siswa@smkn12malang.sch.id</v>
      </c>
    </row>
    <row r="1474" hidden="1">
      <c r="A1474" s="3" t="str">
        <f t="shared" si="1"/>
        <v>OK</v>
      </c>
      <c r="B1474" s="3" t="str">
        <f t="shared" si="2"/>
        <v>OK</v>
      </c>
      <c r="C1474" s="3">
        <v>8943.0</v>
      </c>
      <c r="D1474" s="4" t="s">
        <v>3565</v>
      </c>
      <c r="E1474" s="3" t="s">
        <v>3566</v>
      </c>
      <c r="F1474" s="3" t="s">
        <v>17</v>
      </c>
      <c r="G1474" s="3" t="str">
        <f t="shared" si="3"/>
        <v>XIJKT1</v>
      </c>
      <c r="H1474" s="3" t="str">
        <f>VLOOKUP($C1474,Userpass!$A$2:$L$3001,12,FALSE)</f>
        <v>JKT1</v>
      </c>
      <c r="I1474" s="5" t="s">
        <v>3045</v>
      </c>
      <c r="J1474" s="3">
        <v>2024.0</v>
      </c>
      <c r="K1474" s="4" t="str">
        <f>VLOOKUP($C1474,Userpass!$A$2:$R$3001,2,FALSE)</f>
        <v>jkt20248943.siswa@smkn12malang.sch.id</v>
      </c>
    </row>
    <row r="1475" hidden="1">
      <c r="A1475" s="3" t="str">
        <f t="shared" si="1"/>
        <v>OK</v>
      </c>
      <c r="B1475" s="3" t="str">
        <f t="shared" si="2"/>
        <v>OK</v>
      </c>
      <c r="C1475" s="3">
        <v>8957.0</v>
      </c>
      <c r="D1475" s="4" t="s">
        <v>3567</v>
      </c>
      <c r="E1475" s="3" t="s">
        <v>3568</v>
      </c>
      <c r="F1475" s="3" t="s">
        <v>17</v>
      </c>
      <c r="G1475" s="3" t="str">
        <f t="shared" si="3"/>
        <v>XIJKT1</v>
      </c>
      <c r="H1475" s="3" t="str">
        <f>VLOOKUP($C1475,Userpass!$A$2:$L$3001,12,FALSE)</f>
        <v>JKT1</v>
      </c>
      <c r="I1475" s="5" t="s">
        <v>3045</v>
      </c>
      <c r="J1475" s="3">
        <v>2024.0</v>
      </c>
      <c r="K1475" s="4" t="str">
        <f>VLOOKUP($C1475,Userpass!$A$2:$R$3001,2,FALSE)</f>
        <v>jkt20248957.siswa@smkn12malang.sch.id</v>
      </c>
    </row>
    <row r="1476" hidden="1">
      <c r="A1476" s="3" t="str">
        <f t="shared" si="1"/>
        <v>OK</v>
      </c>
      <c r="B1476" s="3" t="str">
        <f t="shared" si="2"/>
        <v>OK</v>
      </c>
      <c r="C1476" s="3">
        <v>8970.0</v>
      </c>
      <c r="D1476" s="4" t="s">
        <v>3569</v>
      </c>
      <c r="E1476" s="3" t="s">
        <v>3570</v>
      </c>
      <c r="F1476" s="3" t="s">
        <v>17</v>
      </c>
      <c r="G1476" s="3" t="str">
        <f t="shared" si="3"/>
        <v>XIJKT1</v>
      </c>
      <c r="H1476" s="3" t="str">
        <f>VLOOKUP($C1476,Userpass!$A$2:$L$3001,12,FALSE)</f>
        <v>JKT1</v>
      </c>
      <c r="I1476" s="5" t="s">
        <v>3045</v>
      </c>
      <c r="J1476" s="3">
        <v>2024.0</v>
      </c>
      <c r="K1476" s="4" t="str">
        <f>VLOOKUP($C1476,Userpass!$A$2:$R$3001,2,FALSE)</f>
        <v>jkt20248970.siswa@smkn12malang.sch.id</v>
      </c>
    </row>
    <row r="1477" hidden="1">
      <c r="A1477" s="3" t="str">
        <f t="shared" si="1"/>
        <v>OK</v>
      </c>
      <c r="B1477" s="3" t="str">
        <f t="shared" si="2"/>
        <v>OK</v>
      </c>
      <c r="C1477" s="3">
        <v>8985.0</v>
      </c>
      <c r="D1477" s="4" t="s">
        <v>3571</v>
      </c>
      <c r="E1477" s="3" t="s">
        <v>3572</v>
      </c>
      <c r="F1477" s="3" t="s">
        <v>17</v>
      </c>
      <c r="G1477" s="3" t="str">
        <f t="shared" si="3"/>
        <v>XIJKT1</v>
      </c>
      <c r="H1477" s="3" t="str">
        <f>VLOOKUP($C1477,Userpass!$A$2:$L$3001,12,FALSE)</f>
        <v>JKT1</v>
      </c>
      <c r="I1477" s="5" t="s">
        <v>3045</v>
      </c>
      <c r="J1477" s="3">
        <v>2024.0</v>
      </c>
      <c r="K1477" s="4" t="str">
        <f>VLOOKUP($C1477,Userpass!$A$2:$R$3001,2,FALSE)</f>
        <v>jkt20248985.siswa@smkn12malang.sch.id</v>
      </c>
    </row>
    <row r="1478" hidden="1">
      <c r="A1478" s="3" t="str">
        <f t="shared" si="1"/>
        <v>OK</v>
      </c>
      <c r="B1478" s="3" t="str">
        <f t="shared" si="2"/>
        <v>OK</v>
      </c>
      <c r="C1478" s="3">
        <v>8992.0</v>
      </c>
      <c r="D1478" s="4" t="s">
        <v>3573</v>
      </c>
      <c r="E1478" s="3" t="s">
        <v>3574</v>
      </c>
      <c r="F1478" s="3" t="s">
        <v>17</v>
      </c>
      <c r="G1478" s="3" t="str">
        <f t="shared" si="3"/>
        <v>XIJKT1</v>
      </c>
      <c r="H1478" s="3" t="str">
        <f>VLOOKUP($C1478,Userpass!$A$2:$L$3001,12,FALSE)</f>
        <v>JKT1</v>
      </c>
      <c r="I1478" s="5" t="s">
        <v>3045</v>
      </c>
      <c r="J1478" s="3">
        <v>2024.0</v>
      </c>
      <c r="K1478" s="4" t="str">
        <f>VLOOKUP($C1478,Userpass!$A$2:$R$3001,2,FALSE)</f>
        <v>jkt20248992.siswa@smkn12malang.sch.id</v>
      </c>
    </row>
    <row r="1479" hidden="1">
      <c r="A1479" s="3" t="str">
        <f t="shared" si="1"/>
        <v>OK</v>
      </c>
      <c r="B1479" s="3" t="str">
        <f t="shared" si="2"/>
        <v>OK</v>
      </c>
      <c r="C1479" s="3">
        <v>8996.0</v>
      </c>
      <c r="D1479" s="4" t="s">
        <v>3575</v>
      </c>
      <c r="E1479" s="3" t="s">
        <v>3576</v>
      </c>
      <c r="F1479" s="3" t="s">
        <v>17</v>
      </c>
      <c r="G1479" s="3" t="str">
        <f t="shared" si="3"/>
        <v>XIJKT1</v>
      </c>
      <c r="H1479" s="3" t="str">
        <f>VLOOKUP($C1479,Userpass!$A$2:$L$3001,12,FALSE)</f>
        <v>JKT1</v>
      </c>
      <c r="I1479" s="5" t="s">
        <v>3045</v>
      </c>
      <c r="J1479" s="3">
        <v>2024.0</v>
      </c>
      <c r="K1479" s="4" t="str">
        <f>VLOOKUP($C1479,Userpass!$A$2:$R$3001,2,FALSE)</f>
        <v>jkt20248996.siswa@smkn12malang.sch.id</v>
      </c>
    </row>
    <row r="1480" hidden="1">
      <c r="A1480" s="3" t="str">
        <f t="shared" si="1"/>
        <v>OK</v>
      </c>
      <c r="B1480" s="3" t="str">
        <f t="shared" si="2"/>
        <v>OK</v>
      </c>
      <c r="C1480" s="3">
        <v>9017.0</v>
      </c>
      <c r="D1480" s="4" t="s">
        <v>3577</v>
      </c>
      <c r="E1480" s="3" t="s">
        <v>3578</v>
      </c>
      <c r="F1480" s="3" t="s">
        <v>17</v>
      </c>
      <c r="G1480" s="3" t="str">
        <f t="shared" si="3"/>
        <v>XIJKT1</v>
      </c>
      <c r="H1480" s="3" t="str">
        <f>VLOOKUP($C1480,Userpass!$A$2:$L$3001,12,FALSE)</f>
        <v>JKT1</v>
      </c>
      <c r="I1480" s="5" t="s">
        <v>3045</v>
      </c>
      <c r="J1480" s="3">
        <v>2024.0</v>
      </c>
      <c r="K1480" s="4" t="str">
        <f>VLOOKUP($C1480,Userpass!$A$2:$R$3001,2,FALSE)</f>
        <v>jkt20249017.siswa@smkn12malang.sch.id</v>
      </c>
    </row>
    <row r="1481" hidden="1">
      <c r="A1481" s="3" t="str">
        <f t="shared" si="1"/>
        <v>OK</v>
      </c>
      <c r="B1481" s="3" t="str">
        <f t="shared" si="2"/>
        <v>OK</v>
      </c>
      <c r="C1481" s="3">
        <v>9026.0</v>
      </c>
      <c r="D1481" s="4" t="s">
        <v>3579</v>
      </c>
      <c r="E1481" s="3" t="s">
        <v>3580</v>
      </c>
      <c r="F1481" s="3" t="s">
        <v>17</v>
      </c>
      <c r="G1481" s="3" t="str">
        <f t="shared" si="3"/>
        <v>XIJKT1</v>
      </c>
      <c r="H1481" s="3" t="str">
        <f>VLOOKUP($C1481,Userpass!$A$2:$L$3001,12,FALSE)</f>
        <v>JKT1</v>
      </c>
      <c r="I1481" s="5" t="s">
        <v>3045</v>
      </c>
      <c r="J1481" s="3">
        <v>2024.0</v>
      </c>
      <c r="K1481" s="4" t="str">
        <f>VLOOKUP($C1481,Userpass!$A$2:$R$3001,2,FALSE)</f>
        <v>jkt20249026.siswa@smkn12malang.sch.id</v>
      </c>
    </row>
    <row r="1482" hidden="1">
      <c r="A1482" s="3" t="str">
        <f t="shared" si="1"/>
        <v>OK</v>
      </c>
      <c r="B1482" s="3" t="str">
        <f t="shared" si="2"/>
        <v>OK</v>
      </c>
      <c r="C1482" s="3">
        <v>9038.0</v>
      </c>
      <c r="D1482" s="4" t="s">
        <v>3581</v>
      </c>
      <c r="E1482" s="3" t="s">
        <v>3582</v>
      </c>
      <c r="F1482" s="3" t="s">
        <v>13</v>
      </c>
      <c r="G1482" s="3" t="str">
        <f t="shared" si="3"/>
        <v>XIJKT1</v>
      </c>
      <c r="H1482" s="3" t="str">
        <f>VLOOKUP($C1482,Userpass!$A$2:$L$3001,12,FALSE)</f>
        <v>JKT1</v>
      </c>
      <c r="I1482" s="5" t="s">
        <v>3045</v>
      </c>
      <c r="J1482" s="3">
        <v>2024.0</v>
      </c>
      <c r="K1482" s="4" t="str">
        <f>VLOOKUP($C1482,Userpass!$A$2:$R$3001,2,FALSE)</f>
        <v>jkt20249038.siswa@smkn12malang.sch.id</v>
      </c>
    </row>
    <row r="1483" hidden="1">
      <c r="A1483" s="3" t="str">
        <f t="shared" si="1"/>
        <v>OK</v>
      </c>
      <c r="B1483" s="3" t="str">
        <f t="shared" si="2"/>
        <v>OK</v>
      </c>
      <c r="C1483" s="3">
        <v>9044.0</v>
      </c>
      <c r="D1483" s="4" t="s">
        <v>3583</v>
      </c>
      <c r="E1483" s="3" t="s">
        <v>3584</v>
      </c>
      <c r="F1483" s="3" t="s">
        <v>13</v>
      </c>
      <c r="G1483" s="3" t="str">
        <f t="shared" si="3"/>
        <v>XIJKT1</v>
      </c>
      <c r="H1483" s="3" t="str">
        <f>VLOOKUP($C1483,Userpass!$A$2:$L$3001,12,FALSE)</f>
        <v>JKT1</v>
      </c>
      <c r="I1483" s="5" t="s">
        <v>3045</v>
      </c>
      <c r="J1483" s="3">
        <v>2024.0</v>
      </c>
      <c r="K1483" s="4" t="str">
        <f>VLOOKUP($C1483,Userpass!$A$2:$R$3001,2,FALSE)</f>
        <v>jkt20249044.siswa@smkn12malang.sch.id</v>
      </c>
    </row>
    <row r="1484" hidden="1">
      <c r="A1484" s="3" t="str">
        <f t="shared" si="1"/>
        <v>OK</v>
      </c>
      <c r="B1484" s="3" t="str">
        <f t="shared" si="2"/>
        <v>OK</v>
      </c>
      <c r="C1484" s="3">
        <v>9101.0</v>
      </c>
      <c r="D1484" s="4" t="s">
        <v>3585</v>
      </c>
      <c r="E1484" s="3" t="s">
        <v>3586</v>
      </c>
      <c r="F1484" s="3" t="s">
        <v>17</v>
      </c>
      <c r="G1484" s="3" t="str">
        <f t="shared" si="3"/>
        <v>XIJKT1</v>
      </c>
      <c r="H1484" s="3" t="str">
        <f>VLOOKUP($C1484,Userpass!$A$2:$L$3001,12,FALSE)</f>
        <v>JKT1</v>
      </c>
      <c r="I1484" s="5" t="s">
        <v>3045</v>
      </c>
      <c r="J1484" s="3">
        <v>2024.0</v>
      </c>
      <c r="K1484" s="4" t="str">
        <f>VLOOKUP($C1484,Userpass!$A$2:$R$3001,2,FALSE)</f>
        <v>jkt20249101.siswa@smkn12malang.sch.id</v>
      </c>
    </row>
    <row r="1485" hidden="1">
      <c r="A1485" s="3" t="str">
        <f t="shared" si="1"/>
        <v>OK</v>
      </c>
      <c r="B1485" s="3" t="str">
        <f t="shared" si="2"/>
        <v>OK</v>
      </c>
      <c r="C1485" s="3">
        <v>9118.0</v>
      </c>
      <c r="D1485" s="4" t="s">
        <v>3587</v>
      </c>
      <c r="E1485" s="3" t="s">
        <v>3588</v>
      </c>
      <c r="F1485" s="3" t="s">
        <v>17</v>
      </c>
      <c r="G1485" s="3" t="str">
        <f t="shared" si="3"/>
        <v>XIJKT1</v>
      </c>
      <c r="H1485" s="3" t="str">
        <f>VLOOKUP($C1485,Userpass!$A$2:$L$3001,12,FALSE)</f>
        <v>JKT1</v>
      </c>
      <c r="I1485" s="5" t="s">
        <v>3045</v>
      </c>
      <c r="J1485" s="3">
        <v>2024.0</v>
      </c>
      <c r="K1485" s="4" t="str">
        <f>VLOOKUP($C1485,Userpass!$A$2:$R$3001,2,FALSE)</f>
        <v>jkt20249118.siswa@smkn12malang.sch.id</v>
      </c>
    </row>
    <row r="1486" hidden="1">
      <c r="A1486" s="3" t="str">
        <f t="shared" si="1"/>
        <v>OK</v>
      </c>
      <c r="B1486" s="3" t="str">
        <f t="shared" si="2"/>
        <v>OK</v>
      </c>
      <c r="C1486" s="3">
        <v>9141.0</v>
      </c>
      <c r="D1486" s="4" t="s">
        <v>3589</v>
      </c>
      <c r="E1486" s="3" t="s">
        <v>3590</v>
      </c>
      <c r="F1486" s="3" t="s">
        <v>17</v>
      </c>
      <c r="G1486" s="3" t="str">
        <f t="shared" si="3"/>
        <v>XIJKT1</v>
      </c>
      <c r="H1486" s="3" t="str">
        <f>VLOOKUP($C1486,Userpass!$A$2:$L$3001,12,FALSE)</f>
        <v>JKT1</v>
      </c>
      <c r="I1486" s="5" t="s">
        <v>3045</v>
      </c>
      <c r="J1486" s="3">
        <v>2024.0</v>
      </c>
      <c r="K1486" s="4" t="str">
        <f>VLOOKUP($C1486,Userpass!$A$2:$R$3001,2,FALSE)</f>
        <v>jkt20249141.siswa@smkn12malang.sch.id</v>
      </c>
    </row>
    <row r="1487" hidden="1">
      <c r="A1487" s="3" t="str">
        <f t="shared" si="1"/>
        <v>OK</v>
      </c>
      <c r="B1487" s="3" t="str">
        <f t="shared" si="2"/>
        <v>OK</v>
      </c>
      <c r="C1487" s="3">
        <v>9146.0</v>
      </c>
      <c r="D1487" s="4" t="s">
        <v>3591</v>
      </c>
      <c r="E1487" s="3" t="s">
        <v>3592</v>
      </c>
      <c r="F1487" s="3" t="s">
        <v>17</v>
      </c>
      <c r="G1487" s="3" t="str">
        <f t="shared" si="3"/>
        <v>XIJKT1</v>
      </c>
      <c r="H1487" s="3" t="str">
        <f>VLOOKUP($C1487,Userpass!$A$2:$L$3001,12,FALSE)</f>
        <v>JKT1</v>
      </c>
      <c r="I1487" s="5" t="s">
        <v>3045</v>
      </c>
      <c r="J1487" s="3">
        <v>2024.0</v>
      </c>
      <c r="K1487" s="4" t="str">
        <f>VLOOKUP($C1487,Userpass!$A$2:$R$3001,2,FALSE)</f>
        <v>jkt20249146.siswa@smkn12malang.sch.id</v>
      </c>
    </row>
    <row r="1488" hidden="1">
      <c r="A1488" s="3" t="str">
        <f t="shared" si="1"/>
        <v>OK</v>
      </c>
      <c r="B1488" s="3" t="str">
        <f t="shared" si="2"/>
        <v>OK</v>
      </c>
      <c r="C1488" s="3">
        <v>9156.0</v>
      </c>
      <c r="D1488" s="4" t="s">
        <v>3593</v>
      </c>
      <c r="E1488" s="3" t="s">
        <v>3594</v>
      </c>
      <c r="F1488" s="3" t="s">
        <v>13</v>
      </c>
      <c r="G1488" s="3" t="str">
        <f t="shared" si="3"/>
        <v>XIJKT1</v>
      </c>
      <c r="H1488" s="3" t="str">
        <f>VLOOKUP($C1488,Userpass!$A$2:$L$3001,12,FALSE)</f>
        <v>JKT1</v>
      </c>
      <c r="I1488" s="5" t="s">
        <v>3045</v>
      </c>
      <c r="J1488" s="3">
        <v>2024.0</v>
      </c>
      <c r="K1488" s="4" t="str">
        <f>VLOOKUP($C1488,Userpass!$A$2:$R$3001,2,FALSE)</f>
        <v>jkt20249156.siswa@smkn12malang.sch.id</v>
      </c>
    </row>
    <row r="1489" hidden="1">
      <c r="A1489" s="3" t="str">
        <f t="shared" si="1"/>
        <v>OK</v>
      </c>
      <c r="B1489" s="3" t="str">
        <f t="shared" si="2"/>
        <v>OK</v>
      </c>
      <c r="C1489" s="3">
        <v>9165.0</v>
      </c>
      <c r="D1489" s="4" t="s">
        <v>3595</v>
      </c>
      <c r="E1489" s="3" t="s">
        <v>3596</v>
      </c>
      <c r="F1489" s="3" t="s">
        <v>17</v>
      </c>
      <c r="G1489" s="3" t="str">
        <f t="shared" si="3"/>
        <v>XIJKT1</v>
      </c>
      <c r="H1489" s="3" t="str">
        <f>VLOOKUP($C1489,Userpass!$A$2:$L$3001,12,FALSE)</f>
        <v>JKT1</v>
      </c>
      <c r="I1489" s="5" t="s">
        <v>3045</v>
      </c>
      <c r="J1489" s="3">
        <v>2024.0</v>
      </c>
      <c r="K1489" s="4" t="str">
        <f>VLOOKUP($C1489,Userpass!$A$2:$R$3001,2,FALSE)</f>
        <v>jkt20249165.siswa@smkn12malang.sch.id</v>
      </c>
    </row>
    <row r="1490" hidden="1">
      <c r="A1490" s="3" t="str">
        <f t="shared" si="1"/>
        <v>OK</v>
      </c>
      <c r="B1490" s="3" t="str">
        <f t="shared" si="2"/>
        <v>OK</v>
      </c>
      <c r="C1490" s="3">
        <v>9192.0</v>
      </c>
      <c r="D1490" s="4" t="s">
        <v>3597</v>
      </c>
      <c r="E1490" s="3" t="s">
        <v>3598</v>
      </c>
      <c r="F1490" s="3" t="s">
        <v>17</v>
      </c>
      <c r="G1490" s="3" t="str">
        <f t="shared" si="3"/>
        <v>XIJKT1</v>
      </c>
      <c r="H1490" s="3" t="str">
        <f>VLOOKUP($C1490,Userpass!$A$2:$L$3001,12,FALSE)</f>
        <v>JKT1</v>
      </c>
      <c r="I1490" s="5" t="s">
        <v>3045</v>
      </c>
      <c r="J1490" s="3">
        <v>2024.0</v>
      </c>
      <c r="K1490" s="4" t="str">
        <f>VLOOKUP($C1490,Userpass!$A$2:$R$3001,2,FALSE)</f>
        <v>jkt20249192.siswa@smkn12malang.sch.id</v>
      </c>
    </row>
    <row r="1491" hidden="1">
      <c r="A1491" s="3" t="str">
        <f t="shared" si="1"/>
        <v>OK</v>
      </c>
      <c r="B1491" s="3" t="str">
        <f t="shared" si="2"/>
        <v>OK</v>
      </c>
      <c r="C1491" s="3">
        <v>9203.0</v>
      </c>
      <c r="D1491" s="4" t="s">
        <v>3599</v>
      </c>
      <c r="E1491" s="3" t="s">
        <v>3600</v>
      </c>
      <c r="F1491" s="3" t="s">
        <v>13</v>
      </c>
      <c r="G1491" s="3" t="str">
        <f t="shared" si="3"/>
        <v>XIJKT1</v>
      </c>
      <c r="H1491" s="3" t="str">
        <f>VLOOKUP($C1491,Userpass!$A$2:$L$3001,12,FALSE)</f>
        <v>JKT1</v>
      </c>
      <c r="I1491" s="5" t="s">
        <v>3045</v>
      </c>
      <c r="J1491" s="3">
        <v>2024.0</v>
      </c>
      <c r="K1491" s="4" t="str">
        <f>VLOOKUP($C1491,Userpass!$A$2:$R$3001,2,FALSE)</f>
        <v>jkt20249203.siswa@smkn12malang.sch.id</v>
      </c>
    </row>
    <row r="1492" hidden="1">
      <c r="A1492" s="3" t="str">
        <f t="shared" si="1"/>
        <v>OK</v>
      </c>
      <c r="B1492" s="3" t="str">
        <f t="shared" si="2"/>
        <v>OK</v>
      </c>
      <c r="C1492" s="3">
        <v>9214.0</v>
      </c>
      <c r="D1492" s="4" t="s">
        <v>3601</v>
      </c>
      <c r="E1492" s="3" t="s">
        <v>3602</v>
      </c>
      <c r="F1492" s="3" t="s">
        <v>13</v>
      </c>
      <c r="G1492" s="3" t="str">
        <f t="shared" si="3"/>
        <v>XIJKT1</v>
      </c>
      <c r="H1492" s="3" t="str">
        <f>VLOOKUP($C1492,Userpass!$A$2:$L$3001,12,FALSE)</f>
        <v>JKT1</v>
      </c>
      <c r="I1492" s="5" t="s">
        <v>3045</v>
      </c>
      <c r="J1492" s="3">
        <v>2024.0</v>
      </c>
      <c r="K1492" s="4" t="str">
        <f>VLOOKUP($C1492,Userpass!$A$2:$R$3001,2,FALSE)</f>
        <v>jkt20249214.siswa@smkn12malang.sch.id</v>
      </c>
    </row>
    <row r="1493" hidden="1">
      <c r="A1493" s="3" t="str">
        <f t="shared" si="1"/>
        <v>OK</v>
      </c>
      <c r="B1493" s="3" t="str">
        <f t="shared" si="2"/>
        <v>OK</v>
      </c>
      <c r="C1493" s="3">
        <v>9227.0</v>
      </c>
      <c r="D1493" s="4" t="s">
        <v>3603</v>
      </c>
      <c r="E1493" s="3" t="s">
        <v>3604</v>
      </c>
      <c r="F1493" s="3" t="s">
        <v>13</v>
      </c>
      <c r="G1493" s="3" t="str">
        <f t="shared" si="3"/>
        <v>XIJKT1</v>
      </c>
      <c r="H1493" s="3" t="str">
        <f>VLOOKUP($C1493,Userpass!$A$2:$L$3001,12,FALSE)</f>
        <v>JKT1</v>
      </c>
      <c r="I1493" s="5" t="s">
        <v>3045</v>
      </c>
      <c r="J1493" s="3">
        <v>2024.0</v>
      </c>
      <c r="K1493" s="4" t="str">
        <f>VLOOKUP($C1493,Userpass!$A$2:$R$3001,2,FALSE)</f>
        <v>jkt20249227.siswa@smkn12malang.sch.id</v>
      </c>
    </row>
    <row r="1494" hidden="1">
      <c r="A1494" s="3" t="str">
        <f t="shared" si="1"/>
        <v>OK</v>
      </c>
      <c r="B1494" s="3" t="str">
        <f t="shared" si="2"/>
        <v>OK</v>
      </c>
      <c r="C1494" s="3">
        <v>8658.0</v>
      </c>
      <c r="D1494" s="4" t="s">
        <v>3605</v>
      </c>
      <c r="E1494" s="3" t="s">
        <v>3606</v>
      </c>
      <c r="F1494" s="3" t="s">
        <v>13</v>
      </c>
      <c r="G1494" s="3" t="str">
        <f t="shared" si="3"/>
        <v>XIJKT2</v>
      </c>
      <c r="H1494" s="3" t="str">
        <f>VLOOKUP($C1494,Userpass!$A$2:$L$3001,12,FALSE)</f>
        <v>JKT2</v>
      </c>
      <c r="I1494" s="5" t="s">
        <v>3045</v>
      </c>
      <c r="J1494" s="3">
        <v>2024.0</v>
      </c>
      <c r="K1494" s="4" t="str">
        <f>VLOOKUP($C1494,Userpass!$A$2:$R$3001,2,FALSE)</f>
        <v>jkt20248658.siswa@smkn12malang.sch.id</v>
      </c>
    </row>
    <row r="1495" hidden="1">
      <c r="A1495" s="3" t="str">
        <f t="shared" si="1"/>
        <v>OK</v>
      </c>
      <c r="B1495" s="3" t="str">
        <f t="shared" si="2"/>
        <v>OK</v>
      </c>
      <c r="C1495" s="3">
        <v>8673.0</v>
      </c>
      <c r="D1495" s="4" t="s">
        <v>3607</v>
      </c>
      <c r="E1495" s="3" t="s">
        <v>3608</v>
      </c>
      <c r="F1495" s="3" t="s">
        <v>13</v>
      </c>
      <c r="G1495" s="3" t="str">
        <f t="shared" si="3"/>
        <v>XIJKT2</v>
      </c>
      <c r="H1495" s="3" t="str">
        <f>VLOOKUP($C1495,Userpass!$A$2:$L$3001,12,FALSE)</f>
        <v>JKT2</v>
      </c>
      <c r="I1495" s="5" t="s">
        <v>3045</v>
      </c>
      <c r="J1495" s="3">
        <v>2024.0</v>
      </c>
      <c r="K1495" s="4" t="str">
        <f>VLOOKUP($C1495,Userpass!$A$2:$R$3001,2,FALSE)</f>
        <v>jkt20248673.siswa@smkn12malang.sch.id</v>
      </c>
    </row>
    <row r="1496" hidden="1">
      <c r="A1496" s="3" t="str">
        <f t="shared" si="1"/>
        <v>OK</v>
      </c>
      <c r="B1496" s="3" t="str">
        <f t="shared" si="2"/>
        <v>OK</v>
      </c>
      <c r="C1496" s="3">
        <v>8683.0</v>
      </c>
      <c r="D1496" s="4" t="s">
        <v>3609</v>
      </c>
      <c r="E1496" s="3" t="s">
        <v>3610</v>
      </c>
      <c r="F1496" s="3" t="s">
        <v>17</v>
      </c>
      <c r="G1496" s="3" t="str">
        <f t="shared" si="3"/>
        <v>XIJKT2</v>
      </c>
      <c r="H1496" s="3" t="str">
        <f>VLOOKUP($C1496,Userpass!$A$2:$L$3001,12,FALSE)</f>
        <v>JKT2</v>
      </c>
      <c r="I1496" s="5" t="s">
        <v>3045</v>
      </c>
      <c r="J1496" s="3">
        <v>2024.0</v>
      </c>
      <c r="K1496" s="4" t="str">
        <f>VLOOKUP($C1496,Userpass!$A$2:$R$3001,2,FALSE)</f>
        <v>jkt20248683.siswa@smkn12malang.sch.id</v>
      </c>
    </row>
    <row r="1497" hidden="1">
      <c r="A1497" s="3" t="str">
        <f t="shared" si="1"/>
        <v>OK</v>
      </c>
      <c r="B1497" s="3" t="str">
        <f t="shared" si="2"/>
        <v>OK</v>
      </c>
      <c r="C1497" s="3">
        <v>8717.0</v>
      </c>
      <c r="D1497" s="4" t="s">
        <v>3611</v>
      </c>
      <c r="E1497" s="3" t="s">
        <v>3612</v>
      </c>
      <c r="F1497" s="3" t="s">
        <v>17</v>
      </c>
      <c r="G1497" s="3" t="str">
        <f t="shared" si="3"/>
        <v>XIJKT2</v>
      </c>
      <c r="H1497" s="3" t="str">
        <f>VLOOKUP($C1497,Userpass!$A$2:$L$3001,12,FALSE)</f>
        <v>JKT2</v>
      </c>
      <c r="I1497" s="5" t="s">
        <v>3045</v>
      </c>
      <c r="J1497" s="3">
        <v>2024.0</v>
      </c>
      <c r="K1497" s="4" t="str">
        <f>VLOOKUP($C1497,Userpass!$A$2:$R$3001,2,FALSE)</f>
        <v>jkt20248717.siswa@smkn12malang.sch.id</v>
      </c>
    </row>
    <row r="1498" hidden="1">
      <c r="A1498" s="3" t="str">
        <f t="shared" si="1"/>
        <v>OK</v>
      </c>
      <c r="B1498" s="3" t="str">
        <f t="shared" si="2"/>
        <v>OK</v>
      </c>
      <c r="C1498" s="3">
        <v>8750.0</v>
      </c>
      <c r="D1498" s="4" t="s">
        <v>3613</v>
      </c>
      <c r="E1498" s="3" t="s">
        <v>3614</v>
      </c>
      <c r="F1498" s="3" t="s">
        <v>17</v>
      </c>
      <c r="G1498" s="3" t="str">
        <f t="shared" si="3"/>
        <v>XIJKT2</v>
      </c>
      <c r="H1498" s="3" t="str">
        <f>VLOOKUP($C1498,Userpass!$A$2:$L$3001,12,FALSE)</f>
        <v>JKT2</v>
      </c>
      <c r="I1498" s="5" t="s">
        <v>3045</v>
      </c>
      <c r="J1498" s="3">
        <v>2024.0</v>
      </c>
      <c r="K1498" s="4" t="str">
        <f>VLOOKUP($C1498,Userpass!$A$2:$R$3001,2,FALSE)</f>
        <v>jkt20248750.siswa@smkn12malang.sch.id</v>
      </c>
    </row>
    <row r="1499" hidden="1">
      <c r="A1499" s="3" t="str">
        <f t="shared" si="1"/>
        <v>OK</v>
      </c>
      <c r="B1499" s="3" t="str">
        <f t="shared" si="2"/>
        <v>OK</v>
      </c>
      <c r="C1499" s="3">
        <v>8785.0</v>
      </c>
      <c r="D1499" s="4" t="s">
        <v>3615</v>
      </c>
      <c r="E1499" s="3" t="s">
        <v>3616</v>
      </c>
      <c r="F1499" s="3" t="s">
        <v>17</v>
      </c>
      <c r="G1499" s="3" t="str">
        <f t="shared" si="3"/>
        <v>XIJKT2</v>
      </c>
      <c r="H1499" s="3" t="str">
        <f>VLOOKUP($C1499,Userpass!$A$2:$L$3001,12,FALSE)</f>
        <v>JKT2</v>
      </c>
      <c r="I1499" s="5" t="s">
        <v>3045</v>
      </c>
      <c r="J1499" s="3">
        <v>2024.0</v>
      </c>
      <c r="K1499" s="4" t="str">
        <f>VLOOKUP($C1499,Userpass!$A$2:$R$3001,2,FALSE)</f>
        <v>jkt20248785.siswa@smkn12malang.sch.id</v>
      </c>
    </row>
    <row r="1500" hidden="1">
      <c r="A1500" s="3" t="str">
        <f t="shared" si="1"/>
        <v>OK</v>
      </c>
      <c r="B1500" s="3" t="str">
        <f t="shared" si="2"/>
        <v>OK</v>
      </c>
      <c r="C1500" s="3">
        <v>8801.0</v>
      </c>
      <c r="D1500" s="4" t="s">
        <v>3617</v>
      </c>
      <c r="E1500" s="3" t="s">
        <v>3618</v>
      </c>
      <c r="F1500" s="3" t="s">
        <v>13</v>
      </c>
      <c r="G1500" s="3" t="str">
        <f t="shared" si="3"/>
        <v>XIJKT2</v>
      </c>
      <c r="H1500" s="3" t="str">
        <f>VLOOKUP($C1500,Userpass!$A$2:$L$3001,12,FALSE)</f>
        <v>JKT2</v>
      </c>
      <c r="I1500" s="5" t="s">
        <v>3045</v>
      </c>
      <c r="J1500" s="3">
        <v>2024.0</v>
      </c>
      <c r="K1500" s="4" t="str">
        <f>VLOOKUP($C1500,Userpass!$A$2:$R$3001,2,FALSE)</f>
        <v>jkt20248801.siswa@smkn12malang.sch.id</v>
      </c>
    </row>
    <row r="1501" hidden="1">
      <c r="A1501" s="3" t="str">
        <f t="shared" si="1"/>
        <v>OK</v>
      </c>
      <c r="B1501" s="3" t="str">
        <f t="shared" si="2"/>
        <v>OK</v>
      </c>
      <c r="C1501" s="3">
        <v>8814.0</v>
      </c>
      <c r="D1501" s="4" t="s">
        <v>3619</v>
      </c>
      <c r="E1501" s="3" t="s">
        <v>3620</v>
      </c>
      <c r="F1501" s="3" t="s">
        <v>13</v>
      </c>
      <c r="G1501" s="3" t="str">
        <f t="shared" si="3"/>
        <v>XIJKT2</v>
      </c>
      <c r="H1501" s="3" t="str">
        <f>VLOOKUP($C1501,Userpass!$A$2:$L$3001,12,FALSE)</f>
        <v>JKT2</v>
      </c>
      <c r="I1501" s="5" t="s">
        <v>3045</v>
      </c>
      <c r="J1501" s="3">
        <v>2024.0</v>
      </c>
      <c r="K1501" s="4" t="str">
        <f>VLOOKUP($C1501,Userpass!$A$2:$R$3001,2,FALSE)</f>
        <v>jkt20248814.siswa@smkn12malang.sch.id</v>
      </c>
    </row>
    <row r="1502" hidden="1">
      <c r="A1502" s="3" t="str">
        <f t="shared" si="1"/>
        <v>OK</v>
      </c>
      <c r="B1502" s="3" t="str">
        <f t="shared" si="2"/>
        <v>OK</v>
      </c>
      <c r="C1502" s="3">
        <v>8827.0</v>
      </c>
      <c r="D1502" s="4" t="s">
        <v>3621</v>
      </c>
      <c r="E1502" s="3" t="s">
        <v>3622</v>
      </c>
      <c r="F1502" s="3" t="s">
        <v>17</v>
      </c>
      <c r="G1502" s="3" t="str">
        <f t="shared" si="3"/>
        <v>XIJKT2</v>
      </c>
      <c r="H1502" s="3" t="str">
        <f>VLOOKUP($C1502,Userpass!$A$2:$L$3001,12,FALSE)</f>
        <v>JKT2</v>
      </c>
      <c r="I1502" s="5" t="s">
        <v>3045</v>
      </c>
      <c r="J1502" s="3">
        <v>2024.0</v>
      </c>
      <c r="K1502" s="4" t="str">
        <f>VLOOKUP($C1502,Userpass!$A$2:$R$3001,2,FALSE)</f>
        <v>jkt20248827.siswa@smkn12malang.sch.id</v>
      </c>
    </row>
    <row r="1503" hidden="1">
      <c r="A1503" s="3" t="str">
        <f t="shared" si="1"/>
        <v>OK</v>
      </c>
      <c r="B1503" s="3" t="str">
        <f t="shared" si="2"/>
        <v>OK</v>
      </c>
      <c r="C1503" s="3">
        <v>8856.0</v>
      </c>
      <c r="D1503" s="4" t="s">
        <v>3623</v>
      </c>
      <c r="E1503" s="3" t="s">
        <v>3624</v>
      </c>
      <c r="F1503" s="3" t="s">
        <v>13</v>
      </c>
      <c r="G1503" s="3" t="str">
        <f t="shared" si="3"/>
        <v>XIJKT2</v>
      </c>
      <c r="H1503" s="3" t="str">
        <f>VLOOKUP($C1503,Userpass!$A$2:$L$3001,12,FALSE)</f>
        <v>JKT2</v>
      </c>
      <c r="I1503" s="5" t="s">
        <v>3045</v>
      </c>
      <c r="J1503" s="3">
        <v>2024.0</v>
      </c>
      <c r="K1503" s="4" t="str">
        <f>VLOOKUP($C1503,Userpass!$A$2:$R$3001,2,FALSE)</f>
        <v>jkt20248856.siswa@smkn12malang.sch.id</v>
      </c>
    </row>
    <row r="1504" hidden="1">
      <c r="A1504" s="3" t="str">
        <f t="shared" si="1"/>
        <v>OK</v>
      </c>
      <c r="B1504" s="3" t="str">
        <f t="shared" si="2"/>
        <v>OK</v>
      </c>
      <c r="C1504" s="3">
        <v>8863.0</v>
      </c>
      <c r="D1504" s="4" t="s">
        <v>3625</v>
      </c>
      <c r="E1504" s="3" t="s">
        <v>3626</v>
      </c>
      <c r="F1504" s="3" t="s">
        <v>17</v>
      </c>
      <c r="G1504" s="3" t="str">
        <f t="shared" si="3"/>
        <v>XIJKT2</v>
      </c>
      <c r="H1504" s="3" t="str">
        <f>VLOOKUP($C1504,Userpass!$A$2:$L$3001,12,FALSE)</f>
        <v>JKT2</v>
      </c>
      <c r="I1504" s="5" t="s">
        <v>3045</v>
      </c>
      <c r="J1504" s="3">
        <v>2024.0</v>
      </c>
      <c r="K1504" s="4" t="str">
        <f>VLOOKUP($C1504,Userpass!$A$2:$R$3001,2,FALSE)</f>
        <v>jkt20248863.siswa@smkn12malang.sch.id</v>
      </c>
    </row>
    <row r="1505" hidden="1">
      <c r="A1505" s="3" t="str">
        <f t="shared" si="1"/>
        <v>OK</v>
      </c>
      <c r="B1505" s="3" t="str">
        <f t="shared" si="2"/>
        <v>OK</v>
      </c>
      <c r="C1505" s="3">
        <v>8884.0</v>
      </c>
      <c r="D1505" s="4" t="s">
        <v>3627</v>
      </c>
      <c r="E1505" s="3" t="s">
        <v>3628</v>
      </c>
      <c r="F1505" s="3" t="s">
        <v>13</v>
      </c>
      <c r="G1505" s="3" t="str">
        <f t="shared" si="3"/>
        <v>XIJKT2</v>
      </c>
      <c r="H1505" s="3" t="str">
        <f>VLOOKUP($C1505,Userpass!$A$2:$L$3001,12,FALSE)</f>
        <v>JKT2</v>
      </c>
      <c r="I1505" s="5" t="s">
        <v>3045</v>
      </c>
      <c r="J1505" s="3">
        <v>2024.0</v>
      </c>
      <c r="K1505" s="4" t="str">
        <f>VLOOKUP($C1505,Userpass!$A$2:$R$3001,2,FALSE)</f>
        <v>jkt20248884.siswa@smkn12malang.sch.id</v>
      </c>
    </row>
    <row r="1506" hidden="1">
      <c r="A1506" s="3" t="str">
        <f t="shared" si="1"/>
        <v>OK</v>
      </c>
      <c r="B1506" s="3" t="str">
        <f t="shared" si="2"/>
        <v>OK</v>
      </c>
      <c r="C1506" s="3">
        <v>8915.0</v>
      </c>
      <c r="D1506" s="4" t="s">
        <v>3629</v>
      </c>
      <c r="E1506" s="3" t="s">
        <v>3630</v>
      </c>
      <c r="F1506" s="3" t="s">
        <v>13</v>
      </c>
      <c r="G1506" s="3" t="str">
        <f t="shared" si="3"/>
        <v>XIJKT2</v>
      </c>
      <c r="H1506" s="3" t="str">
        <f>VLOOKUP($C1506,Userpass!$A$2:$L$3001,12,FALSE)</f>
        <v>JKT2</v>
      </c>
      <c r="I1506" s="5" t="s">
        <v>3045</v>
      </c>
      <c r="J1506" s="3">
        <v>2024.0</v>
      </c>
      <c r="K1506" s="4" t="str">
        <f>VLOOKUP($C1506,Userpass!$A$2:$R$3001,2,FALSE)</f>
        <v>jkt20248915.siswa@smkn12malang.sch.id</v>
      </c>
    </row>
    <row r="1507" hidden="1">
      <c r="A1507" s="3" t="str">
        <f t="shared" si="1"/>
        <v>OK</v>
      </c>
      <c r="B1507" s="3" t="str">
        <f t="shared" si="2"/>
        <v>INVALID</v>
      </c>
      <c r="C1507" s="3">
        <v>8921.0</v>
      </c>
      <c r="D1507" s="4"/>
      <c r="E1507" s="3" t="s">
        <v>3631</v>
      </c>
      <c r="F1507" s="3" t="s">
        <v>17</v>
      </c>
      <c r="G1507" s="3" t="str">
        <f t="shared" si="3"/>
        <v>XIJKT2</v>
      </c>
      <c r="H1507" s="3" t="str">
        <f>VLOOKUP($C1507,Userpass!$A$2:$L$3001,12,FALSE)</f>
        <v>JKT2</v>
      </c>
      <c r="I1507" s="5" t="s">
        <v>3045</v>
      </c>
      <c r="J1507" s="3">
        <v>2024.0</v>
      </c>
      <c r="K1507" s="4" t="str">
        <f>VLOOKUP($C1507,Userpass!$A$2:$R$3001,2,FALSE)</f>
        <v>jkt20248921.siswa@smkn12malang.sch.id</v>
      </c>
    </row>
    <row r="1508" hidden="1">
      <c r="A1508" s="3" t="str">
        <f t="shared" si="1"/>
        <v>OK</v>
      </c>
      <c r="B1508" s="3" t="str">
        <f t="shared" si="2"/>
        <v>OK</v>
      </c>
      <c r="C1508" s="3">
        <v>8933.0</v>
      </c>
      <c r="D1508" s="4" t="s">
        <v>3632</v>
      </c>
      <c r="E1508" s="3" t="s">
        <v>3633</v>
      </c>
      <c r="F1508" s="3" t="s">
        <v>17</v>
      </c>
      <c r="G1508" s="3" t="str">
        <f t="shared" si="3"/>
        <v>XIJKT2</v>
      </c>
      <c r="H1508" s="3" t="str">
        <f>VLOOKUP($C1508,Userpass!$A$2:$L$3001,12,FALSE)</f>
        <v>JKT2</v>
      </c>
      <c r="I1508" s="5" t="s">
        <v>3045</v>
      </c>
      <c r="J1508" s="3">
        <v>2024.0</v>
      </c>
      <c r="K1508" s="4" t="str">
        <f>VLOOKUP($C1508,Userpass!$A$2:$R$3001,2,FALSE)</f>
        <v>jkt20248933.siswa@smkn12malang.sch.id</v>
      </c>
    </row>
    <row r="1509" hidden="1">
      <c r="A1509" s="3" t="str">
        <f t="shared" si="1"/>
        <v>OK</v>
      </c>
      <c r="B1509" s="3" t="str">
        <f t="shared" si="2"/>
        <v>OK</v>
      </c>
      <c r="C1509" s="3">
        <v>8945.0</v>
      </c>
      <c r="D1509" s="4" t="s">
        <v>3634</v>
      </c>
      <c r="E1509" s="3" t="s">
        <v>3635</v>
      </c>
      <c r="F1509" s="3" t="s">
        <v>17</v>
      </c>
      <c r="G1509" s="3" t="str">
        <f t="shared" si="3"/>
        <v>XIJKT2</v>
      </c>
      <c r="H1509" s="3" t="str">
        <f>VLOOKUP($C1509,Userpass!$A$2:$L$3001,12,FALSE)</f>
        <v>JKT2</v>
      </c>
      <c r="I1509" s="5" t="s">
        <v>3045</v>
      </c>
      <c r="J1509" s="3">
        <v>2024.0</v>
      </c>
      <c r="K1509" s="4" t="str">
        <f>VLOOKUP($C1509,Userpass!$A$2:$R$3001,2,FALSE)</f>
        <v>jkt20248945.siswa@smkn12malang.sch.id</v>
      </c>
    </row>
    <row r="1510" hidden="1">
      <c r="A1510" s="3" t="str">
        <f t="shared" si="1"/>
        <v>OK</v>
      </c>
      <c r="B1510" s="3" t="str">
        <f t="shared" si="2"/>
        <v>OK</v>
      </c>
      <c r="C1510" s="3">
        <v>8958.0</v>
      </c>
      <c r="D1510" s="4" t="s">
        <v>3636</v>
      </c>
      <c r="E1510" s="3" t="s">
        <v>3637</v>
      </c>
      <c r="F1510" s="3" t="s">
        <v>17</v>
      </c>
      <c r="G1510" s="3" t="str">
        <f t="shared" si="3"/>
        <v>XIJKT2</v>
      </c>
      <c r="H1510" s="3" t="str">
        <f>VLOOKUP($C1510,Userpass!$A$2:$L$3001,12,FALSE)</f>
        <v>JKT2</v>
      </c>
      <c r="I1510" s="5" t="s">
        <v>3045</v>
      </c>
      <c r="J1510" s="3">
        <v>2024.0</v>
      </c>
      <c r="K1510" s="4" t="str">
        <f>VLOOKUP($C1510,Userpass!$A$2:$R$3001,2,FALSE)</f>
        <v>jkt20248958.siswa@smkn12malang.sch.id</v>
      </c>
    </row>
    <row r="1511" hidden="1">
      <c r="A1511" s="3" t="str">
        <f t="shared" si="1"/>
        <v>OK</v>
      </c>
      <c r="B1511" s="3" t="str">
        <f t="shared" si="2"/>
        <v>OK</v>
      </c>
      <c r="C1511" s="3">
        <v>8976.0</v>
      </c>
      <c r="D1511" s="4" t="s">
        <v>3638</v>
      </c>
      <c r="E1511" s="3" t="s">
        <v>3639</v>
      </c>
      <c r="F1511" s="3" t="s">
        <v>17</v>
      </c>
      <c r="G1511" s="3" t="str">
        <f t="shared" si="3"/>
        <v>XIJKT2</v>
      </c>
      <c r="H1511" s="3" t="str">
        <f>VLOOKUP($C1511,Userpass!$A$2:$L$3001,12,FALSE)</f>
        <v>JKT2</v>
      </c>
      <c r="I1511" s="5" t="s">
        <v>3045</v>
      </c>
      <c r="J1511" s="3">
        <v>2024.0</v>
      </c>
      <c r="K1511" s="4" t="str">
        <f>VLOOKUP($C1511,Userpass!$A$2:$R$3001,2,FALSE)</f>
        <v>jkt20248976.siswa@smkn12malang.sch.id</v>
      </c>
    </row>
    <row r="1512" hidden="1">
      <c r="A1512" s="3" t="str">
        <f t="shared" si="1"/>
        <v>OK</v>
      </c>
      <c r="B1512" s="3" t="str">
        <f t="shared" si="2"/>
        <v>OK</v>
      </c>
      <c r="C1512" s="3">
        <v>8982.0</v>
      </c>
      <c r="D1512" s="4" t="s">
        <v>3640</v>
      </c>
      <c r="E1512" s="3" t="s">
        <v>3641</v>
      </c>
      <c r="F1512" s="3" t="s">
        <v>17</v>
      </c>
      <c r="G1512" s="3" t="str">
        <f t="shared" si="3"/>
        <v>XIJKT2</v>
      </c>
      <c r="H1512" s="3" t="str">
        <f>VLOOKUP($C1512,Userpass!$A$2:$L$3001,12,FALSE)</f>
        <v>JKT2</v>
      </c>
      <c r="I1512" s="5" t="s">
        <v>3045</v>
      </c>
      <c r="J1512" s="3">
        <v>2024.0</v>
      </c>
      <c r="K1512" s="4" t="str">
        <f>VLOOKUP($C1512,Userpass!$A$2:$R$3001,2,FALSE)</f>
        <v>jkt20248982.siswa@smkn12malang.sch.id</v>
      </c>
    </row>
    <row r="1513" hidden="1">
      <c r="A1513" s="3" t="str">
        <f t="shared" si="1"/>
        <v>OK</v>
      </c>
      <c r="B1513" s="3" t="str">
        <f t="shared" si="2"/>
        <v>OK</v>
      </c>
      <c r="C1513" s="3">
        <v>8988.0</v>
      </c>
      <c r="D1513" s="4" t="s">
        <v>3642</v>
      </c>
      <c r="E1513" s="3" t="s">
        <v>3643</v>
      </c>
      <c r="F1513" s="3" t="s">
        <v>17</v>
      </c>
      <c r="G1513" s="3" t="str">
        <f t="shared" si="3"/>
        <v>XIJKT2</v>
      </c>
      <c r="H1513" s="3" t="str">
        <f>VLOOKUP($C1513,Userpass!$A$2:$L$3001,12,FALSE)</f>
        <v>JKT2</v>
      </c>
      <c r="I1513" s="5" t="s">
        <v>3045</v>
      </c>
      <c r="J1513" s="3">
        <v>2024.0</v>
      </c>
      <c r="K1513" s="4" t="str">
        <f>VLOOKUP($C1513,Userpass!$A$2:$R$3001,2,FALSE)</f>
        <v>jkt20248988.siswa@smkn12malang.sch.id</v>
      </c>
    </row>
    <row r="1514" hidden="1">
      <c r="A1514" s="3" t="str">
        <f t="shared" si="1"/>
        <v>OK</v>
      </c>
      <c r="B1514" s="3" t="str">
        <f t="shared" si="2"/>
        <v>OK</v>
      </c>
      <c r="C1514" s="3">
        <v>8995.0</v>
      </c>
      <c r="D1514" s="4" t="s">
        <v>3644</v>
      </c>
      <c r="E1514" s="3" t="s">
        <v>3645</v>
      </c>
      <c r="F1514" s="3" t="s">
        <v>17</v>
      </c>
      <c r="G1514" s="3" t="str">
        <f t="shared" si="3"/>
        <v>XIJKT2</v>
      </c>
      <c r="H1514" s="3" t="str">
        <f>VLOOKUP($C1514,Userpass!$A$2:$L$3001,12,FALSE)</f>
        <v>JKT2</v>
      </c>
      <c r="I1514" s="5" t="s">
        <v>3045</v>
      </c>
      <c r="J1514" s="3">
        <v>2024.0</v>
      </c>
      <c r="K1514" s="4" t="str">
        <f>VLOOKUP($C1514,Userpass!$A$2:$R$3001,2,FALSE)</f>
        <v>jkt20248995.siswa@smkn12malang.sch.id</v>
      </c>
    </row>
    <row r="1515" hidden="1">
      <c r="A1515" s="3" t="str">
        <f t="shared" si="1"/>
        <v>OK</v>
      </c>
      <c r="B1515" s="3" t="str">
        <f t="shared" si="2"/>
        <v>OK</v>
      </c>
      <c r="C1515" s="3">
        <v>9006.0</v>
      </c>
      <c r="D1515" s="4" t="s">
        <v>3646</v>
      </c>
      <c r="E1515" s="3" t="s">
        <v>3647</v>
      </c>
      <c r="F1515" s="3" t="s">
        <v>17</v>
      </c>
      <c r="G1515" s="3" t="str">
        <f t="shared" si="3"/>
        <v>XIJKT2</v>
      </c>
      <c r="H1515" s="3" t="str">
        <f>VLOOKUP($C1515,Userpass!$A$2:$L$3001,12,FALSE)</f>
        <v>JKT2</v>
      </c>
      <c r="I1515" s="5" t="s">
        <v>3045</v>
      </c>
      <c r="J1515" s="3">
        <v>2024.0</v>
      </c>
      <c r="K1515" s="4" t="str">
        <f>VLOOKUP($C1515,Userpass!$A$2:$R$3001,2,FALSE)</f>
        <v>jkt20249006.siswa@smkn12malang.sch.id</v>
      </c>
    </row>
    <row r="1516" hidden="1">
      <c r="A1516" s="3" t="str">
        <f t="shared" si="1"/>
        <v>OK</v>
      </c>
      <c r="B1516" s="3" t="str">
        <f t="shared" si="2"/>
        <v>OK</v>
      </c>
      <c r="C1516" s="3">
        <v>9023.0</v>
      </c>
      <c r="D1516" s="4" t="s">
        <v>3648</v>
      </c>
      <c r="E1516" s="3" t="s">
        <v>3649</v>
      </c>
      <c r="F1516" s="3" t="s">
        <v>17</v>
      </c>
      <c r="G1516" s="3" t="str">
        <f t="shared" si="3"/>
        <v>XIJKT2</v>
      </c>
      <c r="H1516" s="3" t="str">
        <f>VLOOKUP($C1516,Userpass!$A$2:$L$3001,12,FALSE)</f>
        <v>JKT2</v>
      </c>
      <c r="I1516" s="5" t="s">
        <v>3045</v>
      </c>
      <c r="J1516" s="3">
        <v>2024.0</v>
      </c>
      <c r="K1516" s="4" t="str">
        <f>VLOOKUP($C1516,Userpass!$A$2:$R$3001,2,FALSE)</f>
        <v>jkt20249023.siswa@smkn12malang.sch.id</v>
      </c>
    </row>
    <row r="1517" hidden="1">
      <c r="A1517" s="3" t="str">
        <f t="shared" si="1"/>
        <v>OK</v>
      </c>
      <c r="B1517" s="3" t="str">
        <f t="shared" si="2"/>
        <v>OK</v>
      </c>
      <c r="C1517" s="3">
        <v>9037.0</v>
      </c>
      <c r="D1517" s="4" t="s">
        <v>3650</v>
      </c>
      <c r="E1517" s="3" t="s">
        <v>3651</v>
      </c>
      <c r="F1517" s="3" t="s">
        <v>13</v>
      </c>
      <c r="G1517" s="3" t="str">
        <f t="shared" si="3"/>
        <v>XIJKT2</v>
      </c>
      <c r="H1517" s="3" t="str">
        <f>VLOOKUP($C1517,Userpass!$A$2:$L$3001,12,FALSE)</f>
        <v>JKT2</v>
      </c>
      <c r="I1517" s="5" t="s">
        <v>3045</v>
      </c>
      <c r="J1517" s="3">
        <v>2024.0</v>
      </c>
      <c r="K1517" s="4" t="str">
        <f>VLOOKUP($C1517,Userpass!$A$2:$R$3001,2,FALSE)</f>
        <v>jkt20249037.siswa@smkn12malang.sch.id</v>
      </c>
    </row>
    <row r="1518" hidden="1">
      <c r="A1518" s="3" t="str">
        <f t="shared" si="1"/>
        <v>OK</v>
      </c>
      <c r="B1518" s="3" t="str">
        <f t="shared" si="2"/>
        <v>OK</v>
      </c>
      <c r="C1518" s="3">
        <v>9043.0</v>
      </c>
      <c r="D1518" s="4" t="s">
        <v>3652</v>
      </c>
      <c r="E1518" s="3" t="s">
        <v>3653</v>
      </c>
      <c r="F1518" s="3" t="s">
        <v>13</v>
      </c>
      <c r="G1518" s="3" t="str">
        <f t="shared" si="3"/>
        <v>XIJKT2</v>
      </c>
      <c r="H1518" s="3" t="str">
        <f>VLOOKUP($C1518,Userpass!$A$2:$L$3001,12,FALSE)</f>
        <v>JKT2</v>
      </c>
      <c r="I1518" s="5" t="s">
        <v>3045</v>
      </c>
      <c r="J1518" s="3">
        <v>2024.0</v>
      </c>
      <c r="K1518" s="4" t="str">
        <f>VLOOKUP($C1518,Userpass!$A$2:$R$3001,2,FALSE)</f>
        <v>jkt20249043.siswa@smkn12malang.sch.id</v>
      </c>
    </row>
    <row r="1519" hidden="1">
      <c r="A1519" s="3" t="str">
        <f t="shared" si="1"/>
        <v>OK</v>
      </c>
      <c r="B1519" s="3" t="str">
        <f t="shared" si="2"/>
        <v>OK</v>
      </c>
      <c r="C1519" s="3">
        <v>9061.0</v>
      </c>
      <c r="D1519" s="4" t="s">
        <v>3654</v>
      </c>
      <c r="E1519" s="3" t="s">
        <v>3655</v>
      </c>
      <c r="F1519" s="3" t="s">
        <v>13</v>
      </c>
      <c r="G1519" s="3" t="str">
        <f t="shared" si="3"/>
        <v>XIJKT2</v>
      </c>
      <c r="H1519" s="3" t="str">
        <f>VLOOKUP($C1519,Userpass!$A$2:$L$3001,12,FALSE)</f>
        <v>JKT2</v>
      </c>
      <c r="I1519" s="5" t="s">
        <v>3045</v>
      </c>
      <c r="J1519" s="3">
        <v>2024.0</v>
      </c>
      <c r="K1519" s="4" t="str">
        <f>VLOOKUP($C1519,Userpass!$A$2:$R$3001,2,FALSE)</f>
        <v>jkt20249061.siswa@smkn12malang.sch.id</v>
      </c>
    </row>
    <row r="1520" hidden="1">
      <c r="A1520" s="3" t="str">
        <f t="shared" si="1"/>
        <v>OK</v>
      </c>
      <c r="B1520" s="3" t="str">
        <f t="shared" si="2"/>
        <v>OK</v>
      </c>
      <c r="C1520" s="3">
        <v>9114.0</v>
      </c>
      <c r="D1520" s="4" t="s">
        <v>3656</v>
      </c>
      <c r="E1520" s="3" t="s">
        <v>3657</v>
      </c>
      <c r="F1520" s="3" t="s">
        <v>17</v>
      </c>
      <c r="G1520" s="3" t="str">
        <f t="shared" si="3"/>
        <v>XIJKT2</v>
      </c>
      <c r="H1520" s="3" t="str">
        <f>VLOOKUP($C1520,Userpass!$A$2:$L$3001,12,FALSE)</f>
        <v>JKT2</v>
      </c>
      <c r="I1520" s="5" t="s">
        <v>3045</v>
      </c>
      <c r="J1520" s="3">
        <v>2024.0</v>
      </c>
      <c r="K1520" s="4" t="str">
        <f>VLOOKUP($C1520,Userpass!$A$2:$R$3001,2,FALSE)</f>
        <v>jkt20249114.siswa@smkn12malang.sch.id</v>
      </c>
    </row>
    <row r="1521" hidden="1">
      <c r="A1521" s="3" t="str">
        <f t="shared" si="1"/>
        <v>OK</v>
      </c>
      <c r="B1521" s="3" t="str">
        <f t="shared" si="2"/>
        <v>OK</v>
      </c>
      <c r="C1521" s="3">
        <v>9128.0</v>
      </c>
      <c r="D1521" s="4" t="s">
        <v>3658</v>
      </c>
      <c r="E1521" s="3" t="s">
        <v>3659</v>
      </c>
      <c r="F1521" s="3" t="s">
        <v>17</v>
      </c>
      <c r="G1521" s="3" t="str">
        <f t="shared" si="3"/>
        <v>XIJKT2</v>
      </c>
      <c r="H1521" s="3" t="str">
        <f>VLOOKUP($C1521,Userpass!$A$2:$L$3001,12,FALSE)</f>
        <v>JKT2</v>
      </c>
      <c r="I1521" s="5" t="s">
        <v>3045</v>
      </c>
      <c r="J1521" s="3">
        <v>2024.0</v>
      </c>
      <c r="K1521" s="4" t="str">
        <f>VLOOKUP($C1521,Userpass!$A$2:$R$3001,2,FALSE)</f>
        <v>jkt20249128.siswa@smkn12malang.sch.id</v>
      </c>
    </row>
    <row r="1522" hidden="1">
      <c r="A1522" s="3" t="str">
        <f t="shared" si="1"/>
        <v>OK</v>
      </c>
      <c r="B1522" s="3" t="str">
        <f t="shared" si="2"/>
        <v>OK</v>
      </c>
      <c r="C1522" s="3">
        <v>9148.0</v>
      </c>
      <c r="D1522" s="4" t="s">
        <v>3660</v>
      </c>
      <c r="E1522" s="3" t="s">
        <v>3661</v>
      </c>
      <c r="F1522" s="3" t="s">
        <v>13</v>
      </c>
      <c r="G1522" s="3" t="str">
        <f t="shared" si="3"/>
        <v>XIJKT2</v>
      </c>
      <c r="H1522" s="3" t="str">
        <f>VLOOKUP($C1522,Userpass!$A$2:$L$3001,12,FALSE)</f>
        <v>JKT2</v>
      </c>
      <c r="I1522" s="5" t="s">
        <v>3045</v>
      </c>
      <c r="J1522" s="3">
        <v>2024.0</v>
      </c>
      <c r="K1522" s="4" t="str">
        <f>VLOOKUP($C1522,Userpass!$A$2:$R$3001,2,FALSE)</f>
        <v>jkt20249148.siswa@smkn12malang.sch.id</v>
      </c>
    </row>
    <row r="1523" hidden="1">
      <c r="A1523" s="3" t="str">
        <f t="shared" si="1"/>
        <v>OK</v>
      </c>
      <c r="B1523" s="3" t="str">
        <f t="shared" si="2"/>
        <v>OK</v>
      </c>
      <c r="C1523" s="3">
        <v>9164.0</v>
      </c>
      <c r="D1523" s="4" t="s">
        <v>3662</v>
      </c>
      <c r="E1523" s="3" t="s">
        <v>3663</v>
      </c>
      <c r="F1523" s="3" t="s">
        <v>17</v>
      </c>
      <c r="G1523" s="3" t="str">
        <f t="shared" si="3"/>
        <v>XIJKT2</v>
      </c>
      <c r="H1523" s="3" t="str">
        <f>VLOOKUP($C1523,Userpass!$A$2:$L$3001,12,FALSE)</f>
        <v>JKT2</v>
      </c>
      <c r="I1523" s="5" t="s">
        <v>3045</v>
      </c>
      <c r="J1523" s="3">
        <v>2024.0</v>
      </c>
      <c r="K1523" s="4" t="str">
        <f>VLOOKUP($C1523,Userpass!$A$2:$R$3001,2,FALSE)</f>
        <v>jkt20249164.siswa@smkn12malang.sch.id</v>
      </c>
    </row>
    <row r="1524" hidden="1">
      <c r="A1524" s="3" t="str">
        <f t="shared" si="1"/>
        <v>OK</v>
      </c>
      <c r="B1524" s="3" t="str">
        <f t="shared" si="2"/>
        <v>OK</v>
      </c>
      <c r="C1524" s="3">
        <v>9189.0</v>
      </c>
      <c r="D1524" s="4" t="s">
        <v>3664</v>
      </c>
      <c r="E1524" s="3" t="s">
        <v>3665</v>
      </c>
      <c r="F1524" s="3" t="s">
        <v>13</v>
      </c>
      <c r="G1524" s="3" t="str">
        <f t="shared" si="3"/>
        <v>XIJKT2</v>
      </c>
      <c r="H1524" s="3" t="str">
        <f>VLOOKUP($C1524,Userpass!$A$2:$L$3001,12,FALSE)</f>
        <v>JKT2</v>
      </c>
      <c r="I1524" s="5" t="s">
        <v>3045</v>
      </c>
      <c r="J1524" s="3">
        <v>2024.0</v>
      </c>
      <c r="K1524" s="4" t="str">
        <f>VLOOKUP($C1524,Userpass!$A$2:$R$3001,2,FALSE)</f>
        <v>jkt20249189.siswa@smkn12malang.sch.id</v>
      </c>
    </row>
    <row r="1525" hidden="1">
      <c r="A1525" s="3" t="str">
        <f t="shared" si="1"/>
        <v>OK</v>
      </c>
      <c r="B1525" s="3" t="str">
        <f t="shared" si="2"/>
        <v>OK</v>
      </c>
      <c r="C1525" s="3">
        <v>9196.0</v>
      </c>
      <c r="D1525" s="4" t="s">
        <v>3666</v>
      </c>
      <c r="E1525" s="3" t="s">
        <v>3667</v>
      </c>
      <c r="F1525" s="3" t="s">
        <v>13</v>
      </c>
      <c r="G1525" s="3" t="str">
        <f t="shared" si="3"/>
        <v>XIJKT2</v>
      </c>
      <c r="H1525" s="3" t="str">
        <f>VLOOKUP($C1525,Userpass!$A$2:$L$3001,12,FALSE)</f>
        <v>JKT2</v>
      </c>
      <c r="I1525" s="5" t="s">
        <v>3045</v>
      </c>
      <c r="J1525" s="3">
        <v>2024.0</v>
      </c>
      <c r="K1525" s="4" t="str">
        <f>VLOOKUP($C1525,Userpass!$A$2:$R$3001,2,FALSE)</f>
        <v>jkt20249196.siswa@smkn12malang.sch.id</v>
      </c>
    </row>
    <row r="1526" hidden="1">
      <c r="A1526" s="3" t="str">
        <f t="shared" si="1"/>
        <v>OK</v>
      </c>
      <c r="B1526" s="3" t="str">
        <f t="shared" si="2"/>
        <v>OK</v>
      </c>
      <c r="C1526" s="3">
        <v>9204.0</v>
      </c>
      <c r="D1526" s="4" t="s">
        <v>3668</v>
      </c>
      <c r="E1526" s="3" t="s">
        <v>3669</v>
      </c>
      <c r="F1526" s="3" t="s">
        <v>17</v>
      </c>
      <c r="G1526" s="3" t="str">
        <f t="shared" si="3"/>
        <v>XIJKT2</v>
      </c>
      <c r="H1526" s="3" t="str">
        <f>VLOOKUP($C1526,Userpass!$A$2:$L$3001,12,FALSE)</f>
        <v>JKT2</v>
      </c>
      <c r="I1526" s="5" t="s">
        <v>3045</v>
      </c>
      <c r="J1526" s="3">
        <v>2024.0</v>
      </c>
      <c r="K1526" s="4" t="str">
        <f>VLOOKUP($C1526,Userpass!$A$2:$R$3001,2,FALSE)</f>
        <v>jkt20249204.siswa@smkn12malang.sch.id</v>
      </c>
    </row>
    <row r="1527" hidden="1">
      <c r="A1527" s="3" t="str">
        <f t="shared" si="1"/>
        <v>OK</v>
      </c>
      <c r="B1527" s="3" t="str">
        <f t="shared" si="2"/>
        <v>OK</v>
      </c>
      <c r="C1527" s="3">
        <v>9224.0</v>
      </c>
      <c r="D1527" s="4" t="s">
        <v>3670</v>
      </c>
      <c r="E1527" s="3" t="s">
        <v>3671</v>
      </c>
      <c r="F1527" s="3" t="s">
        <v>13</v>
      </c>
      <c r="G1527" s="3" t="str">
        <f t="shared" si="3"/>
        <v>XIJKT2</v>
      </c>
      <c r="H1527" s="3" t="str">
        <f>VLOOKUP($C1527,Userpass!$A$2:$L$3001,12,FALSE)</f>
        <v>JKT2</v>
      </c>
      <c r="I1527" s="5" t="s">
        <v>3045</v>
      </c>
      <c r="J1527" s="3">
        <v>2024.0</v>
      </c>
      <c r="K1527" s="4" t="str">
        <f>VLOOKUP($C1527,Userpass!$A$2:$R$3001,2,FALSE)</f>
        <v>jkt20249224.siswa@smkn12malang.sch.id</v>
      </c>
    </row>
    <row r="1528" hidden="1">
      <c r="A1528" s="3" t="str">
        <f t="shared" si="1"/>
        <v>OK</v>
      </c>
      <c r="B1528" s="3" t="str">
        <f t="shared" si="2"/>
        <v>OK</v>
      </c>
      <c r="C1528" s="3">
        <v>8657.0</v>
      </c>
      <c r="D1528" s="4" t="s">
        <v>3672</v>
      </c>
      <c r="E1528" s="3" t="s">
        <v>3673</v>
      </c>
      <c r="F1528" s="3" t="s">
        <v>13</v>
      </c>
      <c r="G1528" s="3" t="str">
        <f t="shared" si="3"/>
        <v>XIKLR1</v>
      </c>
      <c r="H1528" s="3" t="str">
        <f>VLOOKUP($C1528,Userpass!$A$2:$L$3001,12,FALSE)</f>
        <v>KLR1</v>
      </c>
      <c r="I1528" s="5" t="s">
        <v>3045</v>
      </c>
      <c r="J1528" s="3">
        <v>2024.0</v>
      </c>
      <c r="K1528" s="4" t="str">
        <f>VLOOKUP($C1528,Userpass!$A$2:$R$3001,2,FALSE)</f>
        <v>klr20248657.siswa@smkn12malang.sch.id</v>
      </c>
    </row>
    <row r="1529" hidden="1">
      <c r="A1529" s="3" t="str">
        <f t="shared" si="1"/>
        <v>OK</v>
      </c>
      <c r="B1529" s="3" t="str">
        <f t="shared" si="2"/>
        <v>OK</v>
      </c>
      <c r="C1529" s="3">
        <v>8660.0</v>
      </c>
      <c r="D1529" s="4" t="s">
        <v>3674</v>
      </c>
      <c r="E1529" s="3" t="s">
        <v>3675</v>
      </c>
      <c r="F1529" s="3" t="s">
        <v>13</v>
      </c>
      <c r="G1529" s="3" t="str">
        <f t="shared" si="3"/>
        <v>XIKLR1</v>
      </c>
      <c r="H1529" s="3" t="str">
        <f>VLOOKUP($C1529,Userpass!$A$2:$L$3001,12,FALSE)</f>
        <v>KLR1</v>
      </c>
      <c r="I1529" s="5" t="s">
        <v>3045</v>
      </c>
      <c r="J1529" s="3">
        <v>2024.0</v>
      </c>
      <c r="K1529" s="4" t="str">
        <f>VLOOKUP($C1529,Userpass!$A$2:$R$3001,2,FALSE)</f>
        <v>klr20248660.siswa@smkn12malang.sch.id</v>
      </c>
    </row>
    <row r="1530" hidden="1">
      <c r="A1530" s="3" t="str">
        <f t="shared" si="1"/>
        <v>OK</v>
      </c>
      <c r="B1530" s="3" t="str">
        <f t="shared" si="2"/>
        <v>OK</v>
      </c>
      <c r="C1530" s="3">
        <v>8674.0</v>
      </c>
      <c r="D1530" s="4" t="s">
        <v>3676</v>
      </c>
      <c r="E1530" s="3" t="s">
        <v>3677</v>
      </c>
      <c r="F1530" s="3" t="s">
        <v>13</v>
      </c>
      <c r="G1530" s="3" t="str">
        <f t="shared" si="3"/>
        <v>XIKLR1</v>
      </c>
      <c r="H1530" s="3" t="str">
        <f>VLOOKUP($C1530,Userpass!$A$2:$L$3001,12,FALSE)</f>
        <v>KLR1</v>
      </c>
      <c r="I1530" s="5" t="s">
        <v>3045</v>
      </c>
      <c r="J1530" s="3">
        <v>2024.0</v>
      </c>
      <c r="K1530" s="4" t="str">
        <f>VLOOKUP($C1530,Userpass!$A$2:$R$3001,2,FALSE)</f>
        <v>klr20248674.siswa@smkn12malang.sch.id</v>
      </c>
    </row>
    <row r="1531" hidden="1">
      <c r="A1531" s="3" t="str">
        <f t="shared" si="1"/>
        <v>OK</v>
      </c>
      <c r="B1531" s="3" t="str">
        <f t="shared" si="2"/>
        <v>OK</v>
      </c>
      <c r="C1531" s="3">
        <v>8704.0</v>
      </c>
      <c r="D1531" s="4" t="s">
        <v>3678</v>
      </c>
      <c r="E1531" s="3" t="s">
        <v>3679</v>
      </c>
      <c r="F1531" s="3" t="s">
        <v>13</v>
      </c>
      <c r="G1531" s="3" t="str">
        <f t="shared" si="3"/>
        <v>XIKLR1</v>
      </c>
      <c r="H1531" s="3" t="str">
        <f>VLOOKUP($C1531,Userpass!$A$2:$L$3001,12,FALSE)</f>
        <v>KLR1</v>
      </c>
      <c r="I1531" s="5" t="s">
        <v>3045</v>
      </c>
      <c r="J1531" s="3">
        <v>2024.0</v>
      </c>
      <c r="K1531" s="4" t="str">
        <f>VLOOKUP($C1531,Userpass!$A$2:$R$3001,2,FALSE)</f>
        <v>klr20248704.siswa@smkn12malang.sch.id</v>
      </c>
    </row>
    <row r="1532" hidden="1">
      <c r="A1532" s="3" t="str">
        <f t="shared" si="1"/>
        <v>OK</v>
      </c>
      <c r="B1532" s="3" t="str">
        <f t="shared" si="2"/>
        <v>OK</v>
      </c>
      <c r="C1532" s="3">
        <v>8712.0</v>
      </c>
      <c r="D1532" s="4" t="s">
        <v>3680</v>
      </c>
      <c r="E1532" s="3" t="s">
        <v>3681</v>
      </c>
      <c r="F1532" s="3" t="s">
        <v>13</v>
      </c>
      <c r="G1532" s="3" t="str">
        <f t="shared" si="3"/>
        <v>XIKLR1</v>
      </c>
      <c r="H1532" s="3" t="str">
        <f>VLOOKUP($C1532,Userpass!$A$2:$L$3001,12,FALSE)</f>
        <v>KLR1</v>
      </c>
      <c r="I1532" s="5" t="s">
        <v>3045</v>
      </c>
      <c r="J1532" s="3">
        <v>2024.0</v>
      </c>
      <c r="K1532" s="4" t="str">
        <f>VLOOKUP($C1532,Userpass!$A$2:$R$3001,2,FALSE)</f>
        <v>klr20248712.siswa@smkn12malang.sch.id</v>
      </c>
    </row>
    <row r="1533" hidden="1">
      <c r="A1533" s="3" t="str">
        <f t="shared" si="1"/>
        <v>OK</v>
      </c>
      <c r="B1533" s="3" t="str">
        <f t="shared" si="2"/>
        <v>OK</v>
      </c>
      <c r="C1533" s="3">
        <v>8713.0</v>
      </c>
      <c r="D1533" s="4" t="s">
        <v>3682</v>
      </c>
      <c r="E1533" s="3" t="s">
        <v>3683</v>
      </c>
      <c r="F1533" s="3" t="s">
        <v>13</v>
      </c>
      <c r="G1533" s="3" t="str">
        <f t="shared" si="3"/>
        <v>XIKLR1</v>
      </c>
      <c r="H1533" s="3" t="str">
        <f>VLOOKUP($C1533,Userpass!$A$2:$L$3001,12,FALSE)</f>
        <v>KLR1</v>
      </c>
      <c r="I1533" s="5" t="s">
        <v>3045</v>
      </c>
      <c r="J1533" s="3">
        <v>2024.0</v>
      </c>
      <c r="K1533" s="4" t="str">
        <f>VLOOKUP($C1533,Userpass!$A$2:$R$3001,2,FALSE)</f>
        <v>klr20248713.siswa@smkn12malang.sch.id</v>
      </c>
    </row>
    <row r="1534" hidden="1">
      <c r="A1534" s="3" t="str">
        <f t="shared" si="1"/>
        <v>OK</v>
      </c>
      <c r="B1534" s="3" t="str">
        <f t="shared" si="2"/>
        <v>OK</v>
      </c>
      <c r="C1534" s="3">
        <v>8715.0</v>
      </c>
      <c r="D1534" s="4" t="s">
        <v>3684</v>
      </c>
      <c r="E1534" s="3" t="s">
        <v>3685</v>
      </c>
      <c r="F1534" s="3" t="s">
        <v>13</v>
      </c>
      <c r="G1534" s="3" t="str">
        <f t="shared" si="3"/>
        <v>XIKLR1</v>
      </c>
      <c r="H1534" s="3" t="str">
        <f>VLOOKUP($C1534,Userpass!$A$2:$L$3001,12,FALSE)</f>
        <v>KLR1</v>
      </c>
      <c r="I1534" s="5" t="s">
        <v>3045</v>
      </c>
      <c r="J1534" s="3">
        <v>2024.0</v>
      </c>
      <c r="K1534" s="4" t="str">
        <f>VLOOKUP($C1534,Userpass!$A$2:$R$3001,2,FALSE)</f>
        <v>klr20248715.siswa@smkn12malang.sch.id</v>
      </c>
    </row>
    <row r="1535" hidden="1">
      <c r="A1535" s="3" t="str">
        <f t="shared" si="1"/>
        <v>OK</v>
      </c>
      <c r="B1535" s="3" t="str">
        <f t="shared" si="2"/>
        <v>OK</v>
      </c>
      <c r="C1535" s="3">
        <v>8733.0</v>
      </c>
      <c r="D1535" s="4" t="s">
        <v>3686</v>
      </c>
      <c r="E1535" s="3" t="s">
        <v>3687</v>
      </c>
      <c r="F1535" s="3" t="s">
        <v>13</v>
      </c>
      <c r="G1535" s="3" t="str">
        <f t="shared" si="3"/>
        <v>XIKLR1</v>
      </c>
      <c r="H1535" s="3" t="str">
        <f>VLOOKUP($C1535,Userpass!$A$2:$L$3001,12,FALSE)</f>
        <v>KLR1</v>
      </c>
      <c r="I1535" s="5" t="s">
        <v>3045</v>
      </c>
      <c r="J1535" s="3">
        <v>2024.0</v>
      </c>
      <c r="K1535" s="4" t="str">
        <f>VLOOKUP($C1535,Userpass!$A$2:$R$3001,2,FALSE)</f>
        <v>klr20248733.siswa@smkn12malang.sch.id</v>
      </c>
    </row>
    <row r="1536" hidden="1">
      <c r="A1536" s="3" t="str">
        <f t="shared" si="1"/>
        <v>OK</v>
      </c>
      <c r="B1536" s="3" t="str">
        <f t="shared" si="2"/>
        <v>OK</v>
      </c>
      <c r="C1536" s="3">
        <v>8741.0</v>
      </c>
      <c r="D1536" s="4" t="s">
        <v>3688</v>
      </c>
      <c r="E1536" s="3" t="s">
        <v>3689</v>
      </c>
      <c r="F1536" s="3" t="s">
        <v>13</v>
      </c>
      <c r="G1536" s="3" t="str">
        <f t="shared" si="3"/>
        <v>XIKLR1</v>
      </c>
      <c r="H1536" s="3" t="str">
        <f>VLOOKUP($C1536,Userpass!$A$2:$L$3001,12,FALSE)</f>
        <v>KLR1</v>
      </c>
      <c r="I1536" s="5" t="s">
        <v>3045</v>
      </c>
      <c r="J1536" s="3">
        <v>2024.0</v>
      </c>
      <c r="K1536" s="4" t="str">
        <f>VLOOKUP($C1536,Userpass!$A$2:$R$3001,2,FALSE)</f>
        <v>klr20248741.siswa@smkn12malang.sch.id</v>
      </c>
    </row>
    <row r="1537" hidden="1">
      <c r="A1537" s="3" t="str">
        <f t="shared" si="1"/>
        <v>OK</v>
      </c>
      <c r="B1537" s="3" t="str">
        <f t="shared" si="2"/>
        <v>OK</v>
      </c>
      <c r="C1537" s="3">
        <v>8769.0</v>
      </c>
      <c r="D1537" s="4" t="s">
        <v>3690</v>
      </c>
      <c r="E1537" s="3" t="s">
        <v>3691</v>
      </c>
      <c r="F1537" s="3" t="s">
        <v>13</v>
      </c>
      <c r="G1537" s="3" t="str">
        <f t="shared" si="3"/>
        <v>XIKLR1</v>
      </c>
      <c r="H1537" s="3" t="str">
        <f>VLOOKUP($C1537,Userpass!$A$2:$L$3001,12,FALSE)</f>
        <v>KLR1</v>
      </c>
      <c r="I1537" s="5" t="s">
        <v>3045</v>
      </c>
      <c r="J1537" s="3">
        <v>2024.0</v>
      </c>
      <c r="K1537" s="4" t="str">
        <f>VLOOKUP($C1537,Userpass!$A$2:$R$3001,2,FALSE)</f>
        <v>klr20248769.siswa@smkn12malang.sch.id</v>
      </c>
    </row>
    <row r="1538" hidden="1">
      <c r="A1538" s="3" t="str">
        <f t="shared" si="1"/>
        <v>OK</v>
      </c>
      <c r="B1538" s="3" t="str">
        <f t="shared" si="2"/>
        <v>OK</v>
      </c>
      <c r="C1538" s="3">
        <v>8787.0</v>
      </c>
      <c r="D1538" s="4" t="s">
        <v>3692</v>
      </c>
      <c r="E1538" s="3" t="s">
        <v>3693</v>
      </c>
      <c r="F1538" s="3" t="s">
        <v>13</v>
      </c>
      <c r="G1538" s="3" t="str">
        <f t="shared" si="3"/>
        <v>XIKLR1</v>
      </c>
      <c r="H1538" s="3" t="str">
        <f>VLOOKUP($C1538,Userpass!$A$2:$L$3001,12,FALSE)</f>
        <v>KLR1</v>
      </c>
      <c r="I1538" s="5" t="s">
        <v>3045</v>
      </c>
      <c r="J1538" s="3">
        <v>2024.0</v>
      </c>
      <c r="K1538" s="4" t="str">
        <f>VLOOKUP($C1538,Userpass!$A$2:$R$3001,2,FALSE)</f>
        <v>klr20248787.siswa@smkn12malang.sch.id</v>
      </c>
    </row>
    <row r="1539" hidden="1">
      <c r="A1539" s="3" t="str">
        <f t="shared" si="1"/>
        <v>OK</v>
      </c>
      <c r="B1539" s="3" t="str">
        <f t="shared" si="2"/>
        <v>OK</v>
      </c>
      <c r="C1539" s="3">
        <v>8810.0</v>
      </c>
      <c r="D1539" s="4" t="s">
        <v>3694</v>
      </c>
      <c r="E1539" s="3" t="s">
        <v>3695</v>
      </c>
      <c r="F1539" s="3" t="s">
        <v>13</v>
      </c>
      <c r="G1539" s="3" t="str">
        <f t="shared" si="3"/>
        <v>XIKLR1</v>
      </c>
      <c r="H1539" s="3" t="str">
        <f>VLOOKUP($C1539,Userpass!$A$2:$L$3001,12,FALSE)</f>
        <v>KLR1</v>
      </c>
      <c r="I1539" s="5" t="s">
        <v>3045</v>
      </c>
      <c r="J1539" s="3">
        <v>2024.0</v>
      </c>
      <c r="K1539" s="4" t="str">
        <f>VLOOKUP($C1539,Userpass!$A$2:$R$3001,2,FALSE)</f>
        <v>klr20248810.siswa@smkn12malang.sch.id</v>
      </c>
    </row>
    <row r="1540" hidden="1">
      <c r="A1540" s="3" t="str">
        <f t="shared" si="1"/>
        <v>OK</v>
      </c>
      <c r="B1540" s="3" t="str">
        <f t="shared" si="2"/>
        <v>OK</v>
      </c>
      <c r="C1540" s="3">
        <v>8818.0</v>
      </c>
      <c r="D1540" s="4" t="s">
        <v>3696</v>
      </c>
      <c r="E1540" s="3" t="s">
        <v>3697</v>
      </c>
      <c r="F1540" s="3" t="s">
        <v>13</v>
      </c>
      <c r="G1540" s="3" t="str">
        <f t="shared" si="3"/>
        <v>XIKLR1</v>
      </c>
      <c r="H1540" s="3" t="str">
        <f>VLOOKUP($C1540,Userpass!$A$2:$L$3001,12,FALSE)</f>
        <v>KLR1</v>
      </c>
      <c r="I1540" s="5" t="s">
        <v>3045</v>
      </c>
      <c r="J1540" s="3">
        <v>2024.0</v>
      </c>
      <c r="K1540" s="4" t="str">
        <f>VLOOKUP($C1540,Userpass!$A$2:$R$3001,2,FALSE)</f>
        <v>klr20248818.siswa@smkn12malang.sch.id</v>
      </c>
    </row>
    <row r="1541" hidden="1">
      <c r="A1541" s="3" t="str">
        <f t="shared" si="1"/>
        <v>OK</v>
      </c>
      <c r="B1541" s="3" t="str">
        <f t="shared" si="2"/>
        <v>OK</v>
      </c>
      <c r="C1541" s="3">
        <v>8851.0</v>
      </c>
      <c r="D1541" s="4" t="s">
        <v>3698</v>
      </c>
      <c r="E1541" s="3" t="s">
        <v>3699</v>
      </c>
      <c r="F1541" s="3" t="s">
        <v>13</v>
      </c>
      <c r="G1541" s="3" t="str">
        <f t="shared" si="3"/>
        <v>XIKLR1</v>
      </c>
      <c r="H1541" s="3" t="str">
        <f>VLOOKUP($C1541,Userpass!$A$2:$L$3001,12,FALSE)</f>
        <v>KLR1</v>
      </c>
      <c r="I1541" s="5" t="s">
        <v>3045</v>
      </c>
      <c r="J1541" s="3">
        <v>2024.0</v>
      </c>
      <c r="K1541" s="4" t="str">
        <f>VLOOKUP($C1541,Userpass!$A$2:$R$3001,2,FALSE)</f>
        <v>klr20248851.siswa@smkn12malang.sch.id</v>
      </c>
    </row>
    <row r="1542" hidden="1">
      <c r="A1542" s="3" t="str">
        <f t="shared" si="1"/>
        <v>OK</v>
      </c>
      <c r="B1542" s="3" t="str">
        <f t="shared" si="2"/>
        <v>OK</v>
      </c>
      <c r="C1542" s="3">
        <v>8862.0</v>
      </c>
      <c r="D1542" s="4" t="s">
        <v>3700</v>
      </c>
      <c r="E1542" s="3" t="s">
        <v>3701</v>
      </c>
      <c r="F1542" s="3" t="s">
        <v>17</v>
      </c>
      <c r="G1542" s="3" t="str">
        <f t="shared" si="3"/>
        <v>XIKLR1</v>
      </c>
      <c r="H1542" s="3" t="str">
        <f>VLOOKUP($C1542,Userpass!$A$2:$L$3001,12,FALSE)</f>
        <v>KLR1</v>
      </c>
      <c r="I1542" s="5" t="s">
        <v>3045</v>
      </c>
      <c r="J1542" s="3">
        <v>2024.0</v>
      </c>
      <c r="K1542" s="4" t="str">
        <f>VLOOKUP($C1542,Userpass!$A$2:$R$3001,2,FALSE)</f>
        <v>klr20248862.siswa@smkn12malang.sch.id</v>
      </c>
    </row>
    <row r="1543" hidden="1">
      <c r="A1543" s="3" t="str">
        <f t="shared" si="1"/>
        <v>OK</v>
      </c>
      <c r="B1543" s="3" t="str">
        <f t="shared" si="2"/>
        <v>OK</v>
      </c>
      <c r="C1543" s="3">
        <v>8868.0</v>
      </c>
      <c r="D1543" s="4" t="s">
        <v>3702</v>
      </c>
      <c r="E1543" s="3" t="s">
        <v>3703</v>
      </c>
      <c r="F1543" s="3" t="s">
        <v>13</v>
      </c>
      <c r="G1543" s="3" t="str">
        <f t="shared" si="3"/>
        <v>XIKLR1</v>
      </c>
      <c r="H1543" s="3" t="str">
        <f>VLOOKUP($C1543,Userpass!$A$2:$L$3001,12,FALSE)</f>
        <v>KLR1</v>
      </c>
      <c r="I1543" s="5" t="s">
        <v>3045</v>
      </c>
      <c r="J1543" s="3">
        <v>2024.0</v>
      </c>
      <c r="K1543" s="4" t="str">
        <f>VLOOKUP($C1543,Userpass!$A$2:$R$3001,2,FALSE)</f>
        <v>klr20248868.siswa@smkn12malang.sch.id</v>
      </c>
    </row>
    <row r="1544" hidden="1">
      <c r="A1544" s="3" t="str">
        <f t="shared" si="1"/>
        <v>OK</v>
      </c>
      <c r="B1544" s="3" t="str">
        <f t="shared" si="2"/>
        <v>OK</v>
      </c>
      <c r="C1544" s="3">
        <v>8907.0</v>
      </c>
      <c r="D1544" s="4" t="s">
        <v>3704</v>
      </c>
      <c r="E1544" s="3" t="s">
        <v>3705</v>
      </c>
      <c r="F1544" s="3" t="s">
        <v>13</v>
      </c>
      <c r="G1544" s="3" t="str">
        <f t="shared" si="3"/>
        <v>XIKLR1</v>
      </c>
      <c r="H1544" s="3" t="str">
        <f>VLOOKUP($C1544,Userpass!$A$2:$L$3001,12,FALSE)</f>
        <v>KLR1</v>
      </c>
      <c r="I1544" s="5" t="s">
        <v>3045</v>
      </c>
      <c r="J1544" s="3">
        <v>2024.0</v>
      </c>
      <c r="K1544" s="4" t="str">
        <f>VLOOKUP($C1544,Userpass!$A$2:$R$3001,2,FALSE)</f>
        <v>klr20248907.siswa@smkn12malang.sch.id</v>
      </c>
    </row>
    <row r="1545" hidden="1">
      <c r="A1545" s="3" t="str">
        <f t="shared" si="1"/>
        <v>OK</v>
      </c>
      <c r="B1545" s="3" t="str">
        <f t="shared" si="2"/>
        <v>OK</v>
      </c>
      <c r="C1545" s="3">
        <v>8926.0</v>
      </c>
      <c r="D1545" s="4" t="s">
        <v>3706</v>
      </c>
      <c r="E1545" s="3" t="s">
        <v>3707</v>
      </c>
      <c r="F1545" s="3" t="s">
        <v>13</v>
      </c>
      <c r="G1545" s="3" t="str">
        <f t="shared" si="3"/>
        <v>XIKLR1</v>
      </c>
      <c r="H1545" s="3" t="str">
        <f>VLOOKUP($C1545,Userpass!$A$2:$L$3001,12,FALSE)</f>
        <v>KLR1</v>
      </c>
      <c r="I1545" s="5" t="s">
        <v>3045</v>
      </c>
      <c r="J1545" s="3">
        <v>2024.0</v>
      </c>
      <c r="K1545" s="4" t="str">
        <f>VLOOKUP($C1545,Userpass!$A$2:$R$3001,2,FALSE)</f>
        <v>klr20248926.siswa@smkn12malang.sch.id</v>
      </c>
    </row>
    <row r="1546" hidden="1">
      <c r="A1546" s="3" t="str">
        <f t="shared" si="1"/>
        <v>OK</v>
      </c>
      <c r="B1546" s="3" t="str">
        <f t="shared" si="2"/>
        <v>OK</v>
      </c>
      <c r="C1546" s="3">
        <v>8947.0</v>
      </c>
      <c r="D1546" s="4" t="s">
        <v>3708</v>
      </c>
      <c r="E1546" s="3" t="s">
        <v>3709</v>
      </c>
      <c r="F1546" s="3" t="s">
        <v>13</v>
      </c>
      <c r="G1546" s="3" t="str">
        <f t="shared" si="3"/>
        <v>XIKLR1</v>
      </c>
      <c r="H1546" s="3" t="str">
        <f>VLOOKUP($C1546,Userpass!$A$2:$L$3001,12,FALSE)</f>
        <v>KLR1</v>
      </c>
      <c r="I1546" s="5" t="s">
        <v>3045</v>
      </c>
      <c r="J1546" s="3">
        <v>2024.0</v>
      </c>
      <c r="K1546" s="4" t="str">
        <f>VLOOKUP($C1546,Userpass!$A$2:$R$3001,2,FALSE)</f>
        <v>klr20248947.siswa@smkn12malang.sch.id</v>
      </c>
    </row>
    <row r="1547" hidden="1">
      <c r="A1547" s="3" t="str">
        <f t="shared" si="1"/>
        <v>OK</v>
      </c>
      <c r="B1547" s="3" t="str">
        <f t="shared" si="2"/>
        <v>OK</v>
      </c>
      <c r="C1547" s="3">
        <v>8952.0</v>
      </c>
      <c r="D1547" s="4" t="s">
        <v>3710</v>
      </c>
      <c r="E1547" s="3" t="s">
        <v>3711</v>
      </c>
      <c r="F1547" s="3" t="s">
        <v>13</v>
      </c>
      <c r="G1547" s="3" t="str">
        <f t="shared" si="3"/>
        <v>XIKLR1</v>
      </c>
      <c r="H1547" s="3" t="str">
        <f>VLOOKUP($C1547,Userpass!$A$2:$L$3001,12,FALSE)</f>
        <v>KLR1</v>
      </c>
      <c r="I1547" s="5" t="s">
        <v>3045</v>
      </c>
      <c r="J1547" s="3">
        <v>2024.0</v>
      </c>
      <c r="K1547" s="4" t="str">
        <f>VLOOKUP($C1547,Userpass!$A$2:$R$3001,2,FALSE)</f>
        <v>klr20248952.siswa@smkn12malang.sch.id</v>
      </c>
    </row>
    <row r="1548" hidden="1">
      <c r="A1548" s="3" t="str">
        <f t="shared" si="1"/>
        <v>OK</v>
      </c>
      <c r="B1548" s="3" t="str">
        <f t="shared" si="2"/>
        <v>OK</v>
      </c>
      <c r="C1548" s="3">
        <v>9042.0</v>
      </c>
      <c r="D1548" s="4" t="s">
        <v>3712</v>
      </c>
      <c r="E1548" s="3" t="s">
        <v>3713</v>
      </c>
      <c r="F1548" s="3" t="s">
        <v>13</v>
      </c>
      <c r="G1548" s="3" t="str">
        <f t="shared" si="3"/>
        <v>XIKLR1</v>
      </c>
      <c r="H1548" s="3" t="str">
        <f>VLOOKUP($C1548,Userpass!$A$2:$L$3001,12,FALSE)</f>
        <v>KLR1</v>
      </c>
      <c r="I1548" s="5" t="s">
        <v>3045</v>
      </c>
      <c r="J1548" s="3">
        <v>2024.0</v>
      </c>
      <c r="K1548" s="4" t="str">
        <f>VLOOKUP($C1548,Userpass!$A$2:$R$3001,2,FALSE)</f>
        <v>klr20249042.siswa@smkn12malang.sch.id</v>
      </c>
    </row>
    <row r="1549" hidden="1">
      <c r="A1549" s="3" t="str">
        <f t="shared" si="1"/>
        <v>OK</v>
      </c>
      <c r="B1549" s="3" t="str">
        <f t="shared" si="2"/>
        <v>OK</v>
      </c>
      <c r="C1549" s="3">
        <v>9045.0</v>
      </c>
      <c r="D1549" s="4" t="s">
        <v>3714</v>
      </c>
      <c r="E1549" s="3" t="s">
        <v>3715</v>
      </c>
      <c r="F1549" s="3" t="s">
        <v>13</v>
      </c>
      <c r="G1549" s="3" t="str">
        <f t="shared" si="3"/>
        <v>XIKLR1</v>
      </c>
      <c r="H1549" s="3" t="str">
        <f>VLOOKUP($C1549,Userpass!$A$2:$L$3001,12,FALSE)</f>
        <v>KLR1</v>
      </c>
      <c r="I1549" s="5" t="s">
        <v>3045</v>
      </c>
      <c r="J1549" s="3">
        <v>2024.0</v>
      </c>
      <c r="K1549" s="4" t="str">
        <f>VLOOKUP($C1549,Userpass!$A$2:$R$3001,2,FALSE)</f>
        <v>klr20249045.siswa@smkn12malang.sch.id</v>
      </c>
    </row>
    <row r="1550" hidden="1">
      <c r="A1550" s="3" t="str">
        <f t="shared" si="1"/>
        <v>OK</v>
      </c>
      <c r="B1550" s="3" t="str">
        <f t="shared" si="2"/>
        <v>OK</v>
      </c>
      <c r="C1550" s="3">
        <v>9048.0</v>
      </c>
      <c r="D1550" s="4" t="s">
        <v>3716</v>
      </c>
      <c r="E1550" s="3" t="s">
        <v>3717</v>
      </c>
      <c r="F1550" s="3" t="s">
        <v>13</v>
      </c>
      <c r="G1550" s="3" t="str">
        <f t="shared" si="3"/>
        <v>XIKLR1</v>
      </c>
      <c r="H1550" s="3" t="str">
        <f>VLOOKUP($C1550,Userpass!$A$2:$L$3001,12,FALSE)</f>
        <v>KLR1</v>
      </c>
      <c r="I1550" s="5" t="s">
        <v>3045</v>
      </c>
      <c r="J1550" s="3">
        <v>2024.0</v>
      </c>
      <c r="K1550" s="4" t="str">
        <f>VLOOKUP($C1550,Userpass!$A$2:$R$3001,2,FALSE)</f>
        <v>klr20249048.siswa@smkn12malang.sch.id</v>
      </c>
    </row>
    <row r="1551" hidden="1">
      <c r="A1551" s="3" t="str">
        <f t="shared" si="1"/>
        <v>OK</v>
      </c>
      <c r="B1551" s="3" t="str">
        <f t="shared" si="2"/>
        <v>OK</v>
      </c>
      <c r="C1551" s="3">
        <v>9056.0</v>
      </c>
      <c r="D1551" s="4" t="s">
        <v>3718</v>
      </c>
      <c r="E1551" s="3" t="s">
        <v>3719</v>
      </c>
      <c r="F1551" s="3" t="s">
        <v>13</v>
      </c>
      <c r="G1551" s="3" t="str">
        <f t="shared" si="3"/>
        <v>XIKLR1</v>
      </c>
      <c r="H1551" s="3" t="str">
        <f>VLOOKUP($C1551,Userpass!$A$2:$L$3001,12,FALSE)</f>
        <v>KLR1</v>
      </c>
      <c r="I1551" s="5" t="s">
        <v>3045</v>
      </c>
      <c r="J1551" s="3">
        <v>2024.0</v>
      </c>
      <c r="K1551" s="4" t="str">
        <f>VLOOKUP($C1551,Userpass!$A$2:$R$3001,2,FALSE)</f>
        <v>klr20249056.siswa@smkn12malang.sch.id</v>
      </c>
    </row>
    <row r="1552" hidden="1">
      <c r="A1552" s="3" t="str">
        <f t="shared" si="1"/>
        <v>OK</v>
      </c>
      <c r="B1552" s="3" t="str">
        <f t="shared" si="2"/>
        <v>OK</v>
      </c>
      <c r="C1552" s="3">
        <v>9059.0</v>
      </c>
      <c r="D1552" s="4" t="s">
        <v>3720</v>
      </c>
      <c r="E1552" s="3" t="s">
        <v>3721</v>
      </c>
      <c r="F1552" s="3" t="s">
        <v>13</v>
      </c>
      <c r="G1552" s="3" t="str">
        <f t="shared" si="3"/>
        <v>XIKLR1</v>
      </c>
      <c r="H1552" s="3" t="str">
        <f>VLOOKUP($C1552,Userpass!$A$2:$L$3001,12,FALSE)</f>
        <v>KLR1</v>
      </c>
      <c r="I1552" s="5" t="s">
        <v>3045</v>
      </c>
      <c r="J1552" s="3">
        <v>2024.0</v>
      </c>
      <c r="K1552" s="4" t="str">
        <f>VLOOKUP($C1552,Userpass!$A$2:$R$3001,2,FALSE)</f>
        <v>klr20249059.siswa@smkn12malang.sch.id</v>
      </c>
    </row>
    <row r="1553" hidden="1">
      <c r="A1553" s="3" t="str">
        <f t="shared" si="1"/>
        <v>OK</v>
      </c>
      <c r="B1553" s="3" t="str">
        <f t="shared" si="2"/>
        <v>OK</v>
      </c>
      <c r="C1553" s="3">
        <v>9065.0</v>
      </c>
      <c r="D1553" s="4" t="s">
        <v>3722</v>
      </c>
      <c r="E1553" s="3" t="s">
        <v>3723</v>
      </c>
      <c r="F1553" s="3" t="s">
        <v>13</v>
      </c>
      <c r="G1553" s="3" t="str">
        <f t="shared" si="3"/>
        <v>XIKLR1</v>
      </c>
      <c r="H1553" s="3" t="str">
        <f>VLOOKUP($C1553,Userpass!$A$2:$L$3001,12,FALSE)</f>
        <v>KLR1</v>
      </c>
      <c r="I1553" s="5" t="s">
        <v>3045</v>
      </c>
      <c r="J1553" s="3">
        <v>2024.0</v>
      </c>
      <c r="K1553" s="4" t="str">
        <f>VLOOKUP($C1553,Userpass!$A$2:$R$3001,2,FALSE)</f>
        <v>klr20249065.siswa@smkn12malang.sch.id</v>
      </c>
    </row>
    <row r="1554" hidden="1">
      <c r="A1554" s="3" t="str">
        <f t="shared" si="1"/>
        <v>OK</v>
      </c>
      <c r="B1554" s="3" t="str">
        <f t="shared" si="2"/>
        <v>OK</v>
      </c>
      <c r="C1554" s="3">
        <v>9096.0</v>
      </c>
      <c r="D1554" s="4" t="s">
        <v>3724</v>
      </c>
      <c r="E1554" s="3" t="s">
        <v>3725</v>
      </c>
      <c r="F1554" s="3" t="s">
        <v>13</v>
      </c>
      <c r="G1554" s="3" t="str">
        <f t="shared" si="3"/>
        <v>XIKLR1</v>
      </c>
      <c r="H1554" s="3" t="str">
        <f>VLOOKUP($C1554,Userpass!$A$2:$L$3001,12,FALSE)</f>
        <v>KLR1</v>
      </c>
      <c r="I1554" s="5" t="s">
        <v>3045</v>
      </c>
      <c r="J1554" s="3">
        <v>2024.0</v>
      </c>
      <c r="K1554" s="4" t="str">
        <f>VLOOKUP($C1554,Userpass!$A$2:$R$3001,2,FALSE)</f>
        <v>klr20249096.siswa@smkn12malang.sch.id</v>
      </c>
    </row>
    <row r="1555" hidden="1">
      <c r="A1555" s="3" t="str">
        <f t="shared" si="1"/>
        <v>OK</v>
      </c>
      <c r="B1555" s="3" t="str">
        <f t="shared" si="2"/>
        <v>OK</v>
      </c>
      <c r="C1555" s="3">
        <v>9098.0</v>
      </c>
      <c r="D1555" s="4" t="s">
        <v>3726</v>
      </c>
      <c r="E1555" s="3" t="s">
        <v>3727</v>
      </c>
      <c r="F1555" s="3" t="s">
        <v>13</v>
      </c>
      <c r="G1555" s="3" t="str">
        <f t="shared" si="3"/>
        <v>XIKLR1</v>
      </c>
      <c r="H1555" s="3" t="str">
        <f>VLOOKUP($C1555,Userpass!$A$2:$L$3001,12,FALSE)</f>
        <v>KLR1</v>
      </c>
      <c r="I1555" s="5" t="s">
        <v>3045</v>
      </c>
      <c r="J1555" s="3">
        <v>2024.0</v>
      </c>
      <c r="K1555" s="4" t="str">
        <f>VLOOKUP($C1555,Userpass!$A$2:$R$3001,2,FALSE)</f>
        <v>klr20249098.siswa@smkn12malang.sch.id</v>
      </c>
    </row>
    <row r="1556" hidden="1">
      <c r="A1556" s="3" t="str">
        <f t="shared" si="1"/>
        <v>OK</v>
      </c>
      <c r="B1556" s="3" t="str">
        <f t="shared" si="2"/>
        <v>OK</v>
      </c>
      <c r="C1556" s="3">
        <v>9106.0</v>
      </c>
      <c r="D1556" s="4" t="s">
        <v>3728</v>
      </c>
      <c r="E1556" s="3" t="s">
        <v>3729</v>
      </c>
      <c r="F1556" s="3" t="s">
        <v>13</v>
      </c>
      <c r="G1556" s="3" t="str">
        <f t="shared" si="3"/>
        <v>XIKLR1</v>
      </c>
      <c r="H1556" s="3" t="str">
        <f>VLOOKUP($C1556,Userpass!$A$2:$L$3001,12,FALSE)</f>
        <v>KLR1</v>
      </c>
      <c r="I1556" s="5" t="s">
        <v>3045</v>
      </c>
      <c r="J1556" s="3">
        <v>2024.0</v>
      </c>
      <c r="K1556" s="4" t="str">
        <f>VLOOKUP($C1556,Userpass!$A$2:$R$3001,2,FALSE)</f>
        <v>klr20249106.siswa@smkn12malang.sch.id</v>
      </c>
    </row>
    <row r="1557" hidden="1">
      <c r="A1557" s="3" t="str">
        <f t="shared" si="1"/>
        <v>OK</v>
      </c>
      <c r="B1557" s="3" t="str">
        <f t="shared" si="2"/>
        <v>OK</v>
      </c>
      <c r="C1557" s="3">
        <v>9172.0</v>
      </c>
      <c r="D1557" s="4" t="s">
        <v>3730</v>
      </c>
      <c r="E1557" s="3" t="s">
        <v>3731</v>
      </c>
      <c r="F1557" s="3" t="s">
        <v>13</v>
      </c>
      <c r="G1557" s="3" t="str">
        <f t="shared" si="3"/>
        <v>XIKLR1</v>
      </c>
      <c r="H1557" s="3" t="str">
        <f>VLOOKUP($C1557,Userpass!$A$2:$L$3001,12,FALSE)</f>
        <v>KLR1</v>
      </c>
      <c r="I1557" s="5" t="s">
        <v>3045</v>
      </c>
      <c r="J1557" s="3">
        <v>2024.0</v>
      </c>
      <c r="K1557" s="4" t="str">
        <f>VLOOKUP($C1557,Userpass!$A$2:$R$3001,2,FALSE)</f>
        <v>klr20249172.siswa@smkn12malang.sch.id</v>
      </c>
    </row>
    <row r="1558" hidden="1">
      <c r="A1558" s="3" t="str">
        <f t="shared" si="1"/>
        <v>OK</v>
      </c>
      <c r="B1558" s="3" t="str">
        <f t="shared" si="2"/>
        <v>OK</v>
      </c>
      <c r="C1558" s="3">
        <v>9213.0</v>
      </c>
      <c r="D1558" s="4" t="s">
        <v>3732</v>
      </c>
      <c r="E1558" s="3" t="s">
        <v>3733</v>
      </c>
      <c r="F1558" s="3" t="s">
        <v>13</v>
      </c>
      <c r="G1558" s="3" t="str">
        <f t="shared" si="3"/>
        <v>XIKLR1</v>
      </c>
      <c r="H1558" s="3" t="str">
        <f>VLOOKUP($C1558,Userpass!$A$2:$L$3001,12,FALSE)</f>
        <v>KLR1</v>
      </c>
      <c r="I1558" s="5" t="s">
        <v>3045</v>
      </c>
      <c r="J1558" s="3">
        <v>2024.0</v>
      </c>
      <c r="K1558" s="4" t="str">
        <f>VLOOKUP($C1558,Userpass!$A$2:$R$3001,2,FALSE)</f>
        <v>klr20249213.siswa@smkn12malang.sch.id</v>
      </c>
    </row>
    <row r="1559" hidden="1">
      <c r="A1559" s="3" t="str">
        <f t="shared" si="1"/>
        <v>OK</v>
      </c>
      <c r="B1559" s="3" t="str">
        <f t="shared" si="2"/>
        <v>OK</v>
      </c>
      <c r="C1559" s="3">
        <v>9228.0</v>
      </c>
      <c r="D1559" s="4" t="s">
        <v>3734</v>
      </c>
      <c r="E1559" s="3" t="s">
        <v>3735</v>
      </c>
      <c r="F1559" s="3" t="s">
        <v>13</v>
      </c>
      <c r="G1559" s="3" t="str">
        <f t="shared" si="3"/>
        <v>XIKLR1</v>
      </c>
      <c r="H1559" s="3" t="str">
        <f>VLOOKUP($C1559,Userpass!$A$2:$L$3001,12,FALSE)</f>
        <v>KLR1</v>
      </c>
      <c r="I1559" s="5" t="s">
        <v>3045</v>
      </c>
      <c r="J1559" s="3">
        <v>2024.0</v>
      </c>
      <c r="K1559" s="4" t="str">
        <f>VLOOKUP($C1559,Userpass!$A$2:$R$3001,2,FALSE)</f>
        <v>klr20249228.siswa@smkn12malang.sch.id</v>
      </c>
    </row>
    <row r="1560" hidden="1">
      <c r="A1560" s="3" t="str">
        <f t="shared" si="1"/>
        <v>OK</v>
      </c>
      <c r="B1560" s="3" t="str">
        <f t="shared" si="2"/>
        <v>OK</v>
      </c>
      <c r="C1560" s="3">
        <v>9237.0</v>
      </c>
      <c r="D1560" s="4" t="s">
        <v>3736</v>
      </c>
      <c r="E1560" s="3" t="s">
        <v>3737</v>
      </c>
      <c r="F1560" s="3" t="s">
        <v>13</v>
      </c>
      <c r="G1560" s="3" t="str">
        <f t="shared" si="3"/>
        <v>XIKLR1</v>
      </c>
      <c r="H1560" s="3" t="str">
        <f>VLOOKUP($C1560,Userpass!$A$2:$L$3001,12,FALSE)</f>
        <v>KLR1</v>
      </c>
      <c r="I1560" s="5" t="s">
        <v>3045</v>
      </c>
      <c r="J1560" s="3">
        <v>2024.0</v>
      </c>
      <c r="K1560" s="4" t="str">
        <f>VLOOKUP($C1560,Userpass!$A$2:$R$3001,2,FALSE)</f>
        <v>klr20249237.siswa@smkn12malang.sch.id</v>
      </c>
    </row>
    <row r="1561" hidden="1">
      <c r="A1561" s="3" t="str">
        <f t="shared" si="1"/>
        <v>OK</v>
      </c>
      <c r="B1561" s="3" t="str">
        <f t="shared" si="2"/>
        <v>OK</v>
      </c>
      <c r="C1561" s="3">
        <v>8641.0</v>
      </c>
      <c r="D1561" s="4" t="s">
        <v>3738</v>
      </c>
      <c r="E1561" s="3" t="s">
        <v>3739</v>
      </c>
      <c r="F1561" s="3" t="s">
        <v>17</v>
      </c>
      <c r="G1561" s="3" t="str">
        <f t="shared" si="3"/>
        <v>XIOTO1</v>
      </c>
      <c r="H1561" s="3" t="str">
        <f>VLOOKUP($C1561,Userpass!$A$2:$L$3001,12,FALSE)</f>
        <v>OTO1</v>
      </c>
      <c r="I1561" s="5" t="s">
        <v>3045</v>
      </c>
      <c r="J1561" s="3">
        <v>2024.0</v>
      </c>
      <c r="K1561" s="4" t="str">
        <f>VLOOKUP($C1561,Userpass!$A$2:$R$3001,2,FALSE)</f>
        <v>oto20248641.siswa@smkn12malang.sch.id</v>
      </c>
    </row>
    <row r="1562" hidden="1">
      <c r="A1562" s="3" t="str">
        <f t="shared" si="1"/>
        <v>OK</v>
      </c>
      <c r="B1562" s="3" t="str">
        <f t="shared" si="2"/>
        <v>OK</v>
      </c>
      <c r="C1562" s="3">
        <v>8644.0</v>
      </c>
      <c r="D1562" s="4" t="s">
        <v>3740</v>
      </c>
      <c r="E1562" s="3" t="s">
        <v>3741</v>
      </c>
      <c r="F1562" s="3" t="s">
        <v>17</v>
      </c>
      <c r="G1562" s="3" t="str">
        <f t="shared" si="3"/>
        <v>XIOTO1</v>
      </c>
      <c r="H1562" s="3" t="str">
        <f>VLOOKUP($C1562,Userpass!$A$2:$L$3001,12,FALSE)</f>
        <v>OTO1</v>
      </c>
      <c r="I1562" s="5" t="s">
        <v>3045</v>
      </c>
      <c r="J1562" s="3">
        <v>2024.0</v>
      </c>
      <c r="K1562" s="4" t="str">
        <f>VLOOKUP($C1562,Userpass!$A$2:$R$3001,2,FALSE)</f>
        <v>oto20248644.siswa@smkn12malang.sch.id</v>
      </c>
    </row>
    <row r="1563" hidden="1">
      <c r="A1563" s="3" t="str">
        <f t="shared" si="1"/>
        <v>OK</v>
      </c>
      <c r="B1563" s="3" t="str">
        <f t="shared" si="2"/>
        <v>OK</v>
      </c>
      <c r="C1563" s="3">
        <v>8645.0</v>
      </c>
      <c r="D1563" s="4" t="s">
        <v>3742</v>
      </c>
      <c r="E1563" s="3" t="s">
        <v>3743</v>
      </c>
      <c r="F1563" s="3" t="s">
        <v>17</v>
      </c>
      <c r="G1563" s="3" t="str">
        <f t="shared" si="3"/>
        <v>XIOTO1</v>
      </c>
      <c r="H1563" s="3" t="str">
        <f>VLOOKUP($C1563,Userpass!$A$2:$L$3001,12,FALSE)</f>
        <v>OTO1</v>
      </c>
      <c r="I1563" s="5" t="s">
        <v>3045</v>
      </c>
      <c r="J1563" s="3">
        <v>2024.0</v>
      </c>
      <c r="K1563" s="4" t="str">
        <f>VLOOKUP($C1563,Userpass!$A$2:$R$3001,2,FALSE)</f>
        <v>oto20248645.siswa@smkn12malang.sch.id</v>
      </c>
    </row>
    <row r="1564" hidden="1">
      <c r="A1564" s="3" t="str">
        <f t="shared" si="1"/>
        <v>OK</v>
      </c>
      <c r="B1564" s="3" t="str">
        <f t="shared" si="2"/>
        <v>OK</v>
      </c>
      <c r="C1564" s="3">
        <v>8656.0</v>
      </c>
      <c r="D1564" s="4" t="s">
        <v>3744</v>
      </c>
      <c r="E1564" s="3" t="s">
        <v>3745</v>
      </c>
      <c r="F1564" s="3" t="s">
        <v>17</v>
      </c>
      <c r="G1564" s="3" t="str">
        <f t="shared" si="3"/>
        <v>XIOTO1</v>
      </c>
      <c r="H1564" s="3" t="str">
        <f>VLOOKUP($C1564,Userpass!$A$2:$L$3001,12,FALSE)</f>
        <v>OTO1</v>
      </c>
      <c r="I1564" s="5" t="s">
        <v>3045</v>
      </c>
      <c r="J1564" s="3">
        <v>2024.0</v>
      </c>
      <c r="K1564" s="4" t="str">
        <f>VLOOKUP($C1564,Userpass!$A$2:$R$3001,2,FALSE)</f>
        <v>oto20248656.siswa@smkn12malang.sch.id</v>
      </c>
    </row>
    <row r="1565" hidden="1">
      <c r="A1565" s="3" t="str">
        <f t="shared" si="1"/>
        <v>OK</v>
      </c>
      <c r="B1565" s="3" t="str">
        <f t="shared" si="2"/>
        <v>OK</v>
      </c>
      <c r="C1565" s="3">
        <v>8667.0</v>
      </c>
      <c r="D1565" s="4" t="s">
        <v>3746</v>
      </c>
      <c r="E1565" s="3" t="s">
        <v>3747</v>
      </c>
      <c r="F1565" s="3" t="s">
        <v>17</v>
      </c>
      <c r="G1565" s="3" t="str">
        <f t="shared" si="3"/>
        <v>XIOTO1</v>
      </c>
      <c r="H1565" s="3" t="str">
        <f>VLOOKUP($C1565,Userpass!$A$2:$L$3001,12,FALSE)</f>
        <v>OTO1</v>
      </c>
      <c r="I1565" s="5" t="s">
        <v>3045</v>
      </c>
      <c r="J1565" s="3">
        <v>2024.0</v>
      </c>
      <c r="K1565" s="4" t="str">
        <f>VLOOKUP($C1565,Userpass!$A$2:$R$3001,2,FALSE)</f>
        <v>oto20248667.siswa@smkn12malang.sch.id</v>
      </c>
    </row>
    <row r="1566" hidden="1">
      <c r="A1566" s="3" t="str">
        <f t="shared" si="1"/>
        <v>OK</v>
      </c>
      <c r="B1566" s="3" t="str">
        <f t="shared" si="2"/>
        <v>OK</v>
      </c>
      <c r="C1566" s="3">
        <v>8700.0</v>
      </c>
      <c r="D1566" s="4" t="s">
        <v>3748</v>
      </c>
      <c r="E1566" s="3" t="s">
        <v>3749</v>
      </c>
      <c r="F1566" s="3" t="s">
        <v>17</v>
      </c>
      <c r="G1566" s="3" t="str">
        <f t="shared" si="3"/>
        <v>XIOTO1</v>
      </c>
      <c r="H1566" s="3" t="str">
        <f>VLOOKUP($C1566,Userpass!$A$2:$L$3001,12,FALSE)</f>
        <v>OTO1</v>
      </c>
      <c r="I1566" s="5" t="s">
        <v>3045</v>
      </c>
      <c r="J1566" s="3">
        <v>2024.0</v>
      </c>
      <c r="K1566" s="4" t="str">
        <f>VLOOKUP($C1566,Userpass!$A$2:$R$3001,2,FALSE)</f>
        <v>oto20248700.siswa@smkn12malang.sch.id</v>
      </c>
    </row>
    <row r="1567" hidden="1">
      <c r="A1567" s="3" t="str">
        <f t="shared" si="1"/>
        <v>OK</v>
      </c>
      <c r="B1567" s="3" t="str">
        <f t="shared" si="2"/>
        <v>OK</v>
      </c>
      <c r="C1567" s="3">
        <v>8719.0</v>
      </c>
      <c r="D1567" s="4" t="s">
        <v>3750</v>
      </c>
      <c r="E1567" s="3" t="s">
        <v>3751</v>
      </c>
      <c r="F1567" s="3" t="s">
        <v>17</v>
      </c>
      <c r="G1567" s="3" t="str">
        <f t="shared" si="3"/>
        <v>XIOTO1</v>
      </c>
      <c r="H1567" s="3" t="str">
        <f>VLOOKUP($C1567,Userpass!$A$2:$L$3001,12,FALSE)</f>
        <v>OTO1</v>
      </c>
      <c r="I1567" s="5" t="s">
        <v>3045</v>
      </c>
      <c r="J1567" s="3">
        <v>2024.0</v>
      </c>
      <c r="K1567" s="4" t="str">
        <f>VLOOKUP($C1567,Userpass!$A$2:$R$3001,2,FALSE)</f>
        <v>oto20248719.siswa@smkn12malang.sch.id</v>
      </c>
    </row>
    <row r="1568" hidden="1">
      <c r="A1568" s="3" t="str">
        <f t="shared" si="1"/>
        <v>OK</v>
      </c>
      <c r="B1568" s="3" t="str">
        <f t="shared" si="2"/>
        <v>OK</v>
      </c>
      <c r="C1568" s="3">
        <v>8725.0</v>
      </c>
      <c r="D1568" s="4" t="s">
        <v>3752</v>
      </c>
      <c r="E1568" s="3" t="s">
        <v>3753</v>
      </c>
      <c r="F1568" s="3" t="s">
        <v>17</v>
      </c>
      <c r="G1568" s="3" t="str">
        <f t="shared" si="3"/>
        <v>XIOTO1</v>
      </c>
      <c r="H1568" s="3" t="str">
        <f>VLOOKUP($C1568,Userpass!$A$2:$L$3001,12,FALSE)</f>
        <v>OTO1</v>
      </c>
      <c r="I1568" s="5" t="s">
        <v>3045</v>
      </c>
      <c r="J1568" s="3">
        <v>2024.0</v>
      </c>
      <c r="K1568" s="4" t="str">
        <f>VLOOKUP($C1568,Userpass!$A$2:$R$3001,2,FALSE)</f>
        <v>oto20248725.siswa@smkn12malang.sch.id</v>
      </c>
    </row>
    <row r="1569" hidden="1">
      <c r="A1569" s="3" t="str">
        <f t="shared" si="1"/>
        <v>OK</v>
      </c>
      <c r="B1569" s="3" t="str">
        <f t="shared" si="2"/>
        <v>OK</v>
      </c>
      <c r="C1569" s="3">
        <v>8751.0</v>
      </c>
      <c r="D1569" s="4" t="s">
        <v>3754</v>
      </c>
      <c r="E1569" s="3" t="s">
        <v>3755</v>
      </c>
      <c r="F1569" s="3" t="s">
        <v>17</v>
      </c>
      <c r="G1569" s="3" t="str">
        <f t="shared" si="3"/>
        <v>XIOTO1</v>
      </c>
      <c r="H1569" s="3" t="str">
        <f>VLOOKUP($C1569,Userpass!$A$2:$L$3001,12,FALSE)</f>
        <v>OTO1</v>
      </c>
      <c r="I1569" s="5" t="s">
        <v>3045</v>
      </c>
      <c r="J1569" s="3">
        <v>2024.0</v>
      </c>
      <c r="K1569" s="4" t="str">
        <f>VLOOKUP($C1569,Userpass!$A$2:$R$3001,2,FALSE)</f>
        <v>oto20248751.siswa@smkn12malang.sch.id</v>
      </c>
    </row>
    <row r="1570" hidden="1">
      <c r="A1570" s="3" t="str">
        <f t="shared" si="1"/>
        <v>OK</v>
      </c>
      <c r="B1570" s="3" t="str">
        <f t="shared" si="2"/>
        <v>OK</v>
      </c>
      <c r="C1570" s="3">
        <v>8760.0</v>
      </c>
      <c r="D1570" s="4" t="s">
        <v>3756</v>
      </c>
      <c r="E1570" s="3" t="s">
        <v>3757</v>
      </c>
      <c r="F1570" s="3" t="s">
        <v>17</v>
      </c>
      <c r="G1570" s="3" t="str">
        <f t="shared" si="3"/>
        <v>XIOTO1</v>
      </c>
      <c r="H1570" s="3" t="str">
        <f>VLOOKUP($C1570,Userpass!$A$2:$L$3001,12,FALSE)</f>
        <v>OTO1</v>
      </c>
      <c r="I1570" s="5" t="s">
        <v>3045</v>
      </c>
      <c r="J1570" s="3">
        <v>2024.0</v>
      </c>
      <c r="K1570" s="4" t="str">
        <f>VLOOKUP($C1570,Userpass!$A$2:$R$3001,2,FALSE)</f>
        <v>oto20248760.siswa@smkn12malang.sch.id</v>
      </c>
    </row>
    <row r="1571" hidden="1">
      <c r="A1571" s="3" t="str">
        <f t="shared" si="1"/>
        <v>OK</v>
      </c>
      <c r="B1571" s="3" t="str">
        <f t="shared" si="2"/>
        <v>OK</v>
      </c>
      <c r="C1571" s="3">
        <v>8780.0</v>
      </c>
      <c r="D1571" s="4" t="s">
        <v>3758</v>
      </c>
      <c r="E1571" s="3" t="s">
        <v>3759</v>
      </c>
      <c r="F1571" s="3" t="s">
        <v>13</v>
      </c>
      <c r="G1571" s="3" t="str">
        <f t="shared" si="3"/>
        <v>XIOTO1</v>
      </c>
      <c r="H1571" s="3" t="str">
        <f>VLOOKUP($C1571,Userpass!$A$2:$L$3001,12,FALSE)</f>
        <v>OTO1</v>
      </c>
      <c r="I1571" s="5" t="s">
        <v>3045</v>
      </c>
      <c r="J1571" s="3">
        <v>2024.0</v>
      </c>
      <c r="K1571" s="4" t="str">
        <f>VLOOKUP($C1571,Userpass!$A$2:$R$3001,2,FALSE)</f>
        <v>oto20248780.siswa@smkn12malang.sch.id</v>
      </c>
    </row>
    <row r="1572" hidden="1">
      <c r="A1572" s="3" t="str">
        <f t="shared" si="1"/>
        <v>OK</v>
      </c>
      <c r="B1572" s="3" t="str">
        <f t="shared" si="2"/>
        <v>OK</v>
      </c>
      <c r="C1572" s="3">
        <v>8793.0</v>
      </c>
      <c r="D1572" s="4" t="s">
        <v>3760</v>
      </c>
      <c r="E1572" s="3" t="s">
        <v>3761</v>
      </c>
      <c r="F1572" s="3" t="s">
        <v>13</v>
      </c>
      <c r="G1572" s="3" t="str">
        <f t="shared" si="3"/>
        <v>XIOTO1</v>
      </c>
      <c r="H1572" s="3" t="str">
        <f>VLOOKUP($C1572,Userpass!$A$2:$L$3001,12,FALSE)</f>
        <v>OTO1</v>
      </c>
      <c r="I1572" s="5" t="s">
        <v>3045</v>
      </c>
      <c r="J1572" s="3">
        <v>2024.0</v>
      </c>
      <c r="K1572" s="4" t="str">
        <f>VLOOKUP($C1572,Userpass!$A$2:$R$3001,2,FALSE)</f>
        <v>oto20248793.siswa@smkn12malang.sch.id</v>
      </c>
    </row>
    <row r="1573" hidden="1">
      <c r="A1573" s="3" t="str">
        <f t="shared" si="1"/>
        <v>OK</v>
      </c>
      <c r="B1573" s="3" t="str">
        <f t="shared" si="2"/>
        <v>OK</v>
      </c>
      <c r="C1573" s="3">
        <v>8830.0</v>
      </c>
      <c r="D1573" s="4" t="s">
        <v>3762</v>
      </c>
      <c r="E1573" s="3" t="s">
        <v>3763</v>
      </c>
      <c r="F1573" s="3" t="s">
        <v>17</v>
      </c>
      <c r="G1573" s="3" t="str">
        <f t="shared" si="3"/>
        <v>XIOTO1</v>
      </c>
      <c r="H1573" s="3" t="str">
        <f>VLOOKUP($C1573,Userpass!$A$2:$L$3001,12,FALSE)</f>
        <v>OTO1</v>
      </c>
      <c r="I1573" s="5" t="s">
        <v>3045</v>
      </c>
      <c r="J1573" s="3">
        <v>2024.0</v>
      </c>
      <c r="K1573" s="4" t="str">
        <f>VLOOKUP($C1573,Userpass!$A$2:$R$3001,2,FALSE)</f>
        <v>oto20248830.siswa@smkn12malang.sch.id</v>
      </c>
    </row>
    <row r="1574" hidden="1">
      <c r="A1574" s="3" t="str">
        <f t="shared" si="1"/>
        <v>OK</v>
      </c>
      <c r="B1574" s="3" t="str">
        <f t="shared" si="2"/>
        <v>OK</v>
      </c>
      <c r="C1574" s="3">
        <v>8847.0</v>
      </c>
      <c r="D1574" s="4" t="s">
        <v>3764</v>
      </c>
      <c r="E1574" s="3" t="s">
        <v>3765</v>
      </c>
      <c r="F1574" s="3" t="s">
        <v>17</v>
      </c>
      <c r="G1574" s="3" t="str">
        <f t="shared" si="3"/>
        <v>XIOTO1</v>
      </c>
      <c r="H1574" s="3" t="str">
        <f>VLOOKUP($C1574,Userpass!$A$2:$L$3001,12,FALSE)</f>
        <v>OTO1</v>
      </c>
      <c r="I1574" s="5" t="s">
        <v>3045</v>
      </c>
      <c r="J1574" s="3">
        <v>2024.0</v>
      </c>
      <c r="K1574" s="4" t="str">
        <f>VLOOKUP($C1574,Userpass!$A$2:$R$3001,2,FALSE)</f>
        <v>oto20248847.siswa@smkn12malang.sch.id</v>
      </c>
    </row>
    <row r="1575" hidden="1">
      <c r="A1575" s="3" t="str">
        <f t="shared" si="1"/>
        <v>OK</v>
      </c>
      <c r="B1575" s="3" t="str">
        <f t="shared" si="2"/>
        <v>OK</v>
      </c>
      <c r="C1575" s="3">
        <v>8867.0</v>
      </c>
      <c r="D1575" s="4" t="s">
        <v>3766</v>
      </c>
      <c r="E1575" s="3" t="s">
        <v>3767</v>
      </c>
      <c r="F1575" s="3" t="s">
        <v>17</v>
      </c>
      <c r="G1575" s="3" t="str">
        <f t="shared" si="3"/>
        <v>XIOTO1</v>
      </c>
      <c r="H1575" s="3" t="str">
        <f>VLOOKUP($C1575,Userpass!$A$2:$L$3001,12,FALSE)</f>
        <v>OTO1</v>
      </c>
      <c r="I1575" s="5" t="s">
        <v>3045</v>
      </c>
      <c r="J1575" s="3">
        <v>2024.0</v>
      </c>
      <c r="K1575" s="4" t="str">
        <f>VLOOKUP($C1575,Userpass!$A$2:$R$3001,2,FALSE)</f>
        <v>oto20248867.siswa@smkn12malang.sch.id</v>
      </c>
    </row>
    <row r="1576" hidden="1">
      <c r="A1576" s="3" t="str">
        <f t="shared" si="1"/>
        <v>OK</v>
      </c>
      <c r="B1576" s="3" t="str">
        <f t="shared" si="2"/>
        <v>OK</v>
      </c>
      <c r="C1576" s="3">
        <v>8883.0</v>
      </c>
      <c r="D1576" s="4" t="s">
        <v>3768</v>
      </c>
      <c r="E1576" s="3" t="s">
        <v>3769</v>
      </c>
      <c r="F1576" s="3" t="s">
        <v>17</v>
      </c>
      <c r="G1576" s="3" t="str">
        <f t="shared" si="3"/>
        <v>XIOTO1</v>
      </c>
      <c r="H1576" s="3" t="str">
        <f>VLOOKUP($C1576,Userpass!$A$2:$L$3001,12,FALSE)</f>
        <v>OTO1</v>
      </c>
      <c r="I1576" s="5" t="s">
        <v>3045</v>
      </c>
      <c r="J1576" s="3">
        <v>2024.0</v>
      </c>
      <c r="K1576" s="4" t="str">
        <f>VLOOKUP($C1576,Userpass!$A$2:$R$3001,2,FALSE)</f>
        <v>oto20248883.siswa@smkn12malang.sch.id</v>
      </c>
    </row>
    <row r="1577" hidden="1">
      <c r="A1577" s="3" t="str">
        <f t="shared" si="1"/>
        <v>OK</v>
      </c>
      <c r="B1577" s="3" t="str">
        <f t="shared" si="2"/>
        <v>OK</v>
      </c>
      <c r="C1577" s="3">
        <v>8902.0</v>
      </c>
      <c r="D1577" s="4" t="s">
        <v>3190</v>
      </c>
      <c r="E1577" s="3" t="s">
        <v>3770</v>
      </c>
      <c r="F1577" s="3" t="s">
        <v>17</v>
      </c>
      <c r="G1577" s="3" t="str">
        <f t="shared" si="3"/>
        <v>XIOTO1</v>
      </c>
      <c r="H1577" s="3" t="str">
        <f>VLOOKUP($C1577,Userpass!$A$2:$L$3001,12,FALSE)</f>
        <v>OTO1</v>
      </c>
      <c r="I1577" s="5" t="s">
        <v>3045</v>
      </c>
      <c r="J1577" s="3">
        <v>2024.0</v>
      </c>
      <c r="K1577" s="4" t="str">
        <f>VLOOKUP($C1577,Userpass!$A$2:$R$3001,2,FALSE)</f>
        <v>oto20248902.siswa@smkn12malang.sch.id</v>
      </c>
    </row>
    <row r="1578" hidden="1">
      <c r="A1578" s="3" t="str">
        <f t="shared" si="1"/>
        <v>OK</v>
      </c>
      <c r="B1578" s="3" t="str">
        <f t="shared" si="2"/>
        <v>OK</v>
      </c>
      <c r="C1578" s="3">
        <v>8941.0</v>
      </c>
      <c r="D1578" s="4" t="s">
        <v>3771</v>
      </c>
      <c r="E1578" s="3" t="s">
        <v>3772</v>
      </c>
      <c r="F1578" s="3" t="s">
        <v>17</v>
      </c>
      <c r="G1578" s="3" t="str">
        <f t="shared" si="3"/>
        <v>XIOTO1</v>
      </c>
      <c r="H1578" s="3" t="str">
        <f>VLOOKUP($C1578,Userpass!$A$2:$L$3001,12,FALSE)</f>
        <v>OTO1</v>
      </c>
      <c r="I1578" s="5" t="s">
        <v>3045</v>
      </c>
      <c r="J1578" s="3">
        <v>2024.0</v>
      </c>
      <c r="K1578" s="4" t="str">
        <f>VLOOKUP($C1578,Userpass!$A$2:$R$3001,2,FALSE)</f>
        <v>oto20248941.siswa@smkn12malang.sch.id</v>
      </c>
    </row>
    <row r="1579" hidden="1">
      <c r="A1579" s="3" t="str">
        <f t="shared" si="1"/>
        <v>OK</v>
      </c>
      <c r="B1579" s="3" t="str">
        <f t="shared" si="2"/>
        <v>OK</v>
      </c>
      <c r="C1579" s="3">
        <v>8946.0</v>
      </c>
      <c r="D1579" s="4" t="s">
        <v>3773</v>
      </c>
      <c r="E1579" s="3" t="s">
        <v>3774</v>
      </c>
      <c r="F1579" s="3" t="s">
        <v>17</v>
      </c>
      <c r="G1579" s="3" t="str">
        <f t="shared" si="3"/>
        <v>XIOTO1</v>
      </c>
      <c r="H1579" s="3" t="str">
        <f>VLOOKUP($C1579,Userpass!$A$2:$L$3001,12,FALSE)</f>
        <v>OTO1</v>
      </c>
      <c r="I1579" s="5" t="s">
        <v>3045</v>
      </c>
      <c r="J1579" s="3">
        <v>2024.0</v>
      </c>
      <c r="K1579" s="4" t="str">
        <f>VLOOKUP($C1579,Userpass!$A$2:$R$3001,2,FALSE)</f>
        <v>oto20248946.siswa@smkn12malang.sch.id</v>
      </c>
    </row>
    <row r="1580" hidden="1">
      <c r="A1580" s="3" t="str">
        <f t="shared" si="1"/>
        <v>OK</v>
      </c>
      <c r="B1580" s="3" t="str">
        <f t="shared" si="2"/>
        <v>OK</v>
      </c>
      <c r="C1580" s="3">
        <v>8969.0</v>
      </c>
      <c r="D1580" s="4" t="s">
        <v>3775</v>
      </c>
      <c r="E1580" s="3" t="s">
        <v>3776</v>
      </c>
      <c r="F1580" s="3" t="s">
        <v>17</v>
      </c>
      <c r="G1580" s="3" t="str">
        <f t="shared" si="3"/>
        <v>XIOTO1</v>
      </c>
      <c r="H1580" s="3" t="str">
        <f>VLOOKUP($C1580,Userpass!$A$2:$L$3001,12,FALSE)</f>
        <v>OTO1</v>
      </c>
      <c r="I1580" s="5" t="s">
        <v>3045</v>
      </c>
      <c r="J1580" s="3">
        <v>2024.0</v>
      </c>
      <c r="K1580" s="4" t="str">
        <f>VLOOKUP($C1580,Userpass!$A$2:$R$3001,2,FALSE)</f>
        <v>oto20248969.siswa@smkn12malang.sch.id</v>
      </c>
    </row>
    <row r="1581" hidden="1">
      <c r="A1581" s="3" t="str">
        <f t="shared" si="1"/>
        <v>OK</v>
      </c>
      <c r="B1581" s="3" t="str">
        <f t="shared" si="2"/>
        <v>OK</v>
      </c>
      <c r="C1581" s="3">
        <v>8983.0</v>
      </c>
      <c r="D1581" s="4" t="s">
        <v>3777</v>
      </c>
      <c r="E1581" s="3" t="s">
        <v>3778</v>
      </c>
      <c r="F1581" s="3" t="s">
        <v>17</v>
      </c>
      <c r="G1581" s="3" t="str">
        <f t="shared" si="3"/>
        <v>XIOTO1</v>
      </c>
      <c r="H1581" s="3" t="str">
        <f>VLOOKUP($C1581,Userpass!$A$2:$L$3001,12,FALSE)</f>
        <v>OTO1</v>
      </c>
      <c r="I1581" s="5" t="s">
        <v>3045</v>
      </c>
      <c r="J1581" s="3">
        <v>2024.0</v>
      </c>
      <c r="K1581" s="4" t="str">
        <f>VLOOKUP($C1581,Userpass!$A$2:$R$3001,2,FALSE)</f>
        <v>oto20248983.siswa@smkn12malang.sch.id</v>
      </c>
    </row>
    <row r="1582" hidden="1">
      <c r="A1582" s="3" t="str">
        <f t="shared" si="1"/>
        <v>OK</v>
      </c>
      <c r="B1582" s="3" t="str">
        <f t="shared" si="2"/>
        <v>OK</v>
      </c>
      <c r="C1582" s="3">
        <v>8998.0</v>
      </c>
      <c r="D1582" s="4" t="s">
        <v>3779</v>
      </c>
      <c r="E1582" s="3" t="s">
        <v>3780</v>
      </c>
      <c r="F1582" s="3" t="s">
        <v>17</v>
      </c>
      <c r="G1582" s="3" t="str">
        <f t="shared" si="3"/>
        <v>XIOTO1</v>
      </c>
      <c r="H1582" s="3" t="str">
        <f>VLOOKUP($C1582,Userpass!$A$2:$L$3001,12,FALSE)</f>
        <v>OTO1</v>
      </c>
      <c r="I1582" s="5" t="s">
        <v>3045</v>
      </c>
      <c r="J1582" s="3">
        <v>2024.0</v>
      </c>
      <c r="K1582" s="4" t="str">
        <f>VLOOKUP($C1582,Userpass!$A$2:$R$3001,2,FALSE)</f>
        <v>oto20248998.siswa@smkn12malang.sch.id</v>
      </c>
    </row>
    <row r="1583" hidden="1">
      <c r="A1583" s="3" t="str">
        <f t="shared" si="1"/>
        <v>OK</v>
      </c>
      <c r="B1583" s="3" t="str">
        <f t="shared" si="2"/>
        <v>OK</v>
      </c>
      <c r="C1583" s="3">
        <v>9020.0</v>
      </c>
      <c r="D1583" s="4" t="s">
        <v>3781</v>
      </c>
      <c r="E1583" s="3" t="s">
        <v>3782</v>
      </c>
      <c r="F1583" s="3" t="s">
        <v>17</v>
      </c>
      <c r="G1583" s="3" t="str">
        <f t="shared" si="3"/>
        <v>XIOTO1</v>
      </c>
      <c r="H1583" s="3" t="str">
        <f>VLOOKUP($C1583,Userpass!$A$2:$L$3001,12,FALSE)</f>
        <v>OTO1</v>
      </c>
      <c r="I1583" s="5" t="s">
        <v>3045</v>
      </c>
      <c r="J1583" s="3">
        <v>2024.0</v>
      </c>
      <c r="K1583" s="4" t="str">
        <f>VLOOKUP($C1583,Userpass!$A$2:$R$3001,2,FALSE)</f>
        <v>oto20249020.siswa@smkn12malang.sch.id</v>
      </c>
    </row>
    <row r="1584" hidden="1">
      <c r="A1584" s="3" t="str">
        <f t="shared" si="1"/>
        <v>OK</v>
      </c>
      <c r="B1584" s="3" t="str">
        <f t="shared" si="2"/>
        <v>OK</v>
      </c>
      <c r="C1584" s="3">
        <v>9028.0</v>
      </c>
      <c r="D1584" s="4" t="s">
        <v>3783</v>
      </c>
      <c r="E1584" s="3" t="s">
        <v>3784</v>
      </c>
      <c r="F1584" s="3" t="s">
        <v>17</v>
      </c>
      <c r="G1584" s="3" t="str">
        <f t="shared" si="3"/>
        <v>XIOTO1</v>
      </c>
      <c r="H1584" s="3" t="str">
        <f>VLOOKUP($C1584,Userpass!$A$2:$L$3001,12,FALSE)</f>
        <v>OTO1</v>
      </c>
      <c r="I1584" s="5" t="s">
        <v>3045</v>
      </c>
      <c r="J1584" s="3">
        <v>2024.0</v>
      </c>
      <c r="K1584" s="4" t="str">
        <f>VLOOKUP($C1584,Userpass!$A$2:$R$3001,2,FALSE)</f>
        <v>oto20249028.siswa@smkn12malang.sch.id</v>
      </c>
    </row>
    <row r="1585" hidden="1">
      <c r="A1585" s="3" t="str">
        <f t="shared" si="1"/>
        <v>OK</v>
      </c>
      <c r="B1585" s="3" t="str">
        <f t="shared" si="2"/>
        <v>OK</v>
      </c>
      <c r="C1585" s="3">
        <v>9054.0</v>
      </c>
      <c r="D1585" s="4" t="s">
        <v>3785</v>
      </c>
      <c r="E1585" s="3" t="s">
        <v>3786</v>
      </c>
      <c r="F1585" s="3" t="s">
        <v>17</v>
      </c>
      <c r="G1585" s="3" t="str">
        <f t="shared" si="3"/>
        <v>XIOTO1</v>
      </c>
      <c r="H1585" s="3" t="str">
        <f>VLOOKUP($C1585,Userpass!$A$2:$L$3001,12,FALSE)</f>
        <v>OTO1</v>
      </c>
      <c r="I1585" s="5" t="s">
        <v>3045</v>
      </c>
      <c r="J1585" s="3">
        <v>2024.0</v>
      </c>
      <c r="K1585" s="4" t="str">
        <f>VLOOKUP($C1585,Userpass!$A$2:$R$3001,2,FALSE)</f>
        <v>oto20249054.siswa@smkn12malang.sch.id</v>
      </c>
    </row>
    <row r="1586" hidden="1">
      <c r="A1586" s="3" t="str">
        <f t="shared" si="1"/>
        <v>OK</v>
      </c>
      <c r="B1586" s="3" t="str">
        <f t="shared" si="2"/>
        <v>OK</v>
      </c>
      <c r="C1586" s="3">
        <v>9071.0</v>
      </c>
      <c r="D1586" s="4" t="s">
        <v>3787</v>
      </c>
      <c r="E1586" s="3" t="s">
        <v>3788</v>
      </c>
      <c r="F1586" s="3" t="s">
        <v>17</v>
      </c>
      <c r="G1586" s="3" t="str">
        <f t="shared" si="3"/>
        <v>XIOTO1</v>
      </c>
      <c r="H1586" s="3" t="str">
        <f>VLOOKUP($C1586,Userpass!$A$2:$L$3001,12,FALSE)</f>
        <v>OTO1</v>
      </c>
      <c r="I1586" s="5" t="s">
        <v>3045</v>
      </c>
      <c r="J1586" s="3">
        <v>2024.0</v>
      </c>
      <c r="K1586" s="4" t="str">
        <f>VLOOKUP($C1586,Userpass!$A$2:$R$3001,2,FALSE)</f>
        <v>oto20249071.siswa@smkn12malang.sch.id</v>
      </c>
    </row>
    <row r="1587" hidden="1">
      <c r="A1587" s="3" t="str">
        <f t="shared" si="1"/>
        <v>OK</v>
      </c>
      <c r="B1587" s="3" t="str">
        <f t="shared" si="2"/>
        <v>OK</v>
      </c>
      <c r="C1587" s="3">
        <v>9089.0</v>
      </c>
      <c r="D1587" s="4" t="s">
        <v>3789</v>
      </c>
      <c r="E1587" s="3" t="s">
        <v>3790</v>
      </c>
      <c r="F1587" s="3" t="s">
        <v>17</v>
      </c>
      <c r="G1587" s="3" t="str">
        <f t="shared" si="3"/>
        <v>XIOTO1</v>
      </c>
      <c r="H1587" s="3" t="str">
        <f>VLOOKUP($C1587,Userpass!$A$2:$L$3001,12,FALSE)</f>
        <v>OTO1</v>
      </c>
      <c r="I1587" s="5" t="s">
        <v>3045</v>
      </c>
      <c r="J1587" s="3">
        <v>2024.0</v>
      </c>
      <c r="K1587" s="4" t="str">
        <f>VLOOKUP($C1587,Userpass!$A$2:$R$3001,2,FALSE)</f>
        <v>oto20249089.siswa@smkn12malang.sch.id</v>
      </c>
    </row>
    <row r="1588" hidden="1">
      <c r="A1588" s="3" t="str">
        <f t="shared" si="1"/>
        <v>OK</v>
      </c>
      <c r="B1588" s="3" t="str">
        <f t="shared" si="2"/>
        <v>OK</v>
      </c>
      <c r="C1588" s="3">
        <v>9092.0</v>
      </c>
      <c r="D1588" s="4" t="s">
        <v>3791</v>
      </c>
      <c r="E1588" s="3" t="s">
        <v>3792</v>
      </c>
      <c r="F1588" s="3" t="s">
        <v>17</v>
      </c>
      <c r="G1588" s="3" t="str">
        <f t="shared" si="3"/>
        <v>XIOTO1</v>
      </c>
      <c r="H1588" s="3" t="str">
        <f>VLOOKUP($C1588,Userpass!$A$2:$L$3001,12,FALSE)</f>
        <v>OTO1</v>
      </c>
      <c r="I1588" s="5" t="s">
        <v>3045</v>
      </c>
      <c r="J1588" s="3">
        <v>2024.0</v>
      </c>
      <c r="K1588" s="4" t="str">
        <f>VLOOKUP($C1588,Userpass!$A$2:$R$3001,2,FALSE)</f>
        <v>oto20249092.siswa@smkn12malang.sch.id</v>
      </c>
    </row>
    <row r="1589" hidden="1">
      <c r="A1589" s="3" t="str">
        <f t="shared" si="1"/>
        <v>OK</v>
      </c>
      <c r="B1589" s="3" t="str">
        <f t="shared" si="2"/>
        <v>OK</v>
      </c>
      <c r="C1589" s="3">
        <v>9103.0</v>
      </c>
      <c r="D1589" s="4" t="s">
        <v>3793</v>
      </c>
      <c r="E1589" s="3" t="s">
        <v>3794</v>
      </c>
      <c r="F1589" s="3" t="s">
        <v>17</v>
      </c>
      <c r="G1589" s="3" t="str">
        <f t="shared" si="3"/>
        <v>XIOTO1</v>
      </c>
      <c r="H1589" s="3" t="str">
        <f>VLOOKUP($C1589,Userpass!$A$2:$L$3001,12,FALSE)</f>
        <v>OTO1</v>
      </c>
      <c r="I1589" s="5" t="s">
        <v>3045</v>
      </c>
      <c r="J1589" s="3">
        <v>2024.0</v>
      </c>
      <c r="K1589" s="4" t="str">
        <f>VLOOKUP($C1589,Userpass!$A$2:$R$3001,2,FALSE)</f>
        <v>oto20249103.siswa@smkn12malang.sch.id</v>
      </c>
    </row>
    <row r="1590" hidden="1">
      <c r="A1590" s="3" t="str">
        <f t="shared" si="1"/>
        <v>OK</v>
      </c>
      <c r="B1590" s="3" t="str">
        <f t="shared" si="2"/>
        <v>OK</v>
      </c>
      <c r="C1590" s="3">
        <v>9110.0</v>
      </c>
      <c r="D1590" s="4" t="s">
        <v>3795</v>
      </c>
      <c r="E1590" s="3" t="s">
        <v>3796</v>
      </c>
      <c r="F1590" s="3" t="s">
        <v>17</v>
      </c>
      <c r="G1590" s="3" t="str">
        <f t="shared" si="3"/>
        <v>XIOTO1</v>
      </c>
      <c r="H1590" s="3" t="str">
        <f>VLOOKUP($C1590,Userpass!$A$2:$L$3001,12,FALSE)</f>
        <v>OTO1</v>
      </c>
      <c r="I1590" s="5" t="s">
        <v>3045</v>
      </c>
      <c r="J1590" s="3">
        <v>2024.0</v>
      </c>
      <c r="K1590" s="4" t="str">
        <f>VLOOKUP($C1590,Userpass!$A$2:$R$3001,2,FALSE)</f>
        <v>oto20249110.siswa@smkn12malang.sch.id</v>
      </c>
    </row>
    <row r="1591" hidden="1">
      <c r="A1591" s="3" t="str">
        <f t="shared" si="1"/>
        <v>OK</v>
      </c>
      <c r="B1591" s="3" t="str">
        <f t="shared" si="2"/>
        <v>OK</v>
      </c>
      <c r="C1591" s="3">
        <v>9120.0</v>
      </c>
      <c r="D1591" s="4" t="s">
        <v>3797</v>
      </c>
      <c r="E1591" s="3" t="s">
        <v>3798</v>
      </c>
      <c r="F1591" s="3" t="s">
        <v>17</v>
      </c>
      <c r="G1591" s="3" t="str">
        <f t="shared" si="3"/>
        <v>XIOTO1</v>
      </c>
      <c r="H1591" s="3" t="str">
        <f>VLOOKUP($C1591,Userpass!$A$2:$L$3001,12,FALSE)</f>
        <v>OTO1</v>
      </c>
      <c r="I1591" s="5" t="s">
        <v>3045</v>
      </c>
      <c r="J1591" s="3">
        <v>2024.0</v>
      </c>
      <c r="K1591" s="4" t="str">
        <f>VLOOKUP($C1591,Userpass!$A$2:$R$3001,2,FALSE)</f>
        <v>oto20249120.siswa@smkn12malang.sch.id</v>
      </c>
    </row>
    <row r="1592" hidden="1">
      <c r="A1592" s="3" t="str">
        <f t="shared" si="1"/>
        <v>OK</v>
      </c>
      <c r="B1592" s="3" t="str">
        <f t="shared" si="2"/>
        <v>OK</v>
      </c>
      <c r="C1592" s="3">
        <v>9131.0</v>
      </c>
      <c r="D1592" s="4" t="s">
        <v>3799</v>
      </c>
      <c r="E1592" s="3" t="s">
        <v>3800</v>
      </c>
      <c r="F1592" s="3" t="s">
        <v>17</v>
      </c>
      <c r="G1592" s="3" t="str">
        <f t="shared" si="3"/>
        <v>XIOTO1</v>
      </c>
      <c r="H1592" s="3" t="str">
        <f>VLOOKUP($C1592,Userpass!$A$2:$L$3001,12,FALSE)</f>
        <v>OTO1</v>
      </c>
      <c r="I1592" s="5" t="s">
        <v>3045</v>
      </c>
      <c r="J1592" s="3">
        <v>2024.0</v>
      </c>
      <c r="K1592" s="4" t="str">
        <f>VLOOKUP($C1592,Userpass!$A$2:$R$3001,2,FALSE)</f>
        <v>oto20249131.siswa@smkn12malang.sch.id</v>
      </c>
    </row>
    <row r="1593" hidden="1">
      <c r="A1593" s="3" t="str">
        <f t="shared" si="1"/>
        <v>OK</v>
      </c>
      <c r="B1593" s="3" t="str">
        <f t="shared" si="2"/>
        <v>OK</v>
      </c>
      <c r="C1593" s="3">
        <v>9162.0</v>
      </c>
      <c r="D1593" s="4" t="s">
        <v>3801</v>
      </c>
      <c r="E1593" s="3" t="s">
        <v>3802</v>
      </c>
      <c r="F1593" s="3" t="s">
        <v>17</v>
      </c>
      <c r="G1593" s="3" t="str">
        <f t="shared" si="3"/>
        <v>XIOTO1</v>
      </c>
      <c r="H1593" s="3" t="str">
        <f>VLOOKUP($C1593,Userpass!$A$2:$L$3001,12,FALSE)</f>
        <v>OTO1</v>
      </c>
      <c r="I1593" s="5" t="s">
        <v>3045</v>
      </c>
      <c r="J1593" s="3">
        <v>2024.0</v>
      </c>
      <c r="K1593" s="4" t="str">
        <f>VLOOKUP($C1593,Userpass!$A$2:$R$3001,2,FALSE)</f>
        <v>oto20249162.siswa@smkn12malang.sch.id</v>
      </c>
    </row>
    <row r="1594" hidden="1">
      <c r="A1594" s="3" t="str">
        <f t="shared" si="1"/>
        <v>OK</v>
      </c>
      <c r="B1594" s="3" t="str">
        <f t="shared" si="2"/>
        <v>OK</v>
      </c>
      <c r="C1594" s="3">
        <v>9188.0</v>
      </c>
      <c r="D1594" s="4" t="s">
        <v>3803</v>
      </c>
      <c r="E1594" s="3" t="s">
        <v>3804</v>
      </c>
      <c r="F1594" s="3" t="s">
        <v>17</v>
      </c>
      <c r="G1594" s="3" t="str">
        <f t="shared" si="3"/>
        <v>XIOTO1</v>
      </c>
      <c r="H1594" s="3" t="str">
        <f>VLOOKUP($C1594,Userpass!$A$2:$L$3001,12,FALSE)</f>
        <v>OTO1</v>
      </c>
      <c r="I1594" s="5" t="s">
        <v>3045</v>
      </c>
      <c r="J1594" s="3">
        <v>2024.0</v>
      </c>
      <c r="K1594" s="4" t="str">
        <f>VLOOKUP($C1594,Userpass!$A$2:$R$3001,2,FALSE)</f>
        <v>oto20249188.siswa@smkn12malang.sch.id</v>
      </c>
    </row>
    <row r="1595" hidden="1">
      <c r="A1595" s="3" t="str">
        <f t="shared" si="1"/>
        <v>OK</v>
      </c>
      <c r="B1595" s="3" t="str">
        <f t="shared" si="2"/>
        <v>OK</v>
      </c>
      <c r="C1595" s="3">
        <v>9218.0</v>
      </c>
      <c r="D1595" s="4" t="s">
        <v>3805</v>
      </c>
      <c r="E1595" s="3" t="s">
        <v>3806</v>
      </c>
      <c r="F1595" s="3" t="s">
        <v>17</v>
      </c>
      <c r="G1595" s="3" t="str">
        <f t="shared" si="3"/>
        <v>XIOTO1</v>
      </c>
      <c r="H1595" s="3" t="str">
        <f>VLOOKUP($C1595,Userpass!$A$2:$L$3001,12,FALSE)</f>
        <v>OTO1</v>
      </c>
      <c r="I1595" s="5" t="s">
        <v>3045</v>
      </c>
      <c r="J1595" s="3">
        <v>2024.0</v>
      </c>
      <c r="K1595" s="4" t="str">
        <f>VLOOKUP($C1595,Userpass!$A$2:$R$3001,2,FALSE)</f>
        <v>oto20249218.siswa@smkn12malang.sch.id</v>
      </c>
    </row>
    <row r="1596" hidden="1">
      <c r="A1596" s="3" t="str">
        <f t="shared" si="1"/>
        <v>OK</v>
      </c>
      <c r="B1596" s="3" t="str">
        <f t="shared" si="2"/>
        <v>OK</v>
      </c>
      <c r="C1596" s="3">
        <v>9234.0</v>
      </c>
      <c r="D1596" s="4" t="s">
        <v>3807</v>
      </c>
      <c r="E1596" s="3" t="s">
        <v>3808</v>
      </c>
      <c r="F1596" s="3" t="s">
        <v>17</v>
      </c>
      <c r="G1596" s="3" t="str">
        <f t="shared" si="3"/>
        <v>XIOTO1</v>
      </c>
      <c r="H1596" s="3" t="str">
        <f>VLOOKUP($C1596,Userpass!$A$2:$L$3001,12,FALSE)</f>
        <v>OTO1</v>
      </c>
      <c r="I1596" s="5" t="s">
        <v>3045</v>
      </c>
      <c r="J1596" s="3">
        <v>2024.0</v>
      </c>
      <c r="K1596" s="4" t="str">
        <f>VLOOKUP($C1596,Userpass!$A$2:$R$3001,2,FALSE)</f>
        <v>oto20249234.siswa@smkn12malang.sch.id</v>
      </c>
    </row>
    <row r="1597" hidden="1">
      <c r="A1597" s="3" t="str">
        <f t="shared" si="1"/>
        <v>OK</v>
      </c>
      <c r="B1597" s="3" t="str">
        <f t="shared" si="2"/>
        <v>OK</v>
      </c>
      <c r="C1597" s="3">
        <v>8642.0</v>
      </c>
      <c r="D1597" s="4" t="s">
        <v>3809</v>
      </c>
      <c r="E1597" s="3" t="s">
        <v>3810</v>
      </c>
      <c r="F1597" s="3" t="s">
        <v>17</v>
      </c>
      <c r="G1597" s="3" t="str">
        <f t="shared" si="3"/>
        <v>XIOTO2</v>
      </c>
      <c r="H1597" s="3" t="str">
        <f>VLOOKUP($C1597,Userpass!$A$2:$L$3001,12,FALSE)</f>
        <v>OTO2</v>
      </c>
      <c r="I1597" s="5" t="s">
        <v>3045</v>
      </c>
      <c r="J1597" s="3">
        <v>2024.0</v>
      </c>
      <c r="K1597" s="4" t="str">
        <f>VLOOKUP($C1597,Userpass!$A$2:$R$3001,2,FALSE)</f>
        <v>oto20248642.siswa@smkn12malang.sch.id</v>
      </c>
    </row>
    <row r="1598" hidden="1">
      <c r="A1598" s="3" t="str">
        <f t="shared" si="1"/>
        <v>OK</v>
      </c>
      <c r="B1598" s="3" t="str">
        <f t="shared" si="2"/>
        <v>OK</v>
      </c>
      <c r="C1598" s="3">
        <v>8649.0</v>
      </c>
      <c r="D1598" s="4" t="s">
        <v>3811</v>
      </c>
      <c r="E1598" s="3" t="s">
        <v>3812</v>
      </c>
      <c r="F1598" s="3" t="s">
        <v>17</v>
      </c>
      <c r="G1598" s="3" t="str">
        <f t="shared" si="3"/>
        <v>XIOTO2</v>
      </c>
      <c r="H1598" s="3" t="str">
        <f>VLOOKUP($C1598,Userpass!$A$2:$L$3001,12,FALSE)</f>
        <v>OTO2</v>
      </c>
      <c r="I1598" s="5" t="s">
        <v>3045</v>
      </c>
      <c r="J1598" s="3">
        <v>2024.0</v>
      </c>
      <c r="K1598" s="4" t="str">
        <f>VLOOKUP($C1598,Userpass!$A$2:$R$3001,2,FALSE)</f>
        <v>oto20248649.siswa@smkn12malang.sch.id</v>
      </c>
    </row>
    <row r="1599" hidden="1">
      <c r="A1599" s="3" t="str">
        <f t="shared" si="1"/>
        <v>OK</v>
      </c>
      <c r="B1599" s="3" t="str">
        <f t="shared" si="2"/>
        <v>OK</v>
      </c>
      <c r="C1599" s="3">
        <v>8665.0</v>
      </c>
      <c r="D1599" s="4" t="s">
        <v>3813</v>
      </c>
      <c r="E1599" s="3" t="s">
        <v>3814</v>
      </c>
      <c r="F1599" s="3" t="s">
        <v>17</v>
      </c>
      <c r="G1599" s="3" t="str">
        <f t="shared" si="3"/>
        <v>XIOTO2</v>
      </c>
      <c r="H1599" s="3" t="str">
        <f>VLOOKUP($C1599,Userpass!$A$2:$L$3001,12,FALSE)</f>
        <v>OTO2</v>
      </c>
      <c r="I1599" s="5" t="s">
        <v>3045</v>
      </c>
      <c r="J1599" s="3">
        <v>2024.0</v>
      </c>
      <c r="K1599" s="4" t="str">
        <f>VLOOKUP($C1599,Userpass!$A$2:$R$3001,2,FALSE)</f>
        <v>oto20248665.siswa@smkn12malang.sch.id</v>
      </c>
    </row>
    <row r="1600" hidden="1">
      <c r="A1600" s="3" t="str">
        <f t="shared" si="1"/>
        <v>OK</v>
      </c>
      <c r="B1600" s="3" t="str">
        <f t="shared" si="2"/>
        <v>OK</v>
      </c>
      <c r="C1600" s="3">
        <v>8670.0</v>
      </c>
      <c r="D1600" s="4" t="s">
        <v>3815</v>
      </c>
      <c r="E1600" s="3" t="s">
        <v>3816</v>
      </c>
      <c r="F1600" s="3" t="s">
        <v>17</v>
      </c>
      <c r="G1600" s="3" t="str">
        <f t="shared" si="3"/>
        <v>XIOTO2</v>
      </c>
      <c r="H1600" s="3" t="str">
        <f>VLOOKUP($C1600,Userpass!$A$2:$L$3001,12,FALSE)</f>
        <v>OTO2</v>
      </c>
      <c r="I1600" s="5" t="s">
        <v>3045</v>
      </c>
      <c r="J1600" s="3">
        <v>2024.0</v>
      </c>
      <c r="K1600" s="4" t="str">
        <f>VLOOKUP($C1600,Userpass!$A$2:$R$3001,2,FALSE)</f>
        <v>oto20248670.siswa@smkn12malang.sch.id</v>
      </c>
    </row>
    <row r="1601" hidden="1">
      <c r="A1601" s="3" t="str">
        <f t="shared" si="1"/>
        <v>OK</v>
      </c>
      <c r="B1601" s="3" t="str">
        <f t="shared" si="2"/>
        <v>OK</v>
      </c>
      <c r="C1601" s="3">
        <v>8701.0</v>
      </c>
      <c r="D1601" s="4" t="s">
        <v>3817</v>
      </c>
      <c r="E1601" s="3" t="s">
        <v>3818</v>
      </c>
      <c r="F1601" s="3" t="s">
        <v>17</v>
      </c>
      <c r="G1601" s="3" t="str">
        <f t="shared" si="3"/>
        <v>XIOTO2</v>
      </c>
      <c r="H1601" s="3" t="str">
        <f>VLOOKUP($C1601,Userpass!$A$2:$L$3001,12,FALSE)</f>
        <v>OTO2</v>
      </c>
      <c r="I1601" s="5" t="s">
        <v>3045</v>
      </c>
      <c r="J1601" s="3">
        <v>2024.0</v>
      </c>
      <c r="K1601" s="4" t="str">
        <f>VLOOKUP($C1601,Userpass!$A$2:$R$3001,2,FALSE)</f>
        <v>oto20248701.siswa@smkn12malang.sch.id</v>
      </c>
    </row>
    <row r="1602" hidden="1">
      <c r="A1602" s="3" t="str">
        <f t="shared" si="1"/>
        <v>OK</v>
      </c>
      <c r="B1602" s="3" t="str">
        <f t="shared" si="2"/>
        <v>OK</v>
      </c>
      <c r="C1602" s="3">
        <v>8735.0</v>
      </c>
      <c r="D1602" s="4" t="s">
        <v>3819</v>
      </c>
      <c r="E1602" s="3" t="s">
        <v>3820</v>
      </c>
      <c r="F1602" s="3" t="s">
        <v>17</v>
      </c>
      <c r="G1602" s="3" t="str">
        <f t="shared" si="3"/>
        <v>XIOTO2</v>
      </c>
      <c r="H1602" s="3" t="str">
        <f>VLOOKUP($C1602,Userpass!$A$2:$L$3001,12,FALSE)</f>
        <v>OTO2</v>
      </c>
      <c r="I1602" s="5" t="s">
        <v>3045</v>
      </c>
      <c r="J1602" s="3">
        <v>2024.0</v>
      </c>
      <c r="K1602" s="4" t="str">
        <f>VLOOKUP($C1602,Userpass!$A$2:$R$3001,2,FALSE)</f>
        <v>oto20248735.siswa@smkn12malang.sch.id</v>
      </c>
    </row>
    <row r="1603" hidden="1">
      <c r="A1603" s="3" t="str">
        <f t="shared" si="1"/>
        <v>OK</v>
      </c>
      <c r="B1603" s="3" t="str">
        <f t="shared" si="2"/>
        <v>OK</v>
      </c>
      <c r="C1603" s="3">
        <v>8761.0</v>
      </c>
      <c r="D1603" s="4" t="s">
        <v>3821</v>
      </c>
      <c r="E1603" s="3" t="s">
        <v>3822</v>
      </c>
      <c r="F1603" s="3" t="s">
        <v>17</v>
      </c>
      <c r="G1603" s="3" t="str">
        <f t="shared" si="3"/>
        <v>XIOTO2</v>
      </c>
      <c r="H1603" s="3" t="str">
        <f>VLOOKUP($C1603,Userpass!$A$2:$L$3001,12,FALSE)</f>
        <v>OTO2</v>
      </c>
      <c r="I1603" s="5" t="s">
        <v>3045</v>
      </c>
      <c r="J1603" s="3">
        <v>2024.0</v>
      </c>
      <c r="K1603" s="4" t="str">
        <f>VLOOKUP($C1603,Userpass!$A$2:$R$3001,2,FALSE)</f>
        <v>oto20248761.siswa@smkn12malang.sch.id</v>
      </c>
    </row>
    <row r="1604" hidden="1">
      <c r="A1604" s="3" t="str">
        <f t="shared" si="1"/>
        <v>OK</v>
      </c>
      <c r="B1604" s="3" t="str">
        <f t="shared" si="2"/>
        <v>OK</v>
      </c>
      <c r="C1604" s="3">
        <v>8781.0</v>
      </c>
      <c r="D1604" s="4" t="s">
        <v>3823</v>
      </c>
      <c r="E1604" s="3" t="s">
        <v>3824</v>
      </c>
      <c r="F1604" s="3" t="s">
        <v>17</v>
      </c>
      <c r="G1604" s="3" t="str">
        <f t="shared" si="3"/>
        <v>XIOTO2</v>
      </c>
      <c r="H1604" s="3" t="str">
        <f>VLOOKUP($C1604,Userpass!$A$2:$L$3001,12,FALSE)</f>
        <v>OTO2</v>
      </c>
      <c r="I1604" s="5" t="s">
        <v>3045</v>
      </c>
      <c r="J1604" s="3">
        <v>2024.0</v>
      </c>
      <c r="K1604" s="4" t="str">
        <f>VLOOKUP($C1604,Userpass!$A$2:$R$3001,2,FALSE)</f>
        <v>oto20248781.siswa@smkn12malang.sch.id</v>
      </c>
    </row>
    <row r="1605" hidden="1">
      <c r="A1605" s="3" t="str">
        <f t="shared" si="1"/>
        <v>OK</v>
      </c>
      <c r="B1605" s="3" t="str">
        <f t="shared" si="2"/>
        <v>OK</v>
      </c>
      <c r="C1605" s="3">
        <v>8806.0</v>
      </c>
      <c r="D1605" s="4" t="s">
        <v>3825</v>
      </c>
      <c r="E1605" s="3" t="s">
        <v>3826</v>
      </c>
      <c r="F1605" s="3" t="s">
        <v>17</v>
      </c>
      <c r="G1605" s="3" t="str">
        <f t="shared" si="3"/>
        <v>DROPOUT</v>
      </c>
      <c r="H1605" s="3" t="str">
        <f>VLOOKUP($C1605,Userpass!$A$2:$L$3001,12,FALSE)</f>
        <v>OUT</v>
      </c>
      <c r="I1605" s="5" t="s">
        <v>1166</v>
      </c>
      <c r="J1605" s="3">
        <v>2024.0</v>
      </c>
      <c r="K1605" s="4" t="str">
        <f>VLOOKUP($C1605,Userpass!$A$2:$R$3001,2,FALSE)</f>
        <v>oto20248806.siswa@smkn12malang.sch.id</v>
      </c>
    </row>
    <row r="1606" hidden="1">
      <c r="A1606" s="3" t="str">
        <f t="shared" si="1"/>
        <v>OK</v>
      </c>
      <c r="B1606" s="3" t="str">
        <f t="shared" si="2"/>
        <v>OK</v>
      </c>
      <c r="C1606" s="3">
        <v>8837.0</v>
      </c>
      <c r="D1606" s="4" t="s">
        <v>3827</v>
      </c>
      <c r="E1606" s="3" t="s">
        <v>3828</v>
      </c>
      <c r="F1606" s="3" t="s">
        <v>17</v>
      </c>
      <c r="G1606" s="3" t="str">
        <f t="shared" si="3"/>
        <v>XIOTO2</v>
      </c>
      <c r="H1606" s="3" t="str">
        <f>VLOOKUP($C1606,Userpass!$A$2:$L$3001,12,FALSE)</f>
        <v>OTO2</v>
      </c>
      <c r="I1606" s="5" t="s">
        <v>3045</v>
      </c>
      <c r="J1606" s="3">
        <v>2024.0</v>
      </c>
      <c r="K1606" s="4" t="str">
        <f>VLOOKUP($C1606,Userpass!$A$2:$R$3001,2,FALSE)</f>
        <v>oto20248837.siswa@smkn12malang.sch.id</v>
      </c>
    </row>
    <row r="1607" hidden="1">
      <c r="A1607" s="3" t="str">
        <f t="shared" si="1"/>
        <v>OK</v>
      </c>
      <c r="B1607" s="3" t="str">
        <f t="shared" si="2"/>
        <v>OK</v>
      </c>
      <c r="C1607" s="3">
        <v>8860.0</v>
      </c>
      <c r="D1607" s="4" t="s">
        <v>3829</v>
      </c>
      <c r="E1607" s="3" t="s">
        <v>3830</v>
      </c>
      <c r="F1607" s="3" t="s">
        <v>17</v>
      </c>
      <c r="G1607" s="3" t="str">
        <f t="shared" si="3"/>
        <v>XIOTO2</v>
      </c>
      <c r="H1607" s="3" t="str">
        <f>VLOOKUP($C1607,Userpass!$A$2:$L$3001,12,FALSE)</f>
        <v>OTO2</v>
      </c>
      <c r="I1607" s="5" t="s">
        <v>3045</v>
      </c>
      <c r="J1607" s="3">
        <v>2024.0</v>
      </c>
      <c r="K1607" s="4" t="str">
        <f>VLOOKUP($C1607,Userpass!$A$2:$R$3001,2,FALSE)</f>
        <v>oto20248860.siswa@smkn12malang.sch.id</v>
      </c>
    </row>
    <row r="1608" hidden="1">
      <c r="A1608" s="3" t="str">
        <f t="shared" si="1"/>
        <v>OK</v>
      </c>
      <c r="B1608" s="3" t="str">
        <f t="shared" si="2"/>
        <v>OK</v>
      </c>
      <c r="C1608" s="3">
        <v>8875.0</v>
      </c>
      <c r="D1608" s="4" t="s">
        <v>3831</v>
      </c>
      <c r="E1608" s="3" t="s">
        <v>3832</v>
      </c>
      <c r="F1608" s="3" t="s">
        <v>17</v>
      </c>
      <c r="G1608" s="3" t="str">
        <f t="shared" si="3"/>
        <v>XIOTO2</v>
      </c>
      <c r="H1608" s="3" t="str">
        <f>VLOOKUP($C1608,Userpass!$A$2:$L$3001,12,FALSE)</f>
        <v>OTO2</v>
      </c>
      <c r="I1608" s="5" t="s">
        <v>3045</v>
      </c>
      <c r="J1608" s="3">
        <v>2024.0</v>
      </c>
      <c r="K1608" s="4" t="str">
        <f>VLOOKUP($C1608,Userpass!$A$2:$R$3001,2,FALSE)</f>
        <v>oto20248875.siswa@smkn12malang.sch.id</v>
      </c>
    </row>
    <row r="1609" hidden="1">
      <c r="A1609" s="3" t="str">
        <f t="shared" si="1"/>
        <v>OK</v>
      </c>
      <c r="B1609" s="3" t="str">
        <f t="shared" si="2"/>
        <v>OK</v>
      </c>
      <c r="C1609" s="3">
        <v>8890.0</v>
      </c>
      <c r="D1609" s="4" t="s">
        <v>3833</v>
      </c>
      <c r="E1609" s="3" t="s">
        <v>3834</v>
      </c>
      <c r="F1609" s="3" t="s">
        <v>13</v>
      </c>
      <c r="G1609" s="3" t="str">
        <f t="shared" si="3"/>
        <v>XIOTO2</v>
      </c>
      <c r="H1609" s="3" t="str">
        <f>VLOOKUP($C1609,Userpass!$A$2:$L$3001,12,FALSE)</f>
        <v>OTO2</v>
      </c>
      <c r="I1609" s="5" t="s">
        <v>3045</v>
      </c>
      <c r="J1609" s="3">
        <v>2024.0</v>
      </c>
      <c r="K1609" s="4" t="str">
        <f>VLOOKUP($C1609,Userpass!$A$2:$R$3001,2,FALSE)</f>
        <v>oto20248890.siswa@smkn12malang.sch.id</v>
      </c>
    </row>
    <row r="1610" hidden="1">
      <c r="A1610" s="3" t="str">
        <f t="shared" si="1"/>
        <v>OK</v>
      </c>
      <c r="B1610" s="3" t="str">
        <f t="shared" si="2"/>
        <v>OK</v>
      </c>
      <c r="C1610" s="3">
        <v>8934.0</v>
      </c>
      <c r="D1610" s="4" t="s">
        <v>3835</v>
      </c>
      <c r="E1610" s="3" t="s">
        <v>3836</v>
      </c>
      <c r="F1610" s="3" t="s">
        <v>17</v>
      </c>
      <c r="G1610" s="3" t="str">
        <f t="shared" si="3"/>
        <v>XIOTO2</v>
      </c>
      <c r="H1610" s="3" t="str">
        <f>VLOOKUP($C1610,Userpass!$A$2:$L$3001,12,FALSE)</f>
        <v>OTO2</v>
      </c>
      <c r="I1610" s="5" t="s">
        <v>3045</v>
      </c>
      <c r="J1610" s="3">
        <v>2024.0</v>
      </c>
      <c r="K1610" s="4" t="str">
        <f>VLOOKUP($C1610,Userpass!$A$2:$R$3001,2,FALSE)</f>
        <v>oto20248934.siswa@smkn12malang.sch.id</v>
      </c>
    </row>
    <row r="1611" hidden="1">
      <c r="A1611" s="3" t="str">
        <f t="shared" si="1"/>
        <v>OK</v>
      </c>
      <c r="B1611" s="3" t="str">
        <f t="shared" si="2"/>
        <v>OK</v>
      </c>
      <c r="C1611" s="3">
        <v>8942.0</v>
      </c>
      <c r="D1611" s="4" t="s">
        <v>3837</v>
      </c>
      <c r="E1611" s="3" t="s">
        <v>3838</v>
      </c>
      <c r="F1611" s="3" t="s">
        <v>17</v>
      </c>
      <c r="G1611" s="3" t="str">
        <f t="shared" si="3"/>
        <v>XIOTO2</v>
      </c>
      <c r="H1611" s="3" t="str">
        <f>VLOOKUP($C1611,Userpass!$A$2:$L$3001,12,FALSE)</f>
        <v>OTO2</v>
      </c>
      <c r="I1611" s="5" t="s">
        <v>3045</v>
      </c>
      <c r="J1611" s="3">
        <v>2024.0</v>
      </c>
      <c r="K1611" s="4" t="str">
        <f>VLOOKUP($C1611,Userpass!$A$2:$R$3001,2,FALSE)</f>
        <v>oto20248942.siswa@smkn12malang.sch.id</v>
      </c>
    </row>
    <row r="1612" hidden="1">
      <c r="A1612" s="3" t="str">
        <f t="shared" si="1"/>
        <v>OK</v>
      </c>
      <c r="B1612" s="3" t="str">
        <f t="shared" si="2"/>
        <v>OK</v>
      </c>
      <c r="C1612" s="3">
        <v>8971.0</v>
      </c>
      <c r="D1612" s="4" t="s">
        <v>3839</v>
      </c>
      <c r="E1612" s="3" t="s">
        <v>3840</v>
      </c>
      <c r="F1612" s="3" t="s">
        <v>17</v>
      </c>
      <c r="G1612" s="3" t="str">
        <f t="shared" si="3"/>
        <v>XIOTO2</v>
      </c>
      <c r="H1612" s="3" t="str">
        <f>VLOOKUP($C1612,Userpass!$A$2:$L$3001,12,FALSE)</f>
        <v>OTO2</v>
      </c>
      <c r="I1612" s="5" t="s">
        <v>3045</v>
      </c>
      <c r="J1612" s="3">
        <v>2024.0</v>
      </c>
      <c r="K1612" s="4" t="str">
        <f>VLOOKUP($C1612,Userpass!$A$2:$R$3001,2,FALSE)</f>
        <v>oto20248971.siswa@smkn12malang.sch.id</v>
      </c>
    </row>
    <row r="1613" hidden="1">
      <c r="A1613" s="3" t="str">
        <f t="shared" si="1"/>
        <v>OK</v>
      </c>
      <c r="B1613" s="3" t="str">
        <f t="shared" si="2"/>
        <v>OK</v>
      </c>
      <c r="C1613" s="3">
        <v>8974.0</v>
      </c>
      <c r="D1613" s="4" t="s">
        <v>3841</v>
      </c>
      <c r="E1613" s="3" t="s">
        <v>3842</v>
      </c>
      <c r="F1613" s="3" t="s">
        <v>17</v>
      </c>
      <c r="G1613" s="3" t="str">
        <f t="shared" si="3"/>
        <v>XIOTO2</v>
      </c>
      <c r="H1613" s="3" t="str">
        <f>VLOOKUP($C1613,Userpass!$A$2:$L$3001,12,FALSE)</f>
        <v>OTO2</v>
      </c>
      <c r="I1613" s="5" t="s">
        <v>3045</v>
      </c>
      <c r="J1613" s="3">
        <v>2024.0</v>
      </c>
      <c r="K1613" s="4" t="str">
        <f>VLOOKUP($C1613,Userpass!$A$2:$R$3001,2,FALSE)</f>
        <v>oto20248974.siswa@smkn12malang.sch.id</v>
      </c>
    </row>
    <row r="1614" hidden="1">
      <c r="A1614" s="3" t="str">
        <f t="shared" si="1"/>
        <v>OK</v>
      </c>
      <c r="B1614" s="3" t="str">
        <f t="shared" si="2"/>
        <v>OK</v>
      </c>
      <c r="C1614" s="3">
        <v>9011.0</v>
      </c>
      <c r="D1614" s="4" t="s">
        <v>3843</v>
      </c>
      <c r="E1614" s="3" t="s">
        <v>3844</v>
      </c>
      <c r="F1614" s="3" t="s">
        <v>17</v>
      </c>
      <c r="G1614" s="3" t="str">
        <f t="shared" si="3"/>
        <v>XIOTO2</v>
      </c>
      <c r="H1614" s="3" t="str">
        <f>VLOOKUP($C1614,Userpass!$A$2:$L$3001,12,FALSE)</f>
        <v>OTO2</v>
      </c>
      <c r="I1614" s="5" t="s">
        <v>3045</v>
      </c>
      <c r="J1614" s="3">
        <v>2024.0</v>
      </c>
      <c r="K1614" s="4" t="str">
        <f>VLOOKUP($C1614,Userpass!$A$2:$R$3001,2,FALSE)</f>
        <v>oto20249011.siswa@smkn12malang.sch.id</v>
      </c>
    </row>
    <row r="1615" hidden="1">
      <c r="A1615" s="3" t="str">
        <f t="shared" si="1"/>
        <v>OK</v>
      </c>
      <c r="B1615" s="3" t="str">
        <f t="shared" si="2"/>
        <v>OK</v>
      </c>
      <c r="C1615" s="3">
        <v>9022.0</v>
      </c>
      <c r="D1615" s="4" t="s">
        <v>3845</v>
      </c>
      <c r="E1615" s="3" t="s">
        <v>3846</v>
      </c>
      <c r="F1615" s="3" t="s">
        <v>17</v>
      </c>
      <c r="G1615" s="3" t="str">
        <f t="shared" si="3"/>
        <v>XIOTO2</v>
      </c>
      <c r="H1615" s="3" t="str">
        <f>VLOOKUP($C1615,Userpass!$A$2:$L$3001,12,FALSE)</f>
        <v>OTO2</v>
      </c>
      <c r="I1615" s="5" t="s">
        <v>3045</v>
      </c>
      <c r="J1615" s="3">
        <v>2024.0</v>
      </c>
      <c r="K1615" s="4" t="str">
        <f>VLOOKUP($C1615,Userpass!$A$2:$R$3001,2,FALSE)</f>
        <v>oto20249022.siswa@smkn12malang.sch.id</v>
      </c>
    </row>
    <row r="1616" hidden="1">
      <c r="A1616" s="3" t="str">
        <f t="shared" si="1"/>
        <v>OK</v>
      </c>
      <c r="B1616" s="3" t="str">
        <f t="shared" si="2"/>
        <v>OK</v>
      </c>
      <c r="C1616" s="3">
        <v>9031.0</v>
      </c>
      <c r="D1616" s="4" t="s">
        <v>3847</v>
      </c>
      <c r="E1616" s="3" t="s">
        <v>3848</v>
      </c>
      <c r="F1616" s="3" t="s">
        <v>17</v>
      </c>
      <c r="G1616" s="3" t="str">
        <f t="shared" si="3"/>
        <v>XIOTO2</v>
      </c>
      <c r="H1616" s="3" t="str">
        <f>VLOOKUP($C1616,Userpass!$A$2:$L$3001,12,FALSE)</f>
        <v>OTO2</v>
      </c>
      <c r="I1616" s="5" t="s">
        <v>3045</v>
      </c>
      <c r="J1616" s="3">
        <v>2024.0</v>
      </c>
      <c r="K1616" s="4" t="str">
        <f>VLOOKUP($C1616,Userpass!$A$2:$R$3001,2,FALSE)</f>
        <v>oto20249031.siswa@smkn12malang.sch.id</v>
      </c>
    </row>
    <row r="1617" hidden="1">
      <c r="A1617" s="3" t="str">
        <f t="shared" si="1"/>
        <v>OK</v>
      </c>
      <c r="B1617" s="3" t="str">
        <f t="shared" si="2"/>
        <v>OK</v>
      </c>
      <c r="C1617" s="3">
        <v>9063.0</v>
      </c>
      <c r="D1617" s="4" t="s">
        <v>3849</v>
      </c>
      <c r="E1617" s="3" t="s">
        <v>3850</v>
      </c>
      <c r="F1617" s="3" t="s">
        <v>17</v>
      </c>
      <c r="G1617" s="3" t="str">
        <f t="shared" si="3"/>
        <v>XIOTO2</v>
      </c>
      <c r="H1617" s="3" t="str">
        <f>VLOOKUP($C1617,Userpass!$A$2:$L$3001,12,FALSE)</f>
        <v>OTO2</v>
      </c>
      <c r="I1617" s="5" t="s">
        <v>3045</v>
      </c>
      <c r="J1617" s="3">
        <v>2024.0</v>
      </c>
      <c r="K1617" s="4" t="str">
        <f>VLOOKUP($C1617,Userpass!$A$2:$R$3001,2,FALSE)</f>
        <v>oto20249063.siswa@smkn12malang.sch.id</v>
      </c>
    </row>
    <row r="1618" hidden="1">
      <c r="A1618" s="3" t="str">
        <f t="shared" si="1"/>
        <v>OK</v>
      </c>
      <c r="B1618" s="3" t="str">
        <f t="shared" si="2"/>
        <v>OK</v>
      </c>
      <c r="C1618" s="3">
        <v>9088.0</v>
      </c>
      <c r="D1618" s="4" t="s">
        <v>3851</v>
      </c>
      <c r="E1618" s="3" t="s">
        <v>3852</v>
      </c>
      <c r="F1618" s="3" t="s">
        <v>17</v>
      </c>
      <c r="G1618" s="3" t="str">
        <f t="shared" si="3"/>
        <v>XIOTO2</v>
      </c>
      <c r="H1618" s="3" t="str">
        <f>VLOOKUP($C1618,Userpass!$A$2:$L$3001,12,FALSE)</f>
        <v>OTO2</v>
      </c>
      <c r="I1618" s="5" t="s">
        <v>3045</v>
      </c>
      <c r="J1618" s="3">
        <v>2024.0</v>
      </c>
      <c r="K1618" s="4" t="str">
        <f>VLOOKUP($C1618,Userpass!$A$2:$R$3001,2,FALSE)</f>
        <v>oto20249088.siswa@smkn12malang.sch.id</v>
      </c>
    </row>
    <row r="1619" hidden="1">
      <c r="A1619" s="3" t="str">
        <f t="shared" si="1"/>
        <v>OK</v>
      </c>
      <c r="B1619" s="3" t="str">
        <f t="shared" si="2"/>
        <v>OK</v>
      </c>
      <c r="C1619" s="3">
        <v>9090.0</v>
      </c>
      <c r="D1619" s="4" t="s">
        <v>3853</v>
      </c>
      <c r="E1619" s="3" t="s">
        <v>3854</v>
      </c>
      <c r="F1619" s="3" t="s">
        <v>17</v>
      </c>
      <c r="G1619" s="3" t="str">
        <f t="shared" si="3"/>
        <v>XIOTO2</v>
      </c>
      <c r="H1619" s="3" t="str">
        <f>VLOOKUP($C1619,Userpass!$A$2:$L$3001,12,FALSE)</f>
        <v>OTO2</v>
      </c>
      <c r="I1619" s="5" t="s">
        <v>3045</v>
      </c>
      <c r="J1619" s="3">
        <v>2024.0</v>
      </c>
      <c r="K1619" s="4" t="str">
        <f>VLOOKUP($C1619,Userpass!$A$2:$R$3001,2,FALSE)</f>
        <v>oto20249090.siswa@smkn12malang.sch.id</v>
      </c>
    </row>
    <row r="1620" hidden="1">
      <c r="A1620" s="3" t="str">
        <f t="shared" si="1"/>
        <v>OK</v>
      </c>
      <c r="B1620" s="3" t="str">
        <f t="shared" si="2"/>
        <v>OK</v>
      </c>
      <c r="C1620" s="3">
        <v>9100.0</v>
      </c>
      <c r="D1620" s="4" t="s">
        <v>3855</v>
      </c>
      <c r="E1620" s="3" t="s">
        <v>3856</v>
      </c>
      <c r="F1620" s="3" t="s">
        <v>17</v>
      </c>
      <c r="G1620" s="3" t="str">
        <f t="shared" si="3"/>
        <v>DROPOUT</v>
      </c>
      <c r="H1620" s="3" t="str">
        <f>VLOOKUP($C1620,Userpass!$A$2:$L$3001,12,FALSE)</f>
        <v>OUT</v>
      </c>
      <c r="I1620" s="5" t="s">
        <v>1166</v>
      </c>
      <c r="J1620" s="3">
        <v>2024.0</v>
      </c>
      <c r="K1620" s="4" t="str">
        <f>VLOOKUP($C1620,Userpass!$A$2:$R$3001,2,FALSE)</f>
        <v>oto20249100.siswa@smkn12malang.sch.id</v>
      </c>
    </row>
    <row r="1621" hidden="1">
      <c r="A1621" s="3" t="str">
        <f t="shared" si="1"/>
        <v>OK</v>
      </c>
      <c r="B1621" s="3" t="str">
        <f t="shared" si="2"/>
        <v>OK</v>
      </c>
      <c r="C1621" s="3">
        <v>9104.0</v>
      </c>
      <c r="D1621" s="4" t="s">
        <v>3857</v>
      </c>
      <c r="E1621" s="3" t="s">
        <v>3858</v>
      </c>
      <c r="F1621" s="3" t="s">
        <v>17</v>
      </c>
      <c r="G1621" s="3" t="str">
        <f t="shared" si="3"/>
        <v>XIOTO2</v>
      </c>
      <c r="H1621" s="3" t="str">
        <f>VLOOKUP($C1621,Userpass!$A$2:$L$3001,12,FALSE)</f>
        <v>OTO2</v>
      </c>
      <c r="I1621" s="5" t="s">
        <v>3045</v>
      </c>
      <c r="J1621" s="3">
        <v>2024.0</v>
      </c>
      <c r="K1621" s="4" t="str">
        <f>VLOOKUP($C1621,Userpass!$A$2:$R$3001,2,FALSE)</f>
        <v>oto20249104.siswa@smkn12malang.sch.id</v>
      </c>
    </row>
    <row r="1622" hidden="1">
      <c r="A1622" s="3" t="str">
        <f t="shared" si="1"/>
        <v>OK</v>
      </c>
      <c r="B1622" s="3" t="str">
        <f t="shared" si="2"/>
        <v>OK</v>
      </c>
      <c r="C1622" s="3">
        <v>9116.0</v>
      </c>
      <c r="D1622" s="4" t="s">
        <v>3859</v>
      </c>
      <c r="E1622" s="3" t="s">
        <v>3860</v>
      </c>
      <c r="F1622" s="3" t="s">
        <v>17</v>
      </c>
      <c r="G1622" s="3" t="str">
        <f t="shared" si="3"/>
        <v>XIOTO2</v>
      </c>
      <c r="H1622" s="3" t="str">
        <f>VLOOKUP($C1622,Userpass!$A$2:$L$3001,12,FALSE)</f>
        <v>OTO2</v>
      </c>
      <c r="I1622" s="5" t="s">
        <v>3045</v>
      </c>
      <c r="J1622" s="3">
        <v>2024.0</v>
      </c>
      <c r="K1622" s="4" t="str">
        <f>VLOOKUP($C1622,Userpass!$A$2:$R$3001,2,FALSE)</f>
        <v>oto20249116.siswa@smkn12malang.sch.id</v>
      </c>
    </row>
    <row r="1623" hidden="1">
      <c r="A1623" s="3" t="str">
        <f t="shared" si="1"/>
        <v>OK</v>
      </c>
      <c r="B1623" s="3" t="str">
        <f t="shared" si="2"/>
        <v>OK</v>
      </c>
      <c r="C1623" s="3">
        <v>9125.0</v>
      </c>
      <c r="D1623" s="4" t="s">
        <v>3861</v>
      </c>
      <c r="E1623" s="3" t="s">
        <v>3862</v>
      </c>
      <c r="F1623" s="3" t="s">
        <v>17</v>
      </c>
      <c r="G1623" s="3" t="str">
        <f t="shared" si="3"/>
        <v>XIOTO2</v>
      </c>
      <c r="H1623" s="3" t="str">
        <f>VLOOKUP($C1623,Userpass!$A$2:$L$3001,12,FALSE)</f>
        <v>OTO2</v>
      </c>
      <c r="I1623" s="5" t="s">
        <v>3045</v>
      </c>
      <c r="J1623" s="3">
        <v>2024.0</v>
      </c>
      <c r="K1623" s="4" t="str">
        <f>VLOOKUP($C1623,Userpass!$A$2:$R$3001,2,FALSE)</f>
        <v>oto20249125.siswa@smkn12malang.sch.id</v>
      </c>
    </row>
    <row r="1624" hidden="1">
      <c r="A1624" s="3" t="str">
        <f t="shared" si="1"/>
        <v>OK</v>
      </c>
      <c r="B1624" s="3" t="str">
        <f t="shared" si="2"/>
        <v>OK</v>
      </c>
      <c r="C1624" s="3">
        <v>9139.0</v>
      </c>
      <c r="D1624" s="4" t="s">
        <v>3863</v>
      </c>
      <c r="E1624" s="3" t="s">
        <v>3864</v>
      </c>
      <c r="F1624" s="3" t="s">
        <v>17</v>
      </c>
      <c r="G1624" s="3" t="str">
        <f t="shared" si="3"/>
        <v>XIOTO2</v>
      </c>
      <c r="H1624" s="3" t="str">
        <f>VLOOKUP($C1624,Userpass!$A$2:$L$3001,12,FALSE)</f>
        <v>OTO2</v>
      </c>
      <c r="I1624" s="5" t="s">
        <v>3045</v>
      </c>
      <c r="J1624" s="3">
        <v>2024.0</v>
      </c>
      <c r="K1624" s="4" t="str">
        <f>VLOOKUP($C1624,Userpass!$A$2:$R$3001,2,FALSE)</f>
        <v>oto20249139.siswa@smkn12malang.sch.id</v>
      </c>
    </row>
    <row r="1625" hidden="1">
      <c r="A1625" s="3" t="str">
        <f t="shared" si="1"/>
        <v>OK</v>
      </c>
      <c r="B1625" s="3" t="str">
        <f t="shared" si="2"/>
        <v>OK</v>
      </c>
      <c r="C1625" s="3">
        <v>9142.0</v>
      </c>
      <c r="D1625" s="4" t="s">
        <v>3865</v>
      </c>
      <c r="E1625" s="3" t="s">
        <v>3866</v>
      </c>
      <c r="F1625" s="3" t="s">
        <v>17</v>
      </c>
      <c r="G1625" s="3" t="str">
        <f t="shared" si="3"/>
        <v>XIOTO2</v>
      </c>
      <c r="H1625" s="3" t="str">
        <f>VLOOKUP($C1625,Userpass!$A$2:$L$3001,12,FALSE)</f>
        <v>OTO2</v>
      </c>
      <c r="I1625" s="5" t="s">
        <v>3045</v>
      </c>
      <c r="J1625" s="3">
        <v>2024.0</v>
      </c>
      <c r="K1625" s="4" t="str">
        <f>VLOOKUP($C1625,Userpass!$A$2:$R$3001,2,FALSE)</f>
        <v>oto20249142.siswa@smkn12malang.sch.id</v>
      </c>
    </row>
    <row r="1626" hidden="1">
      <c r="A1626" s="3" t="str">
        <f t="shared" si="1"/>
        <v>OK</v>
      </c>
      <c r="B1626" s="3" t="str">
        <f t="shared" si="2"/>
        <v>OK</v>
      </c>
      <c r="C1626" s="3">
        <v>9163.0</v>
      </c>
      <c r="D1626" s="4" t="s">
        <v>3867</v>
      </c>
      <c r="E1626" s="3" t="s">
        <v>3868</v>
      </c>
      <c r="F1626" s="3" t="s">
        <v>17</v>
      </c>
      <c r="G1626" s="3" t="str">
        <f t="shared" si="3"/>
        <v>XIOTO2</v>
      </c>
      <c r="H1626" s="3" t="str">
        <f>VLOOKUP($C1626,Userpass!$A$2:$L$3001,12,FALSE)</f>
        <v>OTO2</v>
      </c>
      <c r="I1626" s="5" t="s">
        <v>3045</v>
      </c>
      <c r="J1626" s="3">
        <v>2024.0</v>
      </c>
      <c r="K1626" s="4" t="str">
        <f>VLOOKUP($C1626,Userpass!$A$2:$R$3001,2,FALSE)</f>
        <v>oto20249163.siswa@smkn12malang.sch.id</v>
      </c>
    </row>
    <row r="1627" hidden="1">
      <c r="A1627" s="3" t="str">
        <f t="shared" si="1"/>
        <v>OK</v>
      </c>
      <c r="B1627" s="3" t="str">
        <f t="shared" si="2"/>
        <v>OK</v>
      </c>
      <c r="C1627" s="3">
        <v>9195.0</v>
      </c>
      <c r="D1627" s="4" t="s">
        <v>3869</v>
      </c>
      <c r="E1627" s="3" t="s">
        <v>3870</v>
      </c>
      <c r="F1627" s="3" t="s">
        <v>17</v>
      </c>
      <c r="G1627" s="3" t="str">
        <f t="shared" si="3"/>
        <v>XIOTO2</v>
      </c>
      <c r="H1627" s="3" t="str">
        <f>VLOOKUP($C1627,Userpass!$A$2:$L$3001,12,FALSE)</f>
        <v>OTO2</v>
      </c>
      <c r="I1627" s="5" t="s">
        <v>3045</v>
      </c>
      <c r="J1627" s="3">
        <v>2024.0</v>
      </c>
      <c r="K1627" s="4" t="str">
        <f>VLOOKUP($C1627,Userpass!$A$2:$R$3001,2,FALSE)</f>
        <v>oto20249195.siswa@smkn12malang.sch.id</v>
      </c>
    </row>
    <row r="1628" hidden="1">
      <c r="A1628" s="3" t="str">
        <f t="shared" si="1"/>
        <v>OK</v>
      </c>
      <c r="B1628" s="3" t="str">
        <f t="shared" si="2"/>
        <v>OK</v>
      </c>
      <c r="C1628" s="3">
        <v>9220.0</v>
      </c>
      <c r="D1628" s="4" t="s">
        <v>3871</v>
      </c>
      <c r="E1628" s="3" t="s">
        <v>3872</v>
      </c>
      <c r="F1628" s="3" t="s">
        <v>17</v>
      </c>
      <c r="G1628" s="3" t="str">
        <f t="shared" si="3"/>
        <v>XIOTO2</v>
      </c>
      <c r="H1628" s="3" t="str">
        <f>VLOOKUP($C1628,Userpass!$A$2:$L$3001,12,FALSE)</f>
        <v>OTO2</v>
      </c>
      <c r="I1628" s="5" t="s">
        <v>3045</v>
      </c>
      <c r="J1628" s="3">
        <v>2024.0</v>
      </c>
      <c r="K1628" s="4" t="str">
        <f>VLOOKUP($C1628,Userpass!$A$2:$R$3001,2,FALSE)</f>
        <v>oto20249220.siswa@smkn12malang.sch.id</v>
      </c>
    </row>
    <row r="1629" hidden="1">
      <c r="A1629" s="3" t="str">
        <f t="shared" si="1"/>
        <v>OK</v>
      </c>
      <c r="B1629" s="3" t="str">
        <f t="shared" si="2"/>
        <v>OK</v>
      </c>
      <c r="C1629" s="3">
        <v>9239.0</v>
      </c>
      <c r="D1629" s="4" t="s">
        <v>3873</v>
      </c>
      <c r="E1629" s="3" t="s">
        <v>3874</v>
      </c>
      <c r="F1629" s="3" t="s">
        <v>17</v>
      </c>
      <c r="G1629" s="3" t="str">
        <f t="shared" si="3"/>
        <v>XIOTO2</v>
      </c>
      <c r="H1629" s="3" t="str">
        <f>VLOOKUP($C1629,Userpass!$A$2:$L$3001,12,FALSE)</f>
        <v>OTO2</v>
      </c>
      <c r="I1629" s="5" t="s">
        <v>3045</v>
      </c>
      <c r="J1629" s="3">
        <v>2024.0</v>
      </c>
      <c r="K1629" s="4" t="str">
        <f>VLOOKUP($C1629,Userpass!$A$2:$R$3001,2,FALSE)</f>
        <v>oto20249239.siswa@smkn12malang.sch.id</v>
      </c>
    </row>
    <row r="1630" hidden="1">
      <c r="A1630" s="3" t="str">
        <f t="shared" si="1"/>
        <v>OK</v>
      </c>
      <c r="B1630" s="3" t="str">
        <f t="shared" si="2"/>
        <v>OK</v>
      </c>
      <c r="C1630" s="3">
        <v>8643.0</v>
      </c>
      <c r="D1630" s="4" t="s">
        <v>3875</v>
      </c>
      <c r="E1630" s="3" t="s">
        <v>3876</v>
      </c>
      <c r="F1630" s="3" t="s">
        <v>17</v>
      </c>
      <c r="G1630" s="3" t="str">
        <f t="shared" si="3"/>
        <v>XIOTO3</v>
      </c>
      <c r="H1630" s="3" t="str">
        <f>VLOOKUP($C1630,Userpass!$A$2:$L$3001,12,FALSE)</f>
        <v>OTO3</v>
      </c>
      <c r="I1630" s="5" t="s">
        <v>3045</v>
      </c>
      <c r="J1630" s="3">
        <v>2024.0</v>
      </c>
      <c r="K1630" s="4" t="str">
        <f>VLOOKUP($C1630,Userpass!$A$2:$R$3001,2,FALSE)</f>
        <v>oto20248643.siswa@smkn12malang.sch.id</v>
      </c>
    </row>
    <row r="1631" hidden="1">
      <c r="A1631" s="3" t="str">
        <f t="shared" si="1"/>
        <v>OK</v>
      </c>
      <c r="B1631" s="3" t="str">
        <f t="shared" si="2"/>
        <v>OK</v>
      </c>
      <c r="C1631" s="3">
        <v>8653.0</v>
      </c>
      <c r="D1631" s="4" t="s">
        <v>3877</v>
      </c>
      <c r="E1631" s="3" t="s">
        <v>3878</v>
      </c>
      <c r="F1631" s="3" t="s">
        <v>17</v>
      </c>
      <c r="G1631" s="3" t="str">
        <f t="shared" si="3"/>
        <v>XIOTO3</v>
      </c>
      <c r="H1631" s="3" t="str">
        <f>VLOOKUP($C1631,Userpass!$A$2:$L$3001,12,FALSE)</f>
        <v>OTO3</v>
      </c>
      <c r="I1631" s="5" t="s">
        <v>3045</v>
      </c>
      <c r="J1631" s="3">
        <v>2024.0</v>
      </c>
      <c r="K1631" s="4" t="str">
        <f>VLOOKUP($C1631,Userpass!$A$2:$R$3001,2,FALSE)</f>
        <v>oto20248653.siswa@smkn12malang.sch.id</v>
      </c>
    </row>
    <row r="1632" hidden="1">
      <c r="A1632" s="3" t="str">
        <f t="shared" si="1"/>
        <v>OK</v>
      </c>
      <c r="B1632" s="3" t="str">
        <f t="shared" si="2"/>
        <v>OK</v>
      </c>
      <c r="C1632" s="3">
        <v>8666.0</v>
      </c>
      <c r="D1632" s="4" t="s">
        <v>3879</v>
      </c>
      <c r="E1632" s="3" t="s">
        <v>3880</v>
      </c>
      <c r="F1632" s="3" t="s">
        <v>17</v>
      </c>
      <c r="G1632" s="3" t="str">
        <f t="shared" si="3"/>
        <v>XIOTO3</v>
      </c>
      <c r="H1632" s="3" t="str">
        <f>VLOOKUP($C1632,Userpass!$A$2:$L$3001,12,FALSE)</f>
        <v>OTO3</v>
      </c>
      <c r="I1632" s="5" t="s">
        <v>3045</v>
      </c>
      <c r="J1632" s="3">
        <v>2024.0</v>
      </c>
      <c r="K1632" s="4" t="str">
        <f>VLOOKUP($C1632,Userpass!$A$2:$R$3001,2,FALSE)</f>
        <v>oto20248666.siswa@smkn12malang.sch.id</v>
      </c>
    </row>
    <row r="1633" hidden="1">
      <c r="A1633" s="3" t="str">
        <f t="shared" si="1"/>
        <v>OK</v>
      </c>
      <c r="B1633" s="3" t="str">
        <f t="shared" si="2"/>
        <v>OK</v>
      </c>
      <c r="C1633" s="3">
        <v>8690.0</v>
      </c>
      <c r="D1633" s="4" t="s">
        <v>3881</v>
      </c>
      <c r="E1633" s="3" t="s">
        <v>3882</v>
      </c>
      <c r="F1633" s="3" t="s">
        <v>17</v>
      </c>
      <c r="G1633" s="3" t="str">
        <f t="shared" si="3"/>
        <v>XIOTO3</v>
      </c>
      <c r="H1633" s="3" t="str">
        <f>VLOOKUP($C1633,Userpass!$A$2:$L$3001,12,FALSE)</f>
        <v>OTO3</v>
      </c>
      <c r="I1633" s="5" t="s">
        <v>3045</v>
      </c>
      <c r="J1633" s="3">
        <v>2024.0</v>
      </c>
      <c r="K1633" s="4" t="str">
        <f>VLOOKUP($C1633,Userpass!$A$2:$R$3001,2,FALSE)</f>
        <v>oto20248690.siswa@smkn12malang.sch.id</v>
      </c>
    </row>
    <row r="1634" hidden="1">
      <c r="A1634" s="3" t="str">
        <f t="shared" si="1"/>
        <v>OK</v>
      </c>
      <c r="B1634" s="3" t="str">
        <f t="shared" si="2"/>
        <v>OK</v>
      </c>
      <c r="C1634" s="3">
        <v>8716.0</v>
      </c>
      <c r="D1634" s="4" t="s">
        <v>3883</v>
      </c>
      <c r="E1634" s="3" t="s">
        <v>3884</v>
      </c>
      <c r="F1634" s="3" t="s">
        <v>17</v>
      </c>
      <c r="G1634" s="3" t="str">
        <f t="shared" si="3"/>
        <v>XIOTO3</v>
      </c>
      <c r="H1634" s="3" t="str">
        <f>VLOOKUP($C1634,Userpass!$A$2:$L$3001,12,FALSE)</f>
        <v>OTO3</v>
      </c>
      <c r="I1634" s="5" t="s">
        <v>3045</v>
      </c>
      <c r="J1634" s="3">
        <v>2024.0</v>
      </c>
      <c r="K1634" s="4" t="str">
        <f>VLOOKUP($C1634,Userpass!$A$2:$R$3001,2,FALSE)</f>
        <v>oto20248716.siswa@smkn12malang.sch.id</v>
      </c>
    </row>
    <row r="1635" hidden="1">
      <c r="A1635" s="3" t="str">
        <f t="shared" si="1"/>
        <v>OK</v>
      </c>
      <c r="B1635" s="3" t="str">
        <f t="shared" si="2"/>
        <v>OK</v>
      </c>
      <c r="C1635" s="3">
        <v>8722.0</v>
      </c>
      <c r="D1635" s="4" t="s">
        <v>3885</v>
      </c>
      <c r="E1635" s="3" t="s">
        <v>3886</v>
      </c>
      <c r="F1635" s="3" t="s">
        <v>17</v>
      </c>
      <c r="G1635" s="3" t="str">
        <f t="shared" si="3"/>
        <v>XIOTO3</v>
      </c>
      <c r="H1635" s="3" t="str">
        <f>VLOOKUP($C1635,Userpass!$A$2:$L$3001,12,FALSE)</f>
        <v>OTO3</v>
      </c>
      <c r="I1635" s="5" t="s">
        <v>3045</v>
      </c>
      <c r="J1635" s="3">
        <v>2024.0</v>
      </c>
      <c r="K1635" s="4" t="str">
        <f>VLOOKUP($C1635,Userpass!$A$2:$R$3001,2,FALSE)</f>
        <v>oto20248722.siswa@smkn12malang.sch.id</v>
      </c>
    </row>
    <row r="1636" hidden="1">
      <c r="A1636" s="3" t="str">
        <f t="shared" si="1"/>
        <v>OK</v>
      </c>
      <c r="B1636" s="3" t="str">
        <f t="shared" si="2"/>
        <v>OK</v>
      </c>
      <c r="C1636" s="3">
        <v>8748.0</v>
      </c>
      <c r="D1636" s="4" t="s">
        <v>3887</v>
      </c>
      <c r="E1636" s="3" t="s">
        <v>3888</v>
      </c>
      <c r="F1636" s="3" t="s">
        <v>17</v>
      </c>
      <c r="G1636" s="3" t="str">
        <f t="shared" si="3"/>
        <v>XIOTO3</v>
      </c>
      <c r="H1636" s="3" t="str">
        <f>VLOOKUP($C1636,Userpass!$A$2:$L$3001,12,FALSE)</f>
        <v>OTO3</v>
      </c>
      <c r="I1636" s="5" t="s">
        <v>3045</v>
      </c>
      <c r="J1636" s="3">
        <v>2024.0</v>
      </c>
      <c r="K1636" s="4" t="str">
        <f>VLOOKUP($C1636,Userpass!$A$2:$R$3001,2,FALSE)</f>
        <v>oto20248748.siswa@smkn12malang.sch.id</v>
      </c>
    </row>
    <row r="1637" hidden="1">
      <c r="A1637" s="3" t="str">
        <f t="shared" si="1"/>
        <v>OK</v>
      </c>
      <c r="B1637" s="3" t="str">
        <f t="shared" si="2"/>
        <v>OK</v>
      </c>
      <c r="C1637" s="3">
        <v>8759.0</v>
      </c>
      <c r="D1637" s="4" t="s">
        <v>3889</v>
      </c>
      <c r="E1637" s="3" t="s">
        <v>3890</v>
      </c>
      <c r="F1637" s="3" t="s">
        <v>17</v>
      </c>
      <c r="G1637" s="3" t="str">
        <f t="shared" si="3"/>
        <v>XIOTO3</v>
      </c>
      <c r="H1637" s="3" t="str">
        <f>VLOOKUP($C1637,Userpass!$A$2:$L$3001,12,FALSE)</f>
        <v>OTO3</v>
      </c>
      <c r="I1637" s="5" t="s">
        <v>3045</v>
      </c>
      <c r="J1637" s="3">
        <v>2024.0</v>
      </c>
      <c r="K1637" s="4" t="str">
        <f>VLOOKUP($C1637,Userpass!$A$2:$R$3001,2,FALSE)</f>
        <v>oto20248759.siswa@smkn12malang.sch.id</v>
      </c>
    </row>
    <row r="1638" hidden="1">
      <c r="A1638" s="3" t="str">
        <f t="shared" si="1"/>
        <v>OK</v>
      </c>
      <c r="B1638" s="3" t="str">
        <f t="shared" si="2"/>
        <v>OK</v>
      </c>
      <c r="C1638" s="3">
        <v>8772.0</v>
      </c>
      <c r="D1638" s="4" t="s">
        <v>3891</v>
      </c>
      <c r="E1638" s="3" t="s">
        <v>3892</v>
      </c>
      <c r="F1638" s="3" t="s">
        <v>17</v>
      </c>
      <c r="G1638" s="3" t="str">
        <f t="shared" si="3"/>
        <v>XIOTO3</v>
      </c>
      <c r="H1638" s="3" t="str">
        <f>VLOOKUP($C1638,Userpass!$A$2:$L$3001,12,FALSE)</f>
        <v>OTO3</v>
      </c>
      <c r="I1638" s="5" t="s">
        <v>3045</v>
      </c>
      <c r="J1638" s="3">
        <v>2024.0</v>
      </c>
      <c r="K1638" s="4" t="str">
        <f>VLOOKUP($C1638,Userpass!$A$2:$R$3001,2,FALSE)</f>
        <v>oto20248772.siswa@smkn12malang.sch.id</v>
      </c>
    </row>
    <row r="1639" hidden="1">
      <c r="A1639" s="3" t="str">
        <f t="shared" si="1"/>
        <v>OK</v>
      </c>
      <c r="B1639" s="3" t="str">
        <f t="shared" si="2"/>
        <v>OK</v>
      </c>
      <c r="C1639" s="3">
        <v>8792.0</v>
      </c>
      <c r="D1639" s="4" t="s">
        <v>3893</v>
      </c>
      <c r="E1639" s="3" t="s">
        <v>3894</v>
      </c>
      <c r="F1639" s="3" t="s">
        <v>17</v>
      </c>
      <c r="G1639" s="3" t="str">
        <f t="shared" si="3"/>
        <v>XIOTO3</v>
      </c>
      <c r="H1639" s="3" t="str">
        <f>VLOOKUP($C1639,Userpass!$A$2:$L$3001,12,FALSE)</f>
        <v>OTO3</v>
      </c>
      <c r="I1639" s="5" t="s">
        <v>3045</v>
      </c>
      <c r="J1639" s="3">
        <v>2024.0</v>
      </c>
      <c r="K1639" s="4" t="str">
        <f>VLOOKUP($C1639,Userpass!$A$2:$R$3001,2,FALSE)</f>
        <v>oto20248792.siswa@smkn12malang.sch.id</v>
      </c>
    </row>
    <row r="1640" hidden="1">
      <c r="A1640" s="3" t="str">
        <f t="shared" si="1"/>
        <v>OK</v>
      </c>
      <c r="B1640" s="3" t="str">
        <f t="shared" si="2"/>
        <v>OK</v>
      </c>
      <c r="C1640" s="3">
        <v>8824.0</v>
      </c>
      <c r="D1640" s="4" t="s">
        <v>3895</v>
      </c>
      <c r="E1640" s="3" t="s">
        <v>3896</v>
      </c>
      <c r="F1640" s="3" t="s">
        <v>17</v>
      </c>
      <c r="G1640" s="3" t="str">
        <f t="shared" si="3"/>
        <v>XIOTO3</v>
      </c>
      <c r="H1640" s="3" t="str">
        <f>VLOOKUP($C1640,Userpass!$A$2:$L$3001,12,FALSE)</f>
        <v>OTO3</v>
      </c>
      <c r="I1640" s="5" t="s">
        <v>3045</v>
      </c>
      <c r="J1640" s="3">
        <v>2024.0</v>
      </c>
      <c r="K1640" s="4" t="str">
        <f>VLOOKUP($C1640,Userpass!$A$2:$R$3001,2,FALSE)</f>
        <v>oto20248824.siswa@smkn12malang.sch.id</v>
      </c>
    </row>
    <row r="1641" hidden="1">
      <c r="A1641" s="3" t="str">
        <f t="shared" si="1"/>
        <v>OK</v>
      </c>
      <c r="B1641" s="3" t="str">
        <f t="shared" si="2"/>
        <v>OK</v>
      </c>
      <c r="C1641" s="3">
        <v>8843.0</v>
      </c>
      <c r="D1641" s="4" t="s">
        <v>3897</v>
      </c>
      <c r="E1641" s="3" t="s">
        <v>3898</v>
      </c>
      <c r="F1641" s="3" t="s">
        <v>17</v>
      </c>
      <c r="G1641" s="3" t="str">
        <f t="shared" si="3"/>
        <v>XIOTO3</v>
      </c>
      <c r="H1641" s="3" t="str">
        <f>VLOOKUP($C1641,Userpass!$A$2:$L$3001,12,FALSE)</f>
        <v>OTO3</v>
      </c>
      <c r="I1641" s="5" t="s">
        <v>3045</v>
      </c>
      <c r="J1641" s="3">
        <v>2024.0</v>
      </c>
      <c r="K1641" s="4" t="str">
        <f>VLOOKUP($C1641,Userpass!$A$2:$R$3001,2,FALSE)</f>
        <v>oto20248843.siswa@smkn12malang.sch.id</v>
      </c>
    </row>
    <row r="1642" hidden="1">
      <c r="A1642" s="3" t="str">
        <f t="shared" si="1"/>
        <v>OK</v>
      </c>
      <c r="B1642" s="3" t="str">
        <f t="shared" si="2"/>
        <v>OK</v>
      </c>
      <c r="C1642" s="3">
        <v>8864.0</v>
      </c>
      <c r="D1642" s="4" t="s">
        <v>3899</v>
      </c>
      <c r="E1642" s="3" t="s">
        <v>3900</v>
      </c>
      <c r="F1642" s="3" t="s">
        <v>17</v>
      </c>
      <c r="G1642" s="3" t="str">
        <f t="shared" si="3"/>
        <v>XIOTO3</v>
      </c>
      <c r="H1642" s="3" t="str">
        <f>VLOOKUP($C1642,Userpass!$A$2:$L$3001,12,FALSE)</f>
        <v>OTO3</v>
      </c>
      <c r="I1642" s="5" t="s">
        <v>3045</v>
      </c>
      <c r="J1642" s="3">
        <v>2024.0</v>
      </c>
      <c r="K1642" s="4" t="str">
        <f>VLOOKUP($C1642,Userpass!$A$2:$R$3001,2,FALSE)</f>
        <v>oto20248864.siswa@smkn12malang.sch.id</v>
      </c>
    </row>
    <row r="1643" hidden="1">
      <c r="A1643" s="3" t="str">
        <f t="shared" si="1"/>
        <v>OK</v>
      </c>
      <c r="B1643" s="3" t="str">
        <f t="shared" si="2"/>
        <v>OK</v>
      </c>
      <c r="C1643" s="3">
        <v>8880.0</v>
      </c>
      <c r="D1643" s="4" t="s">
        <v>3901</v>
      </c>
      <c r="E1643" s="3" t="s">
        <v>3902</v>
      </c>
      <c r="F1643" s="3" t="s">
        <v>17</v>
      </c>
      <c r="G1643" s="3" t="str">
        <f t="shared" si="3"/>
        <v>XIOTO3</v>
      </c>
      <c r="H1643" s="3" t="str">
        <f>VLOOKUP($C1643,Userpass!$A$2:$L$3001,12,FALSE)</f>
        <v>OTO3</v>
      </c>
      <c r="I1643" s="5" t="s">
        <v>3045</v>
      </c>
      <c r="J1643" s="3">
        <v>2024.0</v>
      </c>
      <c r="K1643" s="4" t="str">
        <f>VLOOKUP($C1643,Userpass!$A$2:$R$3001,2,FALSE)</f>
        <v>oto20248880.siswa@smkn12malang.sch.id</v>
      </c>
    </row>
    <row r="1644" hidden="1">
      <c r="A1644" s="3" t="str">
        <f t="shared" si="1"/>
        <v>OK</v>
      </c>
      <c r="B1644" s="3" t="str">
        <f t="shared" si="2"/>
        <v>OK</v>
      </c>
      <c r="C1644" s="3">
        <v>8895.0</v>
      </c>
      <c r="D1644" s="4" t="s">
        <v>3903</v>
      </c>
      <c r="E1644" s="3" t="s">
        <v>3904</v>
      </c>
      <c r="F1644" s="3" t="s">
        <v>17</v>
      </c>
      <c r="G1644" s="3" t="str">
        <f t="shared" si="3"/>
        <v>XIOTO3</v>
      </c>
      <c r="H1644" s="3" t="str">
        <f>VLOOKUP($C1644,Userpass!$A$2:$L$3001,12,FALSE)</f>
        <v>OTO3</v>
      </c>
      <c r="I1644" s="5" t="s">
        <v>3045</v>
      </c>
      <c r="J1644" s="3">
        <v>2024.0</v>
      </c>
      <c r="K1644" s="4" t="str">
        <f>VLOOKUP($C1644,Userpass!$A$2:$R$3001,2,FALSE)</f>
        <v>oto20248895.siswa@smkn12malang.sch.id</v>
      </c>
    </row>
    <row r="1645" hidden="1">
      <c r="A1645" s="3" t="str">
        <f t="shared" si="1"/>
        <v>OK</v>
      </c>
      <c r="B1645" s="3" t="str">
        <f t="shared" si="2"/>
        <v>OK</v>
      </c>
      <c r="C1645" s="3">
        <v>8935.0</v>
      </c>
      <c r="D1645" s="4" t="s">
        <v>3905</v>
      </c>
      <c r="E1645" s="3" t="s">
        <v>3906</v>
      </c>
      <c r="F1645" s="3" t="s">
        <v>17</v>
      </c>
      <c r="G1645" s="3" t="str">
        <f t="shared" si="3"/>
        <v>XIOTO3</v>
      </c>
      <c r="H1645" s="3" t="str">
        <f>VLOOKUP($C1645,Userpass!$A$2:$L$3001,12,FALSE)</f>
        <v>OTO3</v>
      </c>
      <c r="I1645" s="5" t="s">
        <v>3045</v>
      </c>
      <c r="J1645" s="3">
        <v>2024.0</v>
      </c>
      <c r="K1645" s="4" t="str">
        <f>VLOOKUP($C1645,Userpass!$A$2:$R$3001,2,FALSE)</f>
        <v>oto20248935.siswa@smkn12malang.sch.id</v>
      </c>
    </row>
    <row r="1646" hidden="1">
      <c r="A1646" s="3" t="str">
        <f t="shared" si="1"/>
        <v>OK</v>
      </c>
      <c r="B1646" s="3" t="str">
        <f t="shared" si="2"/>
        <v>OK</v>
      </c>
      <c r="C1646" s="3">
        <v>8944.0</v>
      </c>
      <c r="D1646" s="4" t="s">
        <v>3907</v>
      </c>
      <c r="E1646" s="3" t="s">
        <v>3908</v>
      </c>
      <c r="F1646" s="3" t="s">
        <v>17</v>
      </c>
      <c r="G1646" s="3" t="str">
        <f t="shared" si="3"/>
        <v>XIOTO3</v>
      </c>
      <c r="H1646" s="3" t="str">
        <f>VLOOKUP($C1646,Userpass!$A$2:$L$3001,12,FALSE)</f>
        <v>OTO3</v>
      </c>
      <c r="I1646" s="5" t="s">
        <v>3045</v>
      </c>
      <c r="J1646" s="3">
        <v>2024.0</v>
      </c>
      <c r="K1646" s="4" t="str">
        <f>VLOOKUP($C1646,Userpass!$A$2:$R$3001,2,FALSE)</f>
        <v>oto20248944.siswa@smkn12malang.sch.id</v>
      </c>
    </row>
    <row r="1647" hidden="1">
      <c r="A1647" s="3" t="str">
        <f t="shared" si="1"/>
        <v>OK</v>
      </c>
      <c r="B1647" s="3" t="str">
        <f t="shared" si="2"/>
        <v>OK</v>
      </c>
      <c r="C1647" s="3">
        <v>8959.0</v>
      </c>
      <c r="D1647" s="4" t="s">
        <v>3909</v>
      </c>
      <c r="E1647" s="3" t="s">
        <v>3910</v>
      </c>
      <c r="F1647" s="3" t="s">
        <v>17</v>
      </c>
      <c r="G1647" s="3" t="str">
        <f t="shared" si="3"/>
        <v>XIOTO3</v>
      </c>
      <c r="H1647" s="3" t="str">
        <f>VLOOKUP($C1647,Userpass!$A$2:$L$3001,12,FALSE)</f>
        <v>OTO3</v>
      </c>
      <c r="I1647" s="5" t="s">
        <v>3045</v>
      </c>
      <c r="J1647" s="3">
        <v>2024.0</v>
      </c>
      <c r="K1647" s="4" t="str">
        <f>VLOOKUP($C1647,Userpass!$A$2:$R$3001,2,FALSE)</f>
        <v>oto20248959.siswa@smkn12malang.sch.id</v>
      </c>
    </row>
    <row r="1648" hidden="1">
      <c r="A1648" s="3" t="str">
        <f t="shared" si="1"/>
        <v>OK</v>
      </c>
      <c r="B1648" s="3" t="str">
        <f t="shared" si="2"/>
        <v>OK</v>
      </c>
      <c r="C1648" s="3">
        <v>8972.0</v>
      </c>
      <c r="D1648" s="4" t="s">
        <v>3911</v>
      </c>
      <c r="E1648" s="3" t="s">
        <v>3912</v>
      </c>
      <c r="F1648" s="3" t="s">
        <v>17</v>
      </c>
      <c r="G1648" s="3" t="str">
        <f t="shared" si="3"/>
        <v>XIOTO3</v>
      </c>
      <c r="H1648" s="3" t="str">
        <f>VLOOKUP($C1648,Userpass!$A$2:$L$3001,12,FALSE)</f>
        <v>OTO3</v>
      </c>
      <c r="I1648" s="5" t="s">
        <v>3045</v>
      </c>
      <c r="J1648" s="3">
        <v>2024.0</v>
      </c>
      <c r="K1648" s="4" t="str">
        <f>VLOOKUP($C1648,Userpass!$A$2:$R$3001,2,FALSE)</f>
        <v>oto20248972.siswa@smkn12malang.sch.id</v>
      </c>
    </row>
    <row r="1649" hidden="1">
      <c r="A1649" s="3" t="str">
        <f t="shared" si="1"/>
        <v>OK</v>
      </c>
      <c r="B1649" s="3" t="str">
        <f t="shared" si="2"/>
        <v>OK</v>
      </c>
      <c r="C1649" s="3">
        <v>8980.0</v>
      </c>
      <c r="D1649" s="4" t="s">
        <v>3913</v>
      </c>
      <c r="E1649" s="3" t="s">
        <v>3914</v>
      </c>
      <c r="F1649" s="3" t="s">
        <v>17</v>
      </c>
      <c r="G1649" s="3" t="str">
        <f t="shared" si="3"/>
        <v>XIOTO3</v>
      </c>
      <c r="H1649" s="3" t="str">
        <f>VLOOKUP($C1649,Userpass!$A$2:$L$3001,12,FALSE)</f>
        <v>OTO3</v>
      </c>
      <c r="I1649" s="5" t="s">
        <v>3045</v>
      </c>
      <c r="J1649" s="3">
        <v>2024.0</v>
      </c>
      <c r="K1649" s="4" t="str">
        <f>VLOOKUP($C1649,Userpass!$A$2:$R$3001,2,FALSE)</f>
        <v>oto20248980.siswa@smkn12malang.sch.id</v>
      </c>
    </row>
    <row r="1650" hidden="1">
      <c r="A1650" s="3" t="str">
        <f t="shared" si="1"/>
        <v>OK</v>
      </c>
      <c r="B1650" s="3" t="str">
        <f t="shared" si="2"/>
        <v>OK</v>
      </c>
      <c r="C1650" s="3">
        <v>8987.0</v>
      </c>
      <c r="D1650" s="4" t="s">
        <v>3915</v>
      </c>
      <c r="E1650" s="3" t="s">
        <v>3916</v>
      </c>
      <c r="F1650" s="3" t="s">
        <v>17</v>
      </c>
      <c r="G1650" s="3" t="str">
        <f t="shared" si="3"/>
        <v>XIOTO3</v>
      </c>
      <c r="H1650" s="3" t="str">
        <f>VLOOKUP($C1650,Userpass!$A$2:$L$3001,12,FALSE)</f>
        <v>OTO3</v>
      </c>
      <c r="I1650" s="5" t="s">
        <v>3045</v>
      </c>
      <c r="J1650" s="3">
        <v>2024.0</v>
      </c>
      <c r="K1650" s="4" t="str">
        <f>VLOOKUP($C1650,Userpass!$A$2:$R$3001,2,FALSE)</f>
        <v>oto20248987.siswa@smkn12malang.sch.id</v>
      </c>
    </row>
    <row r="1651" hidden="1">
      <c r="A1651" s="3" t="str">
        <f t="shared" si="1"/>
        <v>OK</v>
      </c>
      <c r="B1651" s="3" t="str">
        <f t="shared" si="2"/>
        <v>OK</v>
      </c>
      <c r="C1651" s="3">
        <v>9018.0</v>
      </c>
      <c r="D1651" s="4" t="s">
        <v>3917</v>
      </c>
      <c r="E1651" s="3" t="s">
        <v>3918</v>
      </c>
      <c r="F1651" s="3" t="s">
        <v>17</v>
      </c>
      <c r="G1651" s="3" t="str">
        <f t="shared" si="3"/>
        <v>XIOTO3</v>
      </c>
      <c r="H1651" s="3" t="str">
        <f>VLOOKUP($C1651,Userpass!$A$2:$L$3001,12,FALSE)</f>
        <v>OTO3</v>
      </c>
      <c r="I1651" s="5" t="s">
        <v>3045</v>
      </c>
      <c r="J1651" s="3">
        <v>2024.0</v>
      </c>
      <c r="K1651" s="4" t="str">
        <f>VLOOKUP($C1651,Userpass!$A$2:$R$3001,2,FALSE)</f>
        <v>oto20249018.siswa@smkn12malang.sch.id</v>
      </c>
    </row>
    <row r="1652" hidden="1">
      <c r="A1652" s="3" t="str">
        <f t="shared" si="1"/>
        <v>OK</v>
      </c>
      <c r="B1652" s="3" t="str">
        <f t="shared" si="2"/>
        <v>OK</v>
      </c>
      <c r="C1652" s="3">
        <v>9027.0</v>
      </c>
      <c r="D1652" s="4" t="s">
        <v>3919</v>
      </c>
      <c r="E1652" s="3" t="s">
        <v>3920</v>
      </c>
      <c r="F1652" s="3" t="s">
        <v>17</v>
      </c>
      <c r="G1652" s="3" t="str">
        <f t="shared" si="3"/>
        <v>XIOTO3</v>
      </c>
      <c r="H1652" s="3" t="str">
        <f>VLOOKUP($C1652,Userpass!$A$2:$L$3001,12,FALSE)</f>
        <v>OTO3</v>
      </c>
      <c r="I1652" s="5" t="s">
        <v>3045</v>
      </c>
      <c r="J1652" s="3">
        <v>2024.0</v>
      </c>
      <c r="K1652" s="4" t="str">
        <f>VLOOKUP($C1652,Userpass!$A$2:$R$3001,2,FALSE)</f>
        <v>oto20249027.siswa@smkn12malang.sch.id</v>
      </c>
    </row>
    <row r="1653" hidden="1">
      <c r="A1653" s="3" t="str">
        <f t="shared" si="1"/>
        <v>OK</v>
      </c>
      <c r="B1653" s="3" t="str">
        <f t="shared" si="2"/>
        <v>OK</v>
      </c>
      <c r="C1653" s="3">
        <v>9035.0</v>
      </c>
      <c r="D1653" s="4" t="s">
        <v>3921</v>
      </c>
      <c r="E1653" s="3" t="s">
        <v>3922</v>
      </c>
      <c r="F1653" s="3" t="s">
        <v>17</v>
      </c>
      <c r="G1653" s="3" t="str">
        <f t="shared" si="3"/>
        <v>XIOTO3</v>
      </c>
      <c r="H1653" s="3" t="str">
        <f>VLOOKUP($C1653,Userpass!$A$2:$L$3001,12,FALSE)</f>
        <v>OTO3</v>
      </c>
      <c r="I1653" s="5" t="s">
        <v>3045</v>
      </c>
      <c r="J1653" s="3">
        <v>2024.0</v>
      </c>
      <c r="K1653" s="4" t="str">
        <f>VLOOKUP($C1653,Userpass!$A$2:$R$3001,2,FALSE)</f>
        <v>oto20249035.siswa@smkn12malang.sch.id</v>
      </c>
    </row>
    <row r="1654" hidden="1">
      <c r="A1654" s="3" t="str">
        <f t="shared" si="1"/>
        <v>OK</v>
      </c>
      <c r="B1654" s="3" t="str">
        <f t="shared" si="2"/>
        <v>OK</v>
      </c>
      <c r="C1654" s="3">
        <v>9066.0</v>
      </c>
      <c r="D1654" s="4" t="s">
        <v>3923</v>
      </c>
      <c r="E1654" s="3" t="s">
        <v>3924</v>
      </c>
      <c r="F1654" s="3" t="s">
        <v>17</v>
      </c>
      <c r="G1654" s="3" t="str">
        <f t="shared" si="3"/>
        <v>XIOTO3</v>
      </c>
      <c r="H1654" s="3" t="str">
        <f>VLOOKUP($C1654,Userpass!$A$2:$L$3001,12,FALSE)</f>
        <v>OTO3</v>
      </c>
      <c r="I1654" s="5" t="s">
        <v>3045</v>
      </c>
      <c r="J1654" s="3">
        <v>2024.0</v>
      </c>
      <c r="K1654" s="4" t="str">
        <f>VLOOKUP($C1654,Userpass!$A$2:$R$3001,2,FALSE)</f>
        <v>oto20249066.siswa@smkn12malang.sch.id</v>
      </c>
    </row>
    <row r="1655" hidden="1">
      <c r="A1655" s="3" t="str">
        <f t="shared" si="1"/>
        <v>OK</v>
      </c>
      <c r="B1655" s="3" t="str">
        <f t="shared" si="2"/>
        <v>OK</v>
      </c>
      <c r="C1655" s="3">
        <v>9091.0</v>
      </c>
      <c r="D1655" s="4" t="s">
        <v>3925</v>
      </c>
      <c r="E1655" s="3" t="s">
        <v>3926</v>
      </c>
      <c r="F1655" s="3" t="s">
        <v>17</v>
      </c>
      <c r="G1655" s="3" t="str">
        <f t="shared" si="3"/>
        <v>XIOTO3</v>
      </c>
      <c r="H1655" s="3" t="str">
        <f>VLOOKUP($C1655,Userpass!$A$2:$L$3001,12,FALSE)</f>
        <v>OTO3</v>
      </c>
      <c r="I1655" s="5" t="s">
        <v>3045</v>
      </c>
      <c r="J1655" s="3">
        <v>2024.0</v>
      </c>
      <c r="K1655" s="4" t="str">
        <f>VLOOKUP($C1655,Userpass!$A$2:$R$3001,2,FALSE)</f>
        <v>oto20249091.siswa@smkn12malang.sch.id</v>
      </c>
    </row>
    <row r="1656" hidden="1">
      <c r="A1656" s="3" t="str">
        <f t="shared" si="1"/>
        <v>OK</v>
      </c>
      <c r="B1656" s="3" t="str">
        <f t="shared" si="2"/>
        <v>OK</v>
      </c>
      <c r="C1656" s="3">
        <v>9102.0</v>
      </c>
      <c r="D1656" s="4" t="s">
        <v>3927</v>
      </c>
      <c r="E1656" s="3" t="s">
        <v>3928</v>
      </c>
      <c r="F1656" s="3" t="s">
        <v>17</v>
      </c>
      <c r="G1656" s="3" t="str">
        <f t="shared" si="3"/>
        <v>XIOTO3</v>
      </c>
      <c r="H1656" s="3" t="str">
        <f>VLOOKUP($C1656,Userpass!$A$2:$L$3001,12,FALSE)</f>
        <v>OTO3</v>
      </c>
      <c r="I1656" s="5" t="s">
        <v>3045</v>
      </c>
      <c r="J1656" s="3">
        <v>2024.0</v>
      </c>
      <c r="K1656" s="4" t="str">
        <f>VLOOKUP($C1656,Userpass!$A$2:$R$3001,2,FALSE)</f>
        <v>oto20249102.siswa@smkn12malang.sch.id</v>
      </c>
    </row>
    <row r="1657" hidden="1">
      <c r="A1657" s="3" t="str">
        <f t="shared" si="1"/>
        <v>OK</v>
      </c>
      <c r="B1657" s="3" t="str">
        <f t="shared" si="2"/>
        <v>OK</v>
      </c>
      <c r="C1657" s="3">
        <v>9109.0</v>
      </c>
      <c r="D1657" s="4" t="s">
        <v>3929</v>
      </c>
      <c r="E1657" s="3" t="s">
        <v>3930</v>
      </c>
      <c r="F1657" s="3" t="s">
        <v>17</v>
      </c>
      <c r="G1657" s="3" t="str">
        <f t="shared" si="3"/>
        <v>XIOTO3</v>
      </c>
      <c r="H1657" s="3" t="str">
        <f>VLOOKUP($C1657,Userpass!$A$2:$L$3001,12,FALSE)</f>
        <v>OTO3</v>
      </c>
      <c r="I1657" s="5" t="s">
        <v>3045</v>
      </c>
      <c r="J1657" s="3">
        <v>2024.0</v>
      </c>
      <c r="K1657" s="4" t="str">
        <f>VLOOKUP($C1657,Userpass!$A$2:$R$3001,2,FALSE)</f>
        <v>oto20249109.siswa@smkn12malang.sch.id</v>
      </c>
    </row>
    <row r="1658" hidden="1">
      <c r="A1658" s="3" t="str">
        <f t="shared" si="1"/>
        <v>OK</v>
      </c>
      <c r="B1658" s="3" t="str">
        <f t="shared" si="2"/>
        <v>OK</v>
      </c>
      <c r="C1658" s="3">
        <v>9119.0</v>
      </c>
      <c r="D1658" s="4" t="s">
        <v>3931</v>
      </c>
      <c r="E1658" s="3" t="s">
        <v>3932</v>
      </c>
      <c r="F1658" s="3" t="s">
        <v>17</v>
      </c>
      <c r="G1658" s="3" t="str">
        <f t="shared" si="3"/>
        <v>XIOTO3</v>
      </c>
      <c r="H1658" s="3" t="str">
        <f>VLOOKUP($C1658,Userpass!$A$2:$L$3001,12,FALSE)</f>
        <v>OTO3</v>
      </c>
      <c r="I1658" s="5" t="s">
        <v>3045</v>
      </c>
      <c r="J1658" s="3">
        <v>2024.0</v>
      </c>
      <c r="K1658" s="4" t="str">
        <f>VLOOKUP($C1658,Userpass!$A$2:$R$3001,2,FALSE)</f>
        <v>oto20249119.siswa@smkn12malang.sch.id</v>
      </c>
    </row>
    <row r="1659" hidden="1">
      <c r="A1659" s="3" t="str">
        <f t="shared" si="1"/>
        <v>OK</v>
      </c>
      <c r="B1659" s="3" t="str">
        <f t="shared" si="2"/>
        <v>OK</v>
      </c>
      <c r="C1659" s="3">
        <v>9129.0</v>
      </c>
      <c r="D1659" s="4" t="s">
        <v>3933</v>
      </c>
      <c r="E1659" s="3" t="s">
        <v>3934</v>
      </c>
      <c r="F1659" s="3" t="s">
        <v>17</v>
      </c>
      <c r="G1659" s="3" t="str">
        <f t="shared" si="3"/>
        <v>XIOTO3</v>
      </c>
      <c r="H1659" s="3" t="str">
        <f>VLOOKUP($C1659,Userpass!$A$2:$L$3001,12,FALSE)</f>
        <v>OTO3</v>
      </c>
      <c r="I1659" s="5" t="s">
        <v>3045</v>
      </c>
      <c r="J1659" s="3">
        <v>2024.0</v>
      </c>
      <c r="K1659" s="4" t="str">
        <f>VLOOKUP($C1659,Userpass!$A$2:$R$3001,2,FALSE)</f>
        <v>oto20249129.siswa@smkn12malang.sch.id</v>
      </c>
    </row>
    <row r="1660" hidden="1">
      <c r="A1660" s="3" t="str">
        <f t="shared" si="1"/>
        <v>OK</v>
      </c>
      <c r="B1660" s="3" t="str">
        <f t="shared" si="2"/>
        <v>OK</v>
      </c>
      <c r="C1660" s="3">
        <v>9152.0</v>
      </c>
      <c r="D1660" s="4" t="s">
        <v>3935</v>
      </c>
      <c r="E1660" s="3" t="s">
        <v>3936</v>
      </c>
      <c r="F1660" s="3" t="s">
        <v>17</v>
      </c>
      <c r="G1660" s="3" t="str">
        <f t="shared" si="3"/>
        <v>XIOTO3</v>
      </c>
      <c r="H1660" s="3" t="str">
        <f>VLOOKUP($C1660,Userpass!$A$2:$L$3001,12,FALSE)</f>
        <v>OTO3</v>
      </c>
      <c r="I1660" s="5" t="s">
        <v>3045</v>
      </c>
      <c r="J1660" s="3">
        <v>2024.0</v>
      </c>
      <c r="K1660" s="4" t="str">
        <f>VLOOKUP($C1660,Userpass!$A$2:$R$3001,2,FALSE)</f>
        <v>oto20249152.siswa@smkn12malang.sch.id</v>
      </c>
    </row>
    <row r="1661" hidden="1">
      <c r="A1661" s="3" t="str">
        <f t="shared" si="1"/>
        <v>OK</v>
      </c>
      <c r="B1661" s="3" t="str">
        <f t="shared" si="2"/>
        <v>OK</v>
      </c>
      <c r="C1661" s="3">
        <v>9166.0</v>
      </c>
      <c r="D1661" s="4" t="s">
        <v>3937</v>
      </c>
      <c r="E1661" s="3" t="s">
        <v>3938</v>
      </c>
      <c r="F1661" s="3" t="s">
        <v>17</v>
      </c>
      <c r="G1661" s="3" t="str">
        <f t="shared" si="3"/>
        <v>XIOTO3</v>
      </c>
      <c r="H1661" s="3" t="str">
        <f>VLOOKUP($C1661,Userpass!$A$2:$L$3001,12,FALSE)</f>
        <v>OTO3</v>
      </c>
      <c r="I1661" s="5" t="s">
        <v>3045</v>
      </c>
      <c r="J1661" s="3">
        <v>2024.0</v>
      </c>
      <c r="K1661" s="4" t="str">
        <f>VLOOKUP($C1661,Userpass!$A$2:$R$3001,2,FALSE)</f>
        <v>oto20249166.siswa@smkn12malang.sch.id</v>
      </c>
    </row>
    <row r="1662" hidden="1">
      <c r="A1662" s="3" t="str">
        <f t="shared" si="1"/>
        <v>OK</v>
      </c>
      <c r="B1662" s="3" t="str">
        <f t="shared" si="2"/>
        <v>OK</v>
      </c>
      <c r="C1662" s="3">
        <v>9200.0</v>
      </c>
      <c r="D1662" s="4" t="s">
        <v>3939</v>
      </c>
      <c r="E1662" s="3" t="s">
        <v>3940</v>
      </c>
      <c r="F1662" s="3" t="s">
        <v>17</v>
      </c>
      <c r="G1662" s="3" t="str">
        <f t="shared" si="3"/>
        <v>XIOTO3</v>
      </c>
      <c r="H1662" s="3" t="str">
        <f>VLOOKUP($C1662,Userpass!$A$2:$L$3001,12,FALSE)</f>
        <v>OTO3</v>
      </c>
      <c r="I1662" s="5" t="s">
        <v>3045</v>
      </c>
      <c r="J1662" s="3">
        <v>2024.0</v>
      </c>
      <c r="K1662" s="4" t="str">
        <f>VLOOKUP($C1662,Userpass!$A$2:$R$3001,2,FALSE)</f>
        <v>oto20249200.siswa@smkn12malang.sch.id</v>
      </c>
    </row>
    <row r="1663" hidden="1">
      <c r="A1663" s="3" t="str">
        <f t="shared" si="1"/>
        <v>OK</v>
      </c>
      <c r="B1663" s="3" t="str">
        <f t="shared" si="2"/>
        <v>OK</v>
      </c>
      <c r="C1663" s="3">
        <v>9226.0</v>
      </c>
      <c r="D1663" s="4" t="s">
        <v>3941</v>
      </c>
      <c r="E1663" s="3" t="s">
        <v>3942</v>
      </c>
      <c r="F1663" s="3" t="s">
        <v>17</v>
      </c>
      <c r="G1663" s="3" t="str">
        <f t="shared" si="3"/>
        <v>XIOTO3</v>
      </c>
      <c r="H1663" s="3" t="str">
        <f>VLOOKUP($C1663,Userpass!$A$2:$L$3001,12,FALSE)</f>
        <v>OTO3</v>
      </c>
      <c r="I1663" s="5" t="s">
        <v>3045</v>
      </c>
      <c r="J1663" s="3">
        <v>2024.0</v>
      </c>
      <c r="K1663" s="4" t="str">
        <f>VLOOKUP($C1663,Userpass!$A$2:$R$3001,2,FALSE)</f>
        <v>oto20249226.siswa@smkn12malang.sch.id</v>
      </c>
    </row>
    <row r="1664" hidden="1">
      <c r="A1664" s="3" t="str">
        <f t="shared" si="1"/>
        <v>OK</v>
      </c>
      <c r="B1664" s="3" t="str">
        <f t="shared" si="2"/>
        <v>OK</v>
      </c>
      <c r="C1664" s="3">
        <v>9240.0</v>
      </c>
      <c r="D1664" s="4" t="s">
        <v>3943</v>
      </c>
      <c r="E1664" s="3" t="s">
        <v>3944</v>
      </c>
      <c r="F1664" s="3" t="s">
        <v>17</v>
      </c>
      <c r="G1664" s="3" t="str">
        <f t="shared" si="3"/>
        <v>XIOTO3</v>
      </c>
      <c r="H1664" s="3" t="str">
        <f>VLOOKUP($C1664,Userpass!$A$2:$L$3001,12,FALSE)</f>
        <v>OTO3</v>
      </c>
      <c r="I1664" s="5" t="s">
        <v>3045</v>
      </c>
      <c r="J1664" s="3">
        <v>2024.0</v>
      </c>
      <c r="K1664" s="4" t="str">
        <f>VLOOKUP($C1664,Userpass!$A$2:$R$3001,2,FALSE)</f>
        <v>oto20249240.siswa@smkn12malang.sch.id</v>
      </c>
    </row>
    <row r="1665" hidden="1">
      <c r="A1665" s="3" t="str">
        <f t="shared" si="1"/>
        <v>OK</v>
      </c>
      <c r="B1665" s="3" t="str">
        <f t="shared" si="2"/>
        <v>OK</v>
      </c>
      <c r="C1665" s="3">
        <v>8646.0</v>
      </c>
      <c r="D1665" s="4" t="s">
        <v>3945</v>
      </c>
      <c r="E1665" s="3" t="s">
        <v>3946</v>
      </c>
      <c r="F1665" s="3" t="s">
        <v>17</v>
      </c>
      <c r="G1665" s="3" t="str">
        <f t="shared" si="3"/>
        <v>XIOTO4</v>
      </c>
      <c r="H1665" s="3" t="str">
        <f>VLOOKUP($C1665,Userpass!$A$2:$L$3001,12,FALSE)</f>
        <v>OTO4</v>
      </c>
      <c r="I1665" s="5" t="s">
        <v>3045</v>
      </c>
      <c r="J1665" s="3">
        <v>2024.0</v>
      </c>
      <c r="K1665" s="4" t="str">
        <f>VLOOKUP($C1665,Userpass!$A$2:$R$3001,2,FALSE)</f>
        <v>oto20248646.siswa@smkn12malang.sch.id</v>
      </c>
    </row>
    <row r="1666" hidden="1">
      <c r="A1666" s="3" t="str">
        <f t="shared" si="1"/>
        <v>OK</v>
      </c>
      <c r="B1666" s="3" t="str">
        <f t="shared" si="2"/>
        <v>OK</v>
      </c>
      <c r="C1666" s="3">
        <v>8655.0</v>
      </c>
      <c r="D1666" s="4" t="s">
        <v>3947</v>
      </c>
      <c r="E1666" s="3" t="s">
        <v>3948</v>
      </c>
      <c r="F1666" s="3" t="s">
        <v>17</v>
      </c>
      <c r="G1666" s="3" t="str">
        <f t="shared" si="3"/>
        <v>XIOTO4</v>
      </c>
      <c r="H1666" s="3" t="str">
        <f>VLOOKUP($C1666,Userpass!$A$2:$L$3001,12,FALSE)</f>
        <v>OTO4</v>
      </c>
      <c r="I1666" s="5" t="s">
        <v>3045</v>
      </c>
      <c r="J1666" s="3">
        <v>2024.0</v>
      </c>
      <c r="K1666" s="4" t="str">
        <f>VLOOKUP($C1666,Userpass!$A$2:$R$3001,2,FALSE)</f>
        <v>oto20248655.siswa@smkn12malang.sch.id</v>
      </c>
    </row>
    <row r="1667" hidden="1">
      <c r="A1667" s="3" t="str">
        <f t="shared" si="1"/>
        <v>OK</v>
      </c>
      <c r="B1667" s="3" t="str">
        <f t="shared" si="2"/>
        <v>OK</v>
      </c>
      <c r="C1667" s="3">
        <v>8664.0</v>
      </c>
      <c r="D1667" s="4" t="s">
        <v>3949</v>
      </c>
      <c r="E1667" s="3" t="s">
        <v>3950</v>
      </c>
      <c r="F1667" s="3" t="s">
        <v>17</v>
      </c>
      <c r="G1667" s="3" t="str">
        <f t="shared" si="3"/>
        <v>XIOTO4</v>
      </c>
      <c r="H1667" s="3" t="str">
        <f>VLOOKUP($C1667,Userpass!$A$2:$L$3001,12,FALSE)</f>
        <v>OTO4</v>
      </c>
      <c r="I1667" s="5" t="s">
        <v>3045</v>
      </c>
      <c r="J1667" s="3">
        <v>2024.0</v>
      </c>
      <c r="K1667" s="4" t="str">
        <f>VLOOKUP($C1667,Userpass!$A$2:$R$3001,2,FALSE)</f>
        <v>oto20248664.siswa@smkn12malang.sch.id</v>
      </c>
    </row>
    <row r="1668" hidden="1">
      <c r="A1668" s="3" t="str">
        <f t="shared" si="1"/>
        <v>OK</v>
      </c>
      <c r="B1668" s="3" t="str">
        <f t="shared" si="2"/>
        <v>OK</v>
      </c>
      <c r="C1668" s="3">
        <v>8672.0</v>
      </c>
      <c r="D1668" s="4" t="s">
        <v>3951</v>
      </c>
      <c r="E1668" s="3" t="s">
        <v>3952</v>
      </c>
      <c r="F1668" s="3" t="s">
        <v>17</v>
      </c>
      <c r="G1668" s="3" t="str">
        <f t="shared" si="3"/>
        <v>XIOTO4</v>
      </c>
      <c r="H1668" s="3" t="str">
        <f>VLOOKUP($C1668,Userpass!$A$2:$L$3001,12,FALSE)</f>
        <v>OTO4</v>
      </c>
      <c r="I1668" s="5" t="s">
        <v>3045</v>
      </c>
      <c r="J1668" s="3">
        <v>2024.0</v>
      </c>
      <c r="K1668" s="4" t="str">
        <f>VLOOKUP($C1668,Userpass!$A$2:$R$3001,2,FALSE)</f>
        <v>oto20248672.siswa@smkn12malang.sch.id</v>
      </c>
    </row>
    <row r="1669" hidden="1">
      <c r="A1669" s="3" t="str">
        <f t="shared" si="1"/>
        <v>OK</v>
      </c>
      <c r="B1669" s="3" t="str">
        <f t="shared" si="2"/>
        <v>OK</v>
      </c>
      <c r="C1669" s="3">
        <v>8682.0</v>
      </c>
      <c r="D1669" s="4" t="s">
        <v>3953</v>
      </c>
      <c r="E1669" s="3" t="s">
        <v>3954</v>
      </c>
      <c r="F1669" s="3" t="s">
        <v>17</v>
      </c>
      <c r="G1669" s="3" t="str">
        <f t="shared" si="3"/>
        <v>XIOTO4</v>
      </c>
      <c r="H1669" s="3" t="str">
        <f>VLOOKUP($C1669,Userpass!$A$2:$L$3001,12,FALSE)</f>
        <v>OTO4</v>
      </c>
      <c r="I1669" s="5" t="s">
        <v>3045</v>
      </c>
      <c r="J1669" s="3">
        <v>2024.0</v>
      </c>
      <c r="K1669" s="4" t="str">
        <f>VLOOKUP($C1669,Userpass!$A$2:$R$3001,2,FALSE)</f>
        <v>oto20248682.siswa@smkn12malang.sch.id</v>
      </c>
    </row>
    <row r="1670" hidden="1">
      <c r="A1670" s="3" t="str">
        <f t="shared" si="1"/>
        <v>OK</v>
      </c>
      <c r="B1670" s="3" t="str">
        <f t="shared" si="2"/>
        <v>OK</v>
      </c>
      <c r="C1670" s="3">
        <v>8686.0</v>
      </c>
      <c r="D1670" s="4" t="s">
        <v>3955</v>
      </c>
      <c r="E1670" s="3" t="s">
        <v>3956</v>
      </c>
      <c r="F1670" s="3" t="s">
        <v>13</v>
      </c>
      <c r="G1670" s="3" t="str">
        <f t="shared" si="3"/>
        <v>XIOTO4</v>
      </c>
      <c r="H1670" s="3" t="str">
        <f>VLOOKUP($C1670,Userpass!$A$2:$L$3001,12,FALSE)</f>
        <v>OTO4</v>
      </c>
      <c r="I1670" s="5" t="s">
        <v>3045</v>
      </c>
      <c r="J1670" s="3">
        <v>2024.0</v>
      </c>
      <c r="K1670" s="4" t="str">
        <f>VLOOKUP($C1670,Userpass!$A$2:$R$3001,2,FALSE)</f>
        <v>oto20248686.siswa@smkn12malang.sch.id</v>
      </c>
    </row>
    <row r="1671" hidden="1">
      <c r="A1671" s="3" t="str">
        <f t="shared" si="1"/>
        <v>OK</v>
      </c>
      <c r="B1671" s="3" t="str">
        <f t="shared" si="2"/>
        <v>OK</v>
      </c>
      <c r="C1671" s="3">
        <v>8696.0</v>
      </c>
      <c r="D1671" s="4" t="s">
        <v>3957</v>
      </c>
      <c r="E1671" s="3" t="s">
        <v>3958</v>
      </c>
      <c r="F1671" s="3" t="s">
        <v>17</v>
      </c>
      <c r="G1671" s="3" t="str">
        <f t="shared" si="3"/>
        <v>XIOTO4</v>
      </c>
      <c r="H1671" s="3" t="str">
        <f>VLOOKUP($C1671,Userpass!$A$2:$L$3001,12,FALSE)</f>
        <v>OTO4</v>
      </c>
      <c r="I1671" s="5" t="s">
        <v>3045</v>
      </c>
      <c r="J1671" s="3">
        <v>2024.0</v>
      </c>
      <c r="K1671" s="4" t="str">
        <f>VLOOKUP($C1671,Userpass!$A$2:$R$3001,2,FALSE)</f>
        <v>oto20248696.siswa@smkn12malang.sch.id</v>
      </c>
    </row>
    <row r="1672" hidden="1">
      <c r="A1672" s="3" t="str">
        <f t="shared" si="1"/>
        <v>OK</v>
      </c>
      <c r="B1672" s="3" t="str">
        <f t="shared" si="2"/>
        <v>OK</v>
      </c>
      <c r="C1672" s="3">
        <v>8703.0</v>
      </c>
      <c r="D1672" s="4" t="s">
        <v>3959</v>
      </c>
      <c r="E1672" s="3" t="s">
        <v>3960</v>
      </c>
      <c r="F1672" s="3" t="s">
        <v>17</v>
      </c>
      <c r="G1672" s="3" t="str">
        <f t="shared" si="3"/>
        <v>XIOTO4</v>
      </c>
      <c r="H1672" s="3" t="str">
        <f>VLOOKUP($C1672,Userpass!$A$2:$L$3001,12,FALSE)</f>
        <v>OTO4</v>
      </c>
      <c r="I1672" s="5" t="s">
        <v>3045</v>
      </c>
      <c r="J1672" s="3">
        <v>2024.0</v>
      </c>
      <c r="K1672" s="4" t="str">
        <f>VLOOKUP($C1672,Userpass!$A$2:$R$3001,2,FALSE)</f>
        <v>oto20248703.siswa@smkn12malang.sch.id</v>
      </c>
    </row>
    <row r="1673" hidden="1">
      <c r="A1673" s="3" t="str">
        <f t="shared" si="1"/>
        <v>OK</v>
      </c>
      <c r="B1673" s="3" t="str">
        <f t="shared" si="2"/>
        <v>OK</v>
      </c>
      <c r="C1673" s="3">
        <v>8778.0</v>
      </c>
      <c r="D1673" s="4" t="s">
        <v>3961</v>
      </c>
      <c r="E1673" s="3" t="s">
        <v>3962</v>
      </c>
      <c r="F1673" s="3" t="s">
        <v>17</v>
      </c>
      <c r="G1673" s="3" t="str">
        <f t="shared" si="3"/>
        <v>XIOTO4</v>
      </c>
      <c r="H1673" s="3" t="str">
        <f>VLOOKUP($C1673,Userpass!$A$2:$L$3001,12,FALSE)</f>
        <v>OTO4</v>
      </c>
      <c r="I1673" s="5" t="s">
        <v>3045</v>
      </c>
      <c r="J1673" s="3">
        <v>2024.0</v>
      </c>
      <c r="K1673" s="4" t="str">
        <f>VLOOKUP($C1673,Userpass!$A$2:$R$3001,2,FALSE)</f>
        <v>oto20248778.siswa@smkn12malang.sch.id</v>
      </c>
    </row>
    <row r="1674" hidden="1">
      <c r="A1674" s="3" t="str">
        <f t="shared" si="1"/>
        <v>OK</v>
      </c>
      <c r="B1674" s="3" t="str">
        <f t="shared" si="2"/>
        <v>OK</v>
      </c>
      <c r="C1674" s="3">
        <v>8835.0</v>
      </c>
      <c r="D1674" s="4" t="s">
        <v>3963</v>
      </c>
      <c r="E1674" s="3" t="s">
        <v>3964</v>
      </c>
      <c r="F1674" s="3" t="s">
        <v>17</v>
      </c>
      <c r="G1674" s="3" t="str">
        <f t="shared" si="3"/>
        <v>XIOTO4</v>
      </c>
      <c r="H1674" s="3" t="str">
        <f>VLOOKUP($C1674,Userpass!$A$2:$L$3001,12,FALSE)</f>
        <v>OTO4</v>
      </c>
      <c r="I1674" s="5" t="s">
        <v>3045</v>
      </c>
      <c r="J1674" s="3">
        <v>2024.0</v>
      </c>
      <c r="K1674" s="4" t="str">
        <f>VLOOKUP($C1674,Userpass!$A$2:$R$3001,2,FALSE)</f>
        <v>oto20248835.siswa@smkn12malang.sch.id</v>
      </c>
    </row>
    <row r="1675" hidden="1">
      <c r="A1675" s="3" t="str">
        <f t="shared" si="1"/>
        <v>OK</v>
      </c>
      <c r="B1675" s="3" t="str">
        <f t="shared" si="2"/>
        <v>OK</v>
      </c>
      <c r="C1675" s="3">
        <v>8844.0</v>
      </c>
      <c r="D1675" s="4" t="s">
        <v>3965</v>
      </c>
      <c r="E1675" s="3" t="s">
        <v>3966</v>
      </c>
      <c r="F1675" s="3" t="s">
        <v>17</v>
      </c>
      <c r="G1675" s="3" t="str">
        <f t="shared" si="3"/>
        <v>XIOTO4</v>
      </c>
      <c r="H1675" s="3" t="str">
        <f>VLOOKUP($C1675,Userpass!$A$2:$L$3001,12,FALSE)</f>
        <v>OTO4</v>
      </c>
      <c r="I1675" s="5" t="s">
        <v>3045</v>
      </c>
      <c r="J1675" s="3">
        <v>2024.0</v>
      </c>
      <c r="K1675" s="4" t="str">
        <f>VLOOKUP($C1675,Userpass!$A$2:$R$3001,2,FALSE)</f>
        <v>oto20248844.siswa@smkn12malang.sch.id</v>
      </c>
    </row>
    <row r="1676" hidden="1">
      <c r="A1676" s="3" t="str">
        <f t="shared" si="1"/>
        <v>OK</v>
      </c>
      <c r="B1676" s="3" t="str">
        <f t="shared" si="2"/>
        <v>OK</v>
      </c>
      <c r="C1676" s="3">
        <v>8855.0</v>
      </c>
      <c r="D1676" s="4" t="s">
        <v>3967</v>
      </c>
      <c r="E1676" s="3" t="s">
        <v>3968</v>
      </c>
      <c r="F1676" s="3" t="s">
        <v>17</v>
      </c>
      <c r="G1676" s="3" t="str">
        <f t="shared" si="3"/>
        <v>XIOTO4</v>
      </c>
      <c r="H1676" s="3" t="str">
        <f>VLOOKUP($C1676,Userpass!$A$2:$L$3001,12,FALSE)</f>
        <v>OTO4</v>
      </c>
      <c r="I1676" s="5" t="s">
        <v>3045</v>
      </c>
      <c r="J1676" s="3">
        <v>2024.0</v>
      </c>
      <c r="K1676" s="4" t="str">
        <f>VLOOKUP($C1676,Userpass!$A$2:$R$3001,2,FALSE)</f>
        <v>oto20248855.siswa@smkn12malang.sch.id</v>
      </c>
    </row>
    <row r="1677" hidden="1">
      <c r="A1677" s="3" t="str">
        <f t="shared" si="1"/>
        <v>OK</v>
      </c>
      <c r="B1677" s="3" t="str">
        <f t="shared" si="2"/>
        <v>OK</v>
      </c>
      <c r="C1677" s="3">
        <v>8865.0</v>
      </c>
      <c r="D1677" s="4" t="s">
        <v>3969</v>
      </c>
      <c r="E1677" s="3" t="s">
        <v>3970</v>
      </c>
      <c r="F1677" s="3" t="s">
        <v>17</v>
      </c>
      <c r="G1677" s="3" t="str">
        <f t="shared" si="3"/>
        <v>XIOTO4</v>
      </c>
      <c r="H1677" s="3" t="str">
        <f>VLOOKUP($C1677,Userpass!$A$2:$L$3001,12,FALSE)</f>
        <v>OTO4</v>
      </c>
      <c r="I1677" s="5" t="s">
        <v>3045</v>
      </c>
      <c r="J1677" s="3">
        <v>2024.0</v>
      </c>
      <c r="K1677" s="4" t="str">
        <f>VLOOKUP($C1677,Userpass!$A$2:$R$3001,2,FALSE)</f>
        <v>oto20248865.siswa@smkn12malang.sch.id</v>
      </c>
    </row>
    <row r="1678" hidden="1">
      <c r="A1678" s="3" t="str">
        <f t="shared" si="1"/>
        <v>OK</v>
      </c>
      <c r="B1678" s="3" t="str">
        <f t="shared" si="2"/>
        <v>OK</v>
      </c>
      <c r="C1678" s="3">
        <v>8886.0</v>
      </c>
      <c r="D1678" s="4" t="s">
        <v>3971</v>
      </c>
      <c r="E1678" s="3" t="s">
        <v>3972</v>
      </c>
      <c r="F1678" s="3" t="s">
        <v>17</v>
      </c>
      <c r="G1678" s="3" t="str">
        <f t="shared" si="3"/>
        <v>XIOTO4</v>
      </c>
      <c r="H1678" s="3" t="str">
        <f>VLOOKUP($C1678,Userpass!$A$2:$L$3001,12,FALSE)</f>
        <v>OTO4</v>
      </c>
      <c r="I1678" s="5" t="s">
        <v>3045</v>
      </c>
      <c r="J1678" s="3">
        <v>2024.0</v>
      </c>
      <c r="K1678" s="4" t="str">
        <f>VLOOKUP($C1678,Userpass!$A$2:$R$3001,2,FALSE)</f>
        <v>oto20248886.siswa@smkn12malang.sch.id</v>
      </c>
    </row>
    <row r="1679" hidden="1">
      <c r="A1679" s="3" t="str">
        <f t="shared" si="1"/>
        <v>OK</v>
      </c>
      <c r="B1679" s="3" t="str">
        <f t="shared" si="2"/>
        <v>OK</v>
      </c>
      <c r="C1679" s="3">
        <v>8896.0</v>
      </c>
      <c r="D1679" s="4" t="s">
        <v>3973</v>
      </c>
      <c r="E1679" s="3" t="s">
        <v>3974</v>
      </c>
      <c r="F1679" s="3" t="s">
        <v>17</v>
      </c>
      <c r="G1679" s="3" t="str">
        <f t="shared" si="3"/>
        <v>XIOTO4</v>
      </c>
      <c r="H1679" s="3" t="str">
        <f>VLOOKUP($C1679,Userpass!$A$2:$L$3001,12,FALSE)</f>
        <v>OTO4</v>
      </c>
      <c r="I1679" s="5" t="s">
        <v>3045</v>
      </c>
      <c r="J1679" s="3">
        <v>2024.0</v>
      </c>
      <c r="K1679" s="4" t="str">
        <f>VLOOKUP($C1679,Userpass!$A$2:$R$3001,2,FALSE)</f>
        <v>oto20248896.siswa@smkn12malang.sch.id</v>
      </c>
    </row>
    <row r="1680" hidden="1">
      <c r="A1680" s="3" t="str">
        <f t="shared" si="1"/>
        <v>OK</v>
      </c>
      <c r="B1680" s="3" t="str">
        <f t="shared" si="2"/>
        <v>OK</v>
      </c>
      <c r="C1680" s="3">
        <v>8940.0</v>
      </c>
      <c r="D1680" s="4" t="s">
        <v>3975</v>
      </c>
      <c r="E1680" s="3" t="s">
        <v>3976</v>
      </c>
      <c r="F1680" s="3" t="s">
        <v>17</v>
      </c>
      <c r="G1680" s="3" t="str">
        <f t="shared" si="3"/>
        <v>XIOTO4</v>
      </c>
      <c r="H1680" s="3" t="str">
        <f>VLOOKUP($C1680,Userpass!$A$2:$L$3001,12,FALSE)</f>
        <v>OTO4</v>
      </c>
      <c r="I1680" s="5" t="s">
        <v>3045</v>
      </c>
      <c r="J1680" s="3">
        <v>2024.0</v>
      </c>
      <c r="K1680" s="4" t="str">
        <f>VLOOKUP($C1680,Userpass!$A$2:$R$3001,2,FALSE)</f>
        <v>oto20248940.siswa@smkn12malang.sch.id</v>
      </c>
    </row>
    <row r="1681" hidden="1">
      <c r="A1681" s="3" t="str">
        <f t="shared" si="1"/>
        <v>OK</v>
      </c>
      <c r="B1681" s="3" t="str">
        <f t="shared" si="2"/>
        <v>OK</v>
      </c>
      <c r="C1681" s="3">
        <v>8975.0</v>
      </c>
      <c r="D1681" s="4" t="s">
        <v>3977</v>
      </c>
      <c r="E1681" s="3" t="s">
        <v>3978</v>
      </c>
      <c r="F1681" s="3" t="s">
        <v>17</v>
      </c>
      <c r="G1681" s="3" t="str">
        <f t="shared" si="3"/>
        <v>XIOTO4</v>
      </c>
      <c r="H1681" s="3" t="str">
        <f>VLOOKUP($C1681,Userpass!$A$2:$L$3001,12,FALSE)</f>
        <v>OTO4</v>
      </c>
      <c r="I1681" s="5" t="s">
        <v>3045</v>
      </c>
      <c r="J1681" s="3">
        <v>2024.0</v>
      </c>
      <c r="K1681" s="4" t="str">
        <f>VLOOKUP($C1681,Userpass!$A$2:$R$3001,2,FALSE)</f>
        <v>oto20248975.siswa@smkn12malang.sch.id</v>
      </c>
    </row>
    <row r="1682" hidden="1">
      <c r="A1682" s="3" t="str">
        <f t="shared" si="1"/>
        <v>OK</v>
      </c>
      <c r="B1682" s="3" t="str">
        <f t="shared" si="2"/>
        <v>OK</v>
      </c>
      <c r="C1682" s="3">
        <v>8981.0</v>
      </c>
      <c r="D1682" s="4" t="s">
        <v>3979</v>
      </c>
      <c r="E1682" s="3" t="s">
        <v>3980</v>
      </c>
      <c r="F1682" s="3" t="s">
        <v>17</v>
      </c>
      <c r="G1682" s="3" t="str">
        <f t="shared" si="3"/>
        <v>XIOTO4</v>
      </c>
      <c r="H1682" s="3" t="str">
        <f>VLOOKUP($C1682,Userpass!$A$2:$L$3001,12,FALSE)</f>
        <v>OTO4</v>
      </c>
      <c r="I1682" s="5" t="s">
        <v>3045</v>
      </c>
      <c r="J1682" s="3">
        <v>2024.0</v>
      </c>
      <c r="K1682" s="4" t="str">
        <f>VLOOKUP($C1682,Userpass!$A$2:$R$3001,2,FALSE)</f>
        <v>oto20248981.siswa@smkn12malang.sch.id</v>
      </c>
    </row>
    <row r="1683" hidden="1">
      <c r="A1683" s="3" t="str">
        <f t="shared" si="1"/>
        <v>OK</v>
      </c>
      <c r="B1683" s="3" t="str">
        <f t="shared" si="2"/>
        <v>OK</v>
      </c>
      <c r="C1683" s="3">
        <v>8376.0</v>
      </c>
      <c r="D1683" s="4" t="s">
        <v>3981</v>
      </c>
      <c r="E1683" s="3" t="s">
        <v>3982</v>
      </c>
      <c r="F1683" s="3" t="s">
        <v>17</v>
      </c>
      <c r="G1683" s="3" t="str">
        <f t="shared" si="3"/>
        <v>XIOTO4</v>
      </c>
      <c r="H1683" s="3" t="str">
        <f>VLOOKUP($C1683,Userpass!$A$2:$L$3001,12,FALSE)</f>
        <v>OTO4</v>
      </c>
      <c r="I1683" s="5" t="s">
        <v>3045</v>
      </c>
      <c r="J1683" s="3">
        <v>2023.0</v>
      </c>
      <c r="K1683" s="4" t="str">
        <f>VLOOKUP($C1683,Userpass!$A$2:$R$3001,2,FALSE)</f>
        <v>oto20238376.siswa@smkn12malang.sch.id</v>
      </c>
    </row>
    <row r="1684" hidden="1">
      <c r="A1684" s="3" t="str">
        <f t="shared" si="1"/>
        <v>OK</v>
      </c>
      <c r="B1684" s="3" t="str">
        <f t="shared" si="2"/>
        <v>OK</v>
      </c>
      <c r="C1684" s="3">
        <v>8989.0</v>
      </c>
      <c r="D1684" s="4" t="s">
        <v>3983</v>
      </c>
      <c r="E1684" s="3" t="s">
        <v>3984</v>
      </c>
      <c r="F1684" s="3" t="s">
        <v>17</v>
      </c>
      <c r="G1684" s="3" t="str">
        <f t="shared" si="3"/>
        <v>XIOTO4</v>
      </c>
      <c r="H1684" s="3" t="str">
        <f>VLOOKUP($C1684,Userpass!$A$2:$L$3001,12,FALSE)</f>
        <v>OTO4</v>
      </c>
      <c r="I1684" s="5" t="s">
        <v>3045</v>
      </c>
      <c r="J1684" s="3">
        <v>2024.0</v>
      </c>
      <c r="K1684" s="4" t="str">
        <f>VLOOKUP($C1684,Userpass!$A$2:$R$3001,2,FALSE)</f>
        <v>oto20248989.siswa@smkn12malang.sch.id</v>
      </c>
    </row>
    <row r="1685" hidden="1">
      <c r="A1685" s="3" t="str">
        <f t="shared" si="1"/>
        <v>OK</v>
      </c>
      <c r="B1685" s="3" t="str">
        <f t="shared" si="2"/>
        <v>OK</v>
      </c>
      <c r="C1685" s="3">
        <v>8994.0</v>
      </c>
      <c r="D1685" s="4" t="s">
        <v>3985</v>
      </c>
      <c r="E1685" s="3" t="s">
        <v>3986</v>
      </c>
      <c r="F1685" s="3" t="s">
        <v>17</v>
      </c>
      <c r="G1685" s="3" t="str">
        <f t="shared" si="3"/>
        <v>XIOTO4</v>
      </c>
      <c r="H1685" s="3" t="str">
        <f>VLOOKUP($C1685,Userpass!$A$2:$L$3001,12,FALSE)</f>
        <v>OTO4</v>
      </c>
      <c r="I1685" s="5" t="s">
        <v>3045</v>
      </c>
      <c r="J1685" s="3">
        <v>2024.0</v>
      </c>
      <c r="K1685" s="4" t="str">
        <f>VLOOKUP($C1685,Userpass!$A$2:$R$3001,2,FALSE)</f>
        <v>oto20248994.siswa@smkn12malang.sch.id</v>
      </c>
    </row>
    <row r="1686" hidden="1">
      <c r="A1686" s="3" t="str">
        <f t="shared" si="1"/>
        <v>OK</v>
      </c>
      <c r="B1686" s="3" t="str">
        <f t="shared" si="2"/>
        <v>OK</v>
      </c>
      <c r="C1686" s="3">
        <v>9000.0</v>
      </c>
      <c r="D1686" s="4" t="s">
        <v>3987</v>
      </c>
      <c r="E1686" s="3" t="s">
        <v>3988</v>
      </c>
      <c r="F1686" s="3" t="s">
        <v>17</v>
      </c>
      <c r="G1686" s="3" t="str">
        <f t="shared" si="3"/>
        <v>XIOTO4</v>
      </c>
      <c r="H1686" s="3" t="str">
        <f>VLOOKUP($C1686,Userpass!$A$2:$L$3001,12,FALSE)</f>
        <v>OTO4</v>
      </c>
      <c r="I1686" s="5" t="s">
        <v>3045</v>
      </c>
      <c r="J1686" s="3">
        <v>2024.0</v>
      </c>
      <c r="K1686" s="4" t="str">
        <f>VLOOKUP($C1686,Userpass!$A$2:$R$3001,2,FALSE)</f>
        <v>oto20249000.siswa@smkn12malang.sch.id</v>
      </c>
    </row>
    <row r="1687" hidden="1">
      <c r="A1687" s="3" t="str">
        <f t="shared" si="1"/>
        <v>OK</v>
      </c>
      <c r="B1687" s="3" t="str">
        <f t="shared" si="2"/>
        <v>OK</v>
      </c>
      <c r="C1687" s="3">
        <v>9003.0</v>
      </c>
      <c r="D1687" s="4" t="s">
        <v>3989</v>
      </c>
      <c r="E1687" s="3" t="s">
        <v>3990</v>
      </c>
      <c r="F1687" s="3" t="s">
        <v>17</v>
      </c>
      <c r="G1687" s="3" t="str">
        <f t="shared" si="3"/>
        <v>XIOTO4</v>
      </c>
      <c r="H1687" s="3" t="str">
        <f>VLOOKUP($C1687,Userpass!$A$2:$L$3001,12,FALSE)</f>
        <v>OTO4</v>
      </c>
      <c r="I1687" s="5" t="s">
        <v>3045</v>
      </c>
      <c r="J1687" s="3">
        <v>2024.0</v>
      </c>
      <c r="K1687" s="4" t="str">
        <f>VLOOKUP($C1687,Userpass!$A$2:$R$3001,2,FALSE)</f>
        <v>oto20249003.siswa@smkn12malang.sch.id</v>
      </c>
    </row>
    <row r="1688" hidden="1">
      <c r="A1688" s="3" t="str">
        <f t="shared" si="1"/>
        <v>OK</v>
      </c>
      <c r="B1688" s="3" t="str">
        <f t="shared" si="2"/>
        <v>OK</v>
      </c>
      <c r="C1688" s="3">
        <v>9007.0</v>
      </c>
      <c r="D1688" s="4" t="s">
        <v>3991</v>
      </c>
      <c r="E1688" s="3" t="s">
        <v>3992</v>
      </c>
      <c r="F1688" s="3" t="s">
        <v>17</v>
      </c>
      <c r="G1688" s="3" t="str">
        <f t="shared" si="3"/>
        <v>XIOTO4</v>
      </c>
      <c r="H1688" s="3" t="str">
        <f>VLOOKUP($C1688,Userpass!$A$2:$L$3001,12,FALSE)</f>
        <v>OTO4</v>
      </c>
      <c r="I1688" s="5" t="s">
        <v>3045</v>
      </c>
      <c r="J1688" s="3">
        <v>2024.0</v>
      </c>
      <c r="K1688" s="4" t="str">
        <f>VLOOKUP($C1688,Userpass!$A$2:$R$3001,2,FALSE)</f>
        <v>oto20249007.siswa@smkn12malang.sch.id</v>
      </c>
    </row>
    <row r="1689" hidden="1">
      <c r="A1689" s="3" t="str">
        <f t="shared" si="1"/>
        <v>OK</v>
      </c>
      <c r="B1689" s="3" t="str">
        <f t="shared" si="2"/>
        <v>OK</v>
      </c>
      <c r="C1689" s="3">
        <v>9010.0</v>
      </c>
      <c r="D1689" s="4" t="s">
        <v>3993</v>
      </c>
      <c r="E1689" s="3" t="s">
        <v>3994</v>
      </c>
      <c r="F1689" s="3" t="s">
        <v>17</v>
      </c>
      <c r="G1689" s="3" t="str">
        <f t="shared" si="3"/>
        <v>XIOTO4</v>
      </c>
      <c r="H1689" s="3" t="str">
        <f>VLOOKUP($C1689,Userpass!$A$2:$L$3001,12,FALSE)</f>
        <v>OTO4</v>
      </c>
      <c r="I1689" s="5" t="s">
        <v>3045</v>
      </c>
      <c r="J1689" s="3">
        <v>2024.0</v>
      </c>
      <c r="K1689" s="4" t="str">
        <f>VLOOKUP($C1689,Userpass!$A$2:$R$3001,2,FALSE)</f>
        <v>oto20249010.siswa@smkn12malang.sch.id</v>
      </c>
    </row>
    <row r="1690" hidden="1">
      <c r="A1690" s="3" t="str">
        <f t="shared" si="1"/>
        <v>OK</v>
      </c>
      <c r="B1690" s="3" t="str">
        <f t="shared" si="2"/>
        <v>OK</v>
      </c>
      <c r="C1690" s="3">
        <v>9015.0</v>
      </c>
      <c r="D1690" s="4" t="s">
        <v>3995</v>
      </c>
      <c r="E1690" s="3" t="s">
        <v>3996</v>
      </c>
      <c r="F1690" s="3" t="s">
        <v>17</v>
      </c>
      <c r="G1690" s="3" t="str">
        <f t="shared" si="3"/>
        <v>XIOTO4</v>
      </c>
      <c r="H1690" s="3" t="str">
        <f>VLOOKUP($C1690,Userpass!$A$2:$L$3001,12,FALSE)</f>
        <v>OTO4</v>
      </c>
      <c r="I1690" s="5" t="s">
        <v>3045</v>
      </c>
      <c r="J1690" s="3">
        <v>2024.0</v>
      </c>
      <c r="K1690" s="4" t="str">
        <f>VLOOKUP($C1690,Userpass!$A$2:$R$3001,2,FALSE)</f>
        <v>oto20249015.siswa@smkn12malang.sch.id</v>
      </c>
    </row>
    <row r="1691" hidden="1">
      <c r="A1691" s="3" t="str">
        <f t="shared" si="1"/>
        <v>OK</v>
      </c>
      <c r="B1691" s="3" t="str">
        <f t="shared" si="2"/>
        <v>OK</v>
      </c>
      <c r="C1691" s="3">
        <v>9030.0</v>
      </c>
      <c r="D1691" s="4" t="s">
        <v>3997</v>
      </c>
      <c r="E1691" s="3" t="s">
        <v>3998</v>
      </c>
      <c r="F1691" s="3" t="s">
        <v>17</v>
      </c>
      <c r="G1691" s="3" t="str">
        <f t="shared" si="3"/>
        <v>XIOTO4</v>
      </c>
      <c r="H1691" s="3" t="str">
        <f>VLOOKUP($C1691,Userpass!$A$2:$L$3001,12,FALSE)</f>
        <v>OTO4</v>
      </c>
      <c r="I1691" s="5" t="s">
        <v>3045</v>
      </c>
      <c r="J1691" s="3">
        <v>2024.0</v>
      </c>
      <c r="K1691" s="4" t="str">
        <f>VLOOKUP($C1691,Userpass!$A$2:$R$3001,2,FALSE)</f>
        <v>oto20249030.siswa@smkn12malang.sch.id</v>
      </c>
    </row>
    <row r="1692" hidden="1">
      <c r="A1692" s="3" t="str">
        <f t="shared" si="1"/>
        <v>OK</v>
      </c>
      <c r="B1692" s="3" t="str">
        <f t="shared" si="2"/>
        <v>OK</v>
      </c>
      <c r="C1692" s="3">
        <v>9115.0</v>
      </c>
      <c r="D1692" s="4" t="s">
        <v>3999</v>
      </c>
      <c r="E1692" s="3" t="s">
        <v>4000</v>
      </c>
      <c r="F1692" s="3" t="s">
        <v>17</v>
      </c>
      <c r="G1692" s="3" t="str">
        <f t="shared" si="3"/>
        <v>XIOTO4</v>
      </c>
      <c r="H1692" s="3" t="str">
        <f>VLOOKUP($C1692,Userpass!$A$2:$L$3001,12,FALSE)</f>
        <v>OTO4</v>
      </c>
      <c r="I1692" s="5" t="s">
        <v>3045</v>
      </c>
      <c r="J1692" s="3">
        <v>2024.0</v>
      </c>
      <c r="K1692" s="4" t="str">
        <f>VLOOKUP($C1692,Userpass!$A$2:$R$3001,2,FALSE)</f>
        <v>oto20249115.siswa@smkn12malang.sch.id</v>
      </c>
    </row>
    <row r="1693" hidden="1">
      <c r="A1693" s="3" t="str">
        <f t="shared" si="1"/>
        <v>OK</v>
      </c>
      <c r="B1693" s="3" t="str">
        <f t="shared" si="2"/>
        <v>OK</v>
      </c>
      <c r="C1693" s="3">
        <v>9138.0</v>
      </c>
      <c r="D1693" s="4" t="s">
        <v>4001</v>
      </c>
      <c r="E1693" s="3" t="s">
        <v>4002</v>
      </c>
      <c r="F1693" s="3" t="s">
        <v>17</v>
      </c>
      <c r="G1693" s="3" t="str">
        <f t="shared" si="3"/>
        <v>XIOTO4</v>
      </c>
      <c r="H1693" s="3" t="str">
        <f>VLOOKUP($C1693,Userpass!$A$2:$L$3001,12,FALSE)</f>
        <v>OTO4</v>
      </c>
      <c r="I1693" s="5" t="s">
        <v>3045</v>
      </c>
      <c r="J1693" s="3">
        <v>2024.0</v>
      </c>
      <c r="K1693" s="4" t="str">
        <f>VLOOKUP($C1693,Userpass!$A$2:$R$3001,2,FALSE)</f>
        <v>oto20249138.siswa@smkn12malang.sch.id</v>
      </c>
    </row>
    <row r="1694" hidden="1">
      <c r="A1694" s="3" t="str">
        <f t="shared" si="1"/>
        <v>OK</v>
      </c>
      <c r="B1694" s="3" t="str">
        <f t="shared" si="2"/>
        <v>OK</v>
      </c>
      <c r="C1694" s="3">
        <v>9143.0</v>
      </c>
      <c r="D1694" s="4" t="s">
        <v>4003</v>
      </c>
      <c r="E1694" s="3" t="s">
        <v>4004</v>
      </c>
      <c r="F1694" s="3" t="s">
        <v>17</v>
      </c>
      <c r="G1694" s="3" t="str">
        <f t="shared" si="3"/>
        <v>XIOTO4</v>
      </c>
      <c r="H1694" s="3" t="str">
        <f>VLOOKUP($C1694,Userpass!$A$2:$L$3001,12,FALSE)</f>
        <v>OTO4</v>
      </c>
      <c r="I1694" s="5" t="s">
        <v>3045</v>
      </c>
      <c r="J1694" s="3">
        <v>2024.0</v>
      </c>
      <c r="K1694" s="4" t="str">
        <f>VLOOKUP($C1694,Userpass!$A$2:$R$3001,2,FALSE)</f>
        <v>oto20249143.siswa@smkn12malang.sch.id</v>
      </c>
    </row>
    <row r="1695" hidden="1">
      <c r="A1695" s="3" t="str">
        <f t="shared" si="1"/>
        <v>OK</v>
      </c>
      <c r="B1695" s="3" t="str">
        <f t="shared" si="2"/>
        <v>OK</v>
      </c>
      <c r="C1695" s="3">
        <v>9150.0</v>
      </c>
      <c r="D1695" s="4" t="s">
        <v>4005</v>
      </c>
      <c r="E1695" s="3" t="s">
        <v>4006</v>
      </c>
      <c r="F1695" s="3" t="s">
        <v>17</v>
      </c>
      <c r="G1695" s="3" t="str">
        <f t="shared" si="3"/>
        <v>XIOTO4</v>
      </c>
      <c r="H1695" s="3" t="str">
        <f>VLOOKUP($C1695,Userpass!$A$2:$L$3001,12,FALSE)</f>
        <v>OTO4</v>
      </c>
      <c r="I1695" s="5" t="s">
        <v>3045</v>
      </c>
      <c r="J1695" s="3">
        <v>2024.0</v>
      </c>
      <c r="K1695" s="4" t="str">
        <f>VLOOKUP($C1695,Userpass!$A$2:$R$3001,2,FALSE)</f>
        <v>oto20249150.siswa@smkn12malang.sch.id</v>
      </c>
    </row>
    <row r="1696" hidden="1">
      <c r="A1696" s="3" t="str">
        <f t="shared" si="1"/>
        <v>OK</v>
      </c>
      <c r="B1696" s="3" t="str">
        <f t="shared" si="2"/>
        <v>OK</v>
      </c>
      <c r="C1696" s="3">
        <v>9191.0</v>
      </c>
      <c r="D1696" s="4" t="s">
        <v>4007</v>
      </c>
      <c r="E1696" s="3" t="s">
        <v>4008</v>
      </c>
      <c r="F1696" s="3" t="s">
        <v>17</v>
      </c>
      <c r="G1696" s="3" t="str">
        <f t="shared" si="3"/>
        <v>XIOTO4</v>
      </c>
      <c r="H1696" s="3" t="str">
        <f>VLOOKUP($C1696,Userpass!$A$2:$L$3001,12,FALSE)</f>
        <v>OTO4</v>
      </c>
      <c r="I1696" s="5" t="s">
        <v>3045</v>
      </c>
      <c r="J1696" s="3">
        <v>2024.0</v>
      </c>
      <c r="K1696" s="4" t="str">
        <f>VLOOKUP($C1696,Userpass!$A$2:$R$3001,2,FALSE)</f>
        <v>oto20249191.siswa@smkn12malang.sch.id</v>
      </c>
    </row>
    <row r="1697" hidden="1">
      <c r="A1697" s="3" t="str">
        <f t="shared" si="1"/>
        <v>OK</v>
      </c>
      <c r="B1697" s="3" t="str">
        <f t="shared" si="2"/>
        <v>OK</v>
      </c>
      <c r="C1697" s="3">
        <v>9216.0</v>
      </c>
      <c r="D1697" s="4" t="s">
        <v>4009</v>
      </c>
      <c r="E1697" s="3" t="s">
        <v>4010</v>
      </c>
      <c r="F1697" s="3" t="s">
        <v>17</v>
      </c>
      <c r="G1697" s="3" t="str">
        <f t="shared" si="3"/>
        <v>XIOTO4</v>
      </c>
      <c r="H1697" s="3" t="str">
        <f>VLOOKUP($C1697,Userpass!$A$2:$L$3001,12,FALSE)</f>
        <v>OTO4</v>
      </c>
      <c r="I1697" s="5" t="s">
        <v>3045</v>
      </c>
      <c r="J1697" s="3">
        <v>2024.0</v>
      </c>
      <c r="K1697" s="4" t="str">
        <f>VLOOKUP($C1697,Userpass!$A$2:$R$3001,2,FALSE)</f>
        <v>oto20249216.siswa@smkn12malang.sch.id</v>
      </c>
    </row>
    <row r="1698" hidden="1">
      <c r="A1698" s="3" t="str">
        <f t="shared" si="1"/>
        <v>OK</v>
      </c>
      <c r="B1698" s="3" t="str">
        <f t="shared" si="2"/>
        <v>OK</v>
      </c>
      <c r="C1698" s="3">
        <v>8647.0</v>
      </c>
      <c r="D1698" s="4" t="s">
        <v>4011</v>
      </c>
      <c r="E1698" s="3" t="s">
        <v>4012</v>
      </c>
      <c r="F1698" s="3" t="s">
        <v>17</v>
      </c>
      <c r="G1698" s="3" t="str">
        <f t="shared" si="3"/>
        <v>XIOTO5</v>
      </c>
      <c r="H1698" s="3" t="str">
        <f>VLOOKUP($C1698,Userpass!$A$2:$L$3001,12,FALSE)</f>
        <v>OTO5</v>
      </c>
      <c r="I1698" s="5" t="s">
        <v>3045</v>
      </c>
      <c r="J1698" s="3">
        <v>2024.0</v>
      </c>
      <c r="K1698" s="4" t="str">
        <f>VLOOKUP($C1698,Userpass!$A$2:$R$3001,2,FALSE)</f>
        <v>oto20248647.siswa@smkn12malang.sch.id</v>
      </c>
    </row>
    <row r="1699" hidden="1">
      <c r="A1699" s="3" t="str">
        <f t="shared" si="1"/>
        <v>OK</v>
      </c>
      <c r="B1699" s="3" t="str">
        <f t="shared" si="2"/>
        <v>OK</v>
      </c>
      <c r="C1699" s="3">
        <v>8663.0</v>
      </c>
      <c r="D1699" s="4" t="s">
        <v>4013</v>
      </c>
      <c r="E1699" s="3" t="s">
        <v>4014</v>
      </c>
      <c r="F1699" s="3" t="s">
        <v>17</v>
      </c>
      <c r="G1699" s="3" t="str">
        <f t="shared" si="3"/>
        <v>XIOTO5</v>
      </c>
      <c r="H1699" s="3" t="str">
        <f>VLOOKUP($C1699,Userpass!$A$2:$L$3001,12,FALSE)</f>
        <v>OTO5</v>
      </c>
      <c r="I1699" s="5" t="s">
        <v>3045</v>
      </c>
      <c r="J1699" s="3">
        <v>2024.0</v>
      </c>
      <c r="K1699" s="4" t="str">
        <f>VLOOKUP($C1699,Userpass!$A$2:$R$3001,2,FALSE)</f>
        <v>oto20248663.siswa@smkn12malang.sch.id</v>
      </c>
    </row>
    <row r="1700" hidden="1">
      <c r="A1700" s="3" t="str">
        <f t="shared" si="1"/>
        <v>OK</v>
      </c>
      <c r="B1700" s="3" t="str">
        <f t="shared" si="2"/>
        <v>OK</v>
      </c>
      <c r="C1700" s="3">
        <v>8668.0</v>
      </c>
      <c r="D1700" s="4" t="s">
        <v>4015</v>
      </c>
      <c r="E1700" s="3" t="s">
        <v>4016</v>
      </c>
      <c r="F1700" s="3" t="s">
        <v>17</v>
      </c>
      <c r="G1700" s="3" t="str">
        <f t="shared" si="3"/>
        <v>XIOTO5</v>
      </c>
      <c r="H1700" s="3" t="str">
        <f>VLOOKUP($C1700,Userpass!$A$2:$L$3001,12,FALSE)</f>
        <v>OTO5</v>
      </c>
      <c r="I1700" s="5" t="s">
        <v>3045</v>
      </c>
      <c r="J1700" s="3">
        <v>2024.0</v>
      </c>
      <c r="K1700" s="4" t="str">
        <f>VLOOKUP($C1700,Userpass!$A$2:$R$3001,2,FALSE)</f>
        <v>oto20248668.siswa@smkn12malang.sch.id</v>
      </c>
    </row>
    <row r="1701" hidden="1">
      <c r="A1701" s="3" t="str">
        <f t="shared" si="1"/>
        <v>OK</v>
      </c>
      <c r="B1701" s="3" t="str">
        <f t="shared" si="2"/>
        <v>OK</v>
      </c>
      <c r="C1701" s="3">
        <v>8671.0</v>
      </c>
      <c r="D1701" s="4" t="s">
        <v>4017</v>
      </c>
      <c r="E1701" s="3" t="s">
        <v>4018</v>
      </c>
      <c r="F1701" s="3" t="s">
        <v>17</v>
      </c>
      <c r="G1701" s="3" t="str">
        <f t="shared" si="3"/>
        <v>XIOTO5</v>
      </c>
      <c r="H1701" s="3" t="str">
        <f>VLOOKUP($C1701,Userpass!$A$2:$L$3001,12,FALSE)</f>
        <v>OTO5</v>
      </c>
      <c r="I1701" s="5" t="s">
        <v>3045</v>
      </c>
      <c r="J1701" s="3">
        <v>2024.0</v>
      </c>
      <c r="K1701" s="4" t="str">
        <f>VLOOKUP($C1701,Userpass!$A$2:$R$3001,2,FALSE)</f>
        <v>oto20248671.siswa@smkn12malang.sch.id</v>
      </c>
    </row>
    <row r="1702" hidden="1">
      <c r="A1702" s="3" t="str">
        <f t="shared" si="1"/>
        <v>OK</v>
      </c>
      <c r="B1702" s="3" t="str">
        <f t="shared" si="2"/>
        <v>OK</v>
      </c>
      <c r="C1702" s="3">
        <v>8680.0</v>
      </c>
      <c r="D1702" s="4" t="s">
        <v>4019</v>
      </c>
      <c r="E1702" s="3" t="s">
        <v>4020</v>
      </c>
      <c r="F1702" s="3" t="s">
        <v>17</v>
      </c>
      <c r="G1702" s="3" t="str">
        <f t="shared" si="3"/>
        <v>XIOTO5</v>
      </c>
      <c r="H1702" s="3" t="str">
        <f>VLOOKUP($C1702,Userpass!$A$2:$L$3001,12,FALSE)</f>
        <v>OTO5</v>
      </c>
      <c r="I1702" s="5" t="s">
        <v>3045</v>
      </c>
      <c r="J1702" s="3">
        <v>2024.0</v>
      </c>
      <c r="K1702" s="4" t="str">
        <f>VLOOKUP($C1702,Userpass!$A$2:$R$3001,2,FALSE)</f>
        <v>oto20248680.siswa@smkn12malang.sch.id</v>
      </c>
    </row>
    <row r="1703" hidden="1">
      <c r="A1703" s="3" t="str">
        <f t="shared" si="1"/>
        <v>OK</v>
      </c>
      <c r="B1703" s="3" t="str">
        <f t="shared" si="2"/>
        <v>OK</v>
      </c>
      <c r="C1703" s="3">
        <v>8684.0</v>
      </c>
      <c r="D1703" s="4" t="s">
        <v>4021</v>
      </c>
      <c r="E1703" s="3" t="s">
        <v>4022</v>
      </c>
      <c r="F1703" s="3" t="s">
        <v>17</v>
      </c>
      <c r="G1703" s="3" t="str">
        <f t="shared" si="3"/>
        <v>XIOTO5</v>
      </c>
      <c r="H1703" s="3" t="str">
        <f>VLOOKUP($C1703,Userpass!$A$2:$L$3001,12,FALSE)</f>
        <v>OTO5</v>
      </c>
      <c r="I1703" s="5" t="s">
        <v>3045</v>
      </c>
      <c r="J1703" s="3">
        <v>2024.0</v>
      </c>
      <c r="K1703" s="4" t="str">
        <f>VLOOKUP($C1703,Userpass!$A$2:$R$3001,2,FALSE)</f>
        <v>oto20248684.siswa@smkn12malang.sch.id</v>
      </c>
    </row>
    <row r="1704" hidden="1">
      <c r="A1704" s="3" t="str">
        <f t="shared" si="1"/>
        <v>OK</v>
      </c>
      <c r="B1704" s="3" t="str">
        <f t="shared" si="2"/>
        <v>OK</v>
      </c>
      <c r="C1704" s="3">
        <v>8691.0</v>
      </c>
      <c r="D1704" s="4" t="s">
        <v>4023</v>
      </c>
      <c r="E1704" s="3" t="s">
        <v>4024</v>
      </c>
      <c r="F1704" s="3" t="s">
        <v>13</v>
      </c>
      <c r="G1704" s="3" t="str">
        <f t="shared" si="3"/>
        <v>XIOTO5</v>
      </c>
      <c r="H1704" s="3" t="str">
        <f>VLOOKUP($C1704,Userpass!$A$2:$L$3001,12,FALSE)</f>
        <v>OTO5</v>
      </c>
      <c r="I1704" s="5" t="s">
        <v>3045</v>
      </c>
      <c r="J1704" s="3">
        <v>2024.0</v>
      </c>
      <c r="K1704" s="4" t="str">
        <f>VLOOKUP($C1704,Userpass!$A$2:$R$3001,2,FALSE)</f>
        <v>oto20248691.siswa@smkn12malang.sch.id</v>
      </c>
    </row>
    <row r="1705" hidden="1">
      <c r="A1705" s="3" t="str">
        <f t="shared" si="1"/>
        <v>OK</v>
      </c>
      <c r="B1705" s="3" t="str">
        <f t="shared" si="2"/>
        <v>OK</v>
      </c>
      <c r="C1705" s="3">
        <v>8698.0</v>
      </c>
      <c r="D1705" s="4" t="s">
        <v>4025</v>
      </c>
      <c r="E1705" s="3" t="s">
        <v>4026</v>
      </c>
      <c r="F1705" s="3" t="s">
        <v>17</v>
      </c>
      <c r="G1705" s="3" t="str">
        <f t="shared" si="3"/>
        <v>XIOTO5</v>
      </c>
      <c r="H1705" s="3" t="str">
        <f>VLOOKUP($C1705,Userpass!$A$2:$L$3001,12,FALSE)</f>
        <v>OTO5</v>
      </c>
      <c r="I1705" s="5" t="s">
        <v>3045</v>
      </c>
      <c r="J1705" s="3">
        <v>2024.0</v>
      </c>
      <c r="K1705" s="4" t="str">
        <f>VLOOKUP($C1705,Userpass!$A$2:$R$3001,2,FALSE)</f>
        <v>oto20248698.siswa@smkn12malang.sch.id</v>
      </c>
    </row>
    <row r="1706" hidden="1">
      <c r="A1706" s="3" t="str">
        <f t="shared" si="1"/>
        <v>OK</v>
      </c>
      <c r="B1706" s="3" t="str">
        <f t="shared" si="2"/>
        <v>OK</v>
      </c>
      <c r="C1706" s="3">
        <v>8764.0</v>
      </c>
      <c r="D1706" s="4" t="s">
        <v>4027</v>
      </c>
      <c r="E1706" s="3" t="s">
        <v>4028</v>
      </c>
      <c r="F1706" s="3" t="s">
        <v>17</v>
      </c>
      <c r="G1706" s="3" t="str">
        <f t="shared" si="3"/>
        <v>XIOTO5</v>
      </c>
      <c r="H1706" s="3" t="str">
        <f>VLOOKUP($C1706,Userpass!$A$2:$L$3001,12,FALSE)</f>
        <v>OTO5</v>
      </c>
      <c r="I1706" s="5" t="s">
        <v>3045</v>
      </c>
      <c r="J1706" s="3">
        <v>2024.0</v>
      </c>
      <c r="K1706" s="4" t="str">
        <f>VLOOKUP($C1706,Userpass!$A$2:$R$3001,2,FALSE)</f>
        <v>oto20248764.siswa@smkn12malang.sch.id</v>
      </c>
    </row>
    <row r="1707" hidden="1">
      <c r="A1707" s="3" t="str">
        <f t="shared" si="1"/>
        <v>OK</v>
      </c>
      <c r="B1707" s="3" t="str">
        <f t="shared" si="2"/>
        <v>OK</v>
      </c>
      <c r="C1707" s="3">
        <v>8779.0</v>
      </c>
      <c r="D1707" s="4" t="s">
        <v>4029</v>
      </c>
      <c r="E1707" s="3" t="s">
        <v>4030</v>
      </c>
      <c r="F1707" s="3" t="s">
        <v>13</v>
      </c>
      <c r="G1707" s="3" t="str">
        <f t="shared" si="3"/>
        <v>XIOTO5</v>
      </c>
      <c r="H1707" s="3" t="str">
        <f>VLOOKUP($C1707,Userpass!$A$2:$L$3001,12,FALSE)</f>
        <v>OTO5</v>
      </c>
      <c r="I1707" s="5" t="s">
        <v>3045</v>
      </c>
      <c r="J1707" s="3">
        <v>2024.0</v>
      </c>
      <c r="K1707" s="4" t="str">
        <f>VLOOKUP($C1707,Userpass!$A$2:$R$3001,2,FALSE)</f>
        <v>oto20248779.siswa@smkn12malang.sch.id</v>
      </c>
    </row>
    <row r="1708" hidden="1">
      <c r="A1708" s="3" t="str">
        <f t="shared" si="1"/>
        <v>OK</v>
      </c>
      <c r="B1708" s="3" t="str">
        <f t="shared" si="2"/>
        <v>OK</v>
      </c>
      <c r="C1708" s="3">
        <v>8829.0</v>
      </c>
      <c r="D1708" s="4" t="s">
        <v>4031</v>
      </c>
      <c r="E1708" s="3" t="s">
        <v>4032</v>
      </c>
      <c r="F1708" s="3" t="s">
        <v>17</v>
      </c>
      <c r="G1708" s="3" t="str">
        <f t="shared" si="3"/>
        <v>XIOTO5</v>
      </c>
      <c r="H1708" s="3" t="str">
        <f>VLOOKUP($C1708,Userpass!$A$2:$L$3001,12,FALSE)</f>
        <v>OTO5</v>
      </c>
      <c r="I1708" s="5" t="s">
        <v>3045</v>
      </c>
      <c r="J1708" s="3">
        <v>2024.0</v>
      </c>
      <c r="K1708" s="4" t="str">
        <f>VLOOKUP($C1708,Userpass!$A$2:$R$3001,2,FALSE)</f>
        <v>oto20248829.siswa@smkn12malang.sch.id</v>
      </c>
    </row>
    <row r="1709" hidden="1">
      <c r="A1709" s="3" t="str">
        <f t="shared" si="1"/>
        <v>OK</v>
      </c>
      <c r="B1709" s="3" t="str">
        <f t="shared" si="2"/>
        <v>OK</v>
      </c>
      <c r="C1709" s="3">
        <v>8836.0</v>
      </c>
      <c r="D1709" s="4" t="s">
        <v>4033</v>
      </c>
      <c r="E1709" s="3" t="s">
        <v>4034</v>
      </c>
      <c r="F1709" s="3" t="s">
        <v>17</v>
      </c>
      <c r="G1709" s="3" t="str">
        <f t="shared" si="3"/>
        <v>XIOTO5</v>
      </c>
      <c r="H1709" s="3" t="str">
        <f>VLOOKUP($C1709,Userpass!$A$2:$L$3001,12,FALSE)</f>
        <v>OTO5</v>
      </c>
      <c r="I1709" s="5" t="s">
        <v>3045</v>
      </c>
      <c r="J1709" s="3">
        <v>2024.0</v>
      </c>
      <c r="K1709" s="4" t="str">
        <f>VLOOKUP($C1709,Userpass!$A$2:$R$3001,2,FALSE)</f>
        <v>oto20248836.siswa@smkn12malang.sch.id</v>
      </c>
    </row>
    <row r="1710" hidden="1">
      <c r="A1710" s="3" t="str">
        <f t="shared" si="1"/>
        <v>OK</v>
      </c>
      <c r="B1710" s="3" t="str">
        <f t="shared" si="2"/>
        <v>OK</v>
      </c>
      <c r="C1710" s="3">
        <v>8854.0</v>
      </c>
      <c r="D1710" s="4" t="s">
        <v>4035</v>
      </c>
      <c r="E1710" s="3" t="s">
        <v>4036</v>
      </c>
      <c r="F1710" s="3" t="s">
        <v>17</v>
      </c>
      <c r="G1710" s="3" t="str">
        <f t="shared" si="3"/>
        <v>XIOTO5</v>
      </c>
      <c r="H1710" s="3" t="str">
        <f>VLOOKUP($C1710,Userpass!$A$2:$L$3001,12,FALSE)</f>
        <v>OTO5</v>
      </c>
      <c r="I1710" s="5" t="s">
        <v>3045</v>
      </c>
      <c r="J1710" s="3">
        <v>2024.0</v>
      </c>
      <c r="K1710" s="4" t="str">
        <f>VLOOKUP($C1710,Userpass!$A$2:$R$3001,2,FALSE)</f>
        <v>oto20248854.siswa@smkn12malang.sch.id</v>
      </c>
    </row>
    <row r="1711" hidden="1">
      <c r="A1711" s="3" t="str">
        <f t="shared" si="1"/>
        <v>OK</v>
      </c>
      <c r="B1711" s="3" t="str">
        <f t="shared" si="2"/>
        <v>OK</v>
      </c>
      <c r="C1711" s="3">
        <v>8858.0</v>
      </c>
      <c r="D1711" s="4" t="s">
        <v>4037</v>
      </c>
      <c r="E1711" s="3" t="s">
        <v>4038</v>
      </c>
      <c r="F1711" s="3" t="s">
        <v>17</v>
      </c>
      <c r="G1711" s="3" t="str">
        <f t="shared" si="3"/>
        <v>XIOTO5</v>
      </c>
      <c r="H1711" s="3" t="str">
        <f>VLOOKUP($C1711,Userpass!$A$2:$L$3001,12,FALSE)</f>
        <v>OTO5</v>
      </c>
      <c r="I1711" s="5" t="s">
        <v>3045</v>
      </c>
      <c r="J1711" s="3">
        <v>2024.0</v>
      </c>
      <c r="K1711" s="4" t="str">
        <f>VLOOKUP($C1711,Userpass!$A$2:$R$3001,2,FALSE)</f>
        <v>oto20248858.siswa@smkn12malang.sch.id</v>
      </c>
    </row>
    <row r="1712" hidden="1">
      <c r="A1712" s="3" t="str">
        <f t="shared" si="1"/>
        <v>OK</v>
      </c>
      <c r="B1712" s="3" t="str">
        <f t="shared" si="2"/>
        <v>OK</v>
      </c>
      <c r="C1712" s="3">
        <v>8885.0</v>
      </c>
      <c r="D1712" s="4" t="s">
        <v>4039</v>
      </c>
      <c r="E1712" s="3" t="s">
        <v>4040</v>
      </c>
      <c r="F1712" s="3" t="s">
        <v>17</v>
      </c>
      <c r="G1712" s="3" t="str">
        <f t="shared" si="3"/>
        <v>XIOTO5</v>
      </c>
      <c r="H1712" s="3" t="str">
        <f>VLOOKUP($C1712,Userpass!$A$2:$L$3001,12,FALSE)</f>
        <v>OTO5</v>
      </c>
      <c r="I1712" s="5" t="s">
        <v>3045</v>
      </c>
      <c r="J1712" s="3">
        <v>2024.0</v>
      </c>
      <c r="K1712" s="4" t="str">
        <f>VLOOKUP($C1712,Userpass!$A$2:$R$3001,2,FALSE)</f>
        <v>oto20248885.siswa@smkn12malang.sch.id</v>
      </c>
    </row>
    <row r="1713" hidden="1">
      <c r="A1713" s="3" t="str">
        <f t="shared" si="1"/>
        <v>OK</v>
      </c>
      <c r="B1713" s="3" t="str">
        <f t="shared" si="2"/>
        <v>OK</v>
      </c>
      <c r="C1713" s="3">
        <v>8888.0</v>
      </c>
      <c r="D1713" s="4" t="s">
        <v>4041</v>
      </c>
      <c r="E1713" s="3" t="s">
        <v>4042</v>
      </c>
      <c r="F1713" s="3" t="s">
        <v>17</v>
      </c>
      <c r="G1713" s="3" t="str">
        <f t="shared" si="3"/>
        <v>XIOTO5</v>
      </c>
      <c r="H1713" s="3" t="str">
        <f>VLOOKUP($C1713,Userpass!$A$2:$L$3001,12,FALSE)</f>
        <v>OTO5</v>
      </c>
      <c r="I1713" s="5" t="s">
        <v>3045</v>
      </c>
      <c r="J1713" s="3">
        <v>2024.0</v>
      </c>
      <c r="K1713" s="4" t="str">
        <f>VLOOKUP($C1713,Userpass!$A$2:$R$3001,2,FALSE)</f>
        <v>oto20248888.siswa@smkn12malang.sch.id</v>
      </c>
    </row>
    <row r="1714" hidden="1">
      <c r="A1714" s="3" t="str">
        <f t="shared" si="1"/>
        <v>OK</v>
      </c>
      <c r="B1714" s="3" t="str">
        <f t="shared" si="2"/>
        <v>OK</v>
      </c>
      <c r="C1714" s="3">
        <v>8914.0</v>
      </c>
      <c r="D1714" s="4" t="s">
        <v>4043</v>
      </c>
      <c r="E1714" s="3" t="s">
        <v>4044</v>
      </c>
      <c r="F1714" s="3" t="s">
        <v>17</v>
      </c>
      <c r="G1714" s="3" t="str">
        <f t="shared" si="3"/>
        <v>XIOTO5</v>
      </c>
      <c r="H1714" s="3" t="str">
        <f>VLOOKUP($C1714,Userpass!$A$2:$L$3001,12,FALSE)</f>
        <v>OTO5</v>
      </c>
      <c r="I1714" s="5" t="s">
        <v>3045</v>
      </c>
      <c r="J1714" s="3">
        <v>2024.0</v>
      </c>
      <c r="K1714" s="4" t="str">
        <f>VLOOKUP($C1714,Userpass!$A$2:$R$3001,2,FALSE)</f>
        <v>oto20248914.siswa@smkn12malang.sch.id</v>
      </c>
    </row>
    <row r="1715" hidden="1">
      <c r="A1715" s="3" t="str">
        <f t="shared" si="1"/>
        <v>OK</v>
      </c>
      <c r="B1715" s="3" t="str">
        <f t="shared" si="2"/>
        <v>OK</v>
      </c>
      <c r="C1715" s="3">
        <v>8973.0</v>
      </c>
      <c r="D1715" s="4" t="s">
        <v>4045</v>
      </c>
      <c r="E1715" s="3" t="s">
        <v>4046</v>
      </c>
      <c r="F1715" s="3" t="s">
        <v>17</v>
      </c>
      <c r="G1715" s="3" t="str">
        <f t="shared" si="3"/>
        <v>XIOTO5</v>
      </c>
      <c r="H1715" s="3" t="str">
        <f>VLOOKUP($C1715,Userpass!$A$2:$L$3001,12,FALSE)</f>
        <v>OTO5</v>
      </c>
      <c r="I1715" s="5" t="s">
        <v>3045</v>
      </c>
      <c r="J1715" s="3">
        <v>2024.0</v>
      </c>
      <c r="K1715" s="4" t="str">
        <f>VLOOKUP($C1715,Userpass!$A$2:$R$3001,2,FALSE)</f>
        <v>oto20248973.siswa@smkn12malang.sch.id</v>
      </c>
    </row>
    <row r="1716" hidden="1">
      <c r="A1716" s="3" t="str">
        <f t="shared" si="1"/>
        <v>OK</v>
      </c>
      <c r="B1716" s="3" t="str">
        <f t="shared" si="2"/>
        <v>OK</v>
      </c>
      <c r="C1716" s="3">
        <v>8979.0</v>
      </c>
      <c r="D1716" s="4" t="s">
        <v>4047</v>
      </c>
      <c r="E1716" s="3" t="s">
        <v>4048</v>
      </c>
      <c r="F1716" s="3" t="s">
        <v>17</v>
      </c>
      <c r="G1716" s="3" t="str">
        <f t="shared" si="3"/>
        <v>XIOTO5</v>
      </c>
      <c r="H1716" s="3" t="str">
        <f>VLOOKUP($C1716,Userpass!$A$2:$L$3001,12,FALSE)</f>
        <v>OTO5</v>
      </c>
      <c r="I1716" s="5" t="s">
        <v>3045</v>
      </c>
      <c r="J1716" s="3">
        <v>2024.0</v>
      </c>
      <c r="K1716" s="4" t="str">
        <f>VLOOKUP($C1716,Userpass!$A$2:$R$3001,2,FALSE)</f>
        <v>oto20248979.siswa@smkn12malang.sch.id</v>
      </c>
    </row>
    <row r="1717" hidden="1">
      <c r="A1717" s="3" t="str">
        <f t="shared" si="1"/>
        <v>OK</v>
      </c>
      <c r="B1717" s="3" t="str">
        <f t="shared" si="2"/>
        <v>OK</v>
      </c>
      <c r="C1717" s="3">
        <v>8986.0</v>
      </c>
      <c r="D1717" s="4" t="s">
        <v>4049</v>
      </c>
      <c r="E1717" s="3" t="s">
        <v>4050</v>
      </c>
      <c r="F1717" s="3" t="s">
        <v>17</v>
      </c>
      <c r="G1717" s="3" t="str">
        <f t="shared" si="3"/>
        <v>XIOTO5</v>
      </c>
      <c r="H1717" s="3" t="str">
        <f>VLOOKUP($C1717,Userpass!$A$2:$L$3001,12,FALSE)</f>
        <v>OTO5</v>
      </c>
      <c r="I1717" s="5" t="s">
        <v>3045</v>
      </c>
      <c r="J1717" s="3">
        <v>2024.0</v>
      </c>
      <c r="K1717" s="4" t="str">
        <f>VLOOKUP($C1717,Userpass!$A$2:$R$3001,2,FALSE)</f>
        <v>oto20248986.siswa@smkn12malang.sch.id</v>
      </c>
    </row>
    <row r="1718" hidden="1">
      <c r="A1718" s="3" t="str">
        <f t="shared" si="1"/>
        <v>OK</v>
      </c>
      <c r="B1718" s="3" t="str">
        <f t="shared" si="2"/>
        <v>OK</v>
      </c>
      <c r="C1718" s="3">
        <v>8991.0</v>
      </c>
      <c r="D1718" s="4" t="s">
        <v>4051</v>
      </c>
      <c r="E1718" s="3" t="s">
        <v>4052</v>
      </c>
      <c r="F1718" s="3" t="s">
        <v>17</v>
      </c>
      <c r="G1718" s="3" t="str">
        <f t="shared" si="3"/>
        <v>XIOTO5</v>
      </c>
      <c r="H1718" s="3" t="str">
        <f>VLOOKUP($C1718,Userpass!$A$2:$L$3001,12,FALSE)</f>
        <v>OTO5</v>
      </c>
      <c r="I1718" s="5" t="s">
        <v>3045</v>
      </c>
      <c r="J1718" s="3">
        <v>2024.0</v>
      </c>
      <c r="K1718" s="4" t="str">
        <f>VLOOKUP($C1718,Userpass!$A$2:$R$3001,2,FALSE)</f>
        <v>oto20248991.siswa@smkn12malang.sch.id</v>
      </c>
    </row>
    <row r="1719" hidden="1">
      <c r="A1719" s="3" t="str">
        <f t="shared" si="1"/>
        <v>OK</v>
      </c>
      <c r="B1719" s="3" t="str">
        <f t="shared" si="2"/>
        <v>OK</v>
      </c>
      <c r="C1719" s="3">
        <v>8999.0</v>
      </c>
      <c r="D1719" s="4" t="s">
        <v>4053</v>
      </c>
      <c r="E1719" s="3" t="s">
        <v>4054</v>
      </c>
      <c r="F1719" s="3" t="s">
        <v>17</v>
      </c>
      <c r="G1719" s="3" t="str">
        <f t="shared" si="3"/>
        <v>XIOTO5</v>
      </c>
      <c r="H1719" s="3" t="str">
        <f>VLOOKUP($C1719,Userpass!$A$2:$L$3001,12,FALSE)</f>
        <v>OTO5</v>
      </c>
      <c r="I1719" s="5" t="s">
        <v>3045</v>
      </c>
      <c r="J1719" s="3">
        <v>2024.0</v>
      </c>
      <c r="K1719" s="4" t="str">
        <f>VLOOKUP($C1719,Userpass!$A$2:$R$3001,2,FALSE)</f>
        <v>oto20248999.siswa@smkn12malang.sch.id</v>
      </c>
    </row>
    <row r="1720" hidden="1">
      <c r="A1720" s="3" t="str">
        <f t="shared" si="1"/>
        <v>OK</v>
      </c>
      <c r="B1720" s="3" t="str">
        <f t="shared" si="2"/>
        <v>OK</v>
      </c>
      <c r="C1720" s="3">
        <v>9002.0</v>
      </c>
      <c r="D1720" s="4" t="s">
        <v>4055</v>
      </c>
      <c r="E1720" s="3" t="s">
        <v>4056</v>
      </c>
      <c r="F1720" s="3" t="s">
        <v>17</v>
      </c>
      <c r="G1720" s="3" t="str">
        <f t="shared" si="3"/>
        <v>XIOTO5</v>
      </c>
      <c r="H1720" s="3" t="str">
        <f>VLOOKUP($C1720,Userpass!$A$2:$L$3001,12,FALSE)</f>
        <v>OTO5</v>
      </c>
      <c r="I1720" s="5" t="s">
        <v>3045</v>
      </c>
      <c r="J1720" s="3">
        <v>2024.0</v>
      </c>
      <c r="K1720" s="4" t="str">
        <f>VLOOKUP($C1720,Userpass!$A$2:$R$3001,2,FALSE)</f>
        <v>oto20249002.siswa@smkn12malang.sch.id</v>
      </c>
    </row>
    <row r="1721" hidden="1">
      <c r="A1721" s="3" t="str">
        <f t="shared" si="1"/>
        <v>OK</v>
      </c>
      <c r="B1721" s="3" t="str">
        <f t="shared" si="2"/>
        <v>OK</v>
      </c>
      <c r="C1721" s="3">
        <v>9005.0</v>
      </c>
      <c r="D1721" s="4" t="s">
        <v>4057</v>
      </c>
      <c r="E1721" s="3" t="s">
        <v>4058</v>
      </c>
      <c r="F1721" s="3" t="s">
        <v>17</v>
      </c>
      <c r="G1721" s="3" t="str">
        <f t="shared" si="3"/>
        <v>XIOTO5</v>
      </c>
      <c r="H1721" s="3" t="str">
        <f>VLOOKUP($C1721,Userpass!$A$2:$L$3001,12,FALSE)</f>
        <v>OTO5</v>
      </c>
      <c r="I1721" s="5" t="s">
        <v>3045</v>
      </c>
      <c r="J1721" s="3">
        <v>2024.0</v>
      </c>
      <c r="K1721" s="4" t="str">
        <f>VLOOKUP($C1721,Userpass!$A$2:$R$3001,2,FALSE)</f>
        <v>oto20249005.siswa@smkn12malang.sch.id</v>
      </c>
    </row>
    <row r="1722" hidden="1">
      <c r="A1722" s="3" t="str">
        <f t="shared" si="1"/>
        <v>OK</v>
      </c>
      <c r="B1722" s="3" t="str">
        <f t="shared" si="2"/>
        <v>OK</v>
      </c>
      <c r="C1722" s="3">
        <v>9009.0</v>
      </c>
      <c r="D1722" s="4" t="s">
        <v>4059</v>
      </c>
      <c r="E1722" s="3" t="s">
        <v>4060</v>
      </c>
      <c r="F1722" s="3" t="s">
        <v>17</v>
      </c>
      <c r="G1722" s="3" t="str">
        <f t="shared" si="3"/>
        <v>XIOTO5</v>
      </c>
      <c r="H1722" s="3" t="str">
        <f>VLOOKUP($C1722,Userpass!$A$2:$L$3001,12,FALSE)</f>
        <v>OTO5</v>
      </c>
      <c r="I1722" s="5" t="s">
        <v>3045</v>
      </c>
      <c r="J1722" s="3">
        <v>2024.0</v>
      </c>
      <c r="K1722" s="4" t="str">
        <f>VLOOKUP($C1722,Userpass!$A$2:$R$3001,2,FALSE)</f>
        <v>oto20249009.siswa@smkn12malang.sch.id</v>
      </c>
    </row>
    <row r="1723" hidden="1">
      <c r="A1723" s="3" t="str">
        <f t="shared" si="1"/>
        <v>OK</v>
      </c>
      <c r="B1723" s="3" t="str">
        <f t="shared" si="2"/>
        <v>OK</v>
      </c>
      <c r="C1723" s="3">
        <v>9014.0</v>
      </c>
      <c r="D1723" s="4" t="s">
        <v>4061</v>
      </c>
      <c r="E1723" s="3" t="s">
        <v>4062</v>
      </c>
      <c r="F1723" s="3" t="s">
        <v>17</v>
      </c>
      <c r="G1723" s="3" t="str">
        <f t="shared" si="3"/>
        <v>XIOTO5</v>
      </c>
      <c r="H1723" s="3" t="str">
        <f>VLOOKUP($C1723,Userpass!$A$2:$L$3001,12,FALSE)</f>
        <v>OTO5</v>
      </c>
      <c r="I1723" s="5" t="s">
        <v>3045</v>
      </c>
      <c r="J1723" s="3">
        <v>2024.0</v>
      </c>
      <c r="K1723" s="4" t="str">
        <f>VLOOKUP($C1723,Userpass!$A$2:$R$3001,2,FALSE)</f>
        <v>oto20249014.siswa@smkn12malang.sch.id</v>
      </c>
    </row>
    <row r="1724" hidden="1">
      <c r="A1724" s="3" t="str">
        <f t="shared" si="1"/>
        <v>OK</v>
      </c>
      <c r="B1724" s="3" t="str">
        <f t="shared" si="2"/>
        <v>OK</v>
      </c>
      <c r="C1724" s="3">
        <v>9029.0</v>
      </c>
      <c r="D1724" s="4" t="s">
        <v>4063</v>
      </c>
      <c r="E1724" s="3" t="s">
        <v>4064</v>
      </c>
      <c r="F1724" s="3" t="s">
        <v>17</v>
      </c>
      <c r="G1724" s="3" t="str">
        <f t="shared" si="3"/>
        <v>XIOTO5</v>
      </c>
      <c r="H1724" s="3" t="str">
        <f>VLOOKUP($C1724,Userpass!$A$2:$L$3001,12,FALSE)</f>
        <v>OTO5</v>
      </c>
      <c r="I1724" s="5" t="s">
        <v>3045</v>
      </c>
      <c r="J1724" s="3">
        <v>2024.0</v>
      </c>
      <c r="K1724" s="4" t="str">
        <f>VLOOKUP($C1724,Userpass!$A$2:$R$3001,2,FALSE)</f>
        <v>oto20249029.siswa@smkn12malang.sch.id</v>
      </c>
    </row>
    <row r="1725" hidden="1">
      <c r="A1725" s="3" t="str">
        <f t="shared" si="1"/>
        <v>OK</v>
      </c>
      <c r="B1725" s="3" t="str">
        <f t="shared" si="2"/>
        <v>OK</v>
      </c>
      <c r="C1725" s="3">
        <v>9055.0</v>
      </c>
      <c r="D1725" s="4" t="s">
        <v>4065</v>
      </c>
      <c r="E1725" s="3" t="s">
        <v>4066</v>
      </c>
      <c r="F1725" s="3" t="s">
        <v>17</v>
      </c>
      <c r="G1725" s="3" t="str">
        <f t="shared" si="3"/>
        <v>XIOTO5</v>
      </c>
      <c r="H1725" s="3" t="str">
        <f>VLOOKUP($C1725,Userpass!$A$2:$L$3001,12,FALSE)</f>
        <v>OTO5</v>
      </c>
      <c r="I1725" s="5" t="s">
        <v>3045</v>
      </c>
      <c r="J1725" s="3">
        <v>2024.0</v>
      </c>
      <c r="K1725" s="4" t="str">
        <f>VLOOKUP($C1725,Userpass!$A$2:$R$3001,2,FALSE)</f>
        <v>oto20249055.siswa@smkn12malang.sch.id</v>
      </c>
    </row>
    <row r="1726" hidden="1">
      <c r="A1726" s="3" t="str">
        <f t="shared" si="1"/>
        <v>OK</v>
      </c>
      <c r="B1726" s="3" t="str">
        <f t="shared" si="2"/>
        <v>OK</v>
      </c>
      <c r="C1726" s="3">
        <v>9099.0</v>
      </c>
      <c r="D1726" s="4" t="s">
        <v>4067</v>
      </c>
      <c r="E1726" s="3" t="s">
        <v>4068</v>
      </c>
      <c r="F1726" s="3" t="s">
        <v>17</v>
      </c>
      <c r="G1726" s="3" t="str">
        <f t="shared" si="3"/>
        <v>XIOTO5</v>
      </c>
      <c r="H1726" s="3" t="str">
        <f>VLOOKUP($C1726,Userpass!$A$2:$L$3001,12,FALSE)</f>
        <v>OTO5</v>
      </c>
      <c r="I1726" s="5" t="s">
        <v>3045</v>
      </c>
      <c r="J1726" s="3">
        <v>2024.0</v>
      </c>
      <c r="K1726" s="4" t="str">
        <f>VLOOKUP($C1726,Userpass!$A$2:$R$3001,2,FALSE)</f>
        <v>oto20249099.siswa@smkn12malang.sch.id</v>
      </c>
    </row>
    <row r="1727" hidden="1">
      <c r="A1727" s="3" t="str">
        <f t="shared" si="1"/>
        <v>OK</v>
      </c>
      <c r="B1727" s="3" t="str">
        <f t="shared" si="2"/>
        <v>OK</v>
      </c>
      <c r="C1727" s="3">
        <v>9140.0</v>
      </c>
      <c r="D1727" s="4" t="s">
        <v>4069</v>
      </c>
      <c r="E1727" s="3" t="s">
        <v>4070</v>
      </c>
      <c r="F1727" s="3" t="s">
        <v>17</v>
      </c>
      <c r="G1727" s="3" t="str">
        <f t="shared" si="3"/>
        <v>XIOTO5</v>
      </c>
      <c r="H1727" s="3" t="str">
        <f>VLOOKUP($C1727,Userpass!$A$2:$L$3001,12,FALSE)</f>
        <v>OTO5</v>
      </c>
      <c r="I1727" s="5" t="s">
        <v>3045</v>
      </c>
      <c r="J1727" s="3">
        <v>2024.0</v>
      </c>
      <c r="K1727" s="4" t="str">
        <f>VLOOKUP($C1727,Userpass!$A$2:$R$3001,2,FALSE)</f>
        <v>oto20249140.siswa@smkn12malang.sch.id</v>
      </c>
    </row>
    <row r="1728" hidden="1">
      <c r="A1728" s="3" t="str">
        <f t="shared" si="1"/>
        <v>OK</v>
      </c>
      <c r="B1728" s="3" t="str">
        <f t="shared" si="2"/>
        <v>OK</v>
      </c>
      <c r="C1728" s="3">
        <v>9145.0</v>
      </c>
      <c r="D1728" s="4" t="s">
        <v>4071</v>
      </c>
      <c r="E1728" s="3" t="s">
        <v>4072</v>
      </c>
      <c r="F1728" s="3" t="s">
        <v>17</v>
      </c>
      <c r="G1728" s="3" t="str">
        <f t="shared" si="3"/>
        <v>XIOTO5</v>
      </c>
      <c r="H1728" s="3" t="str">
        <f>VLOOKUP($C1728,Userpass!$A$2:$L$3001,12,FALSE)</f>
        <v>OTO5</v>
      </c>
      <c r="I1728" s="5" t="s">
        <v>3045</v>
      </c>
      <c r="J1728" s="3">
        <v>2024.0</v>
      </c>
      <c r="K1728" s="4" t="str">
        <f>VLOOKUP($C1728,Userpass!$A$2:$R$3001,2,FALSE)</f>
        <v>oto20249145.siswa@smkn12malang.sch.id</v>
      </c>
    </row>
    <row r="1729" hidden="1">
      <c r="A1729" s="3" t="str">
        <f t="shared" si="1"/>
        <v>OK</v>
      </c>
      <c r="B1729" s="3" t="str">
        <f t="shared" si="2"/>
        <v>OK</v>
      </c>
      <c r="C1729" s="3">
        <v>9158.0</v>
      </c>
      <c r="D1729" s="4" t="s">
        <v>4073</v>
      </c>
      <c r="E1729" s="3" t="s">
        <v>4074</v>
      </c>
      <c r="F1729" s="3" t="s">
        <v>17</v>
      </c>
      <c r="G1729" s="3" t="str">
        <f t="shared" si="3"/>
        <v>XIOTO5</v>
      </c>
      <c r="H1729" s="3" t="str">
        <f>VLOOKUP($C1729,Userpass!$A$2:$L$3001,12,FALSE)</f>
        <v>OTO5</v>
      </c>
      <c r="I1729" s="5" t="s">
        <v>3045</v>
      </c>
      <c r="J1729" s="3">
        <v>2024.0</v>
      </c>
      <c r="K1729" s="4" t="str">
        <f>VLOOKUP($C1729,Userpass!$A$2:$R$3001,2,FALSE)</f>
        <v>oto20249158.siswa@smkn12malang.sch.id</v>
      </c>
    </row>
    <row r="1730" hidden="1">
      <c r="A1730" s="3" t="str">
        <f t="shared" si="1"/>
        <v>OK</v>
      </c>
      <c r="B1730" s="3" t="str">
        <f t="shared" si="2"/>
        <v>OK</v>
      </c>
      <c r="C1730" s="3">
        <v>9208.0</v>
      </c>
      <c r="D1730" s="4" t="s">
        <v>4075</v>
      </c>
      <c r="E1730" s="3" t="s">
        <v>4076</v>
      </c>
      <c r="F1730" s="3" t="s">
        <v>17</v>
      </c>
      <c r="G1730" s="3" t="str">
        <f t="shared" si="3"/>
        <v>XIOTO5</v>
      </c>
      <c r="H1730" s="3" t="str">
        <f>VLOOKUP($C1730,Userpass!$A$2:$L$3001,12,FALSE)</f>
        <v>OTO5</v>
      </c>
      <c r="I1730" s="5" t="s">
        <v>3045</v>
      </c>
      <c r="J1730" s="3">
        <v>2024.0</v>
      </c>
      <c r="K1730" s="4" t="str">
        <f>VLOOKUP($C1730,Userpass!$A$2:$R$3001,2,FALSE)</f>
        <v>oto20249208.siswa@smkn12malang.sch.id</v>
      </c>
    </row>
    <row r="1731" hidden="1">
      <c r="A1731" s="3" t="str">
        <f t="shared" si="1"/>
        <v>OK</v>
      </c>
      <c r="B1731" s="3" t="str">
        <f t="shared" si="2"/>
        <v>OK</v>
      </c>
      <c r="C1731" s="3">
        <v>9222.0</v>
      </c>
      <c r="D1731" s="4" t="s">
        <v>4077</v>
      </c>
      <c r="E1731" s="3" t="s">
        <v>4078</v>
      </c>
      <c r="F1731" s="3" t="s">
        <v>17</v>
      </c>
      <c r="G1731" s="3" t="str">
        <f t="shared" si="3"/>
        <v>XIOTO5</v>
      </c>
      <c r="H1731" s="3" t="str">
        <f>VLOOKUP($C1731,Userpass!$A$2:$L$3001,12,FALSE)</f>
        <v>OTO5</v>
      </c>
      <c r="I1731" s="5" t="s">
        <v>3045</v>
      </c>
      <c r="J1731" s="3">
        <v>2024.0</v>
      </c>
      <c r="K1731" s="4" t="str">
        <f>VLOOKUP($C1731,Userpass!$A$2:$R$3001,2,FALSE)</f>
        <v>oto20249222.siswa@smkn12malang.sch.id</v>
      </c>
    </row>
    <row r="1732" hidden="1">
      <c r="A1732" s="3" t="str">
        <f t="shared" si="1"/>
        <v>OK</v>
      </c>
      <c r="B1732" s="3" t="str">
        <f t="shared" si="2"/>
        <v>OK</v>
      </c>
      <c r="C1732" s="3">
        <v>9233.0</v>
      </c>
      <c r="D1732" s="4" t="s">
        <v>4079</v>
      </c>
      <c r="E1732" s="3" t="s">
        <v>4080</v>
      </c>
      <c r="F1732" s="3" t="s">
        <v>17</v>
      </c>
      <c r="G1732" s="3" t="str">
        <f t="shared" si="3"/>
        <v>XIOTO5</v>
      </c>
      <c r="H1732" s="3" t="str">
        <f>VLOOKUP($C1732,Userpass!$A$2:$L$3001,12,FALSE)</f>
        <v>OTO5</v>
      </c>
      <c r="I1732" s="5" t="s">
        <v>3045</v>
      </c>
      <c r="J1732" s="3">
        <v>2024.0</v>
      </c>
      <c r="K1732" s="4" t="str">
        <f>VLOOKUP($C1732,Userpass!$A$2:$R$3001,2,FALSE)</f>
        <v>oto20249233.siswa@smkn12malang.sch.id</v>
      </c>
    </row>
    <row r="1733" hidden="1">
      <c r="A1733" s="3" t="str">
        <f t="shared" si="1"/>
        <v>OK</v>
      </c>
      <c r="B1733" s="3" t="str">
        <f t="shared" si="2"/>
        <v>OK</v>
      </c>
      <c r="C1733" s="3">
        <v>8648.0</v>
      </c>
      <c r="D1733" s="4" t="s">
        <v>4081</v>
      </c>
      <c r="E1733" s="3" t="s">
        <v>4082</v>
      </c>
      <c r="F1733" s="3" t="s">
        <v>17</v>
      </c>
      <c r="G1733" s="3" t="str">
        <f t="shared" si="3"/>
        <v>XIPLG1</v>
      </c>
      <c r="H1733" s="3" t="str">
        <f>VLOOKUP($C1733,Userpass!$A$2:$L$3001,12,FALSE)</f>
        <v>PLG1</v>
      </c>
      <c r="I1733" s="5" t="s">
        <v>3045</v>
      </c>
      <c r="J1733" s="3">
        <v>2024.0</v>
      </c>
      <c r="K1733" s="4" t="str">
        <f>VLOOKUP($C1733,Userpass!$A$2:$R$3001,2,FALSE)</f>
        <v>plg20248648.siswa@smkn12malang.sch.id</v>
      </c>
    </row>
    <row r="1734" hidden="1">
      <c r="A1734" s="3" t="str">
        <f t="shared" si="1"/>
        <v>OK</v>
      </c>
      <c r="B1734" s="3" t="str">
        <f t="shared" si="2"/>
        <v>OK</v>
      </c>
      <c r="C1734" s="3">
        <v>8689.0</v>
      </c>
      <c r="D1734" s="4" t="s">
        <v>4083</v>
      </c>
      <c r="E1734" s="3" t="s">
        <v>4084</v>
      </c>
      <c r="F1734" s="3" t="s">
        <v>17</v>
      </c>
      <c r="G1734" s="3" t="str">
        <f t="shared" si="3"/>
        <v>XIPLG1</v>
      </c>
      <c r="H1734" s="3" t="str">
        <f>VLOOKUP($C1734,Userpass!$A$2:$L$3001,12,FALSE)</f>
        <v>PLG1</v>
      </c>
      <c r="I1734" s="5" t="s">
        <v>3045</v>
      </c>
      <c r="J1734" s="3">
        <v>2024.0</v>
      </c>
      <c r="K1734" s="4" t="str">
        <f>VLOOKUP($C1734,Userpass!$A$2:$R$3001,2,FALSE)</f>
        <v>plg20248689.siswa@smkn12malang.sch.id</v>
      </c>
    </row>
    <row r="1735" hidden="1">
      <c r="A1735" s="3" t="str">
        <f t="shared" si="1"/>
        <v>OK</v>
      </c>
      <c r="B1735" s="3" t="str">
        <f t="shared" si="2"/>
        <v>OK</v>
      </c>
      <c r="C1735" s="3">
        <v>8697.0</v>
      </c>
      <c r="D1735" s="4" t="s">
        <v>4085</v>
      </c>
      <c r="E1735" s="3" t="s">
        <v>4086</v>
      </c>
      <c r="F1735" s="3" t="s">
        <v>17</v>
      </c>
      <c r="G1735" s="3" t="str">
        <f t="shared" si="3"/>
        <v>XIPLG1</v>
      </c>
      <c r="H1735" s="3" t="str">
        <f>VLOOKUP($C1735,Userpass!$A$2:$L$3001,12,FALSE)</f>
        <v>PLG1</v>
      </c>
      <c r="I1735" s="5" t="s">
        <v>3045</v>
      </c>
      <c r="J1735" s="3">
        <v>2024.0</v>
      </c>
      <c r="K1735" s="4" t="str">
        <f>VLOOKUP($C1735,Userpass!$A$2:$R$3001,2,FALSE)</f>
        <v>plg20248697.siswa@smkn12malang.sch.id</v>
      </c>
    </row>
    <row r="1736" hidden="1">
      <c r="A1736" s="3" t="str">
        <f t="shared" si="1"/>
        <v>OK</v>
      </c>
      <c r="B1736" s="3" t="str">
        <f t="shared" si="2"/>
        <v>OK</v>
      </c>
      <c r="C1736" s="3">
        <v>8723.0</v>
      </c>
      <c r="D1736" s="4" t="s">
        <v>4087</v>
      </c>
      <c r="E1736" s="3" t="s">
        <v>4088</v>
      </c>
      <c r="F1736" s="3" t="s">
        <v>17</v>
      </c>
      <c r="G1736" s="3" t="str">
        <f t="shared" si="3"/>
        <v>XIPLG1</v>
      </c>
      <c r="H1736" s="3" t="str">
        <f>VLOOKUP($C1736,Userpass!$A$2:$L$3001,12,FALSE)</f>
        <v>PLG1</v>
      </c>
      <c r="I1736" s="5" t="s">
        <v>3045</v>
      </c>
      <c r="J1736" s="3">
        <v>2024.0</v>
      </c>
      <c r="K1736" s="4" t="str">
        <f>VLOOKUP($C1736,Userpass!$A$2:$R$3001,2,FALSE)</f>
        <v>plg20248723.siswa@smkn12malang.sch.id</v>
      </c>
    </row>
    <row r="1737" hidden="1">
      <c r="A1737" s="3" t="str">
        <f t="shared" si="1"/>
        <v>OK</v>
      </c>
      <c r="B1737" s="3" t="str">
        <f t="shared" si="2"/>
        <v>OK</v>
      </c>
      <c r="C1737" s="3">
        <v>8742.0</v>
      </c>
      <c r="D1737" s="4" t="s">
        <v>4089</v>
      </c>
      <c r="E1737" s="3" t="s">
        <v>4090</v>
      </c>
      <c r="F1737" s="3" t="s">
        <v>13</v>
      </c>
      <c r="G1737" s="3" t="str">
        <f t="shared" si="3"/>
        <v>XIPLG1</v>
      </c>
      <c r="H1737" s="3" t="str">
        <f>VLOOKUP($C1737,Userpass!$A$2:$L$3001,12,FALSE)</f>
        <v>PLG1</v>
      </c>
      <c r="I1737" s="5" t="s">
        <v>3045</v>
      </c>
      <c r="J1737" s="3">
        <v>2024.0</v>
      </c>
      <c r="K1737" s="4" t="str">
        <f>VLOOKUP($C1737,Userpass!$A$2:$R$3001,2,FALSE)</f>
        <v>plg20248742.siswa@smkn12malang.sch.id</v>
      </c>
    </row>
    <row r="1738" hidden="1">
      <c r="A1738" s="3" t="str">
        <f t="shared" si="1"/>
        <v>OK</v>
      </c>
      <c r="B1738" s="3" t="str">
        <f t="shared" si="2"/>
        <v>OK</v>
      </c>
      <c r="C1738" s="3">
        <v>8746.0</v>
      </c>
      <c r="D1738" s="4" t="s">
        <v>4091</v>
      </c>
      <c r="E1738" s="3" t="s">
        <v>4092</v>
      </c>
      <c r="F1738" s="3" t="s">
        <v>13</v>
      </c>
      <c r="G1738" s="3" t="str">
        <f t="shared" si="3"/>
        <v>XIPLG1</v>
      </c>
      <c r="H1738" s="3" t="str">
        <f>VLOOKUP($C1738,Userpass!$A$2:$L$3001,12,FALSE)</f>
        <v>PLG1</v>
      </c>
      <c r="I1738" s="5" t="s">
        <v>3045</v>
      </c>
      <c r="J1738" s="3">
        <v>2024.0</v>
      </c>
      <c r="K1738" s="4" t="str">
        <f>VLOOKUP($C1738,Userpass!$A$2:$R$3001,2,FALSE)</f>
        <v>plg20248746.siswa@smkn12malang.sch.id</v>
      </c>
    </row>
    <row r="1739" hidden="1">
      <c r="A1739" s="3" t="str">
        <f t="shared" si="1"/>
        <v>OK</v>
      </c>
      <c r="B1739" s="3" t="str">
        <f t="shared" si="2"/>
        <v>OK</v>
      </c>
      <c r="C1739" s="3">
        <v>8749.0</v>
      </c>
      <c r="D1739" s="4" t="s">
        <v>4093</v>
      </c>
      <c r="E1739" s="3" t="s">
        <v>4094</v>
      </c>
      <c r="F1739" s="3" t="s">
        <v>17</v>
      </c>
      <c r="G1739" s="3" t="str">
        <f t="shared" si="3"/>
        <v>XIPLG1</v>
      </c>
      <c r="H1739" s="3" t="str">
        <f>VLOOKUP($C1739,Userpass!$A$2:$L$3001,12,FALSE)</f>
        <v>PLG1</v>
      </c>
      <c r="I1739" s="5" t="s">
        <v>3045</v>
      </c>
      <c r="J1739" s="3">
        <v>2024.0</v>
      </c>
      <c r="K1739" s="4" t="str">
        <f>VLOOKUP($C1739,Userpass!$A$2:$R$3001,2,FALSE)</f>
        <v>plg20248749.siswa@smkn12malang.sch.id</v>
      </c>
    </row>
    <row r="1740" hidden="1">
      <c r="A1740" s="3" t="str">
        <f t="shared" si="1"/>
        <v>OK</v>
      </c>
      <c r="B1740" s="3" t="str">
        <f t="shared" si="2"/>
        <v>OK</v>
      </c>
      <c r="C1740" s="3">
        <v>8758.0</v>
      </c>
      <c r="D1740" s="4" t="s">
        <v>4095</v>
      </c>
      <c r="E1740" s="5" t="s">
        <v>4096</v>
      </c>
      <c r="F1740" s="3" t="s">
        <v>13</v>
      </c>
      <c r="G1740" s="3" t="str">
        <f t="shared" si="3"/>
        <v>XIPLG1</v>
      </c>
      <c r="H1740" s="3" t="str">
        <f>VLOOKUP($C1740,Userpass!$A$2:$L$3001,12,FALSE)</f>
        <v>PLG1</v>
      </c>
      <c r="I1740" s="5" t="s">
        <v>3045</v>
      </c>
      <c r="J1740" s="3">
        <v>2024.0</v>
      </c>
      <c r="K1740" s="4" t="str">
        <f>VLOOKUP($C1740,Userpass!$A$2:$R$3001,2,FALSE)</f>
        <v>plg20248758.siswa@smkn12malang.sch.id</v>
      </c>
    </row>
    <row r="1741" hidden="1">
      <c r="A1741" s="3" t="str">
        <f t="shared" si="1"/>
        <v>OK</v>
      </c>
      <c r="B1741" s="3" t="str">
        <f t="shared" si="2"/>
        <v>OK</v>
      </c>
      <c r="C1741" s="3">
        <v>8773.0</v>
      </c>
      <c r="D1741" s="4" t="s">
        <v>4097</v>
      </c>
      <c r="E1741" s="3" t="s">
        <v>4098</v>
      </c>
      <c r="F1741" s="3" t="s">
        <v>13</v>
      </c>
      <c r="G1741" s="3" t="str">
        <f t="shared" si="3"/>
        <v>XIPLG1</v>
      </c>
      <c r="H1741" s="3" t="str">
        <f>VLOOKUP($C1741,Userpass!$A$2:$L$3001,12,FALSE)</f>
        <v>PLG1</v>
      </c>
      <c r="I1741" s="5" t="s">
        <v>3045</v>
      </c>
      <c r="J1741" s="3">
        <v>2024.0</v>
      </c>
      <c r="K1741" s="4" t="str">
        <f>VLOOKUP($C1741,Userpass!$A$2:$R$3001,2,FALSE)</f>
        <v>plg20248773.siswa@smkn12malang.sch.id</v>
      </c>
    </row>
    <row r="1742" hidden="1">
      <c r="A1742" s="3" t="str">
        <f t="shared" si="1"/>
        <v>OK</v>
      </c>
      <c r="B1742" s="3" t="str">
        <f t="shared" si="2"/>
        <v>OK</v>
      </c>
      <c r="C1742" s="3">
        <v>8782.0</v>
      </c>
      <c r="D1742" s="4" t="s">
        <v>4099</v>
      </c>
      <c r="E1742" s="3" t="s">
        <v>4100</v>
      </c>
      <c r="F1742" s="3" t="s">
        <v>17</v>
      </c>
      <c r="G1742" s="3" t="str">
        <f t="shared" si="3"/>
        <v>XIPLG1</v>
      </c>
      <c r="H1742" s="3" t="str">
        <f>VLOOKUP($C1742,Userpass!$A$2:$L$3001,12,FALSE)</f>
        <v>PLG1</v>
      </c>
      <c r="I1742" s="5" t="s">
        <v>3045</v>
      </c>
      <c r="J1742" s="3">
        <v>2024.0</v>
      </c>
      <c r="K1742" s="4" t="str">
        <f>VLOOKUP($C1742,Userpass!$A$2:$R$3001,2,FALSE)</f>
        <v>plg20248782.siswa@smkn12malang.sch.id</v>
      </c>
    </row>
    <row r="1743" hidden="1">
      <c r="A1743" s="3" t="str">
        <f t="shared" si="1"/>
        <v>OK</v>
      </c>
      <c r="B1743" s="3" t="str">
        <f t="shared" si="2"/>
        <v>OK</v>
      </c>
      <c r="C1743" s="3">
        <v>8825.0</v>
      </c>
      <c r="D1743" s="4" t="s">
        <v>4101</v>
      </c>
      <c r="E1743" s="3" t="s">
        <v>4102</v>
      </c>
      <c r="F1743" s="3" t="s">
        <v>13</v>
      </c>
      <c r="G1743" s="3" t="str">
        <f t="shared" si="3"/>
        <v>XIPLG1</v>
      </c>
      <c r="H1743" s="3" t="str">
        <f>VLOOKUP($C1743,Userpass!$A$2:$L$3001,12,FALSE)</f>
        <v>PLG1</v>
      </c>
      <c r="I1743" s="5" t="s">
        <v>3045</v>
      </c>
      <c r="J1743" s="3">
        <v>2024.0</v>
      </c>
      <c r="K1743" s="4" t="str">
        <f>VLOOKUP($C1743,Userpass!$A$2:$R$3001,2,FALSE)</f>
        <v>plg20248825.siswa@smkn12malang.sch.id</v>
      </c>
    </row>
    <row r="1744" hidden="1">
      <c r="A1744" s="3" t="str">
        <f t="shared" si="1"/>
        <v>OK</v>
      </c>
      <c r="B1744" s="3" t="str">
        <f t="shared" si="2"/>
        <v>OK</v>
      </c>
      <c r="C1744" s="3">
        <v>8834.0</v>
      </c>
      <c r="D1744" s="4" t="s">
        <v>4103</v>
      </c>
      <c r="E1744" s="3" t="s">
        <v>4104</v>
      </c>
      <c r="F1744" s="3" t="s">
        <v>17</v>
      </c>
      <c r="G1744" s="3" t="str">
        <f t="shared" si="3"/>
        <v>XIPLG1</v>
      </c>
      <c r="H1744" s="3" t="str">
        <f>VLOOKUP($C1744,Userpass!$A$2:$L$3001,12,FALSE)</f>
        <v>PLG1</v>
      </c>
      <c r="I1744" s="5" t="s">
        <v>3045</v>
      </c>
      <c r="J1744" s="3">
        <v>2024.0</v>
      </c>
      <c r="K1744" s="4" t="str">
        <f>VLOOKUP($C1744,Userpass!$A$2:$R$3001,2,FALSE)</f>
        <v>plg20248834.siswa@smkn12malang.sch.id</v>
      </c>
    </row>
    <row r="1745" hidden="1">
      <c r="A1745" s="3" t="str">
        <f t="shared" si="1"/>
        <v>OK</v>
      </c>
      <c r="B1745" s="3" t="str">
        <f t="shared" si="2"/>
        <v>OK</v>
      </c>
      <c r="C1745" s="3">
        <v>8845.0</v>
      </c>
      <c r="D1745" s="4" t="s">
        <v>4105</v>
      </c>
      <c r="E1745" s="3" t="s">
        <v>4106</v>
      </c>
      <c r="F1745" s="3" t="s">
        <v>17</v>
      </c>
      <c r="G1745" s="3" t="str">
        <f t="shared" si="3"/>
        <v>XIPLG1</v>
      </c>
      <c r="H1745" s="3" t="str">
        <f>VLOOKUP($C1745,Userpass!$A$2:$L$3001,12,FALSE)</f>
        <v>PLG1</v>
      </c>
      <c r="I1745" s="5" t="s">
        <v>3045</v>
      </c>
      <c r="J1745" s="3">
        <v>2024.0</v>
      </c>
      <c r="K1745" s="4" t="str">
        <f>VLOOKUP($C1745,Userpass!$A$2:$R$3001,2,FALSE)</f>
        <v>plg20248845.siswa@smkn12malang.sch.id</v>
      </c>
    </row>
    <row r="1746" hidden="1">
      <c r="A1746" s="3" t="str">
        <f t="shared" si="1"/>
        <v>OK</v>
      </c>
      <c r="B1746" s="3" t="str">
        <f t="shared" si="2"/>
        <v>OK</v>
      </c>
      <c r="C1746" s="3">
        <v>8874.0</v>
      </c>
      <c r="D1746" s="4" t="s">
        <v>4107</v>
      </c>
      <c r="E1746" s="3" t="s">
        <v>4108</v>
      </c>
      <c r="F1746" s="3" t="s">
        <v>17</v>
      </c>
      <c r="G1746" s="3" t="str">
        <f t="shared" si="3"/>
        <v>XIPLG1</v>
      </c>
      <c r="H1746" s="3" t="str">
        <f>VLOOKUP($C1746,Userpass!$A$2:$L$3001,12,FALSE)</f>
        <v>PLG1</v>
      </c>
      <c r="I1746" s="5" t="s">
        <v>3045</v>
      </c>
      <c r="J1746" s="3">
        <v>2024.0</v>
      </c>
      <c r="K1746" s="4" t="str">
        <f>VLOOKUP($C1746,Userpass!$A$2:$R$3001,2,FALSE)</f>
        <v>plg20248874.siswa@smkn12malang.sch.id</v>
      </c>
    </row>
    <row r="1747" hidden="1">
      <c r="A1747" s="3" t="str">
        <f t="shared" si="1"/>
        <v>OK</v>
      </c>
      <c r="B1747" s="3" t="str">
        <f t="shared" si="2"/>
        <v>OK</v>
      </c>
      <c r="C1747" s="3">
        <v>8878.0</v>
      </c>
      <c r="D1747" s="4" t="s">
        <v>4109</v>
      </c>
      <c r="E1747" s="3" t="s">
        <v>4110</v>
      </c>
      <c r="F1747" s="3" t="s">
        <v>13</v>
      </c>
      <c r="G1747" s="3" t="str">
        <f t="shared" si="3"/>
        <v>XIPLG1</v>
      </c>
      <c r="H1747" s="3" t="str">
        <f>VLOOKUP($C1747,Userpass!$A$2:$L$3001,12,FALSE)</f>
        <v>PLG1</v>
      </c>
      <c r="I1747" s="5" t="s">
        <v>3045</v>
      </c>
      <c r="J1747" s="3">
        <v>2024.0</v>
      </c>
      <c r="K1747" s="4" t="str">
        <f>VLOOKUP($C1747,Userpass!$A$2:$R$3001,2,FALSE)</f>
        <v>plg20248878.siswa@smkn12malang.sch.id</v>
      </c>
    </row>
    <row r="1748" hidden="1">
      <c r="A1748" s="3" t="str">
        <f t="shared" si="1"/>
        <v>OK</v>
      </c>
      <c r="B1748" s="3" t="str">
        <f t="shared" si="2"/>
        <v>OK</v>
      </c>
      <c r="C1748" s="3">
        <v>8881.0</v>
      </c>
      <c r="D1748" s="4" t="s">
        <v>4111</v>
      </c>
      <c r="E1748" s="3" t="s">
        <v>4112</v>
      </c>
      <c r="F1748" s="3" t="s">
        <v>17</v>
      </c>
      <c r="G1748" s="3" t="str">
        <f t="shared" si="3"/>
        <v>XIPLG1</v>
      </c>
      <c r="H1748" s="3" t="str">
        <f>VLOOKUP($C1748,Userpass!$A$2:$L$3001,12,FALSE)</f>
        <v>PLG1</v>
      </c>
      <c r="I1748" s="5" t="s">
        <v>3045</v>
      </c>
      <c r="J1748" s="3">
        <v>2024.0</v>
      </c>
      <c r="K1748" s="4" t="str">
        <f>VLOOKUP($C1748,Userpass!$A$2:$R$3001,2,FALSE)</f>
        <v>plg20248881.siswa@smkn12malang.sch.id</v>
      </c>
    </row>
    <row r="1749" hidden="1">
      <c r="A1749" s="3" t="str">
        <f t="shared" si="1"/>
        <v>OK</v>
      </c>
      <c r="B1749" s="3" t="str">
        <f t="shared" si="2"/>
        <v>OK</v>
      </c>
      <c r="C1749" s="3">
        <v>8917.0</v>
      </c>
      <c r="D1749" s="4" t="s">
        <v>4113</v>
      </c>
      <c r="E1749" s="3" t="s">
        <v>4114</v>
      </c>
      <c r="F1749" s="3" t="s">
        <v>13</v>
      </c>
      <c r="G1749" s="3" t="str">
        <f t="shared" si="3"/>
        <v>XIPLG1</v>
      </c>
      <c r="H1749" s="3" t="str">
        <f>VLOOKUP($C1749,Userpass!$A$2:$L$3001,12,FALSE)</f>
        <v>PLG1</v>
      </c>
      <c r="I1749" s="5" t="s">
        <v>3045</v>
      </c>
      <c r="J1749" s="3">
        <v>2024.0</v>
      </c>
      <c r="K1749" s="4" t="str">
        <f>VLOOKUP($C1749,Userpass!$A$2:$R$3001,2,FALSE)</f>
        <v>plg20248917.siswa@smkn12malang.sch.id</v>
      </c>
    </row>
    <row r="1750" hidden="1">
      <c r="A1750" s="3" t="str">
        <f t="shared" si="1"/>
        <v>OK</v>
      </c>
      <c r="B1750" s="3" t="str">
        <f t="shared" si="2"/>
        <v>OK</v>
      </c>
      <c r="C1750" s="3">
        <v>8920.0</v>
      </c>
      <c r="D1750" s="4" t="s">
        <v>4115</v>
      </c>
      <c r="E1750" s="3" t="s">
        <v>4116</v>
      </c>
      <c r="F1750" s="3" t="s">
        <v>13</v>
      </c>
      <c r="G1750" s="3" t="str">
        <f t="shared" si="3"/>
        <v>XIPLG1</v>
      </c>
      <c r="H1750" s="3" t="str">
        <f>VLOOKUP($C1750,Userpass!$A$2:$L$3001,12,FALSE)</f>
        <v>PLG1</v>
      </c>
      <c r="I1750" s="5" t="s">
        <v>3045</v>
      </c>
      <c r="J1750" s="3">
        <v>2024.0</v>
      </c>
      <c r="K1750" s="4" t="str">
        <f>VLOOKUP($C1750,Userpass!$A$2:$R$3001,2,FALSE)</f>
        <v>plg20248920.siswa@smkn12malang.sch.id</v>
      </c>
    </row>
    <row r="1751" hidden="1">
      <c r="A1751" s="3" t="str">
        <f t="shared" si="1"/>
        <v>OK</v>
      </c>
      <c r="B1751" s="3" t="str">
        <f t="shared" si="2"/>
        <v>OK</v>
      </c>
      <c r="C1751" s="3">
        <v>8927.0</v>
      </c>
      <c r="D1751" s="4" t="s">
        <v>4117</v>
      </c>
      <c r="E1751" s="3" t="s">
        <v>4118</v>
      </c>
      <c r="F1751" s="3" t="s">
        <v>13</v>
      </c>
      <c r="G1751" s="3" t="str">
        <f t="shared" si="3"/>
        <v>XIPLG1</v>
      </c>
      <c r="H1751" s="3" t="str">
        <f>VLOOKUP($C1751,Userpass!$A$2:$L$3001,12,FALSE)</f>
        <v>PLG1</v>
      </c>
      <c r="I1751" s="5" t="s">
        <v>3045</v>
      </c>
      <c r="J1751" s="3">
        <v>2024.0</v>
      </c>
      <c r="K1751" s="4" t="str">
        <f>VLOOKUP($C1751,Userpass!$A$2:$R$3001,2,FALSE)</f>
        <v>plg20248927.siswa@smkn12malang.sch.id</v>
      </c>
    </row>
    <row r="1752" hidden="1">
      <c r="A1752" s="3" t="str">
        <f t="shared" si="1"/>
        <v>OK</v>
      </c>
      <c r="B1752" s="3" t="str">
        <f t="shared" si="2"/>
        <v>OK</v>
      </c>
      <c r="C1752" s="3">
        <v>8956.0</v>
      </c>
      <c r="D1752" s="4" t="s">
        <v>4119</v>
      </c>
      <c r="E1752" s="3" t="s">
        <v>4120</v>
      </c>
      <c r="F1752" s="3" t="s">
        <v>13</v>
      </c>
      <c r="G1752" s="3" t="str">
        <f t="shared" si="3"/>
        <v>XIPLG1</v>
      </c>
      <c r="H1752" s="3" t="str">
        <f>VLOOKUP($C1752,Userpass!$A$2:$L$3001,12,FALSE)</f>
        <v>PLG1</v>
      </c>
      <c r="I1752" s="5" t="s">
        <v>3045</v>
      </c>
      <c r="J1752" s="3">
        <v>2024.0</v>
      </c>
      <c r="K1752" s="4" t="str">
        <f>VLOOKUP($C1752,Userpass!$A$2:$R$3001,2,FALSE)</f>
        <v>plg20248956.siswa@smkn12malang.sch.id</v>
      </c>
    </row>
    <row r="1753" hidden="1">
      <c r="A1753" s="3" t="str">
        <f t="shared" si="1"/>
        <v>OK</v>
      </c>
      <c r="B1753" s="3" t="str">
        <f t="shared" si="2"/>
        <v>OK</v>
      </c>
      <c r="C1753" s="3">
        <v>8966.0</v>
      </c>
      <c r="D1753" s="4" t="s">
        <v>4121</v>
      </c>
      <c r="E1753" s="3" t="s">
        <v>4122</v>
      </c>
      <c r="F1753" s="3" t="s">
        <v>13</v>
      </c>
      <c r="G1753" s="3" t="str">
        <f t="shared" si="3"/>
        <v>XIPLG1</v>
      </c>
      <c r="H1753" s="3" t="str">
        <f>VLOOKUP($C1753,Userpass!$A$2:$L$3001,12,FALSE)</f>
        <v>PLG1</v>
      </c>
      <c r="I1753" s="5" t="s">
        <v>3045</v>
      </c>
      <c r="J1753" s="3">
        <v>2024.0</v>
      </c>
      <c r="K1753" s="4" t="str">
        <f>VLOOKUP($C1753,Userpass!$A$2:$R$3001,2,FALSE)</f>
        <v>plg20248966.siswa@smkn12malang.sch.id</v>
      </c>
    </row>
    <row r="1754" hidden="1">
      <c r="A1754" s="3" t="str">
        <f t="shared" si="1"/>
        <v>OK</v>
      </c>
      <c r="B1754" s="3" t="str">
        <f t="shared" si="2"/>
        <v>OK</v>
      </c>
      <c r="C1754" s="3">
        <v>8993.0</v>
      </c>
      <c r="D1754" s="4" t="s">
        <v>4123</v>
      </c>
      <c r="E1754" s="3" t="s">
        <v>4124</v>
      </c>
      <c r="F1754" s="3" t="s">
        <v>17</v>
      </c>
      <c r="G1754" s="3" t="str">
        <f t="shared" si="3"/>
        <v>XIPLG1</v>
      </c>
      <c r="H1754" s="3" t="str">
        <f>VLOOKUP($C1754,Userpass!$A$2:$L$3001,12,FALSE)</f>
        <v>PLG1</v>
      </c>
      <c r="I1754" s="5" t="s">
        <v>3045</v>
      </c>
      <c r="J1754" s="3">
        <v>2024.0</v>
      </c>
      <c r="K1754" s="4" t="str">
        <f>VLOOKUP($C1754,Userpass!$A$2:$R$3001,2,FALSE)</f>
        <v>plg20248993.siswa@smkn12malang.sch.id</v>
      </c>
    </row>
    <row r="1755" hidden="1">
      <c r="A1755" s="3" t="str">
        <f t="shared" si="1"/>
        <v>OK</v>
      </c>
      <c r="B1755" s="3" t="str">
        <f t="shared" si="2"/>
        <v>OK</v>
      </c>
      <c r="C1755" s="3">
        <v>9012.0</v>
      </c>
      <c r="D1755" s="4" t="s">
        <v>4125</v>
      </c>
      <c r="E1755" s="3" t="s">
        <v>4126</v>
      </c>
      <c r="F1755" s="3" t="s">
        <v>17</v>
      </c>
      <c r="G1755" s="3" t="str">
        <f t="shared" si="3"/>
        <v>XIPLG1</v>
      </c>
      <c r="H1755" s="3" t="str">
        <f>VLOOKUP($C1755,Userpass!$A$2:$L$3001,12,FALSE)</f>
        <v>PLG1</v>
      </c>
      <c r="I1755" s="5" t="s">
        <v>3045</v>
      </c>
      <c r="J1755" s="3">
        <v>2024.0</v>
      </c>
      <c r="K1755" s="4" t="str">
        <f>VLOOKUP($C1755,Userpass!$A$2:$R$3001,2,FALSE)</f>
        <v>plg20249012.siswa@smkn12malang.sch.id</v>
      </c>
    </row>
    <row r="1756" hidden="1">
      <c r="A1756" s="3" t="str">
        <f t="shared" si="1"/>
        <v>OK</v>
      </c>
      <c r="B1756" s="3" t="str">
        <f t="shared" si="2"/>
        <v>OK</v>
      </c>
      <c r="C1756" s="3">
        <v>9025.0</v>
      </c>
      <c r="D1756" s="4" t="s">
        <v>4127</v>
      </c>
      <c r="E1756" s="3" t="s">
        <v>4128</v>
      </c>
      <c r="F1756" s="3" t="s">
        <v>17</v>
      </c>
      <c r="G1756" s="3" t="str">
        <f t="shared" si="3"/>
        <v>XIPLG1</v>
      </c>
      <c r="H1756" s="3" t="str">
        <f>VLOOKUP($C1756,Userpass!$A$2:$L$3001,12,FALSE)</f>
        <v>PLG1</v>
      </c>
      <c r="I1756" s="5" t="s">
        <v>3045</v>
      </c>
      <c r="J1756" s="3">
        <v>2024.0</v>
      </c>
      <c r="K1756" s="4" t="str">
        <f>VLOOKUP($C1756,Userpass!$A$2:$R$3001,2,FALSE)</f>
        <v>plg20249025.siswa@smkn12malang.sch.id</v>
      </c>
    </row>
    <row r="1757" hidden="1">
      <c r="A1757" s="3" t="str">
        <f t="shared" si="1"/>
        <v>OK</v>
      </c>
      <c r="B1757" s="3" t="str">
        <f t="shared" si="2"/>
        <v>OK</v>
      </c>
      <c r="C1757" s="3">
        <v>9058.0</v>
      </c>
      <c r="D1757" s="4" t="s">
        <v>4129</v>
      </c>
      <c r="E1757" s="3" t="s">
        <v>4130</v>
      </c>
      <c r="F1757" s="3" t="s">
        <v>13</v>
      </c>
      <c r="G1757" s="3" t="str">
        <f t="shared" si="3"/>
        <v>XIPLG1</v>
      </c>
      <c r="H1757" s="3" t="str">
        <f>VLOOKUP($C1757,Userpass!$A$2:$L$3001,12,FALSE)</f>
        <v>PLG1</v>
      </c>
      <c r="I1757" s="5" t="s">
        <v>3045</v>
      </c>
      <c r="J1757" s="3">
        <v>2024.0</v>
      </c>
      <c r="K1757" s="4" t="str">
        <f>VLOOKUP($C1757,Userpass!$A$2:$R$3001,2,FALSE)</f>
        <v>plg20249058.siswa@smkn12malang.sch.id</v>
      </c>
    </row>
    <row r="1758" hidden="1">
      <c r="A1758" s="3" t="str">
        <f t="shared" si="1"/>
        <v>OK</v>
      </c>
      <c r="B1758" s="3" t="str">
        <f t="shared" si="2"/>
        <v>OK</v>
      </c>
      <c r="C1758" s="3">
        <v>9079.0</v>
      </c>
      <c r="D1758" s="4" t="s">
        <v>4131</v>
      </c>
      <c r="E1758" s="3" t="s">
        <v>4132</v>
      </c>
      <c r="F1758" s="3" t="s">
        <v>17</v>
      </c>
      <c r="G1758" s="3" t="str">
        <f t="shared" si="3"/>
        <v>XIPLG1</v>
      </c>
      <c r="H1758" s="3" t="str">
        <f>VLOOKUP($C1758,Userpass!$A$2:$L$3001,12,FALSE)</f>
        <v>PLG1</v>
      </c>
      <c r="I1758" s="5" t="s">
        <v>3045</v>
      </c>
      <c r="J1758" s="3">
        <v>2024.0</v>
      </c>
      <c r="K1758" s="4" t="str">
        <f>VLOOKUP($C1758,Userpass!$A$2:$R$3001,2,FALSE)</f>
        <v>plg20249079.siswa@smkn12malang.sch.id</v>
      </c>
    </row>
    <row r="1759" hidden="1">
      <c r="A1759" s="3" t="str">
        <f t="shared" si="1"/>
        <v>OK</v>
      </c>
      <c r="B1759" s="3" t="str">
        <f t="shared" si="2"/>
        <v>OK</v>
      </c>
      <c r="C1759" s="3">
        <v>9085.0</v>
      </c>
      <c r="D1759" s="4" t="s">
        <v>4133</v>
      </c>
      <c r="E1759" s="3" t="s">
        <v>4134</v>
      </c>
      <c r="F1759" s="3" t="s">
        <v>17</v>
      </c>
      <c r="G1759" s="3" t="str">
        <f t="shared" si="3"/>
        <v>XIPLG1</v>
      </c>
      <c r="H1759" s="3" t="str">
        <f>VLOOKUP($C1759,Userpass!$A$2:$L$3001,12,FALSE)</f>
        <v>PLG1</v>
      </c>
      <c r="I1759" s="5" t="s">
        <v>3045</v>
      </c>
      <c r="J1759" s="3">
        <v>2024.0</v>
      </c>
      <c r="K1759" s="4" t="str">
        <f>VLOOKUP($C1759,Userpass!$A$2:$R$3001,2,FALSE)</f>
        <v>plg20249085.siswa@smkn12malang.sch.id</v>
      </c>
    </row>
    <row r="1760" hidden="1">
      <c r="A1760" s="3" t="str">
        <f t="shared" si="1"/>
        <v>OK</v>
      </c>
      <c r="B1760" s="3" t="str">
        <f t="shared" si="2"/>
        <v>OK</v>
      </c>
      <c r="C1760" s="3">
        <v>9111.0</v>
      </c>
      <c r="D1760" s="4" t="s">
        <v>4135</v>
      </c>
      <c r="E1760" s="3" t="s">
        <v>4136</v>
      </c>
      <c r="F1760" s="3" t="s">
        <v>17</v>
      </c>
      <c r="G1760" s="3" t="str">
        <f t="shared" si="3"/>
        <v>XIPLG1</v>
      </c>
      <c r="H1760" s="3" t="str">
        <f>VLOOKUP($C1760,Userpass!$A$2:$L$3001,12,FALSE)</f>
        <v>PLG1</v>
      </c>
      <c r="I1760" s="5" t="s">
        <v>3045</v>
      </c>
      <c r="J1760" s="3">
        <v>2024.0</v>
      </c>
      <c r="K1760" s="4" t="str">
        <f>VLOOKUP($C1760,Userpass!$A$2:$R$3001,2,FALSE)</f>
        <v>plg20249111.siswa@smkn12malang.sch.id</v>
      </c>
    </row>
    <row r="1761" hidden="1">
      <c r="A1761" s="3" t="str">
        <f t="shared" si="1"/>
        <v>OK</v>
      </c>
      <c r="B1761" s="3" t="str">
        <f t="shared" si="2"/>
        <v>OK</v>
      </c>
      <c r="C1761" s="3">
        <v>9122.0</v>
      </c>
      <c r="D1761" s="4" t="s">
        <v>4137</v>
      </c>
      <c r="E1761" s="3" t="s">
        <v>4138</v>
      </c>
      <c r="F1761" s="3" t="s">
        <v>17</v>
      </c>
      <c r="G1761" s="3" t="str">
        <f t="shared" si="3"/>
        <v>XIPLG1</v>
      </c>
      <c r="H1761" s="3" t="str">
        <f>VLOOKUP($C1761,Userpass!$A$2:$L$3001,12,FALSE)</f>
        <v>PLG1</v>
      </c>
      <c r="I1761" s="5" t="s">
        <v>3045</v>
      </c>
      <c r="J1761" s="3">
        <v>2024.0</v>
      </c>
      <c r="K1761" s="4" t="str">
        <f>VLOOKUP($C1761,Userpass!$A$2:$R$3001,2,FALSE)</f>
        <v>plg20249122.siswa@smkn12malang.sch.id</v>
      </c>
    </row>
    <row r="1762" hidden="1">
      <c r="A1762" s="3" t="str">
        <f t="shared" si="1"/>
        <v>OK</v>
      </c>
      <c r="B1762" s="3" t="str">
        <f t="shared" si="2"/>
        <v>OK</v>
      </c>
      <c r="C1762" s="3">
        <v>9137.0</v>
      </c>
      <c r="D1762" s="4" t="s">
        <v>4139</v>
      </c>
      <c r="E1762" s="3" t="s">
        <v>4140</v>
      </c>
      <c r="F1762" s="3" t="s">
        <v>13</v>
      </c>
      <c r="G1762" s="3" t="str">
        <f t="shared" si="3"/>
        <v>XIPLG1</v>
      </c>
      <c r="H1762" s="3" t="str">
        <f>VLOOKUP($C1762,Userpass!$A$2:$L$3001,12,FALSE)</f>
        <v>PLG1</v>
      </c>
      <c r="I1762" s="5" t="s">
        <v>3045</v>
      </c>
      <c r="J1762" s="3">
        <v>2024.0</v>
      </c>
      <c r="K1762" s="4" t="str">
        <f>VLOOKUP($C1762,Userpass!$A$2:$R$3001,2,FALSE)</f>
        <v>bcf20249137.siswa@smkn12malang.sch.id</v>
      </c>
    </row>
    <row r="1763" hidden="1">
      <c r="A1763" s="3" t="str">
        <f t="shared" si="1"/>
        <v>OK</v>
      </c>
      <c r="B1763" s="3" t="str">
        <f t="shared" si="2"/>
        <v>OK</v>
      </c>
      <c r="C1763" s="3">
        <v>9160.0</v>
      </c>
      <c r="D1763" s="4" t="s">
        <v>4141</v>
      </c>
      <c r="E1763" s="3" t="s">
        <v>4142</v>
      </c>
      <c r="F1763" s="3" t="s">
        <v>17</v>
      </c>
      <c r="G1763" s="3" t="str">
        <f t="shared" si="3"/>
        <v>XIPLG1</v>
      </c>
      <c r="H1763" s="3" t="str">
        <f>VLOOKUP($C1763,Userpass!$A$2:$L$3001,12,FALSE)</f>
        <v>PLG1</v>
      </c>
      <c r="I1763" s="5" t="s">
        <v>3045</v>
      </c>
      <c r="J1763" s="3">
        <v>2024.0</v>
      </c>
      <c r="K1763" s="4" t="str">
        <f>VLOOKUP($C1763,Userpass!$A$2:$R$3001,2,FALSE)</f>
        <v>plg20249160.siswa@smkn12malang.sch.id</v>
      </c>
    </row>
    <row r="1764" hidden="1">
      <c r="A1764" s="3" t="str">
        <f t="shared" si="1"/>
        <v>OK</v>
      </c>
      <c r="B1764" s="3" t="str">
        <f t="shared" si="2"/>
        <v>OK</v>
      </c>
      <c r="C1764" s="3">
        <v>9184.0</v>
      </c>
      <c r="D1764" s="4" t="s">
        <v>4143</v>
      </c>
      <c r="E1764" s="3" t="s">
        <v>4144</v>
      </c>
      <c r="F1764" s="3" t="s">
        <v>17</v>
      </c>
      <c r="G1764" s="3" t="str">
        <f t="shared" si="3"/>
        <v>XIPLG1</v>
      </c>
      <c r="H1764" s="3" t="str">
        <f>VLOOKUP($C1764,Userpass!$A$2:$L$3001,12,FALSE)</f>
        <v>PLG1</v>
      </c>
      <c r="I1764" s="5" t="s">
        <v>3045</v>
      </c>
      <c r="J1764" s="3">
        <v>2024.0</v>
      </c>
      <c r="K1764" s="4" t="str">
        <f>VLOOKUP($C1764,Userpass!$A$2:$R$3001,2,FALSE)</f>
        <v>plg20249184.siswa@smkn12malang.sch.id</v>
      </c>
    </row>
    <row r="1765" hidden="1">
      <c r="A1765" s="3" t="str">
        <f t="shared" si="1"/>
        <v>OK</v>
      </c>
      <c r="B1765" s="3" t="str">
        <f t="shared" si="2"/>
        <v>OK</v>
      </c>
      <c r="C1765" s="3">
        <v>9207.0</v>
      </c>
      <c r="D1765" s="4" t="s">
        <v>4145</v>
      </c>
      <c r="E1765" s="3" t="s">
        <v>4146</v>
      </c>
      <c r="F1765" s="3" t="s">
        <v>13</v>
      </c>
      <c r="G1765" s="3" t="str">
        <f t="shared" si="3"/>
        <v>XIPLG1</v>
      </c>
      <c r="H1765" s="3" t="str">
        <f>VLOOKUP($C1765,Userpass!$A$2:$L$3001,12,FALSE)</f>
        <v>PLG1</v>
      </c>
      <c r="I1765" s="5" t="s">
        <v>3045</v>
      </c>
      <c r="J1765" s="3">
        <v>2024.0</v>
      </c>
      <c r="K1765" s="4" t="str">
        <f>VLOOKUP($C1765,Userpass!$A$2:$R$3001,2,FALSE)</f>
        <v>plg20249207.siswa@smkn12malang.sch.id</v>
      </c>
    </row>
    <row r="1766" hidden="1">
      <c r="A1766" s="3" t="str">
        <f t="shared" si="1"/>
        <v>OK</v>
      </c>
      <c r="B1766" s="3" t="str">
        <f t="shared" si="2"/>
        <v>OK</v>
      </c>
      <c r="C1766" s="3">
        <v>9212.0</v>
      </c>
      <c r="D1766" s="4" t="s">
        <v>4147</v>
      </c>
      <c r="E1766" s="3" t="s">
        <v>4148</v>
      </c>
      <c r="F1766" s="3" t="s">
        <v>13</v>
      </c>
      <c r="G1766" s="3" t="str">
        <f t="shared" si="3"/>
        <v>XIPLG1</v>
      </c>
      <c r="H1766" s="3" t="str">
        <f>VLOOKUP($C1766,Userpass!$A$2:$L$3001,12,FALSE)</f>
        <v>PLG1</v>
      </c>
      <c r="I1766" s="5" t="s">
        <v>3045</v>
      </c>
      <c r="J1766" s="3">
        <v>2024.0</v>
      </c>
      <c r="K1766" s="4" t="str">
        <f>VLOOKUP($C1766,Userpass!$A$2:$R$3001,2,FALSE)</f>
        <v>plg20249212.siswa@smkn12malang.sch.id</v>
      </c>
    </row>
    <row r="1767" hidden="1">
      <c r="A1767" s="3" t="str">
        <f t="shared" si="1"/>
        <v>OK</v>
      </c>
      <c r="B1767" s="3" t="str">
        <f t="shared" si="2"/>
        <v>OK</v>
      </c>
      <c r="C1767" s="3">
        <v>9223.0</v>
      </c>
      <c r="D1767" s="4" t="s">
        <v>4149</v>
      </c>
      <c r="E1767" s="3" t="s">
        <v>4150</v>
      </c>
      <c r="F1767" s="3" t="s">
        <v>17</v>
      </c>
      <c r="G1767" s="3" t="str">
        <f t="shared" si="3"/>
        <v>XIPLG1</v>
      </c>
      <c r="H1767" s="3" t="str">
        <f>VLOOKUP($C1767,Userpass!$A$2:$L$3001,12,FALSE)</f>
        <v>PLG1</v>
      </c>
      <c r="I1767" s="5" t="s">
        <v>3045</v>
      </c>
      <c r="J1767" s="3">
        <v>2024.0</v>
      </c>
      <c r="K1767" s="4" t="str">
        <f>VLOOKUP($C1767,Userpass!$A$2:$R$3001,2,FALSE)</f>
        <v>plg20249223.siswa@smkn12malang.sch.id</v>
      </c>
    </row>
    <row r="1768" hidden="1">
      <c r="A1768" s="3" t="str">
        <f t="shared" si="1"/>
        <v>OK</v>
      </c>
      <c r="B1768" s="3" t="str">
        <f t="shared" si="2"/>
        <v>OK</v>
      </c>
      <c r="C1768" s="3">
        <v>8677.0</v>
      </c>
      <c r="D1768" s="4" t="s">
        <v>4151</v>
      </c>
      <c r="E1768" s="3" t="s">
        <v>4152</v>
      </c>
      <c r="F1768" s="3" t="s">
        <v>13</v>
      </c>
      <c r="G1768" s="3" t="str">
        <f t="shared" si="3"/>
        <v>XIPLG2</v>
      </c>
      <c r="H1768" s="3" t="str">
        <f>VLOOKUP($C1768,Userpass!$A$2:$L$3001,12,FALSE)</f>
        <v>PLG2</v>
      </c>
      <c r="I1768" s="5" t="s">
        <v>3045</v>
      </c>
      <c r="J1768" s="3">
        <v>2024.0</v>
      </c>
      <c r="K1768" s="4" t="str">
        <f>VLOOKUP($C1768,Userpass!$A$2:$R$3001,2,FALSE)</f>
        <v>plg20248677.siswa@smkn12malang.sch.id</v>
      </c>
    </row>
    <row r="1769" hidden="1">
      <c r="A1769" s="3" t="str">
        <f t="shared" si="1"/>
        <v>OK</v>
      </c>
      <c r="B1769" s="3" t="str">
        <f t="shared" si="2"/>
        <v>OK</v>
      </c>
      <c r="C1769" s="3">
        <v>8695.0</v>
      </c>
      <c r="D1769" s="4" t="s">
        <v>4153</v>
      </c>
      <c r="E1769" s="3" t="s">
        <v>4154</v>
      </c>
      <c r="F1769" s="3" t="s">
        <v>13</v>
      </c>
      <c r="G1769" s="3" t="str">
        <f t="shared" si="3"/>
        <v>XIPLG2</v>
      </c>
      <c r="H1769" s="3" t="str">
        <f>VLOOKUP($C1769,Userpass!$A$2:$L$3001,12,FALSE)</f>
        <v>PLG2</v>
      </c>
      <c r="I1769" s="5" t="s">
        <v>3045</v>
      </c>
      <c r="J1769" s="3">
        <v>2024.0</v>
      </c>
      <c r="K1769" s="4" t="str">
        <f>VLOOKUP($C1769,Userpass!$A$2:$R$3001,2,FALSE)</f>
        <v>plg20248695.siswa@smkn12malang.sch.id</v>
      </c>
    </row>
    <row r="1770" hidden="1">
      <c r="A1770" s="3" t="str">
        <f t="shared" si="1"/>
        <v>OK</v>
      </c>
      <c r="B1770" s="3" t="str">
        <f t="shared" si="2"/>
        <v>OK</v>
      </c>
      <c r="C1770" s="3">
        <v>8702.0</v>
      </c>
      <c r="D1770" s="4" t="s">
        <v>4155</v>
      </c>
      <c r="E1770" s="3" t="s">
        <v>4156</v>
      </c>
      <c r="F1770" s="3" t="s">
        <v>17</v>
      </c>
      <c r="G1770" s="3" t="str">
        <f t="shared" si="3"/>
        <v>XIPLG2</v>
      </c>
      <c r="H1770" s="3" t="str">
        <f>VLOOKUP($C1770,Userpass!$A$2:$L$3001,12,FALSE)</f>
        <v>PLG2</v>
      </c>
      <c r="I1770" s="5" t="s">
        <v>3045</v>
      </c>
      <c r="J1770" s="3">
        <v>2024.0</v>
      </c>
      <c r="K1770" s="4" t="str">
        <f>VLOOKUP($C1770,Userpass!$A$2:$R$3001,2,FALSE)</f>
        <v>plg20248702.siswa@smkn12malang.sch.id</v>
      </c>
    </row>
    <row r="1771" hidden="1">
      <c r="A1771" s="3" t="str">
        <f t="shared" si="1"/>
        <v>OK</v>
      </c>
      <c r="B1771" s="3" t="str">
        <f t="shared" si="2"/>
        <v>OK</v>
      </c>
      <c r="C1771" s="3">
        <v>8728.0</v>
      </c>
      <c r="D1771" s="4" t="s">
        <v>4157</v>
      </c>
      <c r="E1771" s="3" t="s">
        <v>4158</v>
      </c>
      <c r="F1771" s="3" t="s">
        <v>13</v>
      </c>
      <c r="G1771" s="3" t="str">
        <f t="shared" si="3"/>
        <v>XIPLG2</v>
      </c>
      <c r="H1771" s="3" t="str">
        <f>VLOOKUP($C1771,Userpass!$A$2:$L$3001,12,FALSE)</f>
        <v>PLG2</v>
      </c>
      <c r="I1771" s="5" t="s">
        <v>3045</v>
      </c>
      <c r="J1771" s="3">
        <v>2024.0</v>
      </c>
      <c r="K1771" s="4" t="str">
        <f>VLOOKUP($C1771,Userpass!$A$2:$R$3001,2,FALSE)</f>
        <v>plg20248728.siswa@smkn12malang.sch.id</v>
      </c>
    </row>
    <row r="1772" hidden="1">
      <c r="A1772" s="3" t="str">
        <f t="shared" si="1"/>
        <v>OK</v>
      </c>
      <c r="B1772" s="3" t="str">
        <f t="shared" si="2"/>
        <v>OK</v>
      </c>
      <c r="C1772" s="3">
        <v>8743.0</v>
      </c>
      <c r="D1772" s="4" t="s">
        <v>4159</v>
      </c>
      <c r="E1772" s="3" t="s">
        <v>4160</v>
      </c>
      <c r="F1772" s="3" t="s">
        <v>13</v>
      </c>
      <c r="G1772" s="3" t="str">
        <f t="shared" si="3"/>
        <v>XIPLG2</v>
      </c>
      <c r="H1772" s="3" t="str">
        <f>VLOOKUP($C1772,Userpass!$A$2:$L$3001,12,FALSE)</f>
        <v>PLG2</v>
      </c>
      <c r="I1772" s="5" t="s">
        <v>3045</v>
      </c>
      <c r="J1772" s="3">
        <v>2024.0</v>
      </c>
      <c r="K1772" s="4" t="str">
        <f>VLOOKUP($C1772,Userpass!$A$2:$R$3001,2,FALSE)</f>
        <v>plg20248743.siswa@smkn12malang.sch.id</v>
      </c>
    </row>
    <row r="1773" hidden="1">
      <c r="A1773" s="3" t="str">
        <f t="shared" si="1"/>
        <v>OK</v>
      </c>
      <c r="B1773" s="3" t="str">
        <f t="shared" si="2"/>
        <v>OK</v>
      </c>
      <c r="C1773" s="3">
        <v>8747.0</v>
      </c>
      <c r="D1773" s="4" t="s">
        <v>4161</v>
      </c>
      <c r="E1773" s="3" t="s">
        <v>4162</v>
      </c>
      <c r="F1773" s="3" t="s">
        <v>17</v>
      </c>
      <c r="G1773" s="3" t="str">
        <f t="shared" si="3"/>
        <v>XIPLG2</v>
      </c>
      <c r="H1773" s="3" t="str">
        <f>VLOOKUP($C1773,Userpass!$A$2:$L$3001,12,FALSE)</f>
        <v>PLG2</v>
      </c>
      <c r="I1773" s="5" t="s">
        <v>3045</v>
      </c>
      <c r="J1773" s="3">
        <v>2024.0</v>
      </c>
      <c r="K1773" s="4" t="str">
        <f>VLOOKUP($C1773,Userpass!$A$2:$R$3001,2,FALSE)</f>
        <v>plg20248747.siswa@smkn12malang.sch.id</v>
      </c>
    </row>
    <row r="1774" hidden="1">
      <c r="A1774" s="3" t="str">
        <f t="shared" si="1"/>
        <v>OK</v>
      </c>
      <c r="B1774" s="3" t="str">
        <f t="shared" si="2"/>
        <v>OK</v>
      </c>
      <c r="C1774" s="3">
        <v>8753.0</v>
      </c>
      <c r="D1774" s="4" t="s">
        <v>4163</v>
      </c>
      <c r="E1774" s="3" t="s">
        <v>4164</v>
      </c>
      <c r="F1774" s="3" t="s">
        <v>13</v>
      </c>
      <c r="G1774" s="3" t="str">
        <f t="shared" si="3"/>
        <v>XIPLG2</v>
      </c>
      <c r="H1774" s="3" t="str">
        <f>VLOOKUP($C1774,Userpass!$A$2:$L$3001,12,FALSE)</f>
        <v>PLG2</v>
      </c>
      <c r="I1774" s="5" t="s">
        <v>3045</v>
      </c>
      <c r="J1774" s="3">
        <v>2024.0</v>
      </c>
      <c r="K1774" s="4" t="str">
        <f>VLOOKUP($C1774,Userpass!$A$2:$R$3001,2,FALSE)</f>
        <v>plg20248753.siswa@smkn12malang.sch.id</v>
      </c>
    </row>
    <row r="1775" hidden="1">
      <c r="A1775" s="3" t="str">
        <f t="shared" si="1"/>
        <v>OK</v>
      </c>
      <c r="B1775" s="3" t="str">
        <f t="shared" si="2"/>
        <v>OK</v>
      </c>
      <c r="C1775" s="3">
        <v>8757.0</v>
      </c>
      <c r="D1775" s="4" t="s">
        <v>4165</v>
      </c>
      <c r="E1775" s="3" t="s">
        <v>4166</v>
      </c>
      <c r="F1775" s="3" t="s">
        <v>17</v>
      </c>
      <c r="G1775" s="3" t="str">
        <f t="shared" si="3"/>
        <v>XIPLG2</v>
      </c>
      <c r="H1775" s="3" t="str">
        <f>VLOOKUP($C1775,Userpass!$A$2:$L$3001,12,FALSE)</f>
        <v>PLG2</v>
      </c>
      <c r="I1775" s="5" t="s">
        <v>3045</v>
      </c>
      <c r="J1775" s="3">
        <v>2024.0</v>
      </c>
      <c r="K1775" s="4" t="str">
        <f>VLOOKUP($C1775,Userpass!$A$2:$R$3001,2,FALSE)</f>
        <v>plg20248757.siswa@smkn12malang.sch.id</v>
      </c>
    </row>
    <row r="1776" hidden="1">
      <c r="A1776" s="3" t="str">
        <f t="shared" si="1"/>
        <v>OK</v>
      </c>
      <c r="B1776" s="3" t="str">
        <f t="shared" si="2"/>
        <v>OK</v>
      </c>
      <c r="C1776" s="3">
        <v>8762.0</v>
      </c>
      <c r="D1776" s="4" t="s">
        <v>4167</v>
      </c>
      <c r="E1776" s="3" t="s">
        <v>4168</v>
      </c>
      <c r="F1776" s="3" t="s">
        <v>17</v>
      </c>
      <c r="G1776" s="3" t="str">
        <f t="shared" si="3"/>
        <v>XIPLG2</v>
      </c>
      <c r="H1776" s="3" t="str">
        <f>VLOOKUP($C1776,Userpass!$A$2:$L$3001,12,FALSE)</f>
        <v>PLG2</v>
      </c>
      <c r="I1776" s="5" t="s">
        <v>3045</v>
      </c>
      <c r="J1776" s="3">
        <v>2024.0</v>
      </c>
      <c r="K1776" s="4" t="str">
        <f>VLOOKUP($C1776,Userpass!$A$2:$R$3001,2,FALSE)</f>
        <v>plg20248762.siswa@smkn12malang.sch.id</v>
      </c>
    </row>
    <row r="1777" hidden="1">
      <c r="A1777" s="3" t="str">
        <f t="shared" si="1"/>
        <v>OK</v>
      </c>
      <c r="B1777" s="3" t="str">
        <f t="shared" si="2"/>
        <v>OK</v>
      </c>
      <c r="C1777" s="3">
        <v>8777.0</v>
      </c>
      <c r="D1777" s="4" t="s">
        <v>4169</v>
      </c>
      <c r="E1777" s="3" t="s">
        <v>4170</v>
      </c>
      <c r="F1777" s="3" t="s">
        <v>13</v>
      </c>
      <c r="G1777" s="3" t="str">
        <f t="shared" si="3"/>
        <v>XIPLG2</v>
      </c>
      <c r="H1777" s="3" t="str">
        <f>VLOOKUP($C1777,Userpass!$A$2:$L$3001,12,FALSE)</f>
        <v>PLG2</v>
      </c>
      <c r="I1777" s="5" t="s">
        <v>3045</v>
      </c>
      <c r="J1777" s="3">
        <v>2024.0</v>
      </c>
      <c r="K1777" s="4" t="str">
        <f>VLOOKUP($C1777,Userpass!$A$2:$R$3001,2,FALSE)</f>
        <v>plg20248777.siswa@smkn12malang.sch.id</v>
      </c>
    </row>
    <row r="1778" hidden="1">
      <c r="A1778" s="3" t="str">
        <f t="shared" si="1"/>
        <v>OK</v>
      </c>
      <c r="B1778" s="3" t="str">
        <f t="shared" si="2"/>
        <v>OK</v>
      </c>
      <c r="C1778" s="3">
        <v>8805.0</v>
      </c>
      <c r="D1778" s="4" t="s">
        <v>4171</v>
      </c>
      <c r="E1778" s="3" t="s">
        <v>4172</v>
      </c>
      <c r="F1778" s="3" t="s">
        <v>13</v>
      </c>
      <c r="G1778" s="3" t="str">
        <f t="shared" si="3"/>
        <v>XIPLG2</v>
      </c>
      <c r="H1778" s="3" t="str">
        <f>VLOOKUP($C1778,Userpass!$A$2:$L$3001,12,FALSE)</f>
        <v>PLG2</v>
      </c>
      <c r="I1778" s="5" t="s">
        <v>3045</v>
      </c>
      <c r="J1778" s="3">
        <v>2024.0</v>
      </c>
      <c r="K1778" s="4" t="str">
        <f>VLOOKUP($C1778,Userpass!$A$2:$R$3001,2,FALSE)</f>
        <v>plg20248805.siswa@smkn12malang.sch.id</v>
      </c>
    </row>
    <row r="1779" hidden="1">
      <c r="A1779" s="3" t="str">
        <f t="shared" si="1"/>
        <v>OK</v>
      </c>
      <c r="B1779" s="3" t="str">
        <f t="shared" si="2"/>
        <v>OK</v>
      </c>
      <c r="C1779" s="3">
        <v>8823.0</v>
      </c>
      <c r="D1779" s="4" t="s">
        <v>4173</v>
      </c>
      <c r="E1779" s="3" t="s">
        <v>4174</v>
      </c>
      <c r="F1779" s="3" t="s">
        <v>13</v>
      </c>
      <c r="G1779" s="3" t="str">
        <f t="shared" si="3"/>
        <v>XIPLG2</v>
      </c>
      <c r="H1779" s="3" t="str">
        <f>VLOOKUP($C1779,Userpass!$A$2:$L$3001,12,FALSE)</f>
        <v>PLG2</v>
      </c>
      <c r="I1779" s="5" t="s">
        <v>3045</v>
      </c>
      <c r="J1779" s="3">
        <v>2024.0</v>
      </c>
      <c r="K1779" s="4" t="str">
        <f>VLOOKUP($C1779,Userpass!$A$2:$R$3001,2,FALSE)</f>
        <v>plg20248823.siswa@smkn12malang.sch.id</v>
      </c>
    </row>
    <row r="1780" hidden="1">
      <c r="A1780" s="3" t="str">
        <f t="shared" si="1"/>
        <v>OK</v>
      </c>
      <c r="B1780" s="3" t="str">
        <f t="shared" si="2"/>
        <v>OK</v>
      </c>
      <c r="C1780" s="3">
        <v>8832.0</v>
      </c>
      <c r="D1780" s="4" t="s">
        <v>4175</v>
      </c>
      <c r="E1780" s="3" t="s">
        <v>4176</v>
      </c>
      <c r="F1780" s="3" t="s">
        <v>17</v>
      </c>
      <c r="G1780" s="3" t="str">
        <f t="shared" si="3"/>
        <v>XIPLG2</v>
      </c>
      <c r="H1780" s="3" t="str">
        <f>VLOOKUP($C1780,Userpass!$A$2:$L$3001,12,FALSE)</f>
        <v>PLG2</v>
      </c>
      <c r="I1780" s="5" t="s">
        <v>3045</v>
      </c>
      <c r="J1780" s="3">
        <v>2024.0</v>
      </c>
      <c r="K1780" s="4" t="str">
        <f>VLOOKUP($C1780,Userpass!$A$2:$R$3001,2,FALSE)</f>
        <v>plg20248832.siswa@smkn12malang.sch.id</v>
      </c>
    </row>
    <row r="1781" hidden="1">
      <c r="A1781" s="3" t="str">
        <f t="shared" si="1"/>
        <v>OK</v>
      </c>
      <c r="B1781" s="3" t="str">
        <f t="shared" si="2"/>
        <v>OK</v>
      </c>
      <c r="C1781" s="3">
        <v>8841.0</v>
      </c>
      <c r="D1781" s="4" t="s">
        <v>4177</v>
      </c>
      <c r="E1781" s="3" t="s">
        <v>4178</v>
      </c>
      <c r="F1781" s="3" t="s">
        <v>13</v>
      </c>
      <c r="G1781" s="3" t="str">
        <f t="shared" si="3"/>
        <v>XIPLG2</v>
      </c>
      <c r="H1781" s="3" t="str">
        <f>VLOOKUP($C1781,Userpass!$A$2:$L$3001,12,FALSE)</f>
        <v>PLG2</v>
      </c>
      <c r="I1781" s="5" t="s">
        <v>3045</v>
      </c>
      <c r="J1781" s="3">
        <v>2024.0</v>
      </c>
      <c r="K1781" s="4" t="str">
        <f>VLOOKUP($C1781,Userpass!$A$2:$R$3001,2,FALSE)</f>
        <v>plg20248841.siswa@smkn12malang.sch.id</v>
      </c>
    </row>
    <row r="1782" hidden="1">
      <c r="A1782" s="3" t="str">
        <f t="shared" si="1"/>
        <v>OK</v>
      </c>
      <c r="B1782" s="3" t="str">
        <f t="shared" si="2"/>
        <v>OK</v>
      </c>
      <c r="C1782" s="3">
        <v>8859.0</v>
      </c>
      <c r="D1782" s="4" t="s">
        <v>4179</v>
      </c>
      <c r="E1782" s="3" t="s">
        <v>4180</v>
      </c>
      <c r="F1782" s="3" t="s">
        <v>17</v>
      </c>
      <c r="G1782" s="3" t="str">
        <f t="shared" si="3"/>
        <v>XIPLG2</v>
      </c>
      <c r="H1782" s="3" t="str">
        <f>VLOOKUP($C1782,Userpass!$A$2:$L$3001,12,FALSE)</f>
        <v>PLG2</v>
      </c>
      <c r="I1782" s="5" t="s">
        <v>3045</v>
      </c>
      <c r="J1782" s="3">
        <v>2024.0</v>
      </c>
      <c r="K1782" s="4" t="str">
        <f>VLOOKUP($C1782,Userpass!$A$2:$R$3001,2,FALSE)</f>
        <v>plg20248859.siswa@smkn12malang.sch.id</v>
      </c>
    </row>
    <row r="1783" hidden="1">
      <c r="A1783" s="3" t="str">
        <f t="shared" si="1"/>
        <v>OK</v>
      </c>
      <c r="B1783" s="3" t="str">
        <f t="shared" si="2"/>
        <v>OK</v>
      </c>
      <c r="C1783" s="3">
        <v>8877.0</v>
      </c>
      <c r="D1783" s="4" t="s">
        <v>4181</v>
      </c>
      <c r="E1783" s="3" t="s">
        <v>4182</v>
      </c>
      <c r="F1783" s="3" t="s">
        <v>17</v>
      </c>
      <c r="G1783" s="3" t="str">
        <f t="shared" si="3"/>
        <v>XIPLG2</v>
      </c>
      <c r="H1783" s="3" t="str">
        <f>VLOOKUP($C1783,Userpass!$A$2:$L$3001,12,FALSE)</f>
        <v>PLG2</v>
      </c>
      <c r="I1783" s="5" t="s">
        <v>3045</v>
      </c>
      <c r="J1783" s="3">
        <v>2024.0</v>
      </c>
      <c r="K1783" s="4" t="str">
        <f>VLOOKUP($C1783,Userpass!$A$2:$R$3001,2,FALSE)</f>
        <v>plg20248877.siswa@smkn12malang.sch.id</v>
      </c>
    </row>
    <row r="1784" hidden="1">
      <c r="A1784" s="3" t="str">
        <f t="shared" si="1"/>
        <v>OK</v>
      </c>
      <c r="B1784" s="3" t="str">
        <f t="shared" si="2"/>
        <v>OK</v>
      </c>
      <c r="C1784" s="3">
        <v>8879.0</v>
      </c>
      <c r="D1784" s="4" t="s">
        <v>4183</v>
      </c>
      <c r="E1784" s="3" t="s">
        <v>4184</v>
      </c>
      <c r="F1784" s="3" t="s">
        <v>17</v>
      </c>
      <c r="G1784" s="3" t="str">
        <f t="shared" si="3"/>
        <v>XIPLG2</v>
      </c>
      <c r="H1784" s="3" t="str">
        <f>VLOOKUP($C1784,Userpass!$A$2:$L$3001,12,FALSE)</f>
        <v>PLG2</v>
      </c>
      <c r="I1784" s="5" t="s">
        <v>3045</v>
      </c>
      <c r="J1784" s="3">
        <v>2024.0</v>
      </c>
      <c r="K1784" s="4" t="str">
        <f>VLOOKUP($C1784,Userpass!$A$2:$R$3001,2,FALSE)</f>
        <v>plg20248879.siswa@smkn12malang.sch.id</v>
      </c>
    </row>
    <row r="1785" hidden="1">
      <c r="A1785" s="3" t="str">
        <f t="shared" si="1"/>
        <v>OK</v>
      </c>
      <c r="B1785" s="3" t="str">
        <f t="shared" si="2"/>
        <v>OK</v>
      </c>
      <c r="C1785" s="3">
        <v>8910.0</v>
      </c>
      <c r="D1785" s="4" t="s">
        <v>4185</v>
      </c>
      <c r="E1785" s="3" t="s">
        <v>4186</v>
      </c>
      <c r="F1785" s="3" t="s">
        <v>13</v>
      </c>
      <c r="G1785" s="3" t="str">
        <f t="shared" si="3"/>
        <v>XIPLG2</v>
      </c>
      <c r="H1785" s="3" t="str">
        <f>VLOOKUP($C1785,Userpass!$A$2:$L$3001,12,FALSE)</f>
        <v>PLG2</v>
      </c>
      <c r="I1785" s="5" t="s">
        <v>3045</v>
      </c>
      <c r="J1785" s="3">
        <v>2024.0</v>
      </c>
      <c r="K1785" s="4" t="str">
        <f>VLOOKUP($C1785,Userpass!$A$2:$R$3001,2,FALSE)</f>
        <v>plg20248910.siswa@smkn12malang.sch.id</v>
      </c>
    </row>
    <row r="1786" hidden="1">
      <c r="A1786" s="3" t="str">
        <f t="shared" si="1"/>
        <v>OK</v>
      </c>
      <c r="B1786" s="3" t="str">
        <f t="shared" si="2"/>
        <v>OK</v>
      </c>
      <c r="C1786" s="3">
        <v>8919.0</v>
      </c>
      <c r="D1786" s="4" t="s">
        <v>4187</v>
      </c>
      <c r="E1786" s="3" t="s">
        <v>4188</v>
      </c>
      <c r="F1786" s="3" t="s">
        <v>13</v>
      </c>
      <c r="G1786" s="3" t="str">
        <f t="shared" si="3"/>
        <v>XIPLG2</v>
      </c>
      <c r="H1786" s="3" t="str">
        <f>VLOOKUP($C1786,Userpass!$A$2:$L$3001,12,FALSE)</f>
        <v>PLG2</v>
      </c>
      <c r="I1786" s="5" t="s">
        <v>3045</v>
      </c>
      <c r="J1786" s="3">
        <v>2024.0</v>
      </c>
      <c r="K1786" s="4" t="str">
        <f>VLOOKUP($C1786,Userpass!$A$2:$R$3001,2,FALSE)</f>
        <v>plg20248919.siswa@smkn12malang.sch.id</v>
      </c>
    </row>
    <row r="1787" hidden="1">
      <c r="A1787" s="3" t="str">
        <f t="shared" si="1"/>
        <v>OK</v>
      </c>
      <c r="B1787" s="3" t="str">
        <f t="shared" si="2"/>
        <v>OK</v>
      </c>
      <c r="C1787" s="3">
        <v>8925.0</v>
      </c>
      <c r="D1787" s="4" t="s">
        <v>4189</v>
      </c>
      <c r="E1787" s="3" t="s">
        <v>4190</v>
      </c>
      <c r="F1787" s="3" t="s">
        <v>17</v>
      </c>
      <c r="G1787" s="3" t="str">
        <f t="shared" si="3"/>
        <v>XIPLG2</v>
      </c>
      <c r="H1787" s="3" t="str">
        <f>VLOOKUP($C1787,Userpass!$A$2:$L$3001,12,FALSE)</f>
        <v>PLG2</v>
      </c>
      <c r="I1787" s="5" t="s">
        <v>3045</v>
      </c>
      <c r="J1787" s="3">
        <v>2024.0</v>
      </c>
      <c r="K1787" s="4" t="str">
        <f>VLOOKUP($C1787,Userpass!$A$2:$R$3001,2,FALSE)</f>
        <v>plg20248925.siswa@smkn12malang.sch.id</v>
      </c>
    </row>
    <row r="1788" hidden="1">
      <c r="A1788" s="3" t="str">
        <f t="shared" si="1"/>
        <v>OK</v>
      </c>
      <c r="B1788" s="3" t="str">
        <f t="shared" si="2"/>
        <v>OK</v>
      </c>
      <c r="C1788" s="3">
        <v>8937.0</v>
      </c>
      <c r="D1788" s="4" t="s">
        <v>4191</v>
      </c>
      <c r="E1788" s="3" t="s">
        <v>4192</v>
      </c>
      <c r="F1788" s="3" t="s">
        <v>13</v>
      </c>
      <c r="G1788" s="3" t="str">
        <f t="shared" si="3"/>
        <v>XIPLG2</v>
      </c>
      <c r="H1788" s="3" t="str">
        <f>VLOOKUP($C1788,Userpass!$A$2:$L$3001,12,FALSE)</f>
        <v>PLG2</v>
      </c>
      <c r="I1788" s="5" t="s">
        <v>3045</v>
      </c>
      <c r="J1788" s="3">
        <v>2024.0</v>
      </c>
      <c r="K1788" s="4" t="str">
        <f>VLOOKUP($C1788,Userpass!$A$2:$R$3001,2,FALSE)</f>
        <v>plg20248937.siswa@smkn12malang.sch.id</v>
      </c>
    </row>
    <row r="1789" hidden="1">
      <c r="A1789" s="3" t="str">
        <f t="shared" si="1"/>
        <v>OK</v>
      </c>
      <c r="B1789" s="3" t="str">
        <f t="shared" si="2"/>
        <v>OK</v>
      </c>
      <c r="C1789" s="3">
        <v>8963.0</v>
      </c>
      <c r="D1789" s="4" t="s">
        <v>4193</v>
      </c>
      <c r="E1789" s="3" t="s">
        <v>4194</v>
      </c>
      <c r="F1789" s="3" t="s">
        <v>17</v>
      </c>
      <c r="G1789" s="3" t="str">
        <f t="shared" si="3"/>
        <v>XIPLG2</v>
      </c>
      <c r="H1789" s="3" t="str">
        <f>VLOOKUP($C1789,Userpass!$A$2:$L$3001,12,FALSE)</f>
        <v>PLG2</v>
      </c>
      <c r="I1789" s="5" t="s">
        <v>3045</v>
      </c>
      <c r="J1789" s="3">
        <v>2024.0</v>
      </c>
      <c r="K1789" s="4" t="str">
        <f>VLOOKUP($C1789,Userpass!$A$2:$R$3001,2,FALSE)</f>
        <v>plg20248963.siswa@smkn12malang.sch.id</v>
      </c>
    </row>
    <row r="1790" hidden="1">
      <c r="A1790" s="3" t="str">
        <f t="shared" si="1"/>
        <v>OK</v>
      </c>
      <c r="B1790" s="3" t="str">
        <f t="shared" si="2"/>
        <v>OK</v>
      </c>
      <c r="C1790" s="3">
        <v>8990.0</v>
      </c>
      <c r="D1790" s="4" t="s">
        <v>4195</v>
      </c>
      <c r="E1790" s="3" t="s">
        <v>4196</v>
      </c>
      <c r="F1790" s="3" t="s">
        <v>17</v>
      </c>
      <c r="G1790" s="3" t="str">
        <f t="shared" si="3"/>
        <v>XIPLG2</v>
      </c>
      <c r="H1790" s="3" t="str">
        <f>VLOOKUP($C1790,Userpass!$A$2:$L$3001,12,FALSE)</f>
        <v>PLG2</v>
      </c>
      <c r="I1790" s="5" t="s">
        <v>3045</v>
      </c>
      <c r="J1790" s="3">
        <v>2024.0</v>
      </c>
      <c r="K1790" s="4" t="str">
        <f>VLOOKUP($C1790,Userpass!$A$2:$R$3001,2,FALSE)</f>
        <v>plg20248990.siswa@smkn12malang.sch.id</v>
      </c>
    </row>
    <row r="1791" hidden="1">
      <c r="A1791" s="3" t="str">
        <f t="shared" si="1"/>
        <v>OK</v>
      </c>
      <c r="B1791" s="3" t="str">
        <f t="shared" si="2"/>
        <v>OK</v>
      </c>
      <c r="C1791" s="3">
        <v>8997.0</v>
      </c>
      <c r="D1791" s="4" t="s">
        <v>4197</v>
      </c>
      <c r="E1791" s="3" t="s">
        <v>4198</v>
      </c>
      <c r="F1791" s="3" t="s">
        <v>17</v>
      </c>
      <c r="G1791" s="3" t="str">
        <f t="shared" si="3"/>
        <v>XIPLG2</v>
      </c>
      <c r="H1791" s="3" t="str">
        <f>VLOOKUP($C1791,Userpass!$A$2:$L$3001,12,FALSE)</f>
        <v>PLG2</v>
      </c>
      <c r="I1791" s="5" t="s">
        <v>3045</v>
      </c>
      <c r="J1791" s="3">
        <v>2024.0</v>
      </c>
      <c r="K1791" s="4" t="str">
        <f>VLOOKUP($C1791,Userpass!$A$2:$R$3001,2,FALSE)</f>
        <v>plg20248997.siswa@smkn12malang.sch.id</v>
      </c>
    </row>
    <row r="1792" hidden="1">
      <c r="A1792" s="3" t="str">
        <f t="shared" si="1"/>
        <v>OK</v>
      </c>
      <c r="B1792" s="3" t="str">
        <f t="shared" si="2"/>
        <v>OK</v>
      </c>
      <c r="C1792" s="3">
        <v>9013.0</v>
      </c>
      <c r="D1792" s="4" t="s">
        <v>4199</v>
      </c>
      <c r="E1792" s="3" t="s">
        <v>4200</v>
      </c>
      <c r="F1792" s="3" t="s">
        <v>17</v>
      </c>
      <c r="G1792" s="3" t="str">
        <f t="shared" si="3"/>
        <v>XIPLG2</v>
      </c>
      <c r="H1792" s="3" t="str">
        <f>VLOOKUP($C1792,Userpass!$A$2:$L$3001,12,FALSE)</f>
        <v>PLG2</v>
      </c>
      <c r="I1792" s="5" t="s">
        <v>3045</v>
      </c>
      <c r="J1792" s="3">
        <v>2024.0</v>
      </c>
      <c r="K1792" s="4" t="str">
        <f>VLOOKUP($C1792,Userpass!$A$2:$R$3001,2,FALSE)</f>
        <v>plg20249013.siswa@smkn12malang.sch.id</v>
      </c>
    </row>
    <row r="1793" hidden="1">
      <c r="A1793" s="3" t="str">
        <f t="shared" si="1"/>
        <v>OK</v>
      </c>
      <c r="B1793" s="3" t="str">
        <f t="shared" si="2"/>
        <v>OK</v>
      </c>
      <c r="C1793" s="3">
        <v>9046.0</v>
      </c>
      <c r="D1793" s="4" t="s">
        <v>4201</v>
      </c>
      <c r="E1793" s="3" t="s">
        <v>4202</v>
      </c>
      <c r="F1793" s="3" t="s">
        <v>13</v>
      </c>
      <c r="G1793" s="3" t="str">
        <f t="shared" si="3"/>
        <v>XIPLG2</v>
      </c>
      <c r="H1793" s="3" t="str">
        <f>VLOOKUP($C1793,Userpass!$A$2:$L$3001,12,FALSE)</f>
        <v>PLG2</v>
      </c>
      <c r="I1793" s="5" t="s">
        <v>3045</v>
      </c>
      <c r="J1793" s="3">
        <v>2024.0</v>
      </c>
      <c r="K1793" s="4" t="str">
        <f>VLOOKUP($C1793,Userpass!$A$2:$R$3001,2,FALSE)</f>
        <v>plg20249046.siswa@smkn12malang.sch.id</v>
      </c>
    </row>
    <row r="1794" hidden="1">
      <c r="A1794" s="3" t="str">
        <f t="shared" si="1"/>
        <v>OK</v>
      </c>
      <c r="B1794" s="3" t="str">
        <f t="shared" si="2"/>
        <v>OK</v>
      </c>
      <c r="C1794" s="3">
        <v>9078.0</v>
      </c>
      <c r="D1794" s="4" t="s">
        <v>4203</v>
      </c>
      <c r="E1794" s="3" t="s">
        <v>4204</v>
      </c>
      <c r="F1794" s="3" t="s">
        <v>17</v>
      </c>
      <c r="G1794" s="3" t="str">
        <f t="shared" si="3"/>
        <v>XIPLG2</v>
      </c>
      <c r="H1794" s="3" t="str">
        <f>VLOOKUP($C1794,Userpass!$A$2:$L$3001,12,FALSE)</f>
        <v>PLG2</v>
      </c>
      <c r="I1794" s="5" t="s">
        <v>3045</v>
      </c>
      <c r="J1794" s="3">
        <v>2024.0</v>
      </c>
      <c r="K1794" s="4" t="str">
        <f>VLOOKUP($C1794,Userpass!$A$2:$R$3001,2,FALSE)</f>
        <v>plg20249078.siswa@smkn12malang.sch.id</v>
      </c>
    </row>
    <row r="1795" hidden="1">
      <c r="A1795" s="3" t="str">
        <f t="shared" si="1"/>
        <v>OK</v>
      </c>
      <c r="B1795" s="3" t="str">
        <f t="shared" si="2"/>
        <v>OK</v>
      </c>
      <c r="C1795" s="3">
        <v>9083.0</v>
      </c>
      <c r="D1795" s="4" t="s">
        <v>4205</v>
      </c>
      <c r="E1795" s="3" t="s">
        <v>4206</v>
      </c>
      <c r="F1795" s="3" t="s">
        <v>17</v>
      </c>
      <c r="G1795" s="3" t="str">
        <f t="shared" si="3"/>
        <v>XIPLG2</v>
      </c>
      <c r="H1795" s="3" t="str">
        <f>VLOOKUP($C1795,Userpass!$A$2:$L$3001,12,FALSE)</f>
        <v>PLG2</v>
      </c>
      <c r="I1795" s="5" t="s">
        <v>3045</v>
      </c>
      <c r="J1795" s="3">
        <v>2024.0</v>
      </c>
      <c r="K1795" s="4" t="str">
        <f>VLOOKUP($C1795,Userpass!$A$2:$R$3001,2,FALSE)</f>
        <v>plg20249083.siswa@smkn12malang.sch.id</v>
      </c>
    </row>
    <row r="1796" hidden="1">
      <c r="A1796" s="3" t="str">
        <f t="shared" si="1"/>
        <v>OK</v>
      </c>
      <c r="B1796" s="3" t="str">
        <f t="shared" si="2"/>
        <v>OK</v>
      </c>
      <c r="C1796" s="3">
        <v>9108.0</v>
      </c>
      <c r="D1796" s="4" t="s">
        <v>4207</v>
      </c>
      <c r="E1796" s="3" t="s">
        <v>4208</v>
      </c>
      <c r="F1796" s="3" t="s">
        <v>17</v>
      </c>
      <c r="G1796" s="3" t="str">
        <f t="shared" si="3"/>
        <v>XIPLG2</v>
      </c>
      <c r="H1796" s="3" t="str">
        <f>VLOOKUP($C1796,Userpass!$A$2:$L$3001,12,FALSE)</f>
        <v>PLG2</v>
      </c>
      <c r="I1796" s="5" t="s">
        <v>3045</v>
      </c>
      <c r="J1796" s="3">
        <v>2024.0</v>
      </c>
      <c r="K1796" s="4" t="str">
        <f>VLOOKUP($C1796,Userpass!$A$2:$R$3001,2,FALSE)</f>
        <v>plg20249108.siswa@smkn12malang.sch.id</v>
      </c>
    </row>
    <row r="1797" hidden="1">
      <c r="A1797" s="3" t="str">
        <f t="shared" si="1"/>
        <v>OK</v>
      </c>
      <c r="B1797" s="3" t="str">
        <f t="shared" si="2"/>
        <v>OK</v>
      </c>
      <c r="C1797" s="3">
        <v>9113.0</v>
      </c>
      <c r="D1797" s="4" t="s">
        <v>4209</v>
      </c>
      <c r="E1797" s="3" t="s">
        <v>4210</v>
      </c>
      <c r="F1797" s="3" t="s">
        <v>17</v>
      </c>
      <c r="G1797" s="3" t="str">
        <f t="shared" si="3"/>
        <v>XIPLG2</v>
      </c>
      <c r="H1797" s="3" t="str">
        <f>VLOOKUP($C1797,Userpass!$A$2:$L$3001,12,FALSE)</f>
        <v>PLG2</v>
      </c>
      <c r="I1797" s="5" t="s">
        <v>3045</v>
      </c>
      <c r="J1797" s="3">
        <v>2024.0</v>
      </c>
      <c r="K1797" s="4" t="str">
        <f>VLOOKUP($C1797,Userpass!$A$2:$R$3001,2,FALSE)</f>
        <v>plg20249113.siswa@smkn12malang.sch.id</v>
      </c>
    </row>
    <row r="1798" hidden="1">
      <c r="A1798" s="3" t="str">
        <f t="shared" si="1"/>
        <v>OK</v>
      </c>
      <c r="B1798" s="3" t="str">
        <f t="shared" si="2"/>
        <v>OK</v>
      </c>
      <c r="C1798" s="3">
        <v>9149.0</v>
      </c>
      <c r="D1798" s="4" t="s">
        <v>4211</v>
      </c>
      <c r="E1798" s="3" t="s">
        <v>4212</v>
      </c>
      <c r="F1798" s="3" t="s">
        <v>13</v>
      </c>
      <c r="G1798" s="3" t="str">
        <f t="shared" si="3"/>
        <v>XIPLG2</v>
      </c>
      <c r="H1798" s="3" t="str">
        <f>VLOOKUP($C1798,Userpass!$A$2:$L$3001,12,FALSE)</f>
        <v>PLG2</v>
      </c>
      <c r="I1798" s="5" t="s">
        <v>3045</v>
      </c>
      <c r="J1798" s="3">
        <v>2024.0</v>
      </c>
      <c r="K1798" s="4" t="str">
        <f>VLOOKUP($C1798,Userpass!$A$2:$R$3001,2,FALSE)</f>
        <v>plg20249149.siswa@smkn12malang.sch.id</v>
      </c>
    </row>
    <row r="1799" hidden="1">
      <c r="A1799" s="3" t="str">
        <f t="shared" si="1"/>
        <v>OK</v>
      </c>
      <c r="B1799" s="3" t="str">
        <f t="shared" si="2"/>
        <v>OK</v>
      </c>
      <c r="C1799" s="3">
        <v>9177.0</v>
      </c>
      <c r="D1799" s="4" t="s">
        <v>4213</v>
      </c>
      <c r="E1799" s="3" t="s">
        <v>4214</v>
      </c>
      <c r="F1799" s="3" t="s">
        <v>13</v>
      </c>
      <c r="G1799" s="3" t="str">
        <f t="shared" si="3"/>
        <v>XIPLG2</v>
      </c>
      <c r="H1799" s="3" t="str">
        <f>VLOOKUP($C1799,Userpass!$A$2:$L$3001,12,FALSE)</f>
        <v>PLG2</v>
      </c>
      <c r="I1799" s="5" t="s">
        <v>3045</v>
      </c>
      <c r="J1799" s="3">
        <v>2024.0</v>
      </c>
      <c r="K1799" s="4" t="str">
        <f>VLOOKUP($C1799,Userpass!$A$2:$R$3001,2,FALSE)</f>
        <v>plg20249177.siswa@smkn12malang.sch.id</v>
      </c>
    </row>
    <row r="1800" hidden="1">
      <c r="A1800" s="3" t="str">
        <f t="shared" si="1"/>
        <v>OK</v>
      </c>
      <c r="B1800" s="3" t="str">
        <f t="shared" si="2"/>
        <v>OK</v>
      </c>
      <c r="C1800" s="3">
        <v>9187.0</v>
      </c>
      <c r="D1800" s="4" t="s">
        <v>4215</v>
      </c>
      <c r="E1800" s="3" t="s">
        <v>4216</v>
      </c>
      <c r="F1800" s="3" t="s">
        <v>13</v>
      </c>
      <c r="G1800" s="3" t="str">
        <f t="shared" si="3"/>
        <v>XIPLG2</v>
      </c>
      <c r="H1800" s="3" t="str">
        <f>VLOOKUP($C1800,Userpass!$A$2:$L$3001,12,FALSE)</f>
        <v>PLG2</v>
      </c>
      <c r="I1800" s="5" t="s">
        <v>3045</v>
      </c>
      <c r="J1800" s="3">
        <v>2024.0</v>
      </c>
      <c r="K1800" s="4" t="str">
        <f>VLOOKUP($C1800,Userpass!$A$2:$R$3001,2,FALSE)</f>
        <v>plg20249187.siswa@smkn12malang.sch.id</v>
      </c>
    </row>
    <row r="1801" hidden="1">
      <c r="A1801" s="3" t="str">
        <f t="shared" si="1"/>
        <v>OK</v>
      </c>
      <c r="B1801" s="3" t="str">
        <f t="shared" si="2"/>
        <v>OK</v>
      </c>
      <c r="C1801" s="3">
        <v>9221.0</v>
      </c>
      <c r="D1801" s="4" t="s">
        <v>4217</v>
      </c>
      <c r="E1801" s="3" t="s">
        <v>4218</v>
      </c>
      <c r="F1801" s="3" t="s">
        <v>17</v>
      </c>
      <c r="G1801" s="3" t="str">
        <f t="shared" si="3"/>
        <v>XIPLG2</v>
      </c>
      <c r="H1801" s="3" t="str">
        <f>VLOOKUP($C1801,Userpass!$A$2:$L$3001,12,FALSE)</f>
        <v>PLG2</v>
      </c>
      <c r="I1801" s="5" t="s">
        <v>3045</v>
      </c>
      <c r="J1801" s="3">
        <v>2024.0</v>
      </c>
      <c r="K1801" s="4" t="str">
        <f>VLOOKUP($C1801,Userpass!$A$2:$R$3001,2,FALSE)</f>
        <v>plg20249221.siswa@smkn12malang.sch.id</v>
      </c>
    </row>
    <row r="1802" hidden="1">
      <c r="A1802" s="3" t="str">
        <f t="shared" si="1"/>
        <v>OK</v>
      </c>
      <c r="B1802" s="3" t="str">
        <f t="shared" si="2"/>
        <v>OK</v>
      </c>
      <c r="C1802" s="3">
        <v>9242.0</v>
      </c>
      <c r="D1802" s="4" t="s">
        <v>4219</v>
      </c>
      <c r="E1802" s="3" t="s">
        <v>4220</v>
      </c>
      <c r="F1802" s="3" t="s">
        <v>13</v>
      </c>
      <c r="G1802" s="3" t="str">
        <f t="shared" si="3"/>
        <v>XIPLG2</v>
      </c>
      <c r="H1802" s="3" t="str">
        <f>VLOOKUP($C1802,Userpass!$A$2:$L$3001,12,FALSE)</f>
        <v>PLG2</v>
      </c>
      <c r="I1802" s="5" t="s">
        <v>3045</v>
      </c>
      <c r="J1802" s="3">
        <v>2024.0</v>
      </c>
      <c r="K1802" s="4" t="str">
        <f>VLOOKUP($C1802,Userpass!$A$2:$R$3001,2,FALSE)</f>
        <v>plg20249242.siswa@smkn12malang.sch.id</v>
      </c>
    </row>
    <row r="1803">
      <c r="A1803" s="3" t="str">
        <f t="shared" si="1"/>
        <v>OK</v>
      </c>
      <c r="B1803" s="3" t="str">
        <f t="shared" si="2"/>
        <v>OK</v>
      </c>
      <c r="C1803" s="3">
        <v>8032.0</v>
      </c>
      <c r="D1803" s="4" t="s">
        <v>4221</v>
      </c>
      <c r="E1803" s="3" t="s">
        <v>4222</v>
      </c>
      <c r="F1803" s="3" t="s">
        <v>13</v>
      </c>
      <c r="G1803" s="3" t="str">
        <f t="shared" si="3"/>
        <v>XIIAKL1</v>
      </c>
      <c r="H1803" s="3" t="str">
        <f>VLOOKUP($C1803,Userpass!$A$2:$L$3001,12,FALSE)</f>
        <v>AKL1</v>
      </c>
      <c r="I1803" s="5" t="s">
        <v>4223</v>
      </c>
      <c r="J1803" s="3">
        <v>2023.0</v>
      </c>
      <c r="K1803" s="4" t="str">
        <f>VLOOKUP($C1803,Userpass!$A$2:$R$3001,2,FALSE)</f>
        <v>akl20238032.siswa@smkn12malang.sch.id</v>
      </c>
    </row>
    <row r="1804">
      <c r="A1804" s="3" t="str">
        <f t="shared" si="1"/>
        <v>OK</v>
      </c>
      <c r="B1804" s="3" t="str">
        <f t="shared" si="2"/>
        <v>OK</v>
      </c>
      <c r="C1804" s="3">
        <v>8051.0</v>
      </c>
      <c r="D1804" s="4" t="s">
        <v>4224</v>
      </c>
      <c r="E1804" s="3" t="s">
        <v>4225</v>
      </c>
      <c r="F1804" s="3" t="s">
        <v>17</v>
      </c>
      <c r="G1804" s="3" t="str">
        <f t="shared" si="3"/>
        <v>XIIAKL1</v>
      </c>
      <c r="H1804" s="3" t="str">
        <f>VLOOKUP($C1804,Userpass!$A$2:$L$3001,12,FALSE)</f>
        <v>AKL1</v>
      </c>
      <c r="I1804" s="5" t="s">
        <v>4223</v>
      </c>
      <c r="J1804" s="3">
        <v>2023.0</v>
      </c>
      <c r="K1804" s="4" t="str">
        <f>VLOOKUP($C1804,Userpass!$A$2:$R$3001,2,FALSE)</f>
        <v>akl20238051.siswa@smkn12malang.sch.id</v>
      </c>
    </row>
    <row r="1805">
      <c r="A1805" s="3" t="str">
        <f t="shared" si="1"/>
        <v>OK</v>
      </c>
      <c r="B1805" s="3" t="str">
        <f t="shared" si="2"/>
        <v>OK</v>
      </c>
      <c r="C1805" s="3">
        <v>8071.0</v>
      </c>
      <c r="D1805" s="4" t="s">
        <v>4226</v>
      </c>
      <c r="E1805" s="3" t="s">
        <v>4227</v>
      </c>
      <c r="F1805" s="3" t="s">
        <v>13</v>
      </c>
      <c r="G1805" s="3" t="str">
        <f t="shared" si="3"/>
        <v>XIIAKL1</v>
      </c>
      <c r="H1805" s="3" t="str">
        <f>VLOOKUP($C1805,Userpass!$A$2:$L$3001,12,FALSE)</f>
        <v>AKL1</v>
      </c>
      <c r="I1805" s="5" t="s">
        <v>4223</v>
      </c>
      <c r="J1805" s="3">
        <v>2023.0</v>
      </c>
      <c r="K1805" s="4" t="str">
        <f>VLOOKUP($C1805,Userpass!$A$2:$R$3001,2,FALSE)</f>
        <v>akl20238071.siswa@smkn12malang.sch.id</v>
      </c>
    </row>
    <row r="1806">
      <c r="A1806" s="3" t="str">
        <f t="shared" si="1"/>
        <v>OK</v>
      </c>
      <c r="B1806" s="3" t="str">
        <f t="shared" si="2"/>
        <v>OK</v>
      </c>
      <c r="C1806" s="3">
        <v>8081.0</v>
      </c>
      <c r="D1806" s="4" t="s">
        <v>4228</v>
      </c>
      <c r="E1806" s="3" t="s">
        <v>4229</v>
      </c>
      <c r="F1806" s="3" t="s">
        <v>13</v>
      </c>
      <c r="G1806" s="3" t="str">
        <f t="shared" si="3"/>
        <v>XIIAKL1</v>
      </c>
      <c r="H1806" s="3" t="str">
        <f>VLOOKUP($C1806,Userpass!$A$2:$L$3001,12,FALSE)</f>
        <v>AKL1</v>
      </c>
      <c r="I1806" s="5" t="s">
        <v>4223</v>
      </c>
      <c r="J1806" s="3">
        <v>2023.0</v>
      </c>
      <c r="K1806" s="4" t="str">
        <f>VLOOKUP($C1806,Userpass!$A$2:$R$3001,2,FALSE)</f>
        <v>akl20238081.siswa@smkn12malang.sch.id</v>
      </c>
    </row>
    <row r="1807">
      <c r="A1807" s="3" t="str">
        <f t="shared" si="1"/>
        <v>OK</v>
      </c>
      <c r="B1807" s="3" t="str">
        <f t="shared" si="2"/>
        <v>OK</v>
      </c>
      <c r="C1807" s="3">
        <v>8091.0</v>
      </c>
      <c r="D1807" s="4" t="s">
        <v>4230</v>
      </c>
      <c r="E1807" s="3" t="s">
        <v>4231</v>
      </c>
      <c r="F1807" s="3" t="s">
        <v>13</v>
      </c>
      <c r="G1807" s="3" t="str">
        <f t="shared" si="3"/>
        <v>XIIAKL1</v>
      </c>
      <c r="H1807" s="3" t="str">
        <f>VLOOKUP($C1807,Userpass!$A$2:$L$3001,12,FALSE)</f>
        <v>AKL1</v>
      </c>
      <c r="I1807" s="5" t="s">
        <v>4223</v>
      </c>
      <c r="J1807" s="3">
        <v>2023.0</v>
      </c>
      <c r="K1807" s="4" t="str">
        <f>VLOOKUP($C1807,Userpass!$A$2:$R$3001,2,FALSE)</f>
        <v>akl20238091.siswa@smkn12malang.sch.id</v>
      </c>
    </row>
    <row r="1808">
      <c r="A1808" s="3" t="str">
        <f t="shared" si="1"/>
        <v>OK</v>
      </c>
      <c r="B1808" s="3" t="str">
        <f t="shared" si="2"/>
        <v>OK</v>
      </c>
      <c r="C1808" s="3">
        <v>8114.0</v>
      </c>
      <c r="D1808" s="4" t="s">
        <v>4232</v>
      </c>
      <c r="E1808" s="3" t="s">
        <v>4233</v>
      </c>
      <c r="F1808" s="3" t="s">
        <v>13</v>
      </c>
      <c r="G1808" s="3" t="str">
        <f t="shared" si="3"/>
        <v>XIIAKL1</v>
      </c>
      <c r="H1808" s="3" t="str">
        <f>VLOOKUP($C1808,Userpass!$A$2:$L$3001,12,FALSE)</f>
        <v>AKL1</v>
      </c>
      <c r="I1808" s="5" t="s">
        <v>4223</v>
      </c>
      <c r="J1808" s="3">
        <v>2023.0</v>
      </c>
      <c r="K1808" s="4" t="str">
        <f>VLOOKUP($C1808,Userpass!$A$2:$R$3001,2,FALSE)</f>
        <v>akl20238114.siswa@smkn12malang.sch.id</v>
      </c>
    </row>
    <row r="1809">
      <c r="A1809" s="3" t="str">
        <f t="shared" si="1"/>
        <v>OK</v>
      </c>
      <c r="B1809" s="3" t="str">
        <f t="shared" si="2"/>
        <v>OK</v>
      </c>
      <c r="C1809" s="3">
        <v>8134.0</v>
      </c>
      <c r="D1809" s="4" t="s">
        <v>4234</v>
      </c>
      <c r="E1809" s="3" t="s">
        <v>4235</v>
      </c>
      <c r="F1809" s="3" t="s">
        <v>13</v>
      </c>
      <c r="G1809" s="3" t="str">
        <f t="shared" si="3"/>
        <v>XIIAKL1</v>
      </c>
      <c r="H1809" s="3" t="str">
        <f>VLOOKUP($C1809,Userpass!$A$2:$L$3001,12,FALSE)</f>
        <v>AKL1</v>
      </c>
      <c r="I1809" s="5" t="s">
        <v>4223</v>
      </c>
      <c r="J1809" s="3">
        <v>2023.0</v>
      </c>
      <c r="K1809" s="4" t="str">
        <f>VLOOKUP($C1809,Userpass!$A$2:$R$3001,2,FALSE)</f>
        <v>akl20238134.siswa@smkn12malang.sch.id</v>
      </c>
    </row>
    <row r="1810">
      <c r="A1810" s="3" t="str">
        <f t="shared" si="1"/>
        <v>OK</v>
      </c>
      <c r="B1810" s="3" t="str">
        <f t="shared" si="2"/>
        <v>OK</v>
      </c>
      <c r="C1810" s="3">
        <v>8153.0</v>
      </c>
      <c r="D1810" s="4" t="s">
        <v>4236</v>
      </c>
      <c r="E1810" s="3" t="s">
        <v>4237</v>
      </c>
      <c r="F1810" s="3" t="s">
        <v>13</v>
      </c>
      <c r="G1810" s="3" t="str">
        <f t="shared" si="3"/>
        <v>XIIAKL1</v>
      </c>
      <c r="H1810" s="3" t="str">
        <f>VLOOKUP($C1810,Userpass!$A$2:$L$3001,12,FALSE)</f>
        <v>AKL1</v>
      </c>
      <c r="I1810" s="5" t="s">
        <v>4223</v>
      </c>
      <c r="J1810" s="3">
        <v>2023.0</v>
      </c>
      <c r="K1810" s="4" t="str">
        <f>VLOOKUP($C1810,Userpass!$A$2:$R$3001,2,FALSE)</f>
        <v>akl20238153.siswa@smkn12malang.sch.id</v>
      </c>
    </row>
    <row r="1811">
      <c r="A1811" s="3" t="str">
        <f t="shared" si="1"/>
        <v>OK</v>
      </c>
      <c r="B1811" s="3" t="str">
        <f t="shared" si="2"/>
        <v>OK</v>
      </c>
      <c r="C1811" s="3">
        <v>8161.0</v>
      </c>
      <c r="D1811" s="4" t="s">
        <v>4238</v>
      </c>
      <c r="E1811" s="3" t="s">
        <v>4239</v>
      </c>
      <c r="F1811" s="3" t="s">
        <v>13</v>
      </c>
      <c r="G1811" s="3" t="str">
        <f t="shared" si="3"/>
        <v>XIIAKL1</v>
      </c>
      <c r="H1811" s="3" t="str">
        <f>VLOOKUP($C1811,Userpass!$A$2:$L$3001,12,FALSE)</f>
        <v>AKL1</v>
      </c>
      <c r="I1811" s="5" t="s">
        <v>4223</v>
      </c>
      <c r="J1811" s="3">
        <v>2023.0</v>
      </c>
      <c r="K1811" s="4" t="str">
        <f>VLOOKUP($C1811,Userpass!$A$2:$R$3001,2,FALSE)</f>
        <v>akl20238161.siswa@smkn12malang.sch.id</v>
      </c>
    </row>
    <row r="1812">
      <c r="A1812" s="3" t="str">
        <f t="shared" si="1"/>
        <v>OK</v>
      </c>
      <c r="B1812" s="3" t="str">
        <f t="shared" si="2"/>
        <v>OK</v>
      </c>
      <c r="C1812" s="3">
        <v>8176.0</v>
      </c>
      <c r="D1812" s="4" t="s">
        <v>4240</v>
      </c>
      <c r="E1812" s="3" t="s">
        <v>4241</v>
      </c>
      <c r="F1812" s="3" t="s">
        <v>13</v>
      </c>
      <c r="G1812" s="3" t="str">
        <f t="shared" si="3"/>
        <v>XIIAKL1</v>
      </c>
      <c r="H1812" s="3" t="str">
        <f>VLOOKUP($C1812,Userpass!$A$2:$L$3001,12,FALSE)</f>
        <v>AKL1</v>
      </c>
      <c r="I1812" s="5" t="s">
        <v>4223</v>
      </c>
      <c r="J1812" s="3">
        <v>2023.0</v>
      </c>
      <c r="K1812" s="4" t="str">
        <f>VLOOKUP($C1812,Userpass!$A$2:$R$3001,2,FALSE)</f>
        <v>akl20238176.siswa@smkn12malang.sch.id</v>
      </c>
    </row>
    <row r="1813">
      <c r="A1813" s="3" t="str">
        <f t="shared" si="1"/>
        <v>OK</v>
      </c>
      <c r="B1813" s="3" t="str">
        <f t="shared" si="2"/>
        <v>OK</v>
      </c>
      <c r="C1813" s="3">
        <v>8188.0</v>
      </c>
      <c r="D1813" s="4" t="s">
        <v>4242</v>
      </c>
      <c r="E1813" s="3" t="s">
        <v>4243</v>
      </c>
      <c r="F1813" s="3" t="s">
        <v>13</v>
      </c>
      <c r="G1813" s="3" t="str">
        <f t="shared" si="3"/>
        <v>XIIAKL1</v>
      </c>
      <c r="H1813" s="3" t="str">
        <f>VLOOKUP($C1813,Userpass!$A$2:$L$3001,12,FALSE)</f>
        <v>AKL1</v>
      </c>
      <c r="I1813" s="5" t="s">
        <v>4223</v>
      </c>
      <c r="J1813" s="3">
        <v>2023.0</v>
      </c>
      <c r="K1813" s="4" t="str">
        <f>VLOOKUP($C1813,Userpass!$A$2:$R$3001,2,FALSE)</f>
        <v>akl20238188.siswa@smkn12malang.sch.id</v>
      </c>
    </row>
    <row r="1814">
      <c r="A1814" s="3" t="str">
        <f t="shared" si="1"/>
        <v>OK</v>
      </c>
      <c r="B1814" s="3" t="str">
        <f t="shared" si="2"/>
        <v>OK</v>
      </c>
      <c r="C1814" s="3">
        <v>8207.0</v>
      </c>
      <c r="D1814" s="4" t="s">
        <v>4244</v>
      </c>
      <c r="E1814" s="3" t="s">
        <v>4245</v>
      </c>
      <c r="F1814" s="3" t="s">
        <v>13</v>
      </c>
      <c r="G1814" s="3" t="str">
        <f t="shared" si="3"/>
        <v>XIIAKL1</v>
      </c>
      <c r="H1814" s="3" t="str">
        <f>VLOOKUP($C1814,Userpass!$A$2:$L$3001,12,FALSE)</f>
        <v>AKL1</v>
      </c>
      <c r="I1814" s="5" t="s">
        <v>4223</v>
      </c>
      <c r="J1814" s="3">
        <v>2023.0</v>
      </c>
      <c r="K1814" s="4" t="str">
        <f>VLOOKUP($C1814,Userpass!$A$2:$R$3001,2,FALSE)</f>
        <v>akl20238207.siswa@smkn12malang.sch.id</v>
      </c>
    </row>
    <row r="1815">
      <c r="A1815" s="3" t="str">
        <f t="shared" si="1"/>
        <v>OK</v>
      </c>
      <c r="B1815" s="3" t="str">
        <f t="shared" si="2"/>
        <v>OK</v>
      </c>
      <c r="C1815" s="3">
        <v>8217.0</v>
      </c>
      <c r="D1815" s="4" t="s">
        <v>4246</v>
      </c>
      <c r="E1815" s="3" t="s">
        <v>4247</v>
      </c>
      <c r="F1815" s="3" t="s">
        <v>13</v>
      </c>
      <c r="G1815" s="3" t="str">
        <f t="shared" si="3"/>
        <v>XIIAKL1</v>
      </c>
      <c r="H1815" s="3" t="str">
        <f>VLOOKUP($C1815,Userpass!$A$2:$L$3001,12,FALSE)</f>
        <v>AKL1</v>
      </c>
      <c r="I1815" s="5" t="s">
        <v>4223</v>
      </c>
      <c r="J1815" s="3">
        <v>2023.0</v>
      </c>
      <c r="K1815" s="4" t="str">
        <f>VLOOKUP($C1815,Userpass!$A$2:$R$3001,2,FALSE)</f>
        <v>akl20238217.siswa@smkn12malang.sch.id</v>
      </c>
    </row>
    <row r="1816">
      <c r="A1816" s="3" t="str">
        <f t="shared" si="1"/>
        <v>OK</v>
      </c>
      <c r="B1816" s="3" t="str">
        <f t="shared" si="2"/>
        <v>OK</v>
      </c>
      <c r="C1816" s="3">
        <v>8247.0</v>
      </c>
      <c r="D1816" s="4" t="s">
        <v>4248</v>
      </c>
      <c r="E1816" s="3" t="s">
        <v>4249</v>
      </c>
      <c r="F1816" s="3" t="s">
        <v>13</v>
      </c>
      <c r="G1816" s="3" t="str">
        <f t="shared" si="3"/>
        <v>XIIAKL1</v>
      </c>
      <c r="H1816" s="3" t="str">
        <f>VLOOKUP($C1816,Userpass!$A$2:$L$3001,12,FALSE)</f>
        <v>AKL1</v>
      </c>
      <c r="I1816" s="5" t="s">
        <v>4223</v>
      </c>
      <c r="J1816" s="3">
        <v>2023.0</v>
      </c>
      <c r="K1816" s="4" t="str">
        <f>VLOOKUP($C1816,Userpass!$A$2:$R$3001,2,FALSE)</f>
        <v>akl20238247.siswa@smkn12malang.sch.id</v>
      </c>
    </row>
    <row r="1817">
      <c r="A1817" s="3" t="str">
        <f t="shared" si="1"/>
        <v>OK</v>
      </c>
      <c r="B1817" s="3" t="str">
        <f t="shared" si="2"/>
        <v>OK</v>
      </c>
      <c r="C1817" s="3">
        <v>8253.0</v>
      </c>
      <c r="D1817" s="4" t="s">
        <v>4250</v>
      </c>
      <c r="E1817" s="3" t="s">
        <v>4251</v>
      </c>
      <c r="F1817" s="3" t="s">
        <v>13</v>
      </c>
      <c r="G1817" s="3" t="str">
        <f t="shared" si="3"/>
        <v>XIIAKL1</v>
      </c>
      <c r="H1817" s="3" t="str">
        <f>VLOOKUP($C1817,Userpass!$A$2:$L$3001,12,FALSE)</f>
        <v>AKL1</v>
      </c>
      <c r="I1817" s="5" t="s">
        <v>4223</v>
      </c>
      <c r="J1817" s="3">
        <v>2023.0</v>
      </c>
      <c r="K1817" s="4" t="str">
        <f>VLOOKUP($C1817,Userpass!$A$2:$R$3001,2,FALSE)</f>
        <v>akl20238253.siswa@smkn12malang.sch.id</v>
      </c>
    </row>
    <row r="1818">
      <c r="A1818" s="3" t="str">
        <f t="shared" si="1"/>
        <v>OK</v>
      </c>
      <c r="B1818" s="3" t="str">
        <f t="shared" si="2"/>
        <v>OK</v>
      </c>
      <c r="C1818" s="3">
        <v>8268.0</v>
      </c>
      <c r="D1818" s="4" t="s">
        <v>4252</v>
      </c>
      <c r="E1818" s="3" t="s">
        <v>4253</v>
      </c>
      <c r="F1818" s="3" t="s">
        <v>13</v>
      </c>
      <c r="G1818" s="3" t="str">
        <f t="shared" si="3"/>
        <v>XIIAKL1</v>
      </c>
      <c r="H1818" s="3" t="str">
        <f>VLOOKUP($C1818,Userpass!$A$2:$L$3001,12,FALSE)</f>
        <v>AKL1</v>
      </c>
      <c r="I1818" s="5" t="s">
        <v>4223</v>
      </c>
      <c r="J1818" s="3">
        <v>2023.0</v>
      </c>
      <c r="K1818" s="4" t="str">
        <f>VLOOKUP($C1818,Userpass!$A$2:$R$3001,2,FALSE)</f>
        <v>akl20238268.siswa@smkn12malang.sch.id</v>
      </c>
    </row>
    <row r="1819">
      <c r="A1819" s="3" t="str">
        <f t="shared" si="1"/>
        <v>OK</v>
      </c>
      <c r="B1819" s="3" t="str">
        <f t="shared" si="2"/>
        <v>OK</v>
      </c>
      <c r="C1819" s="3">
        <v>8287.0</v>
      </c>
      <c r="D1819" s="4" t="s">
        <v>4254</v>
      </c>
      <c r="E1819" s="3" t="s">
        <v>4255</v>
      </c>
      <c r="F1819" s="3" t="s">
        <v>13</v>
      </c>
      <c r="G1819" s="3" t="str">
        <f t="shared" si="3"/>
        <v>XIIAKL1</v>
      </c>
      <c r="H1819" s="3" t="str">
        <f>VLOOKUP($C1819,Userpass!$A$2:$L$3001,12,FALSE)</f>
        <v>AKL1</v>
      </c>
      <c r="I1819" s="5" t="s">
        <v>4223</v>
      </c>
      <c r="J1819" s="3">
        <v>2023.0</v>
      </c>
      <c r="K1819" s="4" t="str">
        <f>VLOOKUP($C1819,Userpass!$A$2:$R$3001,2,FALSE)</f>
        <v>akl20238287.siswa@smkn12malang.sch.id</v>
      </c>
    </row>
    <row r="1820">
      <c r="A1820" s="3" t="str">
        <f t="shared" si="1"/>
        <v>OK</v>
      </c>
      <c r="B1820" s="3" t="str">
        <f t="shared" si="2"/>
        <v>OK</v>
      </c>
      <c r="C1820" s="3">
        <v>8299.0</v>
      </c>
      <c r="D1820" s="4" t="s">
        <v>4256</v>
      </c>
      <c r="E1820" s="3" t="s">
        <v>4257</v>
      </c>
      <c r="F1820" s="3" t="s">
        <v>13</v>
      </c>
      <c r="G1820" s="3" t="str">
        <f t="shared" si="3"/>
        <v>XIIAKL1</v>
      </c>
      <c r="H1820" s="3" t="str">
        <f>VLOOKUP($C1820,Userpass!$A$2:$L$3001,12,FALSE)</f>
        <v>AKL1</v>
      </c>
      <c r="I1820" s="5" t="s">
        <v>4223</v>
      </c>
      <c r="J1820" s="3">
        <v>2023.0</v>
      </c>
      <c r="K1820" s="4" t="str">
        <f>VLOOKUP($C1820,Userpass!$A$2:$R$3001,2,FALSE)</f>
        <v>akl20238299.siswa@smkn12malang.sch.id</v>
      </c>
    </row>
    <row r="1821">
      <c r="A1821" s="3" t="str">
        <f t="shared" si="1"/>
        <v>OK</v>
      </c>
      <c r="B1821" s="3" t="str">
        <f t="shared" si="2"/>
        <v>OK</v>
      </c>
      <c r="C1821" s="3">
        <v>8310.0</v>
      </c>
      <c r="D1821" s="4" t="s">
        <v>4258</v>
      </c>
      <c r="E1821" s="3" t="s">
        <v>4259</v>
      </c>
      <c r="F1821" s="3" t="s">
        <v>13</v>
      </c>
      <c r="G1821" s="3" t="str">
        <f t="shared" si="3"/>
        <v>XIIAKL1</v>
      </c>
      <c r="H1821" s="3" t="str">
        <f>VLOOKUP($C1821,Userpass!$A$2:$L$3001,12,FALSE)</f>
        <v>AKL1</v>
      </c>
      <c r="I1821" s="5" t="s">
        <v>4223</v>
      </c>
      <c r="J1821" s="3">
        <v>2023.0</v>
      </c>
      <c r="K1821" s="4" t="str">
        <f>VLOOKUP($C1821,Userpass!$A$2:$R$3001,2,FALSE)</f>
        <v>akl20238310.siswa@smkn12malang.sch.id</v>
      </c>
    </row>
    <row r="1822">
      <c r="A1822" s="3" t="str">
        <f t="shared" si="1"/>
        <v>OK</v>
      </c>
      <c r="B1822" s="3" t="str">
        <f t="shared" si="2"/>
        <v>OK</v>
      </c>
      <c r="C1822" s="3">
        <v>8318.0</v>
      </c>
      <c r="D1822" s="4" t="s">
        <v>4260</v>
      </c>
      <c r="E1822" s="3" t="s">
        <v>4261</v>
      </c>
      <c r="F1822" s="3" t="s">
        <v>13</v>
      </c>
      <c r="G1822" s="3" t="str">
        <f t="shared" si="3"/>
        <v>XIIAKL1</v>
      </c>
      <c r="H1822" s="3" t="str">
        <f>VLOOKUP($C1822,Userpass!$A$2:$L$3001,12,FALSE)</f>
        <v>AKL1</v>
      </c>
      <c r="I1822" s="5" t="s">
        <v>4223</v>
      </c>
      <c r="J1822" s="3">
        <v>2023.0</v>
      </c>
      <c r="K1822" s="4" t="str">
        <f>VLOOKUP($C1822,Userpass!$A$2:$R$3001,2,FALSE)</f>
        <v>akl20238318.siswa@smkn12malang.sch.id</v>
      </c>
    </row>
    <row r="1823">
      <c r="A1823" s="3" t="str">
        <f t="shared" si="1"/>
        <v>OK</v>
      </c>
      <c r="B1823" s="3" t="str">
        <f t="shared" si="2"/>
        <v>OK</v>
      </c>
      <c r="C1823" s="3">
        <v>8339.0</v>
      </c>
      <c r="D1823" s="4" t="s">
        <v>4262</v>
      </c>
      <c r="E1823" s="3" t="s">
        <v>4263</v>
      </c>
      <c r="F1823" s="3" t="s">
        <v>13</v>
      </c>
      <c r="G1823" s="3" t="str">
        <f t="shared" si="3"/>
        <v>XIIAKL1</v>
      </c>
      <c r="H1823" s="3" t="str">
        <f>VLOOKUP($C1823,Userpass!$A$2:$L$3001,12,FALSE)</f>
        <v>AKL1</v>
      </c>
      <c r="I1823" s="5" t="s">
        <v>4223</v>
      </c>
      <c r="J1823" s="3">
        <v>2023.0</v>
      </c>
      <c r="K1823" s="4" t="str">
        <f>VLOOKUP($C1823,Userpass!$A$2:$R$3001,2,FALSE)</f>
        <v>akl20238339.siswa@smkn12malang.sch.id</v>
      </c>
    </row>
    <row r="1824">
      <c r="A1824" s="3" t="str">
        <f t="shared" si="1"/>
        <v>OK</v>
      </c>
      <c r="B1824" s="3" t="str">
        <f t="shared" si="2"/>
        <v>OK</v>
      </c>
      <c r="C1824" s="3">
        <v>8386.0</v>
      </c>
      <c r="D1824" s="4" t="s">
        <v>4264</v>
      </c>
      <c r="E1824" s="3" t="s">
        <v>4265</v>
      </c>
      <c r="F1824" s="3" t="s">
        <v>13</v>
      </c>
      <c r="G1824" s="3" t="str">
        <f t="shared" si="3"/>
        <v>XIIAKL1</v>
      </c>
      <c r="H1824" s="3" t="str">
        <f>VLOOKUP($C1824,Userpass!$A$2:$L$3001,12,FALSE)</f>
        <v>AKL1</v>
      </c>
      <c r="I1824" s="5" t="s">
        <v>4223</v>
      </c>
      <c r="J1824" s="3">
        <v>2023.0</v>
      </c>
      <c r="K1824" s="4" t="str">
        <f>VLOOKUP($C1824,Userpass!$A$2:$R$3001,2,FALSE)</f>
        <v>akl20238386.siswa@smkn12malang.sch.id</v>
      </c>
    </row>
    <row r="1825">
      <c r="A1825" s="3" t="str">
        <f t="shared" si="1"/>
        <v>OK</v>
      </c>
      <c r="B1825" s="3" t="str">
        <f t="shared" si="2"/>
        <v>OK</v>
      </c>
      <c r="C1825" s="3">
        <v>8441.0</v>
      </c>
      <c r="D1825" s="4" t="s">
        <v>4266</v>
      </c>
      <c r="E1825" s="3" t="s">
        <v>4267</v>
      </c>
      <c r="F1825" s="3" t="s">
        <v>13</v>
      </c>
      <c r="G1825" s="3" t="str">
        <f t="shared" si="3"/>
        <v>XIIAKL1</v>
      </c>
      <c r="H1825" s="3" t="str">
        <f>VLOOKUP($C1825,Userpass!$A$2:$L$3001,12,FALSE)</f>
        <v>AKL1</v>
      </c>
      <c r="I1825" s="5" t="s">
        <v>4223</v>
      </c>
      <c r="J1825" s="3">
        <v>2023.0</v>
      </c>
      <c r="K1825" s="4" t="str">
        <f>VLOOKUP($C1825,Userpass!$A$2:$R$3001,2,FALSE)</f>
        <v>akl20238441.siswa@smkn12malang.sch.id</v>
      </c>
    </row>
    <row r="1826">
      <c r="A1826" s="3" t="str">
        <f t="shared" si="1"/>
        <v>OK</v>
      </c>
      <c r="B1826" s="3" t="str">
        <f t="shared" si="2"/>
        <v>OK</v>
      </c>
      <c r="C1826" s="3">
        <v>8447.0</v>
      </c>
      <c r="D1826" s="4" t="s">
        <v>4268</v>
      </c>
      <c r="E1826" s="3" t="s">
        <v>4269</v>
      </c>
      <c r="F1826" s="3" t="s">
        <v>13</v>
      </c>
      <c r="G1826" s="3" t="str">
        <f t="shared" si="3"/>
        <v>XIIAKL1</v>
      </c>
      <c r="H1826" s="3" t="str">
        <f>VLOOKUP($C1826,Userpass!$A$2:$L$3001,12,FALSE)</f>
        <v>AKL1</v>
      </c>
      <c r="I1826" s="5" t="s">
        <v>4223</v>
      </c>
      <c r="J1826" s="3">
        <v>2023.0</v>
      </c>
      <c r="K1826" s="4" t="str">
        <f>VLOOKUP($C1826,Userpass!$A$2:$R$3001,2,FALSE)</f>
        <v>akl20238447.siswa@smkn12malang.sch.id</v>
      </c>
    </row>
    <row r="1827">
      <c r="A1827" s="3" t="str">
        <f t="shared" si="1"/>
        <v>OK</v>
      </c>
      <c r="B1827" s="3" t="str">
        <f t="shared" si="2"/>
        <v>OK</v>
      </c>
      <c r="C1827" s="3">
        <v>8454.0</v>
      </c>
      <c r="D1827" s="4" t="s">
        <v>4270</v>
      </c>
      <c r="E1827" s="3" t="s">
        <v>4271</v>
      </c>
      <c r="F1827" s="3" t="s">
        <v>13</v>
      </c>
      <c r="G1827" s="3" t="str">
        <f t="shared" si="3"/>
        <v>XIIAKL1</v>
      </c>
      <c r="H1827" s="3" t="str">
        <f>VLOOKUP($C1827,Userpass!$A$2:$L$3001,12,FALSE)</f>
        <v>AKL1</v>
      </c>
      <c r="I1827" s="5" t="s">
        <v>4223</v>
      </c>
      <c r="J1827" s="3">
        <v>2023.0</v>
      </c>
      <c r="K1827" s="4" t="str">
        <f>VLOOKUP($C1827,Userpass!$A$2:$R$3001,2,FALSE)</f>
        <v>akl20238454.siswa@smkn12malang.sch.id</v>
      </c>
    </row>
    <row r="1828">
      <c r="A1828" s="3" t="str">
        <f t="shared" si="1"/>
        <v>OK</v>
      </c>
      <c r="B1828" s="3" t="str">
        <f t="shared" si="2"/>
        <v>OK</v>
      </c>
      <c r="C1828" s="3">
        <v>8461.0</v>
      </c>
      <c r="D1828" s="4" t="s">
        <v>4272</v>
      </c>
      <c r="E1828" s="3" t="s">
        <v>4273</v>
      </c>
      <c r="F1828" s="3" t="s">
        <v>13</v>
      </c>
      <c r="G1828" s="3" t="str">
        <f t="shared" si="3"/>
        <v>XIIAKL1</v>
      </c>
      <c r="H1828" s="3" t="str">
        <f>VLOOKUP($C1828,Userpass!$A$2:$L$3001,12,FALSE)</f>
        <v>AKL1</v>
      </c>
      <c r="I1828" s="5" t="s">
        <v>4223</v>
      </c>
      <c r="J1828" s="3">
        <v>2023.0</v>
      </c>
      <c r="K1828" s="4" t="str">
        <f>VLOOKUP($C1828,Userpass!$A$2:$R$3001,2,FALSE)</f>
        <v>akl20238461.siswa@smkn12malang.sch.id</v>
      </c>
    </row>
    <row r="1829">
      <c r="A1829" s="3" t="str">
        <f t="shared" si="1"/>
        <v>OK</v>
      </c>
      <c r="B1829" s="3" t="str">
        <f t="shared" si="2"/>
        <v>OK</v>
      </c>
      <c r="C1829" s="3">
        <v>8479.0</v>
      </c>
      <c r="D1829" s="4" t="s">
        <v>4274</v>
      </c>
      <c r="E1829" s="3" t="s">
        <v>4275</v>
      </c>
      <c r="F1829" s="3" t="s">
        <v>13</v>
      </c>
      <c r="G1829" s="3" t="str">
        <f t="shared" si="3"/>
        <v>XIIAKL1</v>
      </c>
      <c r="H1829" s="3" t="str">
        <f>VLOOKUP($C1829,Userpass!$A$2:$L$3001,12,FALSE)</f>
        <v>AKL1</v>
      </c>
      <c r="I1829" s="5" t="s">
        <v>4223</v>
      </c>
      <c r="J1829" s="3">
        <v>2023.0</v>
      </c>
      <c r="K1829" s="4" t="str">
        <f>VLOOKUP($C1829,Userpass!$A$2:$R$3001,2,FALSE)</f>
        <v>akl20238479.siswa@smkn12malang.sch.id</v>
      </c>
    </row>
    <row r="1830">
      <c r="A1830" s="3" t="str">
        <f t="shared" si="1"/>
        <v>OK</v>
      </c>
      <c r="B1830" s="3" t="str">
        <f t="shared" si="2"/>
        <v>OK</v>
      </c>
      <c r="C1830" s="3">
        <v>8506.0</v>
      </c>
      <c r="D1830" s="4" t="s">
        <v>4276</v>
      </c>
      <c r="E1830" s="3" t="s">
        <v>4277</v>
      </c>
      <c r="F1830" s="3" t="s">
        <v>17</v>
      </c>
      <c r="G1830" s="3" t="str">
        <f t="shared" si="3"/>
        <v>XIIAKL1</v>
      </c>
      <c r="H1830" s="3" t="str">
        <f>VLOOKUP($C1830,Userpass!$A$2:$L$3001,12,FALSE)</f>
        <v>AKL1</v>
      </c>
      <c r="I1830" s="5" t="s">
        <v>4223</v>
      </c>
      <c r="J1830" s="3">
        <v>2023.0</v>
      </c>
      <c r="K1830" s="4" t="str">
        <f>VLOOKUP($C1830,Userpass!$A$2:$R$3001,2,FALSE)</f>
        <v>akl20238506.siswa@smkn12malang.sch.id</v>
      </c>
    </row>
    <row r="1831">
      <c r="A1831" s="3" t="str">
        <f t="shared" si="1"/>
        <v>OK</v>
      </c>
      <c r="B1831" s="3" t="str">
        <f t="shared" si="2"/>
        <v>OK</v>
      </c>
      <c r="C1831" s="3">
        <v>8521.0</v>
      </c>
      <c r="D1831" s="4" t="s">
        <v>4278</v>
      </c>
      <c r="E1831" s="3" t="s">
        <v>4279</v>
      </c>
      <c r="F1831" s="3" t="s">
        <v>13</v>
      </c>
      <c r="G1831" s="3" t="str">
        <f t="shared" si="3"/>
        <v>XIIAKL1</v>
      </c>
      <c r="H1831" s="3" t="str">
        <f>VLOOKUP($C1831,Userpass!$A$2:$L$3001,12,FALSE)</f>
        <v>AKL1</v>
      </c>
      <c r="I1831" s="5" t="s">
        <v>4223</v>
      </c>
      <c r="J1831" s="3">
        <v>2023.0</v>
      </c>
      <c r="K1831" s="4" t="str">
        <f>VLOOKUP($C1831,Userpass!$A$2:$R$3001,2,FALSE)</f>
        <v>akl20238521.siswa@smkn12malang.sch.id</v>
      </c>
    </row>
    <row r="1832">
      <c r="A1832" s="3" t="str">
        <f t="shared" si="1"/>
        <v>OK</v>
      </c>
      <c r="B1832" s="3" t="str">
        <f t="shared" si="2"/>
        <v>OK</v>
      </c>
      <c r="C1832" s="3">
        <v>8532.0</v>
      </c>
      <c r="D1832" s="4" t="s">
        <v>4280</v>
      </c>
      <c r="E1832" s="3" t="s">
        <v>4281</v>
      </c>
      <c r="F1832" s="3" t="s">
        <v>13</v>
      </c>
      <c r="G1832" s="3" t="str">
        <f t="shared" si="3"/>
        <v>XIIAKL1</v>
      </c>
      <c r="H1832" s="3" t="str">
        <f>VLOOKUP($C1832,Userpass!$A$2:$L$3001,12,FALSE)</f>
        <v>AKL1</v>
      </c>
      <c r="I1832" s="5" t="s">
        <v>4223</v>
      </c>
      <c r="J1832" s="3">
        <v>2023.0</v>
      </c>
      <c r="K1832" s="4" t="str">
        <f>VLOOKUP($C1832,Userpass!$A$2:$R$3001,2,FALSE)</f>
        <v>akl20238532.siswa@smkn12malang.sch.id</v>
      </c>
    </row>
    <row r="1833">
      <c r="A1833" s="3" t="str">
        <f t="shared" si="1"/>
        <v>OK</v>
      </c>
      <c r="B1833" s="3" t="str">
        <f t="shared" si="2"/>
        <v>OK</v>
      </c>
      <c r="C1833" s="3">
        <v>8550.0</v>
      </c>
      <c r="D1833" s="4" t="s">
        <v>4282</v>
      </c>
      <c r="E1833" s="3" t="s">
        <v>4283</v>
      </c>
      <c r="F1833" s="3" t="s">
        <v>13</v>
      </c>
      <c r="G1833" s="3" t="str">
        <f t="shared" si="3"/>
        <v>XIIAKL1</v>
      </c>
      <c r="H1833" s="3" t="str">
        <f>VLOOKUP($C1833,Userpass!$A$2:$L$3001,12,FALSE)</f>
        <v>AKL1</v>
      </c>
      <c r="I1833" s="5" t="s">
        <v>4223</v>
      </c>
      <c r="J1833" s="3">
        <v>2023.0</v>
      </c>
      <c r="K1833" s="4" t="str">
        <f>VLOOKUP($C1833,Userpass!$A$2:$R$3001,2,FALSE)</f>
        <v>akl20238550.siswa@smkn12malang.sch.id</v>
      </c>
    </row>
    <row r="1834">
      <c r="A1834" s="3" t="str">
        <f t="shared" si="1"/>
        <v>OK</v>
      </c>
      <c r="B1834" s="3" t="str">
        <f t="shared" si="2"/>
        <v>OK</v>
      </c>
      <c r="C1834" s="3">
        <v>8553.0</v>
      </c>
      <c r="D1834" s="4" t="s">
        <v>4284</v>
      </c>
      <c r="E1834" s="3" t="s">
        <v>4285</v>
      </c>
      <c r="F1834" s="3" t="s">
        <v>13</v>
      </c>
      <c r="G1834" s="3" t="str">
        <f t="shared" si="3"/>
        <v>XIIAKL1</v>
      </c>
      <c r="H1834" s="3" t="str">
        <f>VLOOKUP($C1834,Userpass!$A$2:$L$3001,12,FALSE)</f>
        <v>AKL1</v>
      </c>
      <c r="I1834" s="5" t="s">
        <v>4223</v>
      </c>
      <c r="J1834" s="3">
        <v>2023.0</v>
      </c>
      <c r="K1834" s="4" t="str">
        <f>VLOOKUP($C1834,Userpass!$A$2:$R$3001,2,FALSE)</f>
        <v>akl20238553.siswa@smkn12malang.sch.id</v>
      </c>
    </row>
    <row r="1835">
      <c r="A1835" s="3" t="str">
        <f t="shared" si="1"/>
        <v>OK</v>
      </c>
      <c r="B1835" s="3" t="str">
        <f t="shared" si="2"/>
        <v>OK</v>
      </c>
      <c r="C1835" s="3">
        <v>8564.0</v>
      </c>
      <c r="D1835" s="4" t="s">
        <v>4286</v>
      </c>
      <c r="E1835" s="3" t="s">
        <v>4287</v>
      </c>
      <c r="F1835" s="3" t="s">
        <v>13</v>
      </c>
      <c r="G1835" s="3" t="str">
        <f t="shared" si="3"/>
        <v>XIIAKL1</v>
      </c>
      <c r="H1835" s="3" t="str">
        <f>VLOOKUP($C1835,Userpass!$A$2:$L$3001,12,FALSE)</f>
        <v>AKL1</v>
      </c>
      <c r="I1835" s="5" t="s">
        <v>4223</v>
      </c>
      <c r="J1835" s="3">
        <v>2023.0</v>
      </c>
      <c r="K1835" s="4" t="str">
        <f>VLOOKUP($C1835,Userpass!$A$2:$R$3001,2,FALSE)</f>
        <v>akl20238564.siswa@smkn12malang.sch.id</v>
      </c>
    </row>
    <row r="1836">
      <c r="A1836" s="3" t="str">
        <f t="shared" si="1"/>
        <v>OK</v>
      </c>
      <c r="B1836" s="3" t="str">
        <f t="shared" si="2"/>
        <v>OK</v>
      </c>
      <c r="C1836" s="3">
        <v>8574.0</v>
      </c>
      <c r="D1836" s="4" t="s">
        <v>4288</v>
      </c>
      <c r="E1836" s="3" t="s">
        <v>4289</v>
      </c>
      <c r="F1836" s="3" t="s">
        <v>13</v>
      </c>
      <c r="G1836" s="3" t="str">
        <f t="shared" si="3"/>
        <v>XIIAKL1</v>
      </c>
      <c r="H1836" s="3" t="str">
        <f>VLOOKUP($C1836,Userpass!$A$2:$L$3001,12,FALSE)</f>
        <v>AKL1</v>
      </c>
      <c r="I1836" s="5" t="s">
        <v>4223</v>
      </c>
      <c r="J1836" s="3">
        <v>2023.0</v>
      </c>
      <c r="K1836" s="4" t="str">
        <f>VLOOKUP($C1836,Userpass!$A$2:$R$3001,2,FALSE)</f>
        <v>akl20238574.siswa@smkn12malang.sch.id</v>
      </c>
    </row>
    <row r="1837">
      <c r="A1837" s="3" t="str">
        <f t="shared" si="1"/>
        <v>OK</v>
      </c>
      <c r="B1837" s="3" t="str">
        <f t="shared" si="2"/>
        <v>OK</v>
      </c>
      <c r="C1837" s="3">
        <v>8590.0</v>
      </c>
      <c r="D1837" s="4" t="s">
        <v>4290</v>
      </c>
      <c r="E1837" s="3" t="s">
        <v>4291</v>
      </c>
      <c r="F1837" s="3" t="s">
        <v>17</v>
      </c>
      <c r="G1837" s="3" t="str">
        <f t="shared" si="3"/>
        <v>XIIAKL1</v>
      </c>
      <c r="H1837" s="3" t="str">
        <f>VLOOKUP($C1837,Userpass!$A$2:$L$3001,12,FALSE)</f>
        <v>AKL1</v>
      </c>
      <c r="I1837" s="5" t="s">
        <v>4223</v>
      </c>
      <c r="J1837" s="3">
        <v>2023.0</v>
      </c>
      <c r="K1837" s="4" t="str">
        <f>VLOOKUP($C1837,Userpass!$A$2:$R$3001,2,FALSE)</f>
        <v>akl20238590.siswa@smkn12malang.sch.id</v>
      </c>
    </row>
    <row r="1838">
      <c r="A1838" s="3" t="str">
        <f t="shared" si="1"/>
        <v>OK</v>
      </c>
      <c r="B1838" s="3" t="str">
        <f t="shared" si="2"/>
        <v>OK</v>
      </c>
      <c r="C1838" s="3">
        <v>8616.0</v>
      </c>
      <c r="D1838" s="4" t="s">
        <v>4292</v>
      </c>
      <c r="E1838" s="3" t="s">
        <v>4293</v>
      </c>
      <c r="F1838" s="3" t="s">
        <v>13</v>
      </c>
      <c r="G1838" s="3" t="str">
        <f t="shared" si="3"/>
        <v>XIIAKL1</v>
      </c>
      <c r="H1838" s="3" t="str">
        <f>VLOOKUP($C1838,Userpass!$A$2:$L$3001,12,FALSE)</f>
        <v>AKL1</v>
      </c>
      <c r="I1838" s="5" t="s">
        <v>4223</v>
      </c>
      <c r="J1838" s="3">
        <v>2023.0</v>
      </c>
      <c r="K1838" s="4" t="str">
        <f>VLOOKUP($C1838,Userpass!$A$2:$R$3001,2,FALSE)</f>
        <v>akl20238616.siswa@smkn12malang.sch.id</v>
      </c>
    </row>
    <row r="1839">
      <c r="A1839" s="3" t="str">
        <f t="shared" si="1"/>
        <v>OK</v>
      </c>
      <c r="B1839" s="3" t="str">
        <f t="shared" si="2"/>
        <v>OK</v>
      </c>
      <c r="C1839" s="3">
        <v>8033.0</v>
      </c>
      <c r="D1839" s="4" t="s">
        <v>4294</v>
      </c>
      <c r="E1839" s="3" t="s">
        <v>4295</v>
      </c>
      <c r="F1839" s="3" t="s">
        <v>13</v>
      </c>
      <c r="G1839" s="3" t="str">
        <f t="shared" si="3"/>
        <v>XIIAKL2</v>
      </c>
      <c r="H1839" s="3" t="str">
        <f>VLOOKUP($C1839,Userpass!$A$2:$L$3001,12,FALSE)</f>
        <v>AKL2</v>
      </c>
      <c r="I1839" s="5" t="s">
        <v>4223</v>
      </c>
      <c r="J1839" s="3">
        <v>2023.0</v>
      </c>
      <c r="K1839" s="4" t="str">
        <f>VLOOKUP($C1839,Userpass!$A$2:$R$3001,2,FALSE)</f>
        <v>akl20238033.siswa@smkn12malang.sch.id</v>
      </c>
    </row>
    <row r="1840">
      <c r="A1840" s="3" t="str">
        <f t="shared" si="1"/>
        <v>OK</v>
      </c>
      <c r="B1840" s="3" t="str">
        <f t="shared" si="2"/>
        <v>OK</v>
      </c>
      <c r="C1840" s="3">
        <v>8076.0</v>
      </c>
      <c r="D1840" s="4" t="s">
        <v>4296</v>
      </c>
      <c r="E1840" s="3" t="s">
        <v>4297</v>
      </c>
      <c r="F1840" s="3" t="s">
        <v>13</v>
      </c>
      <c r="G1840" s="3" t="str">
        <f t="shared" si="3"/>
        <v>XIIAKL2</v>
      </c>
      <c r="H1840" s="3" t="str">
        <f>VLOOKUP($C1840,Userpass!$A$2:$L$3001,12,FALSE)</f>
        <v>AKL2</v>
      </c>
      <c r="I1840" s="5" t="s">
        <v>4223</v>
      </c>
      <c r="J1840" s="3">
        <v>2023.0</v>
      </c>
      <c r="K1840" s="4" t="str">
        <f>VLOOKUP($C1840,Userpass!$A$2:$R$3001,2,FALSE)</f>
        <v>akl20238076.siswa@smkn12malang.sch.id</v>
      </c>
    </row>
    <row r="1841">
      <c r="A1841" s="3" t="str">
        <f t="shared" si="1"/>
        <v>OK</v>
      </c>
      <c r="B1841" s="3" t="str">
        <f t="shared" si="2"/>
        <v>OK</v>
      </c>
      <c r="C1841" s="3">
        <v>8082.0</v>
      </c>
      <c r="D1841" s="4" t="s">
        <v>4298</v>
      </c>
      <c r="E1841" s="3" t="s">
        <v>4299</v>
      </c>
      <c r="F1841" s="3" t="s">
        <v>13</v>
      </c>
      <c r="G1841" s="3" t="str">
        <f t="shared" si="3"/>
        <v>XIIAKL2</v>
      </c>
      <c r="H1841" s="3" t="str">
        <f>VLOOKUP($C1841,Userpass!$A$2:$L$3001,12,FALSE)</f>
        <v>AKL2</v>
      </c>
      <c r="I1841" s="5" t="s">
        <v>4223</v>
      </c>
      <c r="J1841" s="3">
        <v>2023.0</v>
      </c>
      <c r="K1841" s="4" t="str">
        <f>VLOOKUP($C1841,Userpass!$A$2:$R$3001,2,FALSE)</f>
        <v>akl20238082.siswa@smkn12malang.sch.id</v>
      </c>
    </row>
    <row r="1842">
      <c r="A1842" s="3" t="str">
        <f t="shared" si="1"/>
        <v>OK</v>
      </c>
      <c r="B1842" s="3" t="str">
        <f t="shared" si="2"/>
        <v>OK</v>
      </c>
      <c r="C1842" s="3">
        <v>8097.0</v>
      </c>
      <c r="D1842" s="4" t="s">
        <v>4300</v>
      </c>
      <c r="E1842" s="3" t="s">
        <v>4301</v>
      </c>
      <c r="F1842" s="3" t="s">
        <v>13</v>
      </c>
      <c r="G1842" s="3" t="str">
        <f t="shared" si="3"/>
        <v>XIIAKL2</v>
      </c>
      <c r="H1842" s="3" t="str">
        <f>VLOOKUP($C1842,Userpass!$A$2:$L$3001,12,FALSE)</f>
        <v>AKL2</v>
      </c>
      <c r="I1842" s="5" t="s">
        <v>4223</v>
      </c>
      <c r="J1842" s="3">
        <v>2023.0</v>
      </c>
      <c r="K1842" s="4" t="str">
        <f>VLOOKUP($C1842,Userpass!$A$2:$R$3001,2,FALSE)</f>
        <v>akl20238097.siswa@smkn12malang.sch.id</v>
      </c>
    </row>
    <row r="1843">
      <c r="A1843" s="3" t="str">
        <f t="shared" si="1"/>
        <v>OK</v>
      </c>
      <c r="B1843" s="3" t="str">
        <f t="shared" si="2"/>
        <v>OK</v>
      </c>
      <c r="C1843" s="3">
        <v>8102.0</v>
      </c>
      <c r="D1843" s="4" t="s">
        <v>4302</v>
      </c>
      <c r="E1843" s="3" t="s">
        <v>4303</v>
      </c>
      <c r="F1843" s="3" t="s">
        <v>13</v>
      </c>
      <c r="G1843" s="3" t="str">
        <f t="shared" si="3"/>
        <v>XIIAKL2</v>
      </c>
      <c r="H1843" s="3" t="str">
        <f>VLOOKUP($C1843,Userpass!$A$2:$L$3001,12,FALSE)</f>
        <v>AKL2</v>
      </c>
      <c r="I1843" s="5" t="s">
        <v>4223</v>
      </c>
      <c r="J1843" s="3">
        <v>2023.0</v>
      </c>
      <c r="K1843" s="4" t="str">
        <f>VLOOKUP($C1843,Userpass!$A$2:$R$3001,2,FALSE)</f>
        <v>akl20238102.siswa@smkn12malang.sch.id</v>
      </c>
    </row>
    <row r="1844">
      <c r="A1844" s="3" t="str">
        <f t="shared" si="1"/>
        <v>OK</v>
      </c>
      <c r="B1844" s="3" t="str">
        <f t="shared" si="2"/>
        <v>OK</v>
      </c>
      <c r="C1844" s="3">
        <v>8120.0</v>
      </c>
      <c r="D1844" s="4" t="s">
        <v>4304</v>
      </c>
      <c r="E1844" s="3" t="s">
        <v>4305</v>
      </c>
      <c r="F1844" s="3" t="s">
        <v>13</v>
      </c>
      <c r="G1844" s="3" t="str">
        <f t="shared" si="3"/>
        <v>XIIAKL2</v>
      </c>
      <c r="H1844" s="3" t="str">
        <f>VLOOKUP($C1844,Userpass!$A$2:$L$3001,12,FALSE)</f>
        <v>AKL2</v>
      </c>
      <c r="I1844" s="5" t="s">
        <v>4223</v>
      </c>
      <c r="J1844" s="3">
        <v>2023.0</v>
      </c>
      <c r="K1844" s="4" t="str">
        <f>VLOOKUP($C1844,Userpass!$A$2:$R$3001,2,FALSE)</f>
        <v>akl20238120.siswa@smkn12malang.sch.id</v>
      </c>
    </row>
    <row r="1845">
      <c r="A1845" s="3" t="str">
        <f t="shared" si="1"/>
        <v>OK</v>
      </c>
      <c r="B1845" s="3" t="str">
        <f t="shared" si="2"/>
        <v>OK</v>
      </c>
      <c r="C1845" s="3">
        <v>8125.0</v>
      </c>
      <c r="D1845" s="4" t="s">
        <v>4306</v>
      </c>
      <c r="E1845" s="3" t="s">
        <v>4307</v>
      </c>
      <c r="F1845" s="3" t="s">
        <v>13</v>
      </c>
      <c r="G1845" s="3" t="str">
        <f t="shared" si="3"/>
        <v>XIIAKL2</v>
      </c>
      <c r="H1845" s="3" t="str">
        <f>VLOOKUP($C1845,Userpass!$A$2:$L$3001,12,FALSE)</f>
        <v>AKL2</v>
      </c>
      <c r="I1845" s="5" t="s">
        <v>4223</v>
      </c>
      <c r="J1845" s="3">
        <v>2023.0</v>
      </c>
      <c r="K1845" s="4" t="str">
        <f>VLOOKUP($C1845,Userpass!$A$2:$R$3001,2,FALSE)</f>
        <v>akl20238125.siswa@smkn12malang.sch.id</v>
      </c>
    </row>
    <row r="1846">
      <c r="A1846" s="3" t="str">
        <f t="shared" si="1"/>
        <v>OK</v>
      </c>
      <c r="B1846" s="3" t="str">
        <f t="shared" si="2"/>
        <v>OK</v>
      </c>
      <c r="C1846" s="3">
        <v>8128.0</v>
      </c>
      <c r="D1846" s="4" t="s">
        <v>4308</v>
      </c>
      <c r="E1846" s="3" t="s">
        <v>4309</v>
      </c>
      <c r="F1846" s="3" t="s">
        <v>17</v>
      </c>
      <c r="G1846" s="3" t="str">
        <f t="shared" si="3"/>
        <v>XIIAKL2</v>
      </c>
      <c r="H1846" s="3" t="str">
        <f>VLOOKUP($C1846,Userpass!$A$2:$L$3001,12,FALSE)</f>
        <v>AKL2</v>
      </c>
      <c r="I1846" s="5" t="s">
        <v>4223</v>
      </c>
      <c r="J1846" s="3">
        <v>2023.0</v>
      </c>
      <c r="K1846" s="4" t="str">
        <f>VLOOKUP($C1846,Userpass!$A$2:$R$3001,2,FALSE)</f>
        <v>akl20238128.siswa@smkn12malang.sch.id</v>
      </c>
    </row>
    <row r="1847">
      <c r="A1847" s="3" t="str">
        <f t="shared" si="1"/>
        <v>OK</v>
      </c>
      <c r="B1847" s="3" t="str">
        <f t="shared" si="2"/>
        <v>OK</v>
      </c>
      <c r="C1847" s="3">
        <v>8136.0</v>
      </c>
      <c r="D1847" s="4" t="s">
        <v>4310</v>
      </c>
      <c r="E1847" s="3" t="s">
        <v>4311</v>
      </c>
      <c r="F1847" s="3" t="s">
        <v>13</v>
      </c>
      <c r="G1847" s="3" t="str">
        <f t="shared" si="3"/>
        <v>XIIAKL2</v>
      </c>
      <c r="H1847" s="3" t="str">
        <f>VLOOKUP($C1847,Userpass!$A$2:$L$3001,12,FALSE)</f>
        <v>AKL2</v>
      </c>
      <c r="I1847" s="5" t="s">
        <v>4223</v>
      </c>
      <c r="J1847" s="3">
        <v>2023.0</v>
      </c>
      <c r="K1847" s="4" t="str">
        <f>VLOOKUP($C1847,Userpass!$A$2:$R$3001,2,FALSE)</f>
        <v>akl20238136.siswa@smkn12malang.sch.id</v>
      </c>
    </row>
    <row r="1848">
      <c r="A1848" s="3" t="str">
        <f t="shared" si="1"/>
        <v>OK</v>
      </c>
      <c r="B1848" s="3" t="str">
        <f t="shared" si="2"/>
        <v>OK</v>
      </c>
      <c r="C1848" s="3">
        <v>8155.0</v>
      </c>
      <c r="D1848" s="4" t="s">
        <v>4312</v>
      </c>
      <c r="E1848" s="3" t="s">
        <v>4313</v>
      </c>
      <c r="F1848" s="3" t="s">
        <v>13</v>
      </c>
      <c r="G1848" s="3" t="str">
        <f t="shared" si="3"/>
        <v>XIIAKL2</v>
      </c>
      <c r="H1848" s="3" t="str">
        <f>VLOOKUP($C1848,Userpass!$A$2:$L$3001,12,FALSE)</f>
        <v>AKL2</v>
      </c>
      <c r="I1848" s="5" t="s">
        <v>4223</v>
      </c>
      <c r="J1848" s="3">
        <v>2023.0</v>
      </c>
      <c r="K1848" s="4" t="str">
        <f>VLOOKUP($C1848,Userpass!$A$2:$R$3001,2,FALSE)</f>
        <v>akl20238155.siswa@smkn12malang.sch.id</v>
      </c>
    </row>
    <row r="1849">
      <c r="A1849" s="3" t="str">
        <f t="shared" si="1"/>
        <v>OK</v>
      </c>
      <c r="B1849" s="3" t="str">
        <f t="shared" si="2"/>
        <v>OK</v>
      </c>
      <c r="C1849" s="3">
        <v>8162.0</v>
      </c>
      <c r="D1849" s="4" t="s">
        <v>4314</v>
      </c>
      <c r="E1849" s="3" t="s">
        <v>4315</v>
      </c>
      <c r="F1849" s="3" t="s">
        <v>13</v>
      </c>
      <c r="G1849" s="3" t="str">
        <f t="shared" si="3"/>
        <v>XIIAKL2</v>
      </c>
      <c r="H1849" s="3" t="str">
        <f>VLOOKUP($C1849,Userpass!$A$2:$L$3001,12,FALSE)</f>
        <v>AKL2</v>
      </c>
      <c r="I1849" s="5" t="s">
        <v>4223</v>
      </c>
      <c r="J1849" s="3">
        <v>2023.0</v>
      </c>
      <c r="K1849" s="4" t="str">
        <f>VLOOKUP($C1849,Userpass!$A$2:$R$3001,2,FALSE)</f>
        <v>akl20238162.siswa@smkn12malang.sch.id</v>
      </c>
    </row>
    <row r="1850">
      <c r="A1850" s="3" t="str">
        <f t="shared" si="1"/>
        <v>OK</v>
      </c>
      <c r="B1850" s="3" t="str">
        <f t="shared" si="2"/>
        <v>OK</v>
      </c>
      <c r="C1850" s="3">
        <v>8180.0</v>
      </c>
      <c r="D1850" s="4" t="s">
        <v>4316</v>
      </c>
      <c r="E1850" s="3" t="s">
        <v>4317</v>
      </c>
      <c r="F1850" s="3" t="s">
        <v>13</v>
      </c>
      <c r="G1850" s="3" t="str">
        <f t="shared" si="3"/>
        <v>XIIAKL2</v>
      </c>
      <c r="H1850" s="3" t="str">
        <f>VLOOKUP($C1850,Userpass!$A$2:$L$3001,12,FALSE)</f>
        <v>AKL2</v>
      </c>
      <c r="I1850" s="5" t="s">
        <v>4223</v>
      </c>
      <c r="J1850" s="3">
        <v>2023.0</v>
      </c>
      <c r="K1850" s="4" t="str">
        <f>VLOOKUP($C1850,Userpass!$A$2:$R$3001,2,FALSE)</f>
        <v>akl20238180.siswa@smkn12malang.sch.id</v>
      </c>
    </row>
    <row r="1851">
      <c r="A1851" s="3" t="str">
        <f t="shared" si="1"/>
        <v>OK</v>
      </c>
      <c r="B1851" s="3" t="str">
        <f t="shared" si="2"/>
        <v>OK</v>
      </c>
      <c r="C1851" s="3">
        <v>8196.0</v>
      </c>
      <c r="D1851" s="4" t="s">
        <v>4318</v>
      </c>
      <c r="E1851" s="3" t="s">
        <v>4319</v>
      </c>
      <c r="F1851" s="3" t="s">
        <v>13</v>
      </c>
      <c r="G1851" s="3" t="str">
        <f t="shared" si="3"/>
        <v>XIIAKL2</v>
      </c>
      <c r="H1851" s="3" t="str">
        <f>VLOOKUP($C1851,Userpass!$A$2:$L$3001,12,FALSE)</f>
        <v>AKL2</v>
      </c>
      <c r="I1851" s="5" t="s">
        <v>4223</v>
      </c>
      <c r="J1851" s="3">
        <v>2023.0</v>
      </c>
      <c r="K1851" s="4" t="str">
        <f>VLOOKUP($C1851,Userpass!$A$2:$R$3001,2,FALSE)</f>
        <v>akl20238196.siswa@smkn12malang.sch.id</v>
      </c>
    </row>
    <row r="1852">
      <c r="A1852" s="3" t="str">
        <f t="shared" si="1"/>
        <v>OK</v>
      </c>
      <c r="B1852" s="3" t="str">
        <f t="shared" si="2"/>
        <v>OK</v>
      </c>
      <c r="C1852" s="3">
        <v>8210.0</v>
      </c>
      <c r="D1852" s="4" t="s">
        <v>4320</v>
      </c>
      <c r="E1852" s="3" t="s">
        <v>4321</v>
      </c>
      <c r="F1852" s="3" t="s">
        <v>13</v>
      </c>
      <c r="G1852" s="3" t="str">
        <f t="shared" si="3"/>
        <v>XIIAKL2</v>
      </c>
      <c r="H1852" s="3" t="str">
        <f>VLOOKUP($C1852,Userpass!$A$2:$L$3001,12,FALSE)</f>
        <v>AKL2</v>
      </c>
      <c r="I1852" s="5" t="s">
        <v>4223</v>
      </c>
      <c r="J1852" s="3">
        <v>2023.0</v>
      </c>
      <c r="K1852" s="4" t="str">
        <f>VLOOKUP($C1852,Userpass!$A$2:$R$3001,2,FALSE)</f>
        <v>akl20238210.siswa@smkn12malang.sch.id</v>
      </c>
    </row>
    <row r="1853">
      <c r="A1853" s="3" t="str">
        <f t="shared" si="1"/>
        <v>OK</v>
      </c>
      <c r="B1853" s="3" t="str">
        <f t="shared" si="2"/>
        <v>OK</v>
      </c>
      <c r="C1853" s="3">
        <v>8224.0</v>
      </c>
      <c r="D1853" s="4" t="s">
        <v>4322</v>
      </c>
      <c r="E1853" s="3" t="s">
        <v>4323</v>
      </c>
      <c r="F1853" s="3" t="s">
        <v>13</v>
      </c>
      <c r="G1853" s="3" t="str">
        <f t="shared" si="3"/>
        <v>XIIAKL2</v>
      </c>
      <c r="H1853" s="3" t="str">
        <f>VLOOKUP($C1853,Userpass!$A$2:$L$3001,12,FALSE)</f>
        <v>AKL2</v>
      </c>
      <c r="I1853" s="5" t="s">
        <v>4223</v>
      </c>
      <c r="J1853" s="3">
        <v>2023.0</v>
      </c>
      <c r="K1853" s="4" t="str">
        <f>VLOOKUP($C1853,Userpass!$A$2:$R$3001,2,FALSE)</f>
        <v>akl20238224.siswa@smkn12malang.sch.id</v>
      </c>
    </row>
    <row r="1854">
      <c r="A1854" s="3" t="str">
        <f t="shared" si="1"/>
        <v>OK</v>
      </c>
      <c r="B1854" s="3" t="str">
        <f t="shared" si="2"/>
        <v>OK</v>
      </c>
      <c r="C1854" s="3">
        <v>8249.0</v>
      </c>
      <c r="D1854" s="4" t="s">
        <v>4324</v>
      </c>
      <c r="E1854" s="3" t="s">
        <v>4325</v>
      </c>
      <c r="F1854" s="3" t="s">
        <v>13</v>
      </c>
      <c r="G1854" s="3" t="str">
        <f t="shared" si="3"/>
        <v>XIIAKL2</v>
      </c>
      <c r="H1854" s="3" t="str">
        <f>VLOOKUP($C1854,Userpass!$A$2:$L$3001,12,FALSE)</f>
        <v>AKL2</v>
      </c>
      <c r="I1854" s="5" t="s">
        <v>4223</v>
      </c>
      <c r="J1854" s="3">
        <v>2023.0</v>
      </c>
      <c r="K1854" s="4" t="str">
        <f>VLOOKUP($C1854,Userpass!$A$2:$R$3001,2,FALSE)</f>
        <v>akl20238249.siswa@smkn12malang.sch.id</v>
      </c>
    </row>
    <row r="1855">
      <c r="A1855" s="3" t="str">
        <f t="shared" si="1"/>
        <v>OK</v>
      </c>
      <c r="B1855" s="3" t="str">
        <f t="shared" si="2"/>
        <v>OK</v>
      </c>
      <c r="C1855" s="3">
        <v>8258.0</v>
      </c>
      <c r="D1855" s="4" t="s">
        <v>4326</v>
      </c>
      <c r="E1855" s="3" t="s">
        <v>4327</v>
      </c>
      <c r="F1855" s="3" t="s">
        <v>17</v>
      </c>
      <c r="G1855" s="3" t="str">
        <f t="shared" si="3"/>
        <v>XIIAKL2</v>
      </c>
      <c r="H1855" s="3" t="str">
        <f>VLOOKUP($C1855,Userpass!$A$2:$L$3001,12,FALSE)</f>
        <v>AKL2</v>
      </c>
      <c r="I1855" s="5" t="s">
        <v>4223</v>
      </c>
      <c r="J1855" s="3">
        <v>2023.0</v>
      </c>
      <c r="K1855" s="4" t="str">
        <f>VLOOKUP($C1855,Userpass!$A$2:$R$3001,2,FALSE)</f>
        <v>akl20238258.siswa@smkn12malang.sch.id</v>
      </c>
    </row>
    <row r="1856">
      <c r="A1856" s="3" t="str">
        <f t="shared" si="1"/>
        <v>OK</v>
      </c>
      <c r="B1856" s="3" t="str">
        <f t="shared" si="2"/>
        <v>OK</v>
      </c>
      <c r="C1856" s="3">
        <v>8269.0</v>
      </c>
      <c r="D1856" s="4" t="s">
        <v>4328</v>
      </c>
      <c r="E1856" s="3" t="s">
        <v>4329</v>
      </c>
      <c r="F1856" s="3" t="s">
        <v>13</v>
      </c>
      <c r="G1856" s="3" t="str">
        <f t="shared" si="3"/>
        <v>XIIAKL2</v>
      </c>
      <c r="H1856" s="3" t="str">
        <f>VLOOKUP($C1856,Userpass!$A$2:$L$3001,12,FALSE)</f>
        <v>AKL2</v>
      </c>
      <c r="I1856" s="5" t="s">
        <v>4223</v>
      </c>
      <c r="J1856" s="3">
        <v>2023.0</v>
      </c>
      <c r="K1856" s="4" t="str">
        <f>VLOOKUP($C1856,Userpass!$A$2:$R$3001,2,FALSE)</f>
        <v>akl20238269.siswa@smkn12malang.sch.id</v>
      </c>
    </row>
    <row r="1857">
      <c r="A1857" s="3" t="str">
        <f t="shared" si="1"/>
        <v>OK</v>
      </c>
      <c r="B1857" s="3" t="str">
        <f t="shared" si="2"/>
        <v>OK</v>
      </c>
      <c r="C1857" s="3">
        <v>8290.0</v>
      </c>
      <c r="D1857" s="4" t="s">
        <v>4330</v>
      </c>
      <c r="E1857" s="3" t="s">
        <v>4331</v>
      </c>
      <c r="F1857" s="3" t="s">
        <v>13</v>
      </c>
      <c r="G1857" s="3" t="str">
        <f t="shared" si="3"/>
        <v>XIIAKL2</v>
      </c>
      <c r="H1857" s="3" t="str">
        <f>VLOOKUP($C1857,Userpass!$A$2:$L$3001,12,FALSE)</f>
        <v>AKL2</v>
      </c>
      <c r="I1857" s="5" t="s">
        <v>4223</v>
      </c>
      <c r="J1857" s="3">
        <v>2023.0</v>
      </c>
      <c r="K1857" s="4" t="str">
        <f>VLOOKUP($C1857,Userpass!$A$2:$R$3001,2,FALSE)</f>
        <v>akl20238290.siswa@smkn12malang.sch.id</v>
      </c>
    </row>
    <row r="1858">
      <c r="A1858" s="3" t="str">
        <f t="shared" si="1"/>
        <v>OK</v>
      </c>
      <c r="B1858" s="3" t="str">
        <f t="shared" si="2"/>
        <v>OK</v>
      </c>
      <c r="C1858" s="3">
        <v>8302.0</v>
      </c>
      <c r="D1858" s="4" t="s">
        <v>4332</v>
      </c>
      <c r="E1858" s="3" t="s">
        <v>4333</v>
      </c>
      <c r="F1858" s="3" t="s">
        <v>13</v>
      </c>
      <c r="G1858" s="3" t="str">
        <f t="shared" si="3"/>
        <v>XIIAKL2</v>
      </c>
      <c r="H1858" s="3" t="str">
        <f>VLOOKUP($C1858,Userpass!$A$2:$L$3001,12,FALSE)</f>
        <v>AKL2</v>
      </c>
      <c r="I1858" s="5" t="s">
        <v>4223</v>
      </c>
      <c r="J1858" s="3">
        <v>2023.0</v>
      </c>
      <c r="K1858" s="4" t="str">
        <f>VLOOKUP($C1858,Userpass!$A$2:$R$3001,2,FALSE)</f>
        <v>akl20238302.siswa@smkn12malang.sch.id</v>
      </c>
    </row>
    <row r="1859">
      <c r="A1859" s="3" t="str">
        <f t="shared" si="1"/>
        <v>OK</v>
      </c>
      <c r="B1859" s="3" t="str">
        <f t="shared" si="2"/>
        <v>OK</v>
      </c>
      <c r="C1859" s="3">
        <v>8311.0</v>
      </c>
      <c r="D1859" s="4" t="s">
        <v>4334</v>
      </c>
      <c r="E1859" s="3" t="s">
        <v>4335</v>
      </c>
      <c r="F1859" s="3" t="s">
        <v>13</v>
      </c>
      <c r="G1859" s="3" t="str">
        <f t="shared" si="3"/>
        <v>XIIAKL2</v>
      </c>
      <c r="H1859" s="3" t="str">
        <f>VLOOKUP($C1859,Userpass!$A$2:$L$3001,12,FALSE)</f>
        <v>AKL2</v>
      </c>
      <c r="I1859" s="5" t="s">
        <v>4223</v>
      </c>
      <c r="J1859" s="3">
        <v>2023.0</v>
      </c>
      <c r="K1859" s="4" t="str">
        <f>VLOOKUP($C1859,Userpass!$A$2:$R$3001,2,FALSE)</f>
        <v>akl20238311.siswa@smkn12malang.sch.id</v>
      </c>
    </row>
    <row r="1860">
      <c r="A1860" s="3" t="str">
        <f t="shared" si="1"/>
        <v>OK</v>
      </c>
      <c r="B1860" s="3" t="str">
        <f t="shared" si="2"/>
        <v>OK</v>
      </c>
      <c r="C1860" s="3">
        <v>8320.0</v>
      </c>
      <c r="D1860" s="4" t="s">
        <v>4336</v>
      </c>
      <c r="E1860" s="3" t="s">
        <v>4337</v>
      </c>
      <c r="F1860" s="3" t="s">
        <v>13</v>
      </c>
      <c r="G1860" s="3" t="str">
        <f t="shared" si="3"/>
        <v>XIIAKL2</v>
      </c>
      <c r="H1860" s="3" t="str">
        <f>VLOOKUP($C1860,Userpass!$A$2:$L$3001,12,FALSE)</f>
        <v>AKL2</v>
      </c>
      <c r="I1860" s="5" t="s">
        <v>4223</v>
      </c>
      <c r="J1860" s="3">
        <v>2023.0</v>
      </c>
      <c r="K1860" s="4" t="str">
        <f>VLOOKUP($C1860,Userpass!$A$2:$R$3001,2,FALSE)</f>
        <v>akl20238320.siswa@smkn12malang.sch.id</v>
      </c>
    </row>
    <row r="1861">
      <c r="A1861" s="3" t="str">
        <f t="shared" si="1"/>
        <v>OK</v>
      </c>
      <c r="B1861" s="3" t="str">
        <f t="shared" si="2"/>
        <v>OK</v>
      </c>
      <c r="C1861" s="3">
        <v>8352.0</v>
      </c>
      <c r="D1861" s="4" t="s">
        <v>4338</v>
      </c>
      <c r="E1861" s="3" t="s">
        <v>4339</v>
      </c>
      <c r="F1861" s="3" t="s">
        <v>13</v>
      </c>
      <c r="G1861" s="3" t="str">
        <f t="shared" si="3"/>
        <v>XIIAKL2</v>
      </c>
      <c r="H1861" s="3" t="str">
        <f>VLOOKUP($C1861,Userpass!$A$2:$L$3001,12,FALSE)</f>
        <v>AKL2</v>
      </c>
      <c r="I1861" s="5" t="s">
        <v>4223</v>
      </c>
      <c r="J1861" s="3">
        <v>2023.0</v>
      </c>
      <c r="K1861" s="4" t="str">
        <f>VLOOKUP($C1861,Userpass!$A$2:$R$3001,2,FALSE)</f>
        <v>akl20238352.siswa@smkn12malang.sch.id</v>
      </c>
    </row>
    <row r="1862">
      <c r="A1862" s="3" t="str">
        <f t="shared" si="1"/>
        <v>OK</v>
      </c>
      <c r="B1862" s="3" t="str">
        <f t="shared" si="2"/>
        <v>OK</v>
      </c>
      <c r="C1862" s="3">
        <v>8398.0</v>
      </c>
      <c r="D1862" s="4" t="s">
        <v>4340</v>
      </c>
      <c r="E1862" s="3" t="s">
        <v>4341</v>
      </c>
      <c r="F1862" s="3" t="s">
        <v>17</v>
      </c>
      <c r="G1862" s="3" t="str">
        <f t="shared" si="3"/>
        <v>XIIAKL2</v>
      </c>
      <c r="H1862" s="3" t="str">
        <f>VLOOKUP($C1862,Userpass!$A$2:$L$3001,12,FALSE)</f>
        <v>AKL2</v>
      </c>
      <c r="I1862" s="5" t="s">
        <v>4223</v>
      </c>
      <c r="J1862" s="3">
        <v>2023.0</v>
      </c>
      <c r="K1862" s="4" t="str">
        <f>VLOOKUP($C1862,Userpass!$A$2:$R$3001,2,FALSE)</f>
        <v>akl20238398.siswa@smkn12malang.sch.id</v>
      </c>
    </row>
    <row r="1863">
      <c r="A1863" s="3" t="str">
        <f t="shared" si="1"/>
        <v>OK</v>
      </c>
      <c r="B1863" s="3" t="str">
        <f t="shared" si="2"/>
        <v>OK</v>
      </c>
      <c r="C1863" s="3">
        <v>8442.0</v>
      </c>
      <c r="D1863" s="4" t="s">
        <v>4342</v>
      </c>
      <c r="E1863" s="3" t="s">
        <v>4343</v>
      </c>
      <c r="F1863" s="3" t="s">
        <v>13</v>
      </c>
      <c r="G1863" s="3" t="str">
        <f t="shared" si="3"/>
        <v>XIIAKL2</v>
      </c>
      <c r="H1863" s="3" t="str">
        <f>VLOOKUP($C1863,Userpass!$A$2:$L$3001,12,FALSE)</f>
        <v>AKL2</v>
      </c>
      <c r="I1863" s="5" t="s">
        <v>4223</v>
      </c>
      <c r="J1863" s="3">
        <v>2023.0</v>
      </c>
      <c r="K1863" s="4" t="str">
        <f>VLOOKUP($C1863,Userpass!$A$2:$R$3001,2,FALSE)</f>
        <v>akl20238442.siswa@smkn12malang.sch.id</v>
      </c>
    </row>
    <row r="1864">
      <c r="A1864" s="3" t="str">
        <f t="shared" si="1"/>
        <v>OK</v>
      </c>
      <c r="B1864" s="3" t="str">
        <f t="shared" si="2"/>
        <v>OK</v>
      </c>
      <c r="C1864" s="3">
        <v>8448.0</v>
      </c>
      <c r="D1864" s="4" t="s">
        <v>4344</v>
      </c>
      <c r="E1864" s="3" t="s">
        <v>4345</v>
      </c>
      <c r="F1864" s="3" t="s">
        <v>13</v>
      </c>
      <c r="G1864" s="3" t="str">
        <f t="shared" si="3"/>
        <v>XIIAKL2</v>
      </c>
      <c r="H1864" s="3" t="str">
        <f>VLOOKUP($C1864,Userpass!$A$2:$L$3001,12,FALSE)</f>
        <v>AKL2</v>
      </c>
      <c r="I1864" s="5" t="s">
        <v>4223</v>
      </c>
      <c r="J1864" s="3">
        <v>2023.0</v>
      </c>
      <c r="K1864" s="4" t="str">
        <f>VLOOKUP($C1864,Userpass!$A$2:$R$3001,2,FALSE)</f>
        <v>akl20238448.siswa@smkn12malang.sch.id</v>
      </c>
    </row>
    <row r="1865">
      <c r="A1865" s="3" t="str">
        <f t="shared" si="1"/>
        <v>OK</v>
      </c>
      <c r="B1865" s="3" t="str">
        <f t="shared" si="2"/>
        <v>OK</v>
      </c>
      <c r="C1865" s="3">
        <v>8455.0</v>
      </c>
      <c r="D1865" s="4" t="s">
        <v>4346</v>
      </c>
      <c r="E1865" s="3" t="s">
        <v>4347</v>
      </c>
      <c r="F1865" s="3" t="s">
        <v>13</v>
      </c>
      <c r="G1865" s="3" t="str">
        <f t="shared" si="3"/>
        <v>XIIAKL2</v>
      </c>
      <c r="H1865" s="3" t="str">
        <f>VLOOKUP($C1865,Userpass!$A$2:$L$3001,12,FALSE)</f>
        <v>AKL2</v>
      </c>
      <c r="I1865" s="5" t="s">
        <v>4223</v>
      </c>
      <c r="J1865" s="3">
        <v>2023.0</v>
      </c>
      <c r="K1865" s="4" t="str">
        <f>VLOOKUP($C1865,Userpass!$A$2:$R$3001,2,FALSE)</f>
        <v>akl20238455.siswa@smkn12malang.sch.id</v>
      </c>
    </row>
    <row r="1866">
      <c r="A1866" s="3" t="str">
        <f t="shared" si="1"/>
        <v>OK</v>
      </c>
      <c r="B1866" s="3" t="str">
        <f t="shared" si="2"/>
        <v>OK</v>
      </c>
      <c r="C1866" s="3">
        <v>8463.0</v>
      </c>
      <c r="D1866" s="4" t="s">
        <v>4348</v>
      </c>
      <c r="E1866" s="3" t="s">
        <v>4349</v>
      </c>
      <c r="F1866" s="3" t="s">
        <v>13</v>
      </c>
      <c r="G1866" s="3" t="str">
        <f t="shared" si="3"/>
        <v>XIIAKL2</v>
      </c>
      <c r="H1866" s="3" t="str">
        <f>VLOOKUP($C1866,Userpass!$A$2:$L$3001,12,FALSE)</f>
        <v>AKL2</v>
      </c>
      <c r="I1866" s="5" t="s">
        <v>4223</v>
      </c>
      <c r="J1866" s="3">
        <v>2023.0</v>
      </c>
      <c r="K1866" s="4" t="str">
        <f>VLOOKUP($C1866,Userpass!$A$2:$R$3001,2,FALSE)</f>
        <v>akl20238463.siswa@smkn12malang.sch.id</v>
      </c>
    </row>
    <row r="1867">
      <c r="A1867" s="3" t="str">
        <f t="shared" si="1"/>
        <v>OK</v>
      </c>
      <c r="B1867" s="3" t="str">
        <f t="shared" si="2"/>
        <v>OK</v>
      </c>
      <c r="C1867" s="3">
        <v>8637.0</v>
      </c>
      <c r="D1867" s="4" t="s">
        <v>4350</v>
      </c>
      <c r="E1867" s="3" t="s">
        <v>4351</v>
      </c>
      <c r="F1867" s="3" t="s">
        <v>13</v>
      </c>
      <c r="G1867" s="3" t="str">
        <f t="shared" si="3"/>
        <v>XIIAKL2</v>
      </c>
      <c r="H1867" s="3" t="str">
        <f>VLOOKUP($C1867,Userpass!$A$2:$L$3001,12,FALSE)</f>
        <v>AKL2</v>
      </c>
      <c r="I1867" s="5" t="s">
        <v>4223</v>
      </c>
      <c r="J1867" s="3">
        <v>2023.0</v>
      </c>
      <c r="K1867" s="4" t="str">
        <f>VLOOKUP($C1867,Userpass!$A$2:$R$3001,2,FALSE)</f>
        <v>akl20238637.siswa@smkn12malang.sch.id</v>
      </c>
    </row>
    <row r="1868">
      <c r="A1868" s="3" t="str">
        <f t="shared" si="1"/>
        <v>OK</v>
      </c>
      <c r="B1868" s="3" t="str">
        <f t="shared" si="2"/>
        <v>OK</v>
      </c>
      <c r="C1868" s="3">
        <v>8483.0</v>
      </c>
      <c r="D1868" s="4" t="s">
        <v>4352</v>
      </c>
      <c r="E1868" s="3" t="s">
        <v>4353</v>
      </c>
      <c r="F1868" s="3" t="s">
        <v>13</v>
      </c>
      <c r="G1868" s="3" t="str">
        <f t="shared" si="3"/>
        <v>XIIAKL2</v>
      </c>
      <c r="H1868" s="3" t="str">
        <f>VLOOKUP($C1868,Userpass!$A$2:$L$3001,12,FALSE)</f>
        <v>AKL2</v>
      </c>
      <c r="I1868" s="5" t="s">
        <v>4223</v>
      </c>
      <c r="J1868" s="3">
        <v>2023.0</v>
      </c>
      <c r="K1868" s="4" t="str">
        <f>VLOOKUP($C1868,Userpass!$A$2:$R$3001,2,FALSE)</f>
        <v>akl20238483.siswa@smkn12malang.sch.id</v>
      </c>
    </row>
    <row r="1869">
      <c r="A1869" s="3" t="str">
        <f t="shared" si="1"/>
        <v>OK</v>
      </c>
      <c r="B1869" s="3" t="str">
        <f t="shared" si="2"/>
        <v>OK</v>
      </c>
      <c r="C1869" s="3">
        <v>8527.0</v>
      </c>
      <c r="D1869" s="4" t="s">
        <v>4354</v>
      </c>
      <c r="E1869" s="3" t="s">
        <v>4355</v>
      </c>
      <c r="F1869" s="3" t="s">
        <v>13</v>
      </c>
      <c r="G1869" s="3" t="str">
        <f t="shared" si="3"/>
        <v>XIIAKL2</v>
      </c>
      <c r="H1869" s="3" t="str">
        <f>VLOOKUP($C1869,Userpass!$A$2:$L$3001,12,FALSE)</f>
        <v>AKL2</v>
      </c>
      <c r="I1869" s="5" t="s">
        <v>4223</v>
      </c>
      <c r="J1869" s="3">
        <v>2023.0</v>
      </c>
      <c r="K1869" s="4" t="str">
        <f>VLOOKUP($C1869,Userpass!$A$2:$R$3001,2,FALSE)</f>
        <v>akl20238527.siswa@smkn12malang.sch.id</v>
      </c>
    </row>
    <row r="1870">
      <c r="A1870" s="3" t="str">
        <f t="shared" si="1"/>
        <v>OK</v>
      </c>
      <c r="B1870" s="3" t="str">
        <f t="shared" si="2"/>
        <v>OK</v>
      </c>
      <c r="C1870" s="3">
        <v>8536.0</v>
      </c>
      <c r="D1870" s="4" t="s">
        <v>4356</v>
      </c>
      <c r="E1870" s="3" t="s">
        <v>4357</v>
      </c>
      <c r="F1870" s="3" t="s">
        <v>13</v>
      </c>
      <c r="G1870" s="3" t="str">
        <f t="shared" si="3"/>
        <v>XIIAKL2</v>
      </c>
      <c r="H1870" s="3" t="str">
        <f>VLOOKUP($C1870,Userpass!$A$2:$L$3001,12,FALSE)</f>
        <v>AKL2</v>
      </c>
      <c r="I1870" s="5" t="s">
        <v>4223</v>
      </c>
      <c r="J1870" s="3">
        <v>2023.0</v>
      </c>
      <c r="K1870" s="4" t="str">
        <f>VLOOKUP($C1870,Userpass!$A$2:$R$3001,2,FALSE)</f>
        <v>akl20238536.siswa@smkn12malang.sch.id</v>
      </c>
    </row>
    <row r="1871">
      <c r="A1871" s="3" t="str">
        <f t="shared" si="1"/>
        <v>OK</v>
      </c>
      <c r="B1871" s="3" t="str">
        <f t="shared" si="2"/>
        <v>OK</v>
      </c>
      <c r="C1871" s="3">
        <v>8552.0</v>
      </c>
      <c r="D1871" s="4" t="s">
        <v>4358</v>
      </c>
      <c r="E1871" s="3" t="s">
        <v>4359</v>
      </c>
      <c r="F1871" s="3" t="s">
        <v>13</v>
      </c>
      <c r="G1871" s="3" t="str">
        <f t="shared" si="3"/>
        <v>XIIAKL2</v>
      </c>
      <c r="H1871" s="3" t="str">
        <f>VLOOKUP($C1871,Userpass!$A$2:$L$3001,12,FALSE)</f>
        <v>AKL2</v>
      </c>
      <c r="I1871" s="5" t="s">
        <v>4223</v>
      </c>
      <c r="J1871" s="3">
        <v>2023.0</v>
      </c>
      <c r="K1871" s="4" t="str">
        <f>VLOOKUP($C1871,Userpass!$A$2:$R$3001,2,FALSE)</f>
        <v>akl20238552.siswa@smkn12malang.sch.id</v>
      </c>
    </row>
    <row r="1872">
      <c r="A1872" s="3" t="str">
        <f t="shared" si="1"/>
        <v>OK</v>
      </c>
      <c r="B1872" s="3" t="str">
        <f t="shared" si="2"/>
        <v>OK</v>
      </c>
      <c r="C1872" s="3">
        <v>8566.0</v>
      </c>
      <c r="D1872" s="4" t="s">
        <v>4360</v>
      </c>
      <c r="E1872" s="3" t="s">
        <v>4361</v>
      </c>
      <c r="F1872" s="3" t="s">
        <v>13</v>
      </c>
      <c r="G1872" s="3" t="str">
        <f t="shared" si="3"/>
        <v>XIIAKL2</v>
      </c>
      <c r="H1872" s="3" t="str">
        <f>VLOOKUP($C1872,Userpass!$A$2:$L$3001,12,FALSE)</f>
        <v>AKL2</v>
      </c>
      <c r="I1872" s="5" t="s">
        <v>4223</v>
      </c>
      <c r="J1872" s="3">
        <v>2023.0</v>
      </c>
      <c r="K1872" s="4" t="str">
        <f>VLOOKUP($C1872,Userpass!$A$2:$R$3001,2,FALSE)</f>
        <v>akl20238566.siswa@smkn12malang.sch.id</v>
      </c>
    </row>
    <row r="1873">
      <c r="A1873" s="3" t="str">
        <f t="shared" si="1"/>
        <v>OK</v>
      </c>
      <c r="B1873" s="3" t="str">
        <f t="shared" si="2"/>
        <v>OK</v>
      </c>
      <c r="C1873" s="3">
        <v>8576.0</v>
      </c>
      <c r="D1873" s="4" t="s">
        <v>4362</v>
      </c>
      <c r="E1873" s="3" t="s">
        <v>4363</v>
      </c>
      <c r="F1873" s="3" t="s">
        <v>13</v>
      </c>
      <c r="G1873" s="3" t="str">
        <f t="shared" si="3"/>
        <v>XIIAKL2</v>
      </c>
      <c r="H1873" s="3" t="str">
        <f>VLOOKUP($C1873,Userpass!$A$2:$L$3001,12,FALSE)</f>
        <v>AKL2</v>
      </c>
      <c r="I1873" s="5" t="s">
        <v>4223</v>
      </c>
      <c r="J1873" s="3">
        <v>2023.0</v>
      </c>
      <c r="K1873" s="4" t="str">
        <f>VLOOKUP($C1873,Userpass!$A$2:$R$3001,2,FALSE)</f>
        <v>akl20238576.siswa@smkn12malang.sch.id</v>
      </c>
    </row>
    <row r="1874">
      <c r="A1874" s="3" t="str">
        <f t="shared" si="1"/>
        <v>OK</v>
      </c>
      <c r="B1874" s="3" t="str">
        <f t="shared" si="2"/>
        <v>OK</v>
      </c>
      <c r="C1874" s="3">
        <v>8593.0</v>
      </c>
      <c r="D1874" s="4" t="s">
        <v>4364</v>
      </c>
      <c r="E1874" s="3" t="s">
        <v>4365</v>
      </c>
      <c r="F1874" s="3" t="s">
        <v>13</v>
      </c>
      <c r="G1874" s="3" t="str">
        <f t="shared" si="3"/>
        <v>XIIAKL2</v>
      </c>
      <c r="H1874" s="3" t="str">
        <f>VLOOKUP($C1874,Userpass!$A$2:$L$3001,12,FALSE)</f>
        <v>AKL2</v>
      </c>
      <c r="I1874" s="5" t="s">
        <v>4223</v>
      </c>
      <c r="J1874" s="3">
        <v>2023.0</v>
      </c>
      <c r="K1874" s="4" t="str">
        <f>VLOOKUP($C1874,Userpass!$A$2:$R$3001,2,FALSE)</f>
        <v>akl20238593.siswa@smkn12malang.sch.id</v>
      </c>
    </row>
    <row r="1875">
      <c r="A1875" s="3" t="str">
        <f t="shared" si="1"/>
        <v>OK</v>
      </c>
      <c r="B1875" s="3" t="str">
        <f t="shared" si="2"/>
        <v>OK</v>
      </c>
      <c r="C1875" s="3">
        <v>8077.0</v>
      </c>
      <c r="D1875" s="4" t="s">
        <v>4366</v>
      </c>
      <c r="E1875" s="3" t="s">
        <v>4367</v>
      </c>
      <c r="F1875" s="3" t="s">
        <v>13</v>
      </c>
      <c r="G1875" s="3" t="str">
        <f t="shared" si="3"/>
        <v>XIIAKL3</v>
      </c>
      <c r="H1875" s="3" t="str">
        <f>VLOOKUP($C1875,Userpass!$A$2:$L$3001,12,FALSE)</f>
        <v>AKL3</v>
      </c>
      <c r="I1875" s="5" t="s">
        <v>4223</v>
      </c>
      <c r="J1875" s="3">
        <v>2023.0</v>
      </c>
      <c r="K1875" s="4" t="str">
        <f>VLOOKUP($C1875,Userpass!$A$2:$R$3001,2,FALSE)</f>
        <v>akl20238077.siswa@smkn12malang.sch.id</v>
      </c>
    </row>
    <row r="1876">
      <c r="A1876" s="3" t="str">
        <f t="shared" si="1"/>
        <v>OK</v>
      </c>
      <c r="B1876" s="3" t="str">
        <f t="shared" si="2"/>
        <v>OK</v>
      </c>
      <c r="C1876" s="3">
        <v>8083.0</v>
      </c>
      <c r="D1876" s="4" t="s">
        <v>4368</v>
      </c>
      <c r="E1876" s="3" t="s">
        <v>4369</v>
      </c>
      <c r="F1876" s="3" t="s">
        <v>13</v>
      </c>
      <c r="G1876" s="3" t="str">
        <f t="shared" si="3"/>
        <v>XIIAKL3</v>
      </c>
      <c r="H1876" s="3" t="str">
        <f>VLOOKUP($C1876,Userpass!$A$2:$L$3001,12,FALSE)</f>
        <v>AKL3</v>
      </c>
      <c r="I1876" s="5" t="s">
        <v>4223</v>
      </c>
      <c r="J1876" s="3">
        <v>2023.0</v>
      </c>
      <c r="K1876" s="4" t="str">
        <f>VLOOKUP($C1876,Userpass!$A$2:$R$3001,2,FALSE)</f>
        <v>akl20238083.siswa@smkn12malang.sch.id</v>
      </c>
    </row>
    <row r="1877">
      <c r="A1877" s="3" t="str">
        <f t="shared" si="1"/>
        <v>OK</v>
      </c>
      <c r="B1877" s="3" t="str">
        <f t="shared" si="2"/>
        <v>OK</v>
      </c>
      <c r="C1877" s="3">
        <v>8098.0</v>
      </c>
      <c r="D1877" s="4" t="s">
        <v>4370</v>
      </c>
      <c r="E1877" s="3" t="s">
        <v>4371</v>
      </c>
      <c r="F1877" s="3" t="s">
        <v>13</v>
      </c>
      <c r="G1877" s="3" t="str">
        <f t="shared" si="3"/>
        <v>XIIAKL3</v>
      </c>
      <c r="H1877" s="3" t="str">
        <f>VLOOKUP($C1877,Userpass!$A$2:$L$3001,12,FALSE)</f>
        <v>AKL3</v>
      </c>
      <c r="I1877" s="5" t="s">
        <v>4223</v>
      </c>
      <c r="J1877" s="3">
        <v>2023.0</v>
      </c>
      <c r="K1877" s="4" t="str">
        <f>VLOOKUP($C1877,Userpass!$A$2:$R$3001,2,FALSE)</f>
        <v>akl20238098.siswa@smkn12malang.sch.id</v>
      </c>
    </row>
    <row r="1878">
      <c r="A1878" s="3" t="str">
        <f t="shared" si="1"/>
        <v>OK</v>
      </c>
      <c r="B1878" s="3" t="str">
        <f t="shared" si="2"/>
        <v>OK</v>
      </c>
      <c r="C1878" s="3">
        <v>8111.0</v>
      </c>
      <c r="D1878" s="4" t="s">
        <v>4372</v>
      </c>
      <c r="E1878" s="3" t="s">
        <v>4373</v>
      </c>
      <c r="F1878" s="3" t="s">
        <v>17</v>
      </c>
      <c r="G1878" s="3" t="str">
        <f t="shared" si="3"/>
        <v>XIIAKL3</v>
      </c>
      <c r="H1878" s="3" t="str">
        <f>VLOOKUP($C1878,Userpass!$A$2:$L$3001,12,FALSE)</f>
        <v>AKL3</v>
      </c>
      <c r="I1878" s="5" t="s">
        <v>4223</v>
      </c>
      <c r="J1878" s="3">
        <v>2023.0</v>
      </c>
      <c r="K1878" s="4" t="str">
        <f>VLOOKUP($C1878,Userpass!$A$2:$R$3001,2,FALSE)</f>
        <v>akl20238111.siswa@smkn12malang.sch.id</v>
      </c>
    </row>
    <row r="1879">
      <c r="A1879" s="3" t="str">
        <f t="shared" si="1"/>
        <v>OK</v>
      </c>
      <c r="B1879" s="3" t="str">
        <f t="shared" si="2"/>
        <v>OK</v>
      </c>
      <c r="C1879" s="3">
        <v>8121.0</v>
      </c>
      <c r="D1879" s="4" t="s">
        <v>4374</v>
      </c>
      <c r="E1879" s="3" t="s">
        <v>4375</v>
      </c>
      <c r="F1879" s="3" t="s">
        <v>13</v>
      </c>
      <c r="G1879" s="3" t="str">
        <f t="shared" si="3"/>
        <v>XIIAKL3</v>
      </c>
      <c r="H1879" s="3" t="str">
        <f>VLOOKUP($C1879,Userpass!$A$2:$L$3001,12,FALSE)</f>
        <v>AKL3</v>
      </c>
      <c r="I1879" s="5" t="s">
        <v>4223</v>
      </c>
      <c r="J1879" s="3">
        <v>2023.0</v>
      </c>
      <c r="K1879" s="4" t="str">
        <f>VLOOKUP($C1879,Userpass!$A$2:$R$3001,2,FALSE)</f>
        <v>akl20238121.siswa@smkn12malang.sch.id</v>
      </c>
    </row>
    <row r="1880">
      <c r="A1880" s="3" t="str">
        <f t="shared" si="1"/>
        <v>OK</v>
      </c>
      <c r="B1880" s="3" t="str">
        <f t="shared" si="2"/>
        <v>OK</v>
      </c>
      <c r="C1880" s="3">
        <v>8126.0</v>
      </c>
      <c r="D1880" s="4" t="s">
        <v>4376</v>
      </c>
      <c r="E1880" s="3" t="s">
        <v>4377</v>
      </c>
      <c r="F1880" s="3" t="s">
        <v>13</v>
      </c>
      <c r="G1880" s="3" t="str">
        <f t="shared" si="3"/>
        <v>XIIAKL3</v>
      </c>
      <c r="H1880" s="3" t="str">
        <f>VLOOKUP($C1880,Userpass!$A$2:$L$3001,12,FALSE)</f>
        <v>AKL3</v>
      </c>
      <c r="I1880" s="5" t="s">
        <v>4223</v>
      </c>
      <c r="J1880" s="3">
        <v>2023.0</v>
      </c>
      <c r="K1880" s="4" t="str">
        <f>VLOOKUP($C1880,Userpass!$A$2:$R$3001,2,FALSE)</f>
        <v>akl20238126.siswa@smkn12malang.sch.id</v>
      </c>
    </row>
    <row r="1881">
      <c r="A1881" s="3" t="str">
        <f t="shared" si="1"/>
        <v>OK</v>
      </c>
      <c r="B1881" s="3" t="str">
        <f t="shared" si="2"/>
        <v>OK</v>
      </c>
      <c r="C1881" s="3">
        <v>8148.0</v>
      </c>
      <c r="D1881" s="4" t="s">
        <v>4378</v>
      </c>
      <c r="E1881" s="3" t="s">
        <v>4379</v>
      </c>
      <c r="F1881" s="3" t="s">
        <v>13</v>
      </c>
      <c r="G1881" s="3" t="str">
        <f t="shared" si="3"/>
        <v>XIIAKL3</v>
      </c>
      <c r="H1881" s="3" t="str">
        <f>VLOOKUP($C1881,Userpass!$A$2:$L$3001,12,FALSE)</f>
        <v>AKL3</v>
      </c>
      <c r="I1881" s="5" t="s">
        <v>4223</v>
      </c>
      <c r="J1881" s="3">
        <v>2023.0</v>
      </c>
      <c r="K1881" s="4" t="str">
        <f>VLOOKUP($C1881,Userpass!$A$2:$R$3001,2,FALSE)</f>
        <v>akl20238148.siswa@smkn12malang.sch.id</v>
      </c>
    </row>
    <row r="1882">
      <c r="A1882" s="3" t="str">
        <f t="shared" si="1"/>
        <v>OK</v>
      </c>
      <c r="B1882" s="3" t="str">
        <f t="shared" si="2"/>
        <v>OK</v>
      </c>
      <c r="C1882" s="3">
        <v>8157.0</v>
      </c>
      <c r="D1882" s="4" t="s">
        <v>4380</v>
      </c>
      <c r="E1882" s="3" t="s">
        <v>4381</v>
      </c>
      <c r="F1882" s="3" t="s">
        <v>13</v>
      </c>
      <c r="G1882" s="3" t="str">
        <f t="shared" si="3"/>
        <v>XIIAKL3</v>
      </c>
      <c r="H1882" s="3" t="str">
        <f>VLOOKUP($C1882,Userpass!$A$2:$L$3001,12,FALSE)</f>
        <v>AKL3</v>
      </c>
      <c r="I1882" s="5" t="s">
        <v>4223</v>
      </c>
      <c r="J1882" s="3">
        <v>2023.0</v>
      </c>
      <c r="K1882" s="4" t="str">
        <f>VLOOKUP($C1882,Userpass!$A$2:$R$3001,2,FALSE)</f>
        <v>akl20238157.siswa@smkn12malang.sch.id</v>
      </c>
    </row>
    <row r="1883">
      <c r="A1883" s="3" t="str">
        <f t="shared" si="1"/>
        <v>OK</v>
      </c>
      <c r="B1883" s="3" t="str">
        <f t="shared" si="2"/>
        <v>OK</v>
      </c>
      <c r="C1883" s="3">
        <v>8164.0</v>
      </c>
      <c r="D1883" s="4" t="s">
        <v>4382</v>
      </c>
      <c r="E1883" s="3" t="s">
        <v>4383</v>
      </c>
      <c r="F1883" s="3" t="s">
        <v>13</v>
      </c>
      <c r="G1883" s="3" t="str">
        <f t="shared" si="3"/>
        <v>XIIAKL3</v>
      </c>
      <c r="H1883" s="3" t="str">
        <f>VLOOKUP($C1883,Userpass!$A$2:$L$3001,12,FALSE)</f>
        <v>AKL3</v>
      </c>
      <c r="I1883" s="5" t="s">
        <v>4223</v>
      </c>
      <c r="J1883" s="3">
        <v>2023.0</v>
      </c>
      <c r="K1883" s="4" t="str">
        <f>VLOOKUP($C1883,Userpass!$A$2:$R$3001,2,FALSE)</f>
        <v>akl20238164.siswa@smkn12malang.sch.id</v>
      </c>
    </row>
    <row r="1884">
      <c r="A1884" s="3" t="str">
        <f t="shared" si="1"/>
        <v>OK</v>
      </c>
      <c r="B1884" s="3" t="str">
        <f t="shared" si="2"/>
        <v>OK</v>
      </c>
      <c r="C1884" s="3">
        <v>8185.0</v>
      </c>
      <c r="D1884" s="4" t="s">
        <v>4384</v>
      </c>
      <c r="E1884" s="3" t="s">
        <v>4385</v>
      </c>
      <c r="F1884" s="3" t="s">
        <v>13</v>
      </c>
      <c r="G1884" s="3" t="str">
        <f t="shared" si="3"/>
        <v>XIIAKL3</v>
      </c>
      <c r="H1884" s="3" t="str">
        <f>VLOOKUP($C1884,Userpass!$A$2:$L$3001,12,FALSE)</f>
        <v>AKL3</v>
      </c>
      <c r="I1884" s="5" t="s">
        <v>4223</v>
      </c>
      <c r="J1884" s="3">
        <v>2023.0</v>
      </c>
      <c r="K1884" s="4" t="str">
        <f>VLOOKUP($C1884,Userpass!$A$2:$R$3001,2,FALSE)</f>
        <v>akl20238185.siswa@smkn12malang.sch.id</v>
      </c>
    </row>
    <row r="1885">
      <c r="A1885" s="3" t="str">
        <f t="shared" si="1"/>
        <v>OK</v>
      </c>
      <c r="B1885" s="3" t="str">
        <f t="shared" si="2"/>
        <v>OK</v>
      </c>
      <c r="C1885" s="3">
        <v>8198.0</v>
      </c>
      <c r="D1885" s="4" t="s">
        <v>4386</v>
      </c>
      <c r="E1885" s="3" t="s">
        <v>4387</v>
      </c>
      <c r="F1885" s="3" t="s">
        <v>13</v>
      </c>
      <c r="G1885" s="3" t="str">
        <f t="shared" si="3"/>
        <v>XIIAKL3</v>
      </c>
      <c r="H1885" s="3" t="str">
        <f>VLOOKUP($C1885,Userpass!$A$2:$L$3001,12,FALSE)</f>
        <v>AKL3</v>
      </c>
      <c r="I1885" s="5" t="s">
        <v>4223</v>
      </c>
      <c r="J1885" s="3">
        <v>2023.0</v>
      </c>
      <c r="K1885" s="4" t="str">
        <f>VLOOKUP($C1885,Userpass!$A$2:$R$3001,2,FALSE)</f>
        <v>akl20238198.siswa@smkn12malang.sch.id</v>
      </c>
    </row>
    <row r="1886">
      <c r="A1886" s="3" t="str">
        <f t="shared" si="1"/>
        <v>OK</v>
      </c>
      <c r="B1886" s="3" t="str">
        <f t="shared" si="2"/>
        <v>INVALID</v>
      </c>
      <c r="C1886" s="3">
        <v>8636.0</v>
      </c>
      <c r="D1886" s="4"/>
      <c r="E1886" s="3" t="s">
        <v>4388</v>
      </c>
      <c r="F1886" s="3" t="s">
        <v>17</v>
      </c>
      <c r="G1886" s="3" t="str">
        <f t="shared" si="3"/>
        <v>XIIAKL3</v>
      </c>
      <c r="H1886" s="3" t="str">
        <f>VLOOKUP($C1886,Userpass!$A$2:$L$3001,12,FALSE)</f>
        <v>AKL3</v>
      </c>
      <c r="I1886" s="5" t="s">
        <v>4223</v>
      </c>
      <c r="J1886" s="3">
        <v>2023.0</v>
      </c>
      <c r="K1886" s="4" t="str">
        <f>VLOOKUP($C1886,Userpass!$A$2:$R$3001,2,FALSE)</f>
        <v>akl20238636.siswa@smkn12malang.sch.id</v>
      </c>
    </row>
    <row r="1887">
      <c r="A1887" s="3" t="str">
        <f t="shared" si="1"/>
        <v>OK</v>
      </c>
      <c r="B1887" s="3" t="str">
        <f t="shared" si="2"/>
        <v>OK</v>
      </c>
      <c r="C1887" s="3">
        <v>8237.0</v>
      </c>
      <c r="D1887" s="4" t="s">
        <v>4389</v>
      </c>
      <c r="E1887" s="3" t="s">
        <v>4390</v>
      </c>
      <c r="F1887" s="3" t="s">
        <v>13</v>
      </c>
      <c r="G1887" s="3" t="str">
        <f t="shared" si="3"/>
        <v>XIIAKL3</v>
      </c>
      <c r="H1887" s="3" t="str">
        <f>VLOOKUP($C1887,Userpass!$A$2:$L$3001,12,FALSE)</f>
        <v>AKL3</v>
      </c>
      <c r="I1887" s="5" t="s">
        <v>4223</v>
      </c>
      <c r="J1887" s="3">
        <v>2023.0</v>
      </c>
      <c r="K1887" s="4" t="str">
        <f>VLOOKUP($C1887,Userpass!$A$2:$R$3001,2,FALSE)</f>
        <v>akl20238237.siswa@smkn12malang.sch.id</v>
      </c>
    </row>
    <row r="1888">
      <c r="A1888" s="3" t="str">
        <f t="shared" si="1"/>
        <v>OK</v>
      </c>
      <c r="B1888" s="3" t="str">
        <f t="shared" si="2"/>
        <v>OK</v>
      </c>
      <c r="C1888" s="3">
        <v>8251.0</v>
      </c>
      <c r="D1888" s="4" t="s">
        <v>4391</v>
      </c>
      <c r="E1888" s="3" t="s">
        <v>4392</v>
      </c>
      <c r="F1888" s="3" t="s">
        <v>13</v>
      </c>
      <c r="G1888" s="3" t="str">
        <f t="shared" si="3"/>
        <v>XIIAKL3</v>
      </c>
      <c r="H1888" s="3" t="str">
        <f>VLOOKUP($C1888,Userpass!$A$2:$L$3001,12,FALSE)</f>
        <v>AKL3</v>
      </c>
      <c r="I1888" s="5" t="s">
        <v>4223</v>
      </c>
      <c r="J1888" s="3">
        <v>2023.0</v>
      </c>
      <c r="K1888" s="4" t="str">
        <f>VLOOKUP($C1888,Userpass!$A$2:$R$3001,2,FALSE)</f>
        <v>akl20238251.siswa@smkn12malang.sch.id</v>
      </c>
    </row>
    <row r="1889">
      <c r="A1889" s="3" t="str">
        <f t="shared" si="1"/>
        <v>OK</v>
      </c>
      <c r="B1889" s="3" t="str">
        <f t="shared" si="2"/>
        <v>OK</v>
      </c>
      <c r="C1889" s="3">
        <v>8266.0</v>
      </c>
      <c r="D1889" s="4" t="s">
        <v>4393</v>
      </c>
      <c r="E1889" s="3" t="s">
        <v>4394</v>
      </c>
      <c r="F1889" s="3" t="s">
        <v>13</v>
      </c>
      <c r="G1889" s="3" t="str">
        <f t="shared" si="3"/>
        <v>XIIAKL3</v>
      </c>
      <c r="H1889" s="3" t="str">
        <f>VLOOKUP($C1889,Userpass!$A$2:$L$3001,12,FALSE)</f>
        <v>AKL3</v>
      </c>
      <c r="I1889" s="5" t="s">
        <v>4223</v>
      </c>
      <c r="J1889" s="3">
        <v>2023.0</v>
      </c>
      <c r="K1889" s="4" t="str">
        <f>VLOOKUP($C1889,Userpass!$A$2:$R$3001,2,FALSE)</f>
        <v>akl20238266.siswa@smkn12malang.sch.id</v>
      </c>
    </row>
    <row r="1890">
      <c r="A1890" s="3" t="str">
        <f t="shared" si="1"/>
        <v>OK</v>
      </c>
      <c r="B1890" s="3" t="str">
        <f t="shared" si="2"/>
        <v>OK</v>
      </c>
      <c r="C1890" s="3">
        <v>8278.0</v>
      </c>
      <c r="D1890" s="4" t="s">
        <v>4395</v>
      </c>
      <c r="E1890" s="3" t="s">
        <v>4396</v>
      </c>
      <c r="F1890" s="3" t="s">
        <v>13</v>
      </c>
      <c r="G1890" s="3" t="str">
        <f t="shared" si="3"/>
        <v>XIIAKL3</v>
      </c>
      <c r="H1890" s="3" t="str">
        <f>VLOOKUP($C1890,Userpass!$A$2:$L$3001,12,FALSE)</f>
        <v>AKL3</v>
      </c>
      <c r="I1890" s="5" t="s">
        <v>4223</v>
      </c>
      <c r="J1890" s="3">
        <v>2023.0</v>
      </c>
      <c r="K1890" s="4" t="str">
        <f>VLOOKUP($C1890,Userpass!$A$2:$R$3001,2,FALSE)</f>
        <v>akl20238278.siswa@smkn12malang.sch.id</v>
      </c>
    </row>
    <row r="1891">
      <c r="A1891" s="3" t="str">
        <f t="shared" si="1"/>
        <v>OK</v>
      </c>
      <c r="B1891" s="3" t="str">
        <f t="shared" si="2"/>
        <v>OK</v>
      </c>
      <c r="C1891" s="3">
        <v>8291.0</v>
      </c>
      <c r="D1891" s="4" t="s">
        <v>4397</v>
      </c>
      <c r="E1891" s="3" t="s">
        <v>4398</v>
      </c>
      <c r="F1891" s="3" t="s">
        <v>13</v>
      </c>
      <c r="G1891" s="3" t="str">
        <f t="shared" si="3"/>
        <v>XIIAKL3</v>
      </c>
      <c r="H1891" s="3" t="str">
        <f>VLOOKUP($C1891,Userpass!$A$2:$L$3001,12,FALSE)</f>
        <v>AKL3</v>
      </c>
      <c r="I1891" s="5" t="s">
        <v>4223</v>
      </c>
      <c r="J1891" s="3">
        <v>2023.0</v>
      </c>
      <c r="K1891" s="4" t="str">
        <f>VLOOKUP($C1891,Userpass!$A$2:$R$3001,2,FALSE)</f>
        <v>akl20238291.siswa@smkn12malang.sch.id</v>
      </c>
    </row>
    <row r="1892">
      <c r="A1892" s="3" t="str">
        <f t="shared" si="1"/>
        <v>OK</v>
      </c>
      <c r="B1892" s="3" t="str">
        <f t="shared" si="2"/>
        <v>OK</v>
      </c>
      <c r="C1892" s="3">
        <v>8304.0</v>
      </c>
      <c r="D1892" s="4" t="s">
        <v>4399</v>
      </c>
      <c r="E1892" s="3" t="s">
        <v>4400</v>
      </c>
      <c r="F1892" s="3" t="s">
        <v>13</v>
      </c>
      <c r="G1892" s="3" t="str">
        <f t="shared" si="3"/>
        <v>XIIAKL3</v>
      </c>
      <c r="H1892" s="3" t="str">
        <f>VLOOKUP($C1892,Userpass!$A$2:$L$3001,12,FALSE)</f>
        <v>AKL3</v>
      </c>
      <c r="I1892" s="5" t="s">
        <v>4223</v>
      </c>
      <c r="J1892" s="3">
        <v>2023.0</v>
      </c>
      <c r="K1892" s="4" t="str">
        <f>VLOOKUP($C1892,Userpass!$A$2:$R$3001,2,FALSE)</f>
        <v>akl20238304.siswa@smkn12malang.sch.id</v>
      </c>
    </row>
    <row r="1893">
      <c r="A1893" s="3" t="str">
        <f t="shared" si="1"/>
        <v>OK</v>
      </c>
      <c r="B1893" s="3" t="str">
        <f t="shared" si="2"/>
        <v>OK</v>
      </c>
      <c r="C1893" s="3">
        <v>8313.0</v>
      </c>
      <c r="D1893" s="4" t="s">
        <v>4401</v>
      </c>
      <c r="E1893" s="3" t="s">
        <v>4402</v>
      </c>
      <c r="F1893" s="3" t="s">
        <v>13</v>
      </c>
      <c r="G1893" s="3" t="str">
        <f t="shared" si="3"/>
        <v>XIIAKL3</v>
      </c>
      <c r="H1893" s="3" t="str">
        <f>VLOOKUP($C1893,Userpass!$A$2:$L$3001,12,FALSE)</f>
        <v>AKL3</v>
      </c>
      <c r="I1893" s="5" t="s">
        <v>4223</v>
      </c>
      <c r="J1893" s="3">
        <v>2023.0</v>
      </c>
      <c r="K1893" s="4" t="str">
        <f>VLOOKUP($C1893,Userpass!$A$2:$R$3001,2,FALSE)</f>
        <v>akl20238313.siswa@smkn12malang.sch.id</v>
      </c>
    </row>
    <row r="1894">
      <c r="A1894" s="3" t="str">
        <f t="shared" si="1"/>
        <v>OK</v>
      </c>
      <c r="B1894" s="3" t="str">
        <f t="shared" si="2"/>
        <v>OK</v>
      </c>
      <c r="C1894" s="3">
        <v>8324.0</v>
      </c>
      <c r="D1894" s="4" t="s">
        <v>4403</v>
      </c>
      <c r="E1894" s="3" t="s">
        <v>4404</v>
      </c>
      <c r="F1894" s="3" t="s">
        <v>13</v>
      </c>
      <c r="G1894" s="3" t="str">
        <f t="shared" si="3"/>
        <v>XIIAKL3</v>
      </c>
      <c r="H1894" s="3" t="str">
        <f>VLOOKUP($C1894,Userpass!$A$2:$L$3001,12,FALSE)</f>
        <v>AKL3</v>
      </c>
      <c r="I1894" s="5" t="s">
        <v>4223</v>
      </c>
      <c r="J1894" s="3">
        <v>2023.0</v>
      </c>
      <c r="K1894" s="4" t="str">
        <f>VLOOKUP($C1894,Userpass!$A$2:$R$3001,2,FALSE)</f>
        <v>akl20238324.siswa@smkn12malang.sch.id</v>
      </c>
    </row>
    <row r="1895">
      <c r="A1895" s="3" t="str">
        <f t="shared" si="1"/>
        <v>OK</v>
      </c>
      <c r="B1895" s="3" t="str">
        <f t="shared" si="2"/>
        <v>OK</v>
      </c>
      <c r="C1895" s="3">
        <v>8354.0</v>
      </c>
      <c r="D1895" s="4" t="s">
        <v>4405</v>
      </c>
      <c r="E1895" s="3" t="s">
        <v>4406</v>
      </c>
      <c r="F1895" s="3" t="s">
        <v>13</v>
      </c>
      <c r="G1895" s="3" t="str">
        <f t="shared" si="3"/>
        <v>XIIAKL3</v>
      </c>
      <c r="H1895" s="3" t="str">
        <f>VLOOKUP($C1895,Userpass!$A$2:$L$3001,12,FALSE)</f>
        <v>AKL3</v>
      </c>
      <c r="I1895" s="5" t="s">
        <v>4223</v>
      </c>
      <c r="J1895" s="3">
        <v>2023.0</v>
      </c>
      <c r="K1895" s="4" t="str">
        <f>VLOOKUP($C1895,Userpass!$A$2:$R$3001,2,FALSE)</f>
        <v>akl20238354.siswa@smkn12malang.sch.id</v>
      </c>
    </row>
    <row r="1896">
      <c r="A1896" s="3" t="str">
        <f t="shared" si="1"/>
        <v>OK</v>
      </c>
      <c r="B1896" s="3" t="str">
        <f t="shared" si="2"/>
        <v>OK</v>
      </c>
      <c r="C1896" s="3">
        <v>8439.0</v>
      </c>
      <c r="D1896" s="4" t="s">
        <v>4407</v>
      </c>
      <c r="E1896" s="3" t="s">
        <v>4408</v>
      </c>
      <c r="F1896" s="3" t="s">
        <v>13</v>
      </c>
      <c r="G1896" s="3" t="str">
        <f t="shared" si="3"/>
        <v>XIIAKL3</v>
      </c>
      <c r="H1896" s="3" t="str">
        <f>VLOOKUP($C1896,Userpass!$A$2:$L$3001,12,FALSE)</f>
        <v>AKL3</v>
      </c>
      <c r="I1896" s="5" t="s">
        <v>4223</v>
      </c>
      <c r="J1896" s="3">
        <v>2023.0</v>
      </c>
      <c r="K1896" s="4" t="str">
        <f>VLOOKUP($C1896,Userpass!$A$2:$R$3001,2,FALSE)</f>
        <v>akl20238439.siswa@smkn12malang.sch.id</v>
      </c>
    </row>
    <row r="1897">
      <c r="A1897" s="3" t="str">
        <f t="shared" si="1"/>
        <v>OK</v>
      </c>
      <c r="B1897" s="3" t="str">
        <f t="shared" si="2"/>
        <v>OK</v>
      </c>
      <c r="C1897" s="3">
        <v>8443.0</v>
      </c>
      <c r="D1897" s="4" t="s">
        <v>4409</v>
      </c>
      <c r="E1897" s="3" t="s">
        <v>4410</v>
      </c>
      <c r="F1897" s="3" t="s">
        <v>13</v>
      </c>
      <c r="G1897" s="3" t="str">
        <f t="shared" si="3"/>
        <v>XIIAKL3</v>
      </c>
      <c r="H1897" s="3" t="str">
        <f>VLOOKUP($C1897,Userpass!$A$2:$L$3001,12,FALSE)</f>
        <v>AKL3</v>
      </c>
      <c r="I1897" s="5" t="s">
        <v>4223</v>
      </c>
      <c r="J1897" s="3">
        <v>2023.0</v>
      </c>
      <c r="K1897" s="4" t="str">
        <f>VLOOKUP($C1897,Userpass!$A$2:$R$3001,2,FALSE)</f>
        <v>akl20238443.siswa@smkn12malang.sch.id</v>
      </c>
    </row>
    <row r="1898">
      <c r="A1898" s="3" t="str">
        <f t="shared" si="1"/>
        <v>OK</v>
      </c>
      <c r="B1898" s="3" t="str">
        <f t="shared" si="2"/>
        <v>OK</v>
      </c>
      <c r="C1898" s="3">
        <v>8449.0</v>
      </c>
      <c r="D1898" s="4" t="s">
        <v>4411</v>
      </c>
      <c r="E1898" s="3" t="s">
        <v>4412</v>
      </c>
      <c r="F1898" s="3" t="s">
        <v>13</v>
      </c>
      <c r="G1898" s="3" t="str">
        <f t="shared" si="3"/>
        <v>XIIAKL3</v>
      </c>
      <c r="H1898" s="3" t="str">
        <f>VLOOKUP($C1898,Userpass!$A$2:$L$3001,12,FALSE)</f>
        <v>AKL3</v>
      </c>
      <c r="I1898" s="5" t="s">
        <v>4223</v>
      </c>
      <c r="J1898" s="3">
        <v>2023.0</v>
      </c>
      <c r="K1898" s="4" t="str">
        <f>VLOOKUP($C1898,Userpass!$A$2:$R$3001,2,FALSE)</f>
        <v>akl20238449.siswa@smkn12malang.sch.id</v>
      </c>
    </row>
    <row r="1899">
      <c r="A1899" s="3" t="str">
        <f t="shared" si="1"/>
        <v>OK</v>
      </c>
      <c r="B1899" s="3" t="str">
        <f t="shared" si="2"/>
        <v>OK</v>
      </c>
      <c r="C1899" s="3">
        <v>8456.0</v>
      </c>
      <c r="D1899" s="4" t="s">
        <v>4413</v>
      </c>
      <c r="E1899" s="3" t="s">
        <v>4414</v>
      </c>
      <c r="F1899" s="3" t="s">
        <v>13</v>
      </c>
      <c r="G1899" s="3" t="str">
        <f t="shared" si="3"/>
        <v>XIIAKL3</v>
      </c>
      <c r="H1899" s="3" t="str">
        <f>VLOOKUP($C1899,Userpass!$A$2:$L$3001,12,FALSE)</f>
        <v>AKL3</v>
      </c>
      <c r="I1899" s="5" t="s">
        <v>4223</v>
      </c>
      <c r="J1899" s="3">
        <v>2023.0</v>
      </c>
      <c r="K1899" s="4" t="str">
        <f>VLOOKUP($C1899,Userpass!$A$2:$R$3001,2,FALSE)</f>
        <v>akl20238456.siswa@smkn12malang.sch.id</v>
      </c>
    </row>
    <row r="1900">
      <c r="A1900" s="3" t="str">
        <f t="shared" si="1"/>
        <v>OK</v>
      </c>
      <c r="B1900" s="3" t="str">
        <f t="shared" si="2"/>
        <v>OK</v>
      </c>
      <c r="C1900" s="3">
        <v>8472.0</v>
      </c>
      <c r="D1900" s="4" t="s">
        <v>4415</v>
      </c>
      <c r="E1900" s="3" t="s">
        <v>4416</v>
      </c>
      <c r="F1900" s="3" t="s">
        <v>13</v>
      </c>
      <c r="G1900" s="3" t="str">
        <f t="shared" si="3"/>
        <v>XIIAKL3</v>
      </c>
      <c r="H1900" s="3" t="str">
        <f>VLOOKUP($C1900,Userpass!$A$2:$L$3001,12,FALSE)</f>
        <v>AKL3</v>
      </c>
      <c r="I1900" s="5" t="s">
        <v>4223</v>
      </c>
      <c r="J1900" s="3">
        <v>2023.0</v>
      </c>
      <c r="K1900" s="4" t="str">
        <f>VLOOKUP($C1900,Userpass!$A$2:$R$3001,2,FALSE)</f>
        <v>akl20238472.siswa@smkn12malang.sch.id</v>
      </c>
    </row>
    <row r="1901">
      <c r="A1901" s="3" t="str">
        <f t="shared" si="1"/>
        <v>OK</v>
      </c>
      <c r="B1901" s="3" t="str">
        <f t="shared" si="2"/>
        <v>OK</v>
      </c>
      <c r="C1901" s="3">
        <v>8487.0</v>
      </c>
      <c r="D1901" s="4" t="s">
        <v>4417</v>
      </c>
      <c r="E1901" s="3" t="s">
        <v>4418</v>
      </c>
      <c r="F1901" s="3" t="s">
        <v>13</v>
      </c>
      <c r="G1901" s="3" t="str">
        <f t="shared" si="3"/>
        <v>XIIAKL3</v>
      </c>
      <c r="H1901" s="3" t="str">
        <f>VLOOKUP($C1901,Userpass!$A$2:$L$3001,12,FALSE)</f>
        <v>AKL3</v>
      </c>
      <c r="I1901" s="5" t="s">
        <v>4223</v>
      </c>
      <c r="J1901" s="3">
        <v>2023.0</v>
      </c>
      <c r="K1901" s="4" t="str">
        <f>VLOOKUP($C1901,Userpass!$A$2:$R$3001,2,FALSE)</f>
        <v>akl20238487.siswa@smkn12malang.sch.id</v>
      </c>
    </row>
    <row r="1902">
      <c r="A1902" s="3" t="str">
        <f t="shared" si="1"/>
        <v>OK</v>
      </c>
      <c r="B1902" s="3" t="str">
        <f t="shared" si="2"/>
        <v>OK</v>
      </c>
      <c r="C1902" s="3">
        <v>8515.0</v>
      </c>
      <c r="D1902" s="4" t="s">
        <v>4419</v>
      </c>
      <c r="E1902" s="3" t="s">
        <v>4420</v>
      </c>
      <c r="F1902" s="3" t="s">
        <v>13</v>
      </c>
      <c r="G1902" s="3" t="str">
        <f t="shared" si="3"/>
        <v>XIIAKL3</v>
      </c>
      <c r="H1902" s="3" t="str">
        <f>VLOOKUP($C1902,Userpass!$A$2:$L$3001,12,FALSE)</f>
        <v>AKL3</v>
      </c>
      <c r="I1902" s="5" t="s">
        <v>4223</v>
      </c>
      <c r="J1902" s="3">
        <v>2023.0</v>
      </c>
      <c r="K1902" s="4" t="str">
        <f>VLOOKUP($C1902,Userpass!$A$2:$R$3001,2,FALSE)</f>
        <v>akl20238515.siswa@smkn12malang.sch.id</v>
      </c>
    </row>
    <row r="1903">
      <c r="A1903" s="3" t="str">
        <f t="shared" si="1"/>
        <v>OK</v>
      </c>
      <c r="B1903" s="3" t="str">
        <f t="shared" si="2"/>
        <v>OK</v>
      </c>
      <c r="C1903" s="3">
        <v>8530.0</v>
      </c>
      <c r="D1903" s="4" t="s">
        <v>4421</v>
      </c>
      <c r="E1903" s="3" t="s">
        <v>4422</v>
      </c>
      <c r="F1903" s="3" t="s">
        <v>13</v>
      </c>
      <c r="G1903" s="3" t="str">
        <f t="shared" si="3"/>
        <v>XIIAKL3</v>
      </c>
      <c r="H1903" s="3" t="str">
        <f>VLOOKUP($C1903,Userpass!$A$2:$L$3001,12,FALSE)</f>
        <v>AKL3</v>
      </c>
      <c r="I1903" s="5" t="s">
        <v>4223</v>
      </c>
      <c r="J1903" s="3">
        <v>2023.0</v>
      </c>
      <c r="K1903" s="4" t="str">
        <f>VLOOKUP($C1903,Userpass!$A$2:$R$3001,2,FALSE)</f>
        <v>akl20238530.siswa@smkn12malang.sch.id</v>
      </c>
    </row>
    <row r="1904">
      <c r="A1904" s="3" t="str">
        <f t="shared" si="1"/>
        <v>OK</v>
      </c>
      <c r="B1904" s="3" t="str">
        <f t="shared" si="2"/>
        <v>OK</v>
      </c>
      <c r="C1904" s="3">
        <v>8543.0</v>
      </c>
      <c r="D1904" s="4" t="s">
        <v>4423</v>
      </c>
      <c r="E1904" s="3" t="s">
        <v>4424</v>
      </c>
      <c r="F1904" s="3" t="s">
        <v>17</v>
      </c>
      <c r="G1904" s="3" t="str">
        <f t="shared" si="3"/>
        <v>XIIAKL3</v>
      </c>
      <c r="H1904" s="3" t="str">
        <f>VLOOKUP($C1904,Userpass!$A$2:$L$3001,12,FALSE)</f>
        <v>AKL3</v>
      </c>
      <c r="I1904" s="5" t="s">
        <v>4223</v>
      </c>
      <c r="J1904" s="3">
        <v>2023.0</v>
      </c>
      <c r="K1904" s="4" t="str">
        <f>VLOOKUP($C1904,Userpass!$A$2:$R$3001,2,FALSE)</f>
        <v>akl20238543.siswa@smkn12malang.sch.id</v>
      </c>
    </row>
    <row r="1905">
      <c r="A1905" s="3" t="str">
        <f t="shared" si="1"/>
        <v>OK</v>
      </c>
      <c r="B1905" s="3" t="str">
        <f t="shared" si="2"/>
        <v>OK</v>
      </c>
      <c r="C1905" s="3">
        <v>8557.0</v>
      </c>
      <c r="D1905" s="4" t="s">
        <v>4425</v>
      </c>
      <c r="E1905" s="3" t="s">
        <v>4426</v>
      </c>
      <c r="F1905" s="3" t="s">
        <v>13</v>
      </c>
      <c r="G1905" s="3" t="str">
        <f t="shared" si="3"/>
        <v>XIIAKL3</v>
      </c>
      <c r="H1905" s="3" t="str">
        <f>VLOOKUP($C1905,Userpass!$A$2:$L$3001,12,FALSE)</f>
        <v>AKL3</v>
      </c>
      <c r="I1905" s="5" t="s">
        <v>4223</v>
      </c>
      <c r="J1905" s="3">
        <v>2023.0</v>
      </c>
      <c r="K1905" s="4" t="str">
        <f>VLOOKUP($C1905,Userpass!$A$2:$R$3001,2,FALSE)</f>
        <v>akl20238557.siswa@smkn12malang.sch.id</v>
      </c>
    </row>
    <row r="1906">
      <c r="A1906" s="3" t="str">
        <f t="shared" si="1"/>
        <v>OK</v>
      </c>
      <c r="B1906" s="3" t="str">
        <f t="shared" si="2"/>
        <v>OK</v>
      </c>
      <c r="C1906" s="3">
        <v>8568.0</v>
      </c>
      <c r="D1906" s="4" t="s">
        <v>4427</v>
      </c>
      <c r="E1906" s="3" t="s">
        <v>4428</v>
      </c>
      <c r="F1906" s="3" t="s">
        <v>13</v>
      </c>
      <c r="G1906" s="3" t="str">
        <f t="shared" si="3"/>
        <v>XIIAKL3</v>
      </c>
      <c r="H1906" s="3" t="str">
        <f>VLOOKUP($C1906,Userpass!$A$2:$L$3001,12,FALSE)</f>
        <v>AKL3</v>
      </c>
      <c r="I1906" s="5" t="s">
        <v>4223</v>
      </c>
      <c r="J1906" s="3">
        <v>2023.0</v>
      </c>
      <c r="K1906" s="4" t="str">
        <f>VLOOKUP($C1906,Userpass!$A$2:$R$3001,2,FALSE)</f>
        <v>akl20238568.siswa@smkn12malang.sch.id</v>
      </c>
    </row>
    <row r="1907">
      <c r="A1907" s="3" t="str">
        <f t="shared" si="1"/>
        <v>OK</v>
      </c>
      <c r="B1907" s="3" t="str">
        <f t="shared" si="2"/>
        <v>OK</v>
      </c>
      <c r="C1907" s="3">
        <v>8577.0</v>
      </c>
      <c r="D1907" s="4" t="s">
        <v>4429</v>
      </c>
      <c r="E1907" s="3" t="s">
        <v>4430</v>
      </c>
      <c r="F1907" s="3" t="s">
        <v>13</v>
      </c>
      <c r="G1907" s="3" t="str">
        <f t="shared" si="3"/>
        <v>XIIAKL3</v>
      </c>
      <c r="H1907" s="3" t="str">
        <f>VLOOKUP($C1907,Userpass!$A$2:$L$3001,12,FALSE)</f>
        <v>AKL3</v>
      </c>
      <c r="I1907" s="5" t="s">
        <v>4223</v>
      </c>
      <c r="J1907" s="3">
        <v>2023.0</v>
      </c>
      <c r="K1907" s="4" t="str">
        <f>VLOOKUP($C1907,Userpass!$A$2:$R$3001,2,FALSE)</f>
        <v>akl20238577.siswa@smkn12malang.sch.id</v>
      </c>
    </row>
    <row r="1908">
      <c r="A1908" s="3" t="str">
        <f t="shared" si="1"/>
        <v>OK</v>
      </c>
      <c r="B1908" s="3" t="str">
        <f t="shared" si="2"/>
        <v>OK</v>
      </c>
      <c r="C1908" s="3">
        <v>8597.0</v>
      </c>
      <c r="D1908" s="4" t="s">
        <v>4431</v>
      </c>
      <c r="E1908" s="3" t="s">
        <v>4432</v>
      </c>
      <c r="F1908" s="3" t="s">
        <v>13</v>
      </c>
      <c r="G1908" s="3" t="str">
        <f t="shared" si="3"/>
        <v>XIIAKL3</v>
      </c>
      <c r="H1908" s="3" t="str">
        <f>VLOOKUP($C1908,Userpass!$A$2:$L$3001,12,FALSE)</f>
        <v>AKL3</v>
      </c>
      <c r="I1908" s="5" t="s">
        <v>4223</v>
      </c>
      <c r="J1908" s="3">
        <v>2023.0</v>
      </c>
      <c r="K1908" s="4" t="str">
        <f>VLOOKUP($C1908,Userpass!$A$2:$R$3001,2,FALSE)</f>
        <v>akl20238597.siswa@smkn12malang.sch.id</v>
      </c>
    </row>
    <row r="1909">
      <c r="A1909" s="3" t="str">
        <f t="shared" si="1"/>
        <v>OK</v>
      </c>
      <c r="B1909" s="3" t="str">
        <f t="shared" si="2"/>
        <v>OK</v>
      </c>
      <c r="C1909" s="3">
        <v>8620.0</v>
      </c>
      <c r="D1909" s="4" t="s">
        <v>4433</v>
      </c>
      <c r="E1909" s="3" t="s">
        <v>4434</v>
      </c>
      <c r="F1909" s="3" t="s">
        <v>17</v>
      </c>
      <c r="G1909" s="3" t="str">
        <f t="shared" si="3"/>
        <v>XIIAKL3</v>
      </c>
      <c r="H1909" s="3" t="str">
        <f>VLOOKUP($C1909,Userpass!$A$2:$L$3001,12,FALSE)</f>
        <v>AKL3</v>
      </c>
      <c r="I1909" s="5" t="s">
        <v>4223</v>
      </c>
      <c r="J1909" s="3">
        <v>2023.0</v>
      </c>
      <c r="K1909" s="4" t="str">
        <f>VLOOKUP($C1909,Userpass!$A$2:$R$3001,2,FALSE)</f>
        <v>akl20238620.siswa@smkn12malang.sch.id</v>
      </c>
    </row>
    <row r="1910">
      <c r="A1910" s="3" t="str">
        <f t="shared" si="1"/>
        <v>OK</v>
      </c>
      <c r="B1910" s="3" t="str">
        <f t="shared" si="2"/>
        <v>OK</v>
      </c>
      <c r="C1910" s="3">
        <v>8623.0</v>
      </c>
      <c r="D1910" s="4" t="s">
        <v>4435</v>
      </c>
      <c r="E1910" s="3" t="s">
        <v>4436</v>
      </c>
      <c r="F1910" s="3" t="s">
        <v>13</v>
      </c>
      <c r="G1910" s="3" t="str">
        <f t="shared" si="3"/>
        <v>XIIAKL3</v>
      </c>
      <c r="H1910" s="3" t="str">
        <f>VLOOKUP($C1910,Userpass!$A$2:$L$3001,12,FALSE)</f>
        <v>AKL3</v>
      </c>
      <c r="I1910" s="5" t="s">
        <v>4223</v>
      </c>
      <c r="J1910" s="3">
        <v>2023.0</v>
      </c>
      <c r="K1910" s="4" t="str">
        <f>VLOOKUP($C1910,Userpass!$A$2:$R$3001,2,FALSE)</f>
        <v>akl20238623.siswa@smkn12malang.sch.id</v>
      </c>
    </row>
    <row r="1911">
      <c r="A1911" s="3" t="str">
        <f t="shared" si="1"/>
        <v>OK</v>
      </c>
      <c r="B1911" s="3" t="str">
        <f t="shared" si="2"/>
        <v>OK</v>
      </c>
      <c r="C1911" s="3">
        <v>8053.0</v>
      </c>
      <c r="D1911" s="4" t="s">
        <v>4437</v>
      </c>
      <c r="E1911" s="3" t="s">
        <v>4438</v>
      </c>
      <c r="F1911" s="3" t="s">
        <v>13</v>
      </c>
      <c r="G1911" s="3" t="str">
        <f t="shared" si="3"/>
        <v>XIIAKL4</v>
      </c>
      <c r="H1911" s="3" t="str">
        <f>VLOOKUP($C1911,Userpass!$A$2:$L$3001,12,FALSE)</f>
        <v>AKL4</v>
      </c>
      <c r="I1911" s="5" t="s">
        <v>4223</v>
      </c>
      <c r="J1911" s="3">
        <v>2023.0</v>
      </c>
      <c r="K1911" s="4" t="str">
        <f>VLOOKUP($C1911,Userpass!$A$2:$R$3001,2,FALSE)</f>
        <v>akl20238053.siswa@smkn12malang.sch.id</v>
      </c>
    </row>
    <row r="1912">
      <c r="A1912" s="3" t="str">
        <f t="shared" si="1"/>
        <v>OK</v>
      </c>
      <c r="B1912" s="3" t="str">
        <f t="shared" si="2"/>
        <v>OK</v>
      </c>
      <c r="C1912" s="3">
        <v>8079.0</v>
      </c>
      <c r="D1912" s="4" t="s">
        <v>4439</v>
      </c>
      <c r="E1912" s="3" t="s">
        <v>4440</v>
      </c>
      <c r="F1912" s="3" t="s">
        <v>13</v>
      </c>
      <c r="G1912" s="3" t="str">
        <f t="shared" si="3"/>
        <v>XIIAKL4</v>
      </c>
      <c r="H1912" s="3" t="str">
        <f>VLOOKUP($C1912,Userpass!$A$2:$L$3001,12,FALSE)</f>
        <v>AKL4</v>
      </c>
      <c r="I1912" s="5" t="s">
        <v>4223</v>
      </c>
      <c r="J1912" s="3">
        <v>2023.0</v>
      </c>
      <c r="K1912" s="4" t="str">
        <f>VLOOKUP($C1912,Userpass!$A$2:$R$3001,2,FALSE)</f>
        <v>akl20238079.siswa@smkn12malang.sch.id</v>
      </c>
    </row>
    <row r="1913">
      <c r="A1913" s="3" t="str">
        <f t="shared" si="1"/>
        <v>OK</v>
      </c>
      <c r="B1913" s="3" t="str">
        <f t="shared" si="2"/>
        <v>OK</v>
      </c>
      <c r="C1913" s="3">
        <v>8086.0</v>
      </c>
      <c r="D1913" s="4" t="s">
        <v>4441</v>
      </c>
      <c r="E1913" s="3" t="s">
        <v>4442</v>
      </c>
      <c r="F1913" s="3" t="s">
        <v>13</v>
      </c>
      <c r="G1913" s="3" t="str">
        <f t="shared" si="3"/>
        <v>XIIAKL4</v>
      </c>
      <c r="H1913" s="3" t="str">
        <f>VLOOKUP($C1913,Userpass!$A$2:$L$3001,12,FALSE)</f>
        <v>AKL4</v>
      </c>
      <c r="I1913" s="5" t="s">
        <v>4223</v>
      </c>
      <c r="J1913" s="3">
        <v>2023.0</v>
      </c>
      <c r="K1913" s="4" t="str">
        <f>VLOOKUP($C1913,Userpass!$A$2:$R$3001,2,FALSE)</f>
        <v>akl20238086.siswa@smkn12malang.sch.id</v>
      </c>
    </row>
    <row r="1914">
      <c r="A1914" s="3" t="str">
        <f t="shared" si="1"/>
        <v>OK</v>
      </c>
      <c r="B1914" s="3" t="str">
        <f t="shared" si="2"/>
        <v>OK</v>
      </c>
      <c r="C1914" s="3">
        <v>8099.0</v>
      </c>
      <c r="D1914" s="4" t="s">
        <v>4443</v>
      </c>
      <c r="E1914" s="3" t="s">
        <v>4444</v>
      </c>
      <c r="F1914" s="3" t="s">
        <v>13</v>
      </c>
      <c r="G1914" s="3" t="str">
        <f t="shared" si="3"/>
        <v>XIIAKL4</v>
      </c>
      <c r="H1914" s="3" t="str">
        <f>VLOOKUP($C1914,Userpass!$A$2:$L$3001,12,FALSE)</f>
        <v>AKL4</v>
      </c>
      <c r="I1914" s="5" t="s">
        <v>4223</v>
      </c>
      <c r="J1914" s="3">
        <v>2023.0</v>
      </c>
      <c r="K1914" s="4" t="str">
        <f>VLOOKUP($C1914,Userpass!$A$2:$R$3001,2,FALSE)</f>
        <v>akl20238099.siswa@smkn12malang.sch.id</v>
      </c>
    </row>
    <row r="1915">
      <c r="A1915" s="3" t="str">
        <f t="shared" si="1"/>
        <v>OK</v>
      </c>
      <c r="B1915" s="3" t="str">
        <f t="shared" si="2"/>
        <v>OK</v>
      </c>
      <c r="C1915" s="3">
        <v>8112.0</v>
      </c>
      <c r="D1915" s="4" t="s">
        <v>4445</v>
      </c>
      <c r="E1915" s="3" t="s">
        <v>4446</v>
      </c>
      <c r="F1915" s="3" t="s">
        <v>13</v>
      </c>
      <c r="G1915" s="3" t="str">
        <f t="shared" si="3"/>
        <v>XIIAKL4</v>
      </c>
      <c r="H1915" s="3" t="str">
        <f>VLOOKUP($C1915,Userpass!$A$2:$L$3001,12,FALSE)</f>
        <v>AKL4</v>
      </c>
      <c r="I1915" s="5" t="s">
        <v>4223</v>
      </c>
      <c r="J1915" s="3">
        <v>2023.0</v>
      </c>
      <c r="K1915" s="4" t="str">
        <f>VLOOKUP($C1915,Userpass!$A$2:$R$3001,2,FALSE)</f>
        <v>akl20238112.siswa@smkn12malang.sch.id</v>
      </c>
    </row>
    <row r="1916">
      <c r="A1916" s="3" t="str">
        <f t="shared" si="1"/>
        <v>OK</v>
      </c>
      <c r="B1916" s="3" t="str">
        <f t="shared" si="2"/>
        <v>OK</v>
      </c>
      <c r="C1916" s="3">
        <v>8122.0</v>
      </c>
      <c r="D1916" s="4" t="s">
        <v>4447</v>
      </c>
      <c r="E1916" s="3" t="s">
        <v>4448</v>
      </c>
      <c r="F1916" s="3" t="s">
        <v>13</v>
      </c>
      <c r="G1916" s="3" t="str">
        <f t="shared" si="3"/>
        <v>XIIAKL4</v>
      </c>
      <c r="H1916" s="3" t="str">
        <f>VLOOKUP($C1916,Userpass!$A$2:$L$3001,12,FALSE)</f>
        <v>AKL4</v>
      </c>
      <c r="I1916" s="5" t="s">
        <v>4223</v>
      </c>
      <c r="J1916" s="3">
        <v>2023.0</v>
      </c>
      <c r="K1916" s="4" t="str">
        <f>VLOOKUP($C1916,Userpass!$A$2:$R$3001,2,FALSE)</f>
        <v>akl20238122.siswa@smkn12malang.sch.id</v>
      </c>
    </row>
    <row r="1917">
      <c r="A1917" s="3" t="str">
        <f t="shared" si="1"/>
        <v>OK</v>
      </c>
      <c r="B1917" s="3" t="str">
        <f t="shared" si="2"/>
        <v>OK</v>
      </c>
      <c r="C1917" s="3">
        <v>8123.0</v>
      </c>
      <c r="D1917" s="4" t="s">
        <v>4449</v>
      </c>
      <c r="E1917" s="3" t="s">
        <v>4450</v>
      </c>
      <c r="F1917" s="3" t="s">
        <v>13</v>
      </c>
      <c r="G1917" s="3" t="str">
        <f t="shared" si="3"/>
        <v>XIIAKL4</v>
      </c>
      <c r="H1917" s="3" t="str">
        <f>VLOOKUP($C1917,Userpass!$A$2:$L$3001,12,FALSE)</f>
        <v>AKL4</v>
      </c>
      <c r="I1917" s="5" t="s">
        <v>4223</v>
      </c>
      <c r="J1917" s="3">
        <v>2023.0</v>
      </c>
      <c r="K1917" s="4" t="str">
        <f>VLOOKUP($C1917,Userpass!$A$2:$R$3001,2,FALSE)</f>
        <v>akl20238123.siswa@smkn12malang.sch.id</v>
      </c>
    </row>
    <row r="1918">
      <c r="A1918" s="3" t="str">
        <f t="shared" si="1"/>
        <v>OK</v>
      </c>
      <c r="B1918" s="3" t="str">
        <f t="shared" si="2"/>
        <v>OK</v>
      </c>
      <c r="C1918" s="3">
        <v>8150.0</v>
      </c>
      <c r="D1918" s="4" t="s">
        <v>4451</v>
      </c>
      <c r="E1918" s="3" t="s">
        <v>4452</v>
      </c>
      <c r="F1918" s="3" t="s">
        <v>13</v>
      </c>
      <c r="G1918" s="3" t="str">
        <f t="shared" si="3"/>
        <v>XIIAKL4</v>
      </c>
      <c r="H1918" s="3" t="str">
        <f>VLOOKUP($C1918,Userpass!$A$2:$L$3001,12,FALSE)</f>
        <v>AKL4</v>
      </c>
      <c r="I1918" s="5" t="s">
        <v>4223</v>
      </c>
      <c r="J1918" s="3">
        <v>2023.0</v>
      </c>
      <c r="K1918" s="4" t="str">
        <f>VLOOKUP($C1918,Userpass!$A$2:$R$3001,2,FALSE)</f>
        <v>akl20238150.siswa@smkn12malang.sch.id</v>
      </c>
    </row>
    <row r="1919">
      <c r="A1919" s="3" t="str">
        <f t="shared" si="1"/>
        <v>OK</v>
      </c>
      <c r="B1919" s="3" t="str">
        <f t="shared" si="2"/>
        <v>OK</v>
      </c>
      <c r="C1919" s="3">
        <v>8152.0</v>
      </c>
      <c r="D1919" s="4" t="s">
        <v>4453</v>
      </c>
      <c r="E1919" s="3" t="s">
        <v>4454</v>
      </c>
      <c r="F1919" s="3" t="s">
        <v>13</v>
      </c>
      <c r="G1919" s="3" t="str">
        <f t="shared" si="3"/>
        <v>XIIAKL4</v>
      </c>
      <c r="H1919" s="3" t="str">
        <f>VLOOKUP($C1919,Userpass!$A$2:$L$3001,12,FALSE)</f>
        <v>AKL4</v>
      </c>
      <c r="I1919" s="5" t="s">
        <v>4223</v>
      </c>
      <c r="J1919" s="3">
        <v>2023.0</v>
      </c>
      <c r="K1919" s="4" t="str">
        <f>VLOOKUP($C1919,Userpass!$A$2:$R$3001,2,FALSE)</f>
        <v>akl20238152.siswa@smkn12malang.sch.id</v>
      </c>
    </row>
    <row r="1920">
      <c r="A1920" s="3" t="str">
        <f t="shared" si="1"/>
        <v>OK</v>
      </c>
      <c r="B1920" s="3" t="str">
        <f t="shared" si="2"/>
        <v>OK</v>
      </c>
      <c r="C1920" s="3">
        <v>8160.0</v>
      </c>
      <c r="D1920" s="4" t="s">
        <v>4455</v>
      </c>
      <c r="E1920" s="3" t="s">
        <v>4456</v>
      </c>
      <c r="F1920" s="3" t="s">
        <v>13</v>
      </c>
      <c r="G1920" s="3" t="str">
        <f t="shared" si="3"/>
        <v>XIIAKL4</v>
      </c>
      <c r="H1920" s="3" t="str">
        <f>VLOOKUP($C1920,Userpass!$A$2:$L$3001,12,FALSE)</f>
        <v>AKL4</v>
      </c>
      <c r="I1920" s="5" t="s">
        <v>4223</v>
      </c>
      <c r="J1920" s="3">
        <v>2023.0</v>
      </c>
      <c r="K1920" s="4" t="str">
        <f>VLOOKUP($C1920,Userpass!$A$2:$R$3001,2,FALSE)</f>
        <v>akl20238160.siswa@smkn12malang.sch.id</v>
      </c>
    </row>
    <row r="1921">
      <c r="A1921" s="3" t="str">
        <f t="shared" si="1"/>
        <v>OK</v>
      </c>
      <c r="B1921" s="3" t="str">
        <f t="shared" si="2"/>
        <v>OK</v>
      </c>
      <c r="C1921" s="3">
        <v>8174.0</v>
      </c>
      <c r="D1921" s="4" t="s">
        <v>4457</v>
      </c>
      <c r="E1921" s="3" t="s">
        <v>4458</v>
      </c>
      <c r="F1921" s="3" t="s">
        <v>13</v>
      </c>
      <c r="G1921" s="3" t="str">
        <f t="shared" si="3"/>
        <v>XIIAKL4</v>
      </c>
      <c r="H1921" s="3" t="str">
        <f>VLOOKUP($C1921,Userpass!$A$2:$L$3001,12,FALSE)</f>
        <v>AKL4</v>
      </c>
      <c r="I1921" s="5" t="s">
        <v>4223</v>
      </c>
      <c r="J1921" s="3">
        <v>2023.0</v>
      </c>
      <c r="K1921" s="4" t="str">
        <f>VLOOKUP($C1921,Userpass!$A$2:$R$3001,2,FALSE)</f>
        <v>akl20238174.siswa@smkn12malang.sch.id</v>
      </c>
    </row>
    <row r="1922">
      <c r="A1922" s="3" t="str">
        <f t="shared" si="1"/>
        <v>OK</v>
      </c>
      <c r="B1922" s="3" t="str">
        <f t="shared" si="2"/>
        <v>OK</v>
      </c>
      <c r="C1922" s="3">
        <v>8187.0</v>
      </c>
      <c r="D1922" s="4" t="s">
        <v>4459</v>
      </c>
      <c r="E1922" s="3" t="s">
        <v>4460</v>
      </c>
      <c r="F1922" s="3" t="s">
        <v>13</v>
      </c>
      <c r="G1922" s="3" t="str">
        <f t="shared" si="3"/>
        <v>XIIAKL4</v>
      </c>
      <c r="H1922" s="3" t="str">
        <f>VLOOKUP($C1922,Userpass!$A$2:$L$3001,12,FALSE)</f>
        <v>AKL4</v>
      </c>
      <c r="I1922" s="5" t="s">
        <v>4223</v>
      </c>
      <c r="J1922" s="3">
        <v>2023.0</v>
      </c>
      <c r="K1922" s="4" t="str">
        <f>VLOOKUP($C1922,Userpass!$A$2:$R$3001,2,FALSE)</f>
        <v>akl20238187.siswa@smkn12malang.sch.id</v>
      </c>
    </row>
    <row r="1923">
      <c r="A1923" s="3" t="str">
        <f t="shared" si="1"/>
        <v>OK</v>
      </c>
      <c r="B1923" s="3" t="str">
        <f t="shared" si="2"/>
        <v>OK</v>
      </c>
      <c r="C1923" s="3">
        <v>8200.0</v>
      </c>
      <c r="D1923" s="4" t="s">
        <v>4461</v>
      </c>
      <c r="E1923" s="3" t="s">
        <v>4462</v>
      </c>
      <c r="F1923" s="3" t="s">
        <v>17</v>
      </c>
      <c r="G1923" s="3" t="str">
        <f t="shared" si="3"/>
        <v>XIIAKL4</v>
      </c>
      <c r="H1923" s="3" t="str">
        <f>VLOOKUP($C1923,Userpass!$A$2:$L$3001,12,FALSE)</f>
        <v>AKL4</v>
      </c>
      <c r="I1923" s="5" t="s">
        <v>4223</v>
      </c>
      <c r="J1923" s="3">
        <v>2023.0</v>
      </c>
      <c r="K1923" s="4" t="str">
        <f>VLOOKUP($C1923,Userpass!$A$2:$R$3001,2,FALSE)</f>
        <v>akl20238200.siswa@smkn12malang.sch.id</v>
      </c>
    </row>
    <row r="1924">
      <c r="A1924" s="3" t="str">
        <f t="shared" si="1"/>
        <v>OK</v>
      </c>
      <c r="B1924" s="3" t="str">
        <f t="shared" si="2"/>
        <v>OK</v>
      </c>
      <c r="C1924" s="3">
        <v>8213.0</v>
      </c>
      <c r="D1924" s="4" t="s">
        <v>4463</v>
      </c>
      <c r="E1924" s="3" t="s">
        <v>4464</v>
      </c>
      <c r="F1924" s="3" t="s">
        <v>13</v>
      </c>
      <c r="G1924" s="3" t="str">
        <f t="shared" si="3"/>
        <v>XIIAKL4</v>
      </c>
      <c r="H1924" s="3" t="str">
        <f>VLOOKUP($C1924,Userpass!$A$2:$L$3001,12,FALSE)</f>
        <v>AKL4</v>
      </c>
      <c r="I1924" s="5" t="s">
        <v>4223</v>
      </c>
      <c r="J1924" s="3">
        <v>2023.0</v>
      </c>
      <c r="K1924" s="4" t="str">
        <f>VLOOKUP($C1924,Userpass!$A$2:$R$3001,2,FALSE)</f>
        <v>akl20238213.siswa@smkn12malang.sch.id</v>
      </c>
    </row>
    <row r="1925">
      <c r="A1925" s="3" t="str">
        <f t="shared" si="1"/>
        <v>OK</v>
      </c>
      <c r="B1925" s="3" t="str">
        <f t="shared" si="2"/>
        <v>OK</v>
      </c>
      <c r="C1925" s="3">
        <v>8239.0</v>
      </c>
      <c r="D1925" s="4" t="s">
        <v>4465</v>
      </c>
      <c r="E1925" s="3" t="s">
        <v>4466</v>
      </c>
      <c r="F1925" s="3" t="s">
        <v>13</v>
      </c>
      <c r="G1925" s="3" t="str">
        <f t="shared" si="3"/>
        <v>XIIAKL4</v>
      </c>
      <c r="H1925" s="3" t="str">
        <f>VLOOKUP($C1925,Userpass!$A$2:$L$3001,12,FALSE)</f>
        <v>AKL4</v>
      </c>
      <c r="I1925" s="5" t="s">
        <v>4223</v>
      </c>
      <c r="J1925" s="3">
        <v>2023.0</v>
      </c>
      <c r="K1925" s="4" t="str">
        <f>VLOOKUP($C1925,Userpass!$A$2:$R$3001,2,FALSE)</f>
        <v>akl20238239.siswa@smkn12malang.sch.id</v>
      </c>
    </row>
    <row r="1926">
      <c r="A1926" s="3" t="str">
        <f t="shared" si="1"/>
        <v>OK</v>
      </c>
      <c r="B1926" s="3" t="str">
        <f t="shared" si="2"/>
        <v>OK</v>
      </c>
      <c r="C1926" s="3">
        <v>8252.0</v>
      </c>
      <c r="D1926" s="4" t="s">
        <v>4467</v>
      </c>
      <c r="E1926" s="3" t="s">
        <v>4468</v>
      </c>
      <c r="F1926" s="3" t="s">
        <v>13</v>
      </c>
      <c r="G1926" s="3" t="str">
        <f t="shared" si="3"/>
        <v>XIIAKL4</v>
      </c>
      <c r="H1926" s="3" t="str">
        <f>VLOOKUP($C1926,Userpass!$A$2:$L$3001,12,FALSE)</f>
        <v>AKL4</v>
      </c>
      <c r="I1926" s="5" t="s">
        <v>4223</v>
      </c>
      <c r="J1926" s="3">
        <v>2023.0</v>
      </c>
      <c r="K1926" s="4" t="str">
        <f>VLOOKUP($C1926,Userpass!$A$2:$R$3001,2,FALSE)</f>
        <v>akl20238252.siswa@smkn12malang.sch.id</v>
      </c>
    </row>
    <row r="1927">
      <c r="A1927" s="3" t="str">
        <f t="shared" si="1"/>
        <v>OK</v>
      </c>
      <c r="B1927" s="3" t="str">
        <f t="shared" si="2"/>
        <v>OK</v>
      </c>
      <c r="C1927" s="3">
        <v>8267.0</v>
      </c>
      <c r="D1927" s="4" t="s">
        <v>4469</v>
      </c>
      <c r="E1927" s="3" t="s">
        <v>4470</v>
      </c>
      <c r="F1927" s="3" t="s">
        <v>13</v>
      </c>
      <c r="G1927" s="3" t="str">
        <f t="shared" si="3"/>
        <v>XIIAKL4</v>
      </c>
      <c r="H1927" s="3" t="str">
        <f>VLOOKUP($C1927,Userpass!$A$2:$L$3001,12,FALSE)</f>
        <v>AKL4</v>
      </c>
      <c r="I1927" s="5" t="s">
        <v>4223</v>
      </c>
      <c r="J1927" s="3">
        <v>2023.0</v>
      </c>
      <c r="K1927" s="4" t="str">
        <f>VLOOKUP($C1927,Userpass!$A$2:$R$3001,2,FALSE)</f>
        <v>akl20238267.siswa@smkn12malang.sch.id</v>
      </c>
    </row>
    <row r="1928">
      <c r="A1928" s="3" t="str">
        <f t="shared" si="1"/>
        <v>OK</v>
      </c>
      <c r="B1928" s="3" t="str">
        <f t="shared" si="2"/>
        <v>OK</v>
      </c>
      <c r="C1928" s="3">
        <v>8282.0</v>
      </c>
      <c r="D1928" s="4" t="s">
        <v>4471</v>
      </c>
      <c r="E1928" s="3" t="s">
        <v>4472</v>
      </c>
      <c r="F1928" s="3" t="s">
        <v>13</v>
      </c>
      <c r="G1928" s="3" t="str">
        <f t="shared" si="3"/>
        <v>XIIAKL4</v>
      </c>
      <c r="H1928" s="3" t="str">
        <f>VLOOKUP($C1928,Userpass!$A$2:$L$3001,12,FALSE)</f>
        <v>AKL4</v>
      </c>
      <c r="I1928" s="5" t="s">
        <v>4223</v>
      </c>
      <c r="J1928" s="3">
        <v>2023.0</v>
      </c>
      <c r="K1928" s="4" t="str">
        <f>VLOOKUP($C1928,Userpass!$A$2:$R$3001,2,FALSE)</f>
        <v>akl20238282.siswa@smkn12malang.sch.id</v>
      </c>
    </row>
    <row r="1929">
      <c r="A1929" s="3" t="str">
        <f t="shared" si="1"/>
        <v>OK</v>
      </c>
      <c r="B1929" s="3" t="str">
        <f t="shared" si="2"/>
        <v>OK</v>
      </c>
      <c r="C1929" s="3">
        <v>8297.0</v>
      </c>
      <c r="D1929" s="4" t="s">
        <v>4473</v>
      </c>
      <c r="E1929" s="3" t="s">
        <v>4474</v>
      </c>
      <c r="F1929" s="3" t="s">
        <v>13</v>
      </c>
      <c r="G1929" s="3" t="str">
        <f t="shared" si="3"/>
        <v>XIIAKL4</v>
      </c>
      <c r="H1929" s="3" t="str">
        <f>VLOOKUP($C1929,Userpass!$A$2:$L$3001,12,FALSE)</f>
        <v>AKL4</v>
      </c>
      <c r="I1929" s="5" t="s">
        <v>4223</v>
      </c>
      <c r="J1929" s="3">
        <v>2023.0</v>
      </c>
      <c r="K1929" s="4" t="str">
        <f>VLOOKUP($C1929,Userpass!$A$2:$R$3001,2,FALSE)</f>
        <v>akl20238297.siswa@smkn12malang.sch.id</v>
      </c>
    </row>
    <row r="1930">
      <c r="A1930" s="3" t="str">
        <f t="shared" si="1"/>
        <v>OK</v>
      </c>
      <c r="B1930" s="3" t="str">
        <f t="shared" si="2"/>
        <v>OK</v>
      </c>
      <c r="C1930" s="3">
        <v>8306.0</v>
      </c>
      <c r="D1930" s="4" t="s">
        <v>4475</v>
      </c>
      <c r="E1930" s="3" t="s">
        <v>4476</v>
      </c>
      <c r="F1930" s="3" t="s">
        <v>17</v>
      </c>
      <c r="G1930" s="3" t="str">
        <f t="shared" si="3"/>
        <v>XIIAKL4</v>
      </c>
      <c r="H1930" s="3" t="str">
        <f>VLOOKUP($C1930,Userpass!$A$2:$L$3001,12,FALSE)</f>
        <v>AKL4</v>
      </c>
      <c r="I1930" s="5" t="s">
        <v>4223</v>
      </c>
      <c r="J1930" s="3">
        <v>2023.0</v>
      </c>
      <c r="K1930" s="4" t="str">
        <f>VLOOKUP($C1930,Userpass!$A$2:$R$3001,2,FALSE)</f>
        <v>akl20238306.siswa@smkn12malang.sch.id</v>
      </c>
    </row>
    <row r="1931">
      <c r="A1931" s="3" t="str">
        <f t="shared" si="1"/>
        <v>OK</v>
      </c>
      <c r="B1931" s="3" t="str">
        <f t="shared" si="2"/>
        <v>OK</v>
      </c>
      <c r="C1931" s="3">
        <v>8315.0</v>
      </c>
      <c r="D1931" s="4" t="s">
        <v>4477</v>
      </c>
      <c r="E1931" s="3" t="s">
        <v>4478</v>
      </c>
      <c r="F1931" s="3" t="s">
        <v>13</v>
      </c>
      <c r="G1931" s="3" t="str">
        <f t="shared" si="3"/>
        <v>XIIAKL4</v>
      </c>
      <c r="H1931" s="3" t="str">
        <f>VLOOKUP($C1931,Userpass!$A$2:$L$3001,12,FALSE)</f>
        <v>AKL4</v>
      </c>
      <c r="I1931" s="5" t="s">
        <v>4223</v>
      </c>
      <c r="J1931" s="3">
        <v>2023.0</v>
      </c>
      <c r="K1931" s="4" t="str">
        <f>VLOOKUP($C1931,Userpass!$A$2:$R$3001,2,FALSE)</f>
        <v>akl20238315.siswa@smkn12malang.sch.id</v>
      </c>
    </row>
    <row r="1932">
      <c r="A1932" s="3" t="str">
        <f t="shared" si="1"/>
        <v>OK</v>
      </c>
      <c r="B1932" s="3" t="str">
        <f t="shared" si="2"/>
        <v>OK</v>
      </c>
      <c r="C1932" s="3">
        <v>8327.0</v>
      </c>
      <c r="D1932" s="4" t="s">
        <v>4479</v>
      </c>
      <c r="E1932" s="3" t="s">
        <v>4480</v>
      </c>
      <c r="F1932" s="3" t="s">
        <v>13</v>
      </c>
      <c r="G1932" s="3" t="str">
        <f t="shared" si="3"/>
        <v>XIIAKL4</v>
      </c>
      <c r="H1932" s="3" t="str">
        <f>VLOOKUP($C1932,Userpass!$A$2:$L$3001,12,FALSE)</f>
        <v>AKL4</v>
      </c>
      <c r="I1932" s="5" t="s">
        <v>4223</v>
      </c>
      <c r="J1932" s="3">
        <v>2023.0</v>
      </c>
      <c r="K1932" s="4" t="str">
        <f>VLOOKUP($C1932,Userpass!$A$2:$R$3001,2,FALSE)</f>
        <v>akl20238327.siswa@smkn12malang.sch.id</v>
      </c>
    </row>
    <row r="1933">
      <c r="A1933" s="3" t="str">
        <f t="shared" si="1"/>
        <v>OK</v>
      </c>
      <c r="B1933" s="3" t="str">
        <f t="shared" si="2"/>
        <v>OK</v>
      </c>
      <c r="C1933" s="3">
        <v>8355.0</v>
      </c>
      <c r="D1933" s="4" t="s">
        <v>4481</v>
      </c>
      <c r="E1933" s="3" t="s">
        <v>4482</v>
      </c>
      <c r="F1933" s="3" t="s">
        <v>13</v>
      </c>
      <c r="G1933" s="3" t="str">
        <f t="shared" si="3"/>
        <v>XIIAKL4</v>
      </c>
      <c r="H1933" s="3" t="str">
        <f>VLOOKUP($C1933,Userpass!$A$2:$L$3001,12,FALSE)</f>
        <v>AKL4</v>
      </c>
      <c r="I1933" s="5" t="s">
        <v>4223</v>
      </c>
      <c r="J1933" s="3">
        <v>2023.0</v>
      </c>
      <c r="K1933" s="4" t="str">
        <f>VLOOKUP($C1933,Userpass!$A$2:$R$3001,2,FALSE)</f>
        <v>akl20238355.siswa@smkn12malang.sch.id</v>
      </c>
    </row>
    <row r="1934">
      <c r="A1934" s="3" t="str">
        <f t="shared" si="1"/>
        <v>OK</v>
      </c>
      <c r="B1934" s="3" t="str">
        <f t="shared" si="2"/>
        <v>OK</v>
      </c>
      <c r="C1934" s="3">
        <v>8440.0</v>
      </c>
      <c r="D1934" s="4" t="s">
        <v>4483</v>
      </c>
      <c r="E1934" s="3" t="s">
        <v>4484</v>
      </c>
      <c r="F1934" s="3" t="s">
        <v>13</v>
      </c>
      <c r="G1934" s="3" t="str">
        <f t="shared" si="3"/>
        <v>XIIAKL4</v>
      </c>
      <c r="H1934" s="3" t="str">
        <f>VLOOKUP($C1934,Userpass!$A$2:$L$3001,12,FALSE)</f>
        <v>AKL4</v>
      </c>
      <c r="I1934" s="5" t="s">
        <v>4223</v>
      </c>
      <c r="J1934" s="3">
        <v>2023.0</v>
      </c>
      <c r="K1934" s="4" t="str">
        <f>VLOOKUP($C1934,Userpass!$A$2:$R$3001,2,FALSE)</f>
        <v>akl20238440.siswa@smkn12malang.sch.id</v>
      </c>
    </row>
    <row r="1935">
      <c r="A1935" s="3" t="str">
        <f t="shared" si="1"/>
        <v>OK</v>
      </c>
      <c r="B1935" s="3" t="str">
        <f t="shared" si="2"/>
        <v>OK</v>
      </c>
      <c r="C1935" s="3">
        <v>8446.0</v>
      </c>
      <c r="D1935" s="4" t="s">
        <v>4485</v>
      </c>
      <c r="E1935" s="3" t="s">
        <v>4486</v>
      </c>
      <c r="F1935" s="3" t="s">
        <v>13</v>
      </c>
      <c r="G1935" s="3" t="str">
        <f t="shared" si="3"/>
        <v>XIIAKL4</v>
      </c>
      <c r="H1935" s="3" t="str">
        <f>VLOOKUP($C1935,Userpass!$A$2:$L$3001,12,FALSE)</f>
        <v>AKL4</v>
      </c>
      <c r="I1935" s="5" t="s">
        <v>4223</v>
      </c>
      <c r="J1935" s="3">
        <v>2023.0</v>
      </c>
      <c r="K1935" s="4" t="str">
        <f>VLOOKUP($C1935,Userpass!$A$2:$R$3001,2,FALSE)</f>
        <v>akl20238446.siswa@smkn12malang.sch.id</v>
      </c>
    </row>
    <row r="1936">
      <c r="A1936" s="3" t="str">
        <f t="shared" si="1"/>
        <v>OK</v>
      </c>
      <c r="B1936" s="3" t="str">
        <f t="shared" si="2"/>
        <v>OK</v>
      </c>
      <c r="C1936" s="3">
        <v>8450.0</v>
      </c>
      <c r="D1936" s="4" t="s">
        <v>4487</v>
      </c>
      <c r="E1936" s="3" t="s">
        <v>4488</v>
      </c>
      <c r="F1936" s="3" t="s">
        <v>13</v>
      </c>
      <c r="G1936" s="3" t="str">
        <f t="shared" si="3"/>
        <v>XIIAKL4</v>
      </c>
      <c r="H1936" s="3" t="str">
        <f>VLOOKUP($C1936,Userpass!$A$2:$L$3001,12,FALSE)</f>
        <v>AKL4</v>
      </c>
      <c r="I1936" s="5" t="s">
        <v>4223</v>
      </c>
      <c r="J1936" s="3">
        <v>2023.0</v>
      </c>
      <c r="K1936" s="4" t="str">
        <f>VLOOKUP($C1936,Userpass!$A$2:$R$3001,2,FALSE)</f>
        <v>akl20238450.siswa@smkn12malang.sch.id</v>
      </c>
    </row>
    <row r="1937">
      <c r="A1937" s="3" t="str">
        <f t="shared" si="1"/>
        <v>OK</v>
      </c>
      <c r="B1937" s="3" t="str">
        <f t="shared" si="2"/>
        <v>OK</v>
      </c>
      <c r="C1937" s="3">
        <v>8457.0</v>
      </c>
      <c r="D1937" s="4" t="s">
        <v>4489</v>
      </c>
      <c r="E1937" s="3" t="s">
        <v>4490</v>
      </c>
      <c r="F1937" s="3" t="s">
        <v>13</v>
      </c>
      <c r="G1937" s="3" t="str">
        <f t="shared" si="3"/>
        <v>XIIAKL4</v>
      </c>
      <c r="H1937" s="3" t="str">
        <f>VLOOKUP($C1937,Userpass!$A$2:$L$3001,12,FALSE)</f>
        <v>AKL4</v>
      </c>
      <c r="I1937" s="5" t="s">
        <v>4223</v>
      </c>
      <c r="J1937" s="3">
        <v>2023.0</v>
      </c>
      <c r="K1937" s="4" t="str">
        <f>VLOOKUP($C1937,Userpass!$A$2:$R$3001,2,FALSE)</f>
        <v>akl20238457.siswa@smkn12malang.sch.id</v>
      </c>
    </row>
    <row r="1938">
      <c r="A1938" s="3" t="str">
        <f t="shared" si="1"/>
        <v>OK</v>
      </c>
      <c r="B1938" s="3" t="str">
        <f t="shared" si="2"/>
        <v>OK</v>
      </c>
      <c r="C1938" s="3">
        <v>8505.0</v>
      </c>
      <c r="D1938" s="4" t="s">
        <v>4491</v>
      </c>
      <c r="E1938" s="3" t="s">
        <v>4492</v>
      </c>
      <c r="F1938" s="3" t="s">
        <v>13</v>
      </c>
      <c r="G1938" s="3" t="str">
        <f t="shared" si="3"/>
        <v>XIIAKL4</v>
      </c>
      <c r="H1938" s="3" t="str">
        <f>VLOOKUP($C1938,Userpass!$A$2:$L$3001,12,FALSE)</f>
        <v>AKL4</v>
      </c>
      <c r="I1938" s="5" t="s">
        <v>4223</v>
      </c>
      <c r="J1938" s="3">
        <v>2023.0</v>
      </c>
      <c r="K1938" s="4" t="str">
        <f>VLOOKUP($C1938,Userpass!$A$2:$R$3001,2,FALSE)</f>
        <v>akl20238505.siswa@smkn12malang.sch.id</v>
      </c>
    </row>
    <row r="1939">
      <c r="A1939" s="3" t="str">
        <f t="shared" si="1"/>
        <v>OK</v>
      </c>
      <c r="B1939" s="3" t="str">
        <f t="shared" si="2"/>
        <v>OK</v>
      </c>
      <c r="C1939" s="3">
        <v>8520.0</v>
      </c>
      <c r="D1939" s="4" t="s">
        <v>4493</v>
      </c>
      <c r="E1939" s="3" t="s">
        <v>4494</v>
      </c>
      <c r="F1939" s="3" t="s">
        <v>13</v>
      </c>
      <c r="G1939" s="3" t="str">
        <f t="shared" si="3"/>
        <v>XIIAKL4</v>
      </c>
      <c r="H1939" s="3" t="str">
        <f>VLOOKUP($C1939,Userpass!$A$2:$L$3001,12,FALSE)</f>
        <v>AKL4</v>
      </c>
      <c r="I1939" s="5" t="s">
        <v>4223</v>
      </c>
      <c r="J1939" s="3">
        <v>2023.0</v>
      </c>
      <c r="K1939" s="4" t="str">
        <f>VLOOKUP($C1939,Userpass!$A$2:$R$3001,2,FALSE)</f>
        <v>akl20238520.siswa@smkn12malang.sch.id</v>
      </c>
    </row>
    <row r="1940">
      <c r="A1940" s="3" t="str">
        <f t="shared" si="1"/>
        <v>OK</v>
      </c>
      <c r="B1940" s="3" t="str">
        <f t="shared" si="2"/>
        <v>OK</v>
      </c>
      <c r="C1940" s="3">
        <v>8531.0</v>
      </c>
      <c r="D1940" s="4" t="s">
        <v>4495</v>
      </c>
      <c r="E1940" s="3" t="s">
        <v>4496</v>
      </c>
      <c r="F1940" s="3" t="s">
        <v>13</v>
      </c>
      <c r="G1940" s="3" t="str">
        <f t="shared" si="3"/>
        <v>XIIAKL4</v>
      </c>
      <c r="H1940" s="3" t="str">
        <f>VLOOKUP($C1940,Userpass!$A$2:$L$3001,12,FALSE)</f>
        <v>AKL4</v>
      </c>
      <c r="I1940" s="5" t="s">
        <v>4223</v>
      </c>
      <c r="J1940" s="3">
        <v>2023.0</v>
      </c>
      <c r="K1940" s="4" t="str">
        <f>VLOOKUP($C1940,Userpass!$A$2:$R$3001,2,FALSE)</f>
        <v>akl20238531.siswa@smkn12malang.sch.id</v>
      </c>
    </row>
    <row r="1941">
      <c r="A1941" s="3" t="str">
        <f t="shared" si="1"/>
        <v>OK</v>
      </c>
      <c r="B1941" s="3" t="str">
        <f t="shared" si="2"/>
        <v>OK</v>
      </c>
      <c r="C1941" s="3">
        <v>8547.0</v>
      </c>
      <c r="D1941" s="4" t="s">
        <v>4497</v>
      </c>
      <c r="E1941" s="3" t="s">
        <v>4498</v>
      </c>
      <c r="F1941" s="3" t="s">
        <v>13</v>
      </c>
      <c r="G1941" s="3" t="str">
        <f t="shared" si="3"/>
        <v>XIIAKL4</v>
      </c>
      <c r="H1941" s="3" t="str">
        <f>VLOOKUP($C1941,Userpass!$A$2:$L$3001,12,FALSE)</f>
        <v>AKL4</v>
      </c>
      <c r="I1941" s="5" t="s">
        <v>4223</v>
      </c>
      <c r="J1941" s="3">
        <v>2023.0</v>
      </c>
      <c r="K1941" s="4" t="str">
        <f>VLOOKUP($C1941,Userpass!$A$2:$R$3001,2,FALSE)</f>
        <v>akl20238547.siswa@smkn12malang.sch.id</v>
      </c>
    </row>
    <row r="1942">
      <c r="A1942" s="3" t="str">
        <f t="shared" si="1"/>
        <v>OK</v>
      </c>
      <c r="B1942" s="3" t="str">
        <f t="shared" si="2"/>
        <v>OK</v>
      </c>
      <c r="C1942" s="3">
        <v>8562.0</v>
      </c>
      <c r="D1942" s="4" t="s">
        <v>4499</v>
      </c>
      <c r="E1942" s="3" t="s">
        <v>4500</v>
      </c>
      <c r="F1942" s="3" t="s">
        <v>13</v>
      </c>
      <c r="G1942" s="3" t="str">
        <f t="shared" si="3"/>
        <v>XIIAKL4</v>
      </c>
      <c r="H1942" s="3" t="str">
        <f>VLOOKUP($C1942,Userpass!$A$2:$L$3001,12,FALSE)</f>
        <v>AKL4</v>
      </c>
      <c r="I1942" s="5" t="s">
        <v>4223</v>
      </c>
      <c r="J1942" s="3">
        <v>2023.0</v>
      </c>
      <c r="K1942" s="4" t="str">
        <f>VLOOKUP($C1942,Userpass!$A$2:$R$3001,2,FALSE)</f>
        <v>akl20238562.siswa@smkn12malang.sch.id</v>
      </c>
    </row>
    <row r="1943">
      <c r="A1943" s="3" t="str">
        <f t="shared" si="1"/>
        <v>OK</v>
      </c>
      <c r="B1943" s="3" t="str">
        <f t="shared" si="2"/>
        <v>OK</v>
      </c>
      <c r="C1943" s="3">
        <v>8573.0</v>
      </c>
      <c r="D1943" s="4" t="s">
        <v>4501</v>
      </c>
      <c r="E1943" s="3" t="s">
        <v>4502</v>
      </c>
      <c r="F1943" s="3" t="s">
        <v>13</v>
      </c>
      <c r="G1943" s="3" t="str">
        <f t="shared" si="3"/>
        <v>XIIAKL4</v>
      </c>
      <c r="H1943" s="3" t="str">
        <f>VLOOKUP($C1943,Userpass!$A$2:$L$3001,12,FALSE)</f>
        <v>AKL4</v>
      </c>
      <c r="I1943" s="5" t="s">
        <v>4223</v>
      </c>
      <c r="J1943" s="3">
        <v>2023.0</v>
      </c>
      <c r="K1943" s="4" t="str">
        <f>VLOOKUP($C1943,Userpass!$A$2:$R$3001,2,FALSE)</f>
        <v>akl20238573.siswa@smkn12malang.sch.id</v>
      </c>
    </row>
    <row r="1944">
      <c r="A1944" s="3" t="str">
        <f t="shared" si="1"/>
        <v>OK</v>
      </c>
      <c r="B1944" s="3" t="str">
        <f t="shared" si="2"/>
        <v>OK</v>
      </c>
      <c r="C1944" s="3">
        <v>8582.0</v>
      </c>
      <c r="D1944" s="4" t="s">
        <v>4503</v>
      </c>
      <c r="E1944" s="3" t="s">
        <v>4504</v>
      </c>
      <c r="F1944" s="3" t="s">
        <v>13</v>
      </c>
      <c r="G1944" s="3" t="str">
        <f t="shared" si="3"/>
        <v>XIIAKL4</v>
      </c>
      <c r="H1944" s="3" t="str">
        <f>VLOOKUP($C1944,Userpass!$A$2:$L$3001,12,FALSE)</f>
        <v>AKL4</v>
      </c>
      <c r="I1944" s="5" t="s">
        <v>4223</v>
      </c>
      <c r="J1944" s="3">
        <v>2023.0</v>
      </c>
      <c r="K1944" s="4" t="str">
        <f>VLOOKUP($C1944,Userpass!$A$2:$R$3001,2,FALSE)</f>
        <v>akl20238582.siswa@smkn12malang.sch.id</v>
      </c>
    </row>
    <row r="1945">
      <c r="A1945" s="3" t="str">
        <f t="shared" si="1"/>
        <v>OK</v>
      </c>
      <c r="B1945" s="3" t="str">
        <f t="shared" si="2"/>
        <v>OK</v>
      </c>
      <c r="C1945" s="3">
        <v>8615.0</v>
      </c>
      <c r="D1945" s="4" t="s">
        <v>4505</v>
      </c>
      <c r="E1945" s="3" t="s">
        <v>4506</v>
      </c>
      <c r="F1945" s="3" t="s">
        <v>13</v>
      </c>
      <c r="G1945" s="3" t="str">
        <f t="shared" si="3"/>
        <v>XIIAKL4</v>
      </c>
      <c r="H1945" s="3" t="str">
        <f>VLOOKUP($C1945,Userpass!$A$2:$L$3001,12,FALSE)</f>
        <v>AKL4</v>
      </c>
      <c r="I1945" s="5" t="s">
        <v>4223</v>
      </c>
      <c r="J1945" s="3">
        <v>2023.0</v>
      </c>
      <c r="K1945" s="4" t="str">
        <f>VLOOKUP($C1945,Userpass!$A$2:$R$3001,2,FALSE)</f>
        <v>akl20238615.siswa@smkn12malang.sch.id</v>
      </c>
    </row>
    <row r="1946">
      <c r="A1946" s="3" t="str">
        <f t="shared" si="1"/>
        <v>OK</v>
      </c>
      <c r="B1946" s="3" t="str">
        <f t="shared" si="2"/>
        <v>OK</v>
      </c>
      <c r="C1946" s="3">
        <v>8632.0</v>
      </c>
      <c r="D1946" s="4" t="s">
        <v>4507</v>
      </c>
      <c r="E1946" s="3" t="s">
        <v>4508</v>
      </c>
      <c r="F1946" s="3" t="s">
        <v>13</v>
      </c>
      <c r="G1946" s="3" t="str">
        <f t="shared" si="3"/>
        <v>XIIAKL4</v>
      </c>
      <c r="H1946" s="3" t="str">
        <f>VLOOKUP($C1946,Userpass!$A$2:$L$3001,12,FALSE)</f>
        <v>AKL4</v>
      </c>
      <c r="I1946" s="5" t="s">
        <v>4223</v>
      </c>
      <c r="J1946" s="3">
        <v>2023.0</v>
      </c>
      <c r="K1946" s="4" t="str">
        <f>VLOOKUP($C1946,Userpass!$A$2:$R$3001,2,FALSE)</f>
        <v>akl20238632.siswa@smkn12malang.sch.id</v>
      </c>
    </row>
    <row r="1947">
      <c r="A1947" s="3" t="str">
        <f t="shared" si="1"/>
        <v>OK</v>
      </c>
      <c r="B1947" s="3" t="str">
        <f t="shared" si="2"/>
        <v>OK</v>
      </c>
      <c r="C1947" s="3">
        <v>8027.0</v>
      </c>
      <c r="D1947" s="4" t="s">
        <v>4509</v>
      </c>
      <c r="E1947" s="3" t="s">
        <v>4510</v>
      </c>
      <c r="F1947" s="3" t="s">
        <v>17</v>
      </c>
      <c r="G1947" s="3" t="str">
        <f t="shared" si="3"/>
        <v>XIIBCF1</v>
      </c>
      <c r="H1947" s="3" t="str">
        <f>VLOOKUP($C1947,Userpass!$A$2:$L$3001,12,FALSE)</f>
        <v>BCF1</v>
      </c>
      <c r="I1947" s="5" t="s">
        <v>4223</v>
      </c>
      <c r="J1947" s="3">
        <v>2023.0</v>
      </c>
      <c r="K1947" s="4" t="str">
        <f>VLOOKUP($C1947,Userpass!$A$2:$R$3001,2,FALSE)</f>
        <v>bcf20238027.siswa@smkn12malang.sch.id</v>
      </c>
    </row>
    <row r="1948">
      <c r="A1948" s="3" t="str">
        <f t="shared" si="1"/>
        <v>OK</v>
      </c>
      <c r="B1948" s="3" t="str">
        <f t="shared" si="2"/>
        <v>OK</v>
      </c>
      <c r="C1948" s="3">
        <v>8055.0</v>
      </c>
      <c r="D1948" s="4" t="s">
        <v>4511</v>
      </c>
      <c r="E1948" s="3" t="s">
        <v>4512</v>
      </c>
      <c r="F1948" s="3" t="s">
        <v>13</v>
      </c>
      <c r="G1948" s="3" t="str">
        <f t="shared" si="3"/>
        <v>XIIBCF1</v>
      </c>
      <c r="H1948" s="3" t="str">
        <f>VLOOKUP($C1948,Userpass!$A$2:$L$3001,12,FALSE)</f>
        <v>BCF1</v>
      </c>
      <c r="I1948" s="5" t="s">
        <v>4223</v>
      </c>
      <c r="J1948" s="3">
        <v>2023.0</v>
      </c>
      <c r="K1948" s="4" t="str">
        <f>VLOOKUP($C1948,Userpass!$A$2:$R$3001,2,FALSE)</f>
        <v>bcf20238055.siswa@smkn12malang.sch.id</v>
      </c>
    </row>
    <row r="1949">
      <c r="A1949" s="3" t="str">
        <f t="shared" si="1"/>
        <v>OK</v>
      </c>
      <c r="B1949" s="3" t="str">
        <f t="shared" si="2"/>
        <v>OK</v>
      </c>
      <c r="C1949" s="3">
        <v>8057.0</v>
      </c>
      <c r="D1949" s="4" t="s">
        <v>4513</v>
      </c>
      <c r="E1949" s="3" t="s">
        <v>4514</v>
      </c>
      <c r="F1949" s="3" t="s">
        <v>17</v>
      </c>
      <c r="G1949" s="3" t="str">
        <f t="shared" si="3"/>
        <v>XIIBCF1</v>
      </c>
      <c r="H1949" s="3" t="str">
        <f>VLOOKUP($C1949,Userpass!$A$2:$L$3001,12,FALSE)</f>
        <v>BCF1</v>
      </c>
      <c r="I1949" s="5" t="s">
        <v>4223</v>
      </c>
      <c r="J1949" s="3">
        <v>2023.0</v>
      </c>
      <c r="K1949" s="4" t="str">
        <f>VLOOKUP($C1949,Userpass!$A$2:$R$3001,2,FALSE)</f>
        <v>bcf20238057.siswa@smkn12malang.sch.id</v>
      </c>
    </row>
    <row r="1950">
      <c r="A1950" s="3" t="str">
        <f t="shared" si="1"/>
        <v>OK</v>
      </c>
      <c r="B1950" s="3" t="str">
        <f t="shared" si="2"/>
        <v>OK</v>
      </c>
      <c r="C1950" s="3">
        <v>8075.0</v>
      </c>
      <c r="D1950" s="4" t="s">
        <v>4515</v>
      </c>
      <c r="E1950" s="3" t="s">
        <v>4516</v>
      </c>
      <c r="F1950" s="3" t="s">
        <v>13</v>
      </c>
      <c r="G1950" s="3" t="str">
        <f t="shared" si="3"/>
        <v>XIIBCF1</v>
      </c>
      <c r="H1950" s="3" t="str">
        <f>VLOOKUP($C1950,Userpass!$A$2:$L$3001,12,FALSE)</f>
        <v>BCF1</v>
      </c>
      <c r="I1950" s="5" t="s">
        <v>4223</v>
      </c>
      <c r="J1950" s="3">
        <v>2023.0</v>
      </c>
      <c r="K1950" s="4" t="str">
        <f>VLOOKUP($C1950,Userpass!$A$2:$R$3001,2,FALSE)</f>
        <v>bcf20238075.siswa@smkn12malang.sch.id</v>
      </c>
    </row>
    <row r="1951">
      <c r="A1951" s="3" t="str">
        <f t="shared" si="1"/>
        <v>OK</v>
      </c>
      <c r="B1951" s="3" t="str">
        <f t="shared" si="2"/>
        <v>OK</v>
      </c>
      <c r="C1951" s="3">
        <v>8101.0</v>
      </c>
      <c r="D1951" s="4" t="s">
        <v>4517</v>
      </c>
      <c r="E1951" s="3" t="s">
        <v>4518</v>
      </c>
      <c r="F1951" s="3" t="s">
        <v>13</v>
      </c>
      <c r="G1951" s="3" t="str">
        <f t="shared" si="3"/>
        <v>XIIBCF1</v>
      </c>
      <c r="H1951" s="3" t="str">
        <f>VLOOKUP($C1951,Userpass!$A$2:$L$3001,12,FALSE)</f>
        <v>BCF1</v>
      </c>
      <c r="I1951" s="5" t="s">
        <v>4223</v>
      </c>
      <c r="J1951" s="3">
        <v>2023.0</v>
      </c>
      <c r="K1951" s="4" t="str">
        <f>VLOOKUP($C1951,Userpass!$A$2:$R$3001,2,FALSE)</f>
        <v>bcf20238101.siswa@smkn12malang.sch.id</v>
      </c>
    </row>
    <row r="1952">
      <c r="A1952" s="3" t="str">
        <f t="shared" si="1"/>
        <v>OK</v>
      </c>
      <c r="B1952" s="3" t="str">
        <f t="shared" si="2"/>
        <v>OK</v>
      </c>
      <c r="C1952" s="3">
        <v>8129.0</v>
      </c>
      <c r="D1952" s="4" t="s">
        <v>4519</v>
      </c>
      <c r="E1952" s="3" t="s">
        <v>4520</v>
      </c>
      <c r="F1952" s="3" t="s">
        <v>17</v>
      </c>
      <c r="G1952" s="3" t="str">
        <f t="shared" si="3"/>
        <v>XIIBCF1</v>
      </c>
      <c r="H1952" s="3" t="str">
        <f>VLOOKUP($C1952,Userpass!$A$2:$L$3001,12,FALSE)</f>
        <v>BCF1</v>
      </c>
      <c r="I1952" s="5" t="s">
        <v>4223</v>
      </c>
      <c r="J1952" s="3">
        <v>2023.0</v>
      </c>
      <c r="K1952" s="4" t="str">
        <f>VLOOKUP($C1952,Userpass!$A$2:$R$3001,2,FALSE)</f>
        <v>bcf20238129.siswa@smkn12malang.sch.id</v>
      </c>
    </row>
    <row r="1953">
      <c r="A1953" s="3" t="str">
        <f t="shared" si="1"/>
        <v>OK</v>
      </c>
      <c r="B1953" s="3" t="str">
        <f t="shared" si="2"/>
        <v>OK</v>
      </c>
      <c r="C1953" s="3">
        <v>8144.0</v>
      </c>
      <c r="D1953" s="4" t="s">
        <v>4521</v>
      </c>
      <c r="E1953" s="3" t="s">
        <v>4522</v>
      </c>
      <c r="F1953" s="3" t="s">
        <v>13</v>
      </c>
      <c r="G1953" s="3" t="str">
        <f t="shared" si="3"/>
        <v>XIIBCF1</v>
      </c>
      <c r="H1953" s="3" t="str">
        <f>VLOOKUP($C1953,Userpass!$A$2:$L$3001,12,FALSE)</f>
        <v>BCF1</v>
      </c>
      <c r="I1953" s="5" t="s">
        <v>4223</v>
      </c>
      <c r="J1953" s="3">
        <v>2023.0</v>
      </c>
      <c r="K1953" s="4" t="str">
        <f>VLOOKUP($C1953,Userpass!$A$2:$R$3001,2,FALSE)</f>
        <v>bcf20238144.siswa@smkn12malang.sch.id</v>
      </c>
    </row>
    <row r="1954">
      <c r="A1954" s="3" t="str">
        <f t="shared" si="1"/>
        <v>OK</v>
      </c>
      <c r="B1954" s="3" t="str">
        <f t="shared" si="2"/>
        <v>OK</v>
      </c>
      <c r="C1954" s="3">
        <v>8149.0</v>
      </c>
      <c r="D1954" s="4" t="s">
        <v>4523</v>
      </c>
      <c r="E1954" s="3" t="s">
        <v>4524</v>
      </c>
      <c r="F1954" s="3" t="s">
        <v>13</v>
      </c>
      <c r="G1954" s="3" t="str">
        <f t="shared" si="3"/>
        <v>XIIBCF1</v>
      </c>
      <c r="H1954" s="3" t="str">
        <f>VLOOKUP($C1954,Userpass!$A$2:$L$3001,12,FALSE)</f>
        <v>BCF1</v>
      </c>
      <c r="I1954" s="5" t="s">
        <v>4223</v>
      </c>
      <c r="J1954" s="3">
        <v>2023.0</v>
      </c>
      <c r="K1954" s="4" t="str">
        <f>VLOOKUP($C1954,Userpass!$A$2:$R$3001,2,FALSE)</f>
        <v>bcf20238149.siswa@smkn12malang.sch.id</v>
      </c>
    </row>
    <row r="1955">
      <c r="A1955" s="3" t="str">
        <f t="shared" si="1"/>
        <v>OK</v>
      </c>
      <c r="B1955" s="3" t="str">
        <f t="shared" si="2"/>
        <v>OK</v>
      </c>
      <c r="C1955" s="3">
        <v>8197.0</v>
      </c>
      <c r="D1955" s="4" t="s">
        <v>4525</v>
      </c>
      <c r="E1955" s="3" t="s">
        <v>4526</v>
      </c>
      <c r="F1955" s="3" t="s">
        <v>13</v>
      </c>
      <c r="G1955" s="3" t="str">
        <f t="shared" si="3"/>
        <v>XIIBCF1</v>
      </c>
      <c r="H1955" s="3" t="str">
        <f>VLOOKUP($C1955,Userpass!$A$2:$L$3001,12,FALSE)</f>
        <v>BCF1</v>
      </c>
      <c r="I1955" s="5" t="s">
        <v>4223</v>
      </c>
      <c r="J1955" s="3">
        <v>2023.0</v>
      </c>
      <c r="K1955" s="4" t="str">
        <f>VLOOKUP($C1955,Userpass!$A$2:$R$3001,2,FALSE)</f>
        <v>bcf20238197.siswa@smkn12malang.sch.id</v>
      </c>
    </row>
    <row r="1956">
      <c r="A1956" s="3" t="str">
        <f t="shared" si="1"/>
        <v>OK</v>
      </c>
      <c r="B1956" s="3" t="str">
        <f t="shared" si="2"/>
        <v>OK</v>
      </c>
      <c r="C1956" s="3">
        <v>8202.0</v>
      </c>
      <c r="D1956" s="4" t="s">
        <v>4527</v>
      </c>
      <c r="E1956" s="3" t="s">
        <v>4528</v>
      </c>
      <c r="F1956" s="3" t="s">
        <v>13</v>
      </c>
      <c r="G1956" s="3" t="str">
        <f t="shared" si="3"/>
        <v>XIIBCF1</v>
      </c>
      <c r="H1956" s="3" t="str">
        <f>VLOOKUP($C1956,Userpass!$A$2:$L$3001,12,FALSE)</f>
        <v>BCF1</v>
      </c>
      <c r="I1956" s="5" t="s">
        <v>4223</v>
      </c>
      <c r="J1956" s="3">
        <v>2023.0</v>
      </c>
      <c r="K1956" s="4" t="str">
        <f>VLOOKUP($C1956,Userpass!$A$2:$R$3001,2,FALSE)</f>
        <v>bcf20238202.siswa@smkn12malang.sch.id</v>
      </c>
    </row>
    <row r="1957">
      <c r="A1957" s="3" t="str">
        <f t="shared" si="1"/>
        <v>OK</v>
      </c>
      <c r="B1957" s="3" t="str">
        <f t="shared" si="2"/>
        <v>OK</v>
      </c>
      <c r="C1957" s="3">
        <v>8219.0</v>
      </c>
      <c r="D1957" s="4" t="s">
        <v>4529</v>
      </c>
      <c r="E1957" s="3" t="s">
        <v>4530</v>
      </c>
      <c r="F1957" s="3" t="s">
        <v>13</v>
      </c>
      <c r="G1957" s="3" t="str">
        <f t="shared" si="3"/>
        <v>XIIBCF1</v>
      </c>
      <c r="H1957" s="3" t="str">
        <f>VLOOKUP($C1957,Userpass!$A$2:$L$3001,12,FALSE)</f>
        <v>BCF1</v>
      </c>
      <c r="I1957" s="5" t="s">
        <v>4223</v>
      </c>
      <c r="J1957" s="3">
        <v>2023.0</v>
      </c>
      <c r="K1957" s="4" t="str">
        <f>VLOOKUP($C1957,Userpass!$A$2:$R$3001,2,FALSE)</f>
        <v>bcf20238219.siswa@smkn12malang.sch.id</v>
      </c>
    </row>
    <row r="1958">
      <c r="A1958" s="3" t="str">
        <f t="shared" si="1"/>
        <v>OK</v>
      </c>
      <c r="B1958" s="3" t="str">
        <f t="shared" si="2"/>
        <v>OK</v>
      </c>
      <c r="C1958" s="3">
        <v>8223.0</v>
      </c>
      <c r="D1958" s="4" t="s">
        <v>4531</v>
      </c>
      <c r="E1958" s="3" t="s">
        <v>4532</v>
      </c>
      <c r="F1958" s="3" t="s">
        <v>13</v>
      </c>
      <c r="G1958" s="3" t="str">
        <f t="shared" si="3"/>
        <v>XIIBCF1</v>
      </c>
      <c r="H1958" s="3" t="str">
        <f>VLOOKUP($C1958,Userpass!$A$2:$L$3001,12,FALSE)</f>
        <v>BCF1</v>
      </c>
      <c r="I1958" s="5" t="s">
        <v>4223</v>
      </c>
      <c r="J1958" s="3">
        <v>2023.0</v>
      </c>
      <c r="K1958" s="4" t="str">
        <f>VLOOKUP($C1958,Userpass!$A$2:$R$3001,2,FALSE)</f>
        <v>bcf20238223.siswa@smkn12malang.sch.id</v>
      </c>
    </row>
    <row r="1959">
      <c r="A1959" s="3" t="str">
        <f t="shared" si="1"/>
        <v>OK</v>
      </c>
      <c r="B1959" s="3" t="str">
        <f t="shared" si="2"/>
        <v>OK</v>
      </c>
      <c r="C1959" s="3">
        <v>8227.0</v>
      </c>
      <c r="D1959" s="4" t="s">
        <v>4533</v>
      </c>
      <c r="E1959" s="3" t="s">
        <v>4534</v>
      </c>
      <c r="F1959" s="3" t="s">
        <v>13</v>
      </c>
      <c r="G1959" s="3" t="str">
        <f t="shared" si="3"/>
        <v>XIIBCF1</v>
      </c>
      <c r="H1959" s="3" t="str">
        <f>VLOOKUP($C1959,Userpass!$A$2:$L$3001,12,FALSE)</f>
        <v>BCF1</v>
      </c>
      <c r="I1959" s="5" t="s">
        <v>4223</v>
      </c>
      <c r="J1959" s="3">
        <v>2023.0</v>
      </c>
      <c r="K1959" s="4" t="str">
        <f>VLOOKUP($C1959,Userpass!$A$2:$R$3001,2,FALSE)</f>
        <v>bcf20238227.siswa@smkn12malang.sch.id</v>
      </c>
    </row>
    <row r="1960">
      <c r="A1960" s="3" t="str">
        <f t="shared" si="1"/>
        <v>OK</v>
      </c>
      <c r="B1960" s="3" t="str">
        <f t="shared" si="2"/>
        <v>OK</v>
      </c>
      <c r="C1960" s="3">
        <v>8234.0</v>
      </c>
      <c r="D1960" s="4" t="s">
        <v>4535</v>
      </c>
      <c r="E1960" s="3" t="s">
        <v>4536</v>
      </c>
      <c r="F1960" s="3" t="s">
        <v>13</v>
      </c>
      <c r="G1960" s="3" t="str">
        <f t="shared" si="3"/>
        <v>XIIBCF1</v>
      </c>
      <c r="H1960" s="3" t="str">
        <f>VLOOKUP($C1960,Userpass!$A$2:$L$3001,12,FALSE)</f>
        <v>BCF1</v>
      </c>
      <c r="I1960" s="5" t="s">
        <v>4223</v>
      </c>
      <c r="J1960" s="3">
        <v>2023.0</v>
      </c>
      <c r="K1960" s="4" t="str">
        <f>VLOOKUP($C1960,Userpass!$A$2:$R$3001,2,FALSE)</f>
        <v>bcf20238234.siswa@smkn12malang.sch.id</v>
      </c>
    </row>
    <row r="1961">
      <c r="A1961" s="3" t="str">
        <f t="shared" si="1"/>
        <v>OK</v>
      </c>
      <c r="B1961" s="3" t="str">
        <f t="shared" si="2"/>
        <v>OK</v>
      </c>
      <c r="C1961" s="3">
        <v>8248.0</v>
      </c>
      <c r="D1961" s="4" t="s">
        <v>4537</v>
      </c>
      <c r="E1961" s="3" t="s">
        <v>4538</v>
      </c>
      <c r="F1961" s="3" t="s">
        <v>13</v>
      </c>
      <c r="G1961" s="3" t="str">
        <f t="shared" si="3"/>
        <v>XIIBCF1</v>
      </c>
      <c r="H1961" s="3" t="str">
        <f>VLOOKUP($C1961,Userpass!$A$2:$L$3001,12,FALSE)</f>
        <v>BCF1</v>
      </c>
      <c r="I1961" s="5" t="s">
        <v>4223</v>
      </c>
      <c r="J1961" s="3">
        <v>2023.0</v>
      </c>
      <c r="K1961" s="4" t="str">
        <f>VLOOKUP($C1961,Userpass!$A$2:$R$3001,2,FALSE)</f>
        <v>bcf20238248.siswa@smkn12malang.sch.id</v>
      </c>
    </row>
    <row r="1962">
      <c r="A1962" s="3" t="str">
        <f t="shared" si="1"/>
        <v>OK</v>
      </c>
      <c r="B1962" s="3" t="str">
        <f t="shared" si="2"/>
        <v>OK</v>
      </c>
      <c r="C1962" s="3">
        <v>8286.0</v>
      </c>
      <c r="D1962" s="4" t="s">
        <v>4539</v>
      </c>
      <c r="E1962" s="3" t="s">
        <v>4540</v>
      </c>
      <c r="F1962" s="3" t="s">
        <v>13</v>
      </c>
      <c r="G1962" s="3" t="str">
        <f t="shared" si="3"/>
        <v>XIIBCF1</v>
      </c>
      <c r="H1962" s="3" t="str">
        <f>VLOOKUP($C1962,Userpass!$A$2:$L$3001,12,FALSE)</f>
        <v>BCF1</v>
      </c>
      <c r="I1962" s="5" t="s">
        <v>4223</v>
      </c>
      <c r="J1962" s="3">
        <v>2023.0</v>
      </c>
      <c r="K1962" s="4" t="str">
        <f>VLOOKUP($C1962,Userpass!$A$2:$R$3001,2,FALSE)</f>
        <v>bcf20238286.siswa@smkn12malang.sch.id</v>
      </c>
    </row>
    <row r="1963">
      <c r="A1963" s="3" t="str">
        <f t="shared" si="1"/>
        <v>OK</v>
      </c>
      <c r="B1963" s="3" t="str">
        <f t="shared" si="2"/>
        <v>OK</v>
      </c>
      <c r="C1963" s="3">
        <v>8356.0</v>
      </c>
      <c r="D1963" s="4" t="s">
        <v>4541</v>
      </c>
      <c r="E1963" s="3" t="s">
        <v>4542</v>
      </c>
      <c r="F1963" s="3" t="s">
        <v>13</v>
      </c>
      <c r="G1963" s="3" t="str">
        <f t="shared" si="3"/>
        <v>XIIBCF1</v>
      </c>
      <c r="H1963" s="3" t="str">
        <f>VLOOKUP($C1963,Userpass!$A$2:$L$3001,12,FALSE)</f>
        <v>BCF1</v>
      </c>
      <c r="I1963" s="5" t="s">
        <v>4223</v>
      </c>
      <c r="J1963" s="3">
        <v>2023.0</v>
      </c>
      <c r="K1963" s="4" t="str">
        <f>VLOOKUP($C1963,Userpass!$A$2:$R$3001,2,FALSE)</f>
        <v>bcf20238356.siswa@smkn12malang.sch.id</v>
      </c>
    </row>
    <row r="1964">
      <c r="A1964" s="3" t="str">
        <f t="shared" si="1"/>
        <v>OK</v>
      </c>
      <c r="B1964" s="3" t="str">
        <f t="shared" si="2"/>
        <v>OK</v>
      </c>
      <c r="C1964" s="3">
        <v>8362.0</v>
      </c>
      <c r="D1964" s="4" t="s">
        <v>4543</v>
      </c>
      <c r="E1964" s="3" t="s">
        <v>4544</v>
      </c>
      <c r="F1964" s="3" t="s">
        <v>17</v>
      </c>
      <c r="G1964" s="3" t="str">
        <f t="shared" si="3"/>
        <v>XIIBCF1</v>
      </c>
      <c r="H1964" s="3" t="str">
        <f>VLOOKUP($C1964,Userpass!$A$2:$L$3001,12,FALSE)</f>
        <v>BCF1</v>
      </c>
      <c r="I1964" s="5" t="s">
        <v>4223</v>
      </c>
      <c r="J1964" s="3">
        <v>2023.0</v>
      </c>
      <c r="K1964" s="4" t="str">
        <f>VLOOKUP($C1964,Userpass!$A$2:$R$3001,2,FALSE)</f>
        <v>bcf20238362.siswa@smkn12malang.sch.id</v>
      </c>
    </row>
    <row r="1965">
      <c r="A1965" s="3" t="str">
        <f t="shared" si="1"/>
        <v>OK</v>
      </c>
      <c r="B1965" s="3" t="str">
        <f t="shared" si="2"/>
        <v>OK</v>
      </c>
      <c r="C1965" s="3">
        <v>8381.0</v>
      </c>
      <c r="D1965" s="4" t="s">
        <v>4545</v>
      </c>
      <c r="E1965" s="3" t="s">
        <v>4546</v>
      </c>
      <c r="F1965" s="3" t="s">
        <v>17</v>
      </c>
      <c r="G1965" s="3" t="str">
        <f t="shared" si="3"/>
        <v>XIIBCF1</v>
      </c>
      <c r="H1965" s="3" t="str">
        <f>VLOOKUP($C1965,Userpass!$A$2:$L$3001,12,FALSE)</f>
        <v>BCF1</v>
      </c>
      <c r="I1965" s="5" t="s">
        <v>4223</v>
      </c>
      <c r="J1965" s="3">
        <v>2023.0</v>
      </c>
      <c r="K1965" s="4" t="str">
        <f>VLOOKUP($C1965,Userpass!$A$2:$R$3001,2,FALSE)</f>
        <v>bcf20238381.siswa@smkn12malang.sch.id</v>
      </c>
    </row>
    <row r="1966">
      <c r="A1966" s="3" t="str">
        <f t="shared" si="1"/>
        <v>OK</v>
      </c>
      <c r="B1966" s="3" t="str">
        <f t="shared" si="2"/>
        <v>OK</v>
      </c>
      <c r="C1966" s="3">
        <v>8413.0</v>
      </c>
      <c r="D1966" s="4" t="s">
        <v>4547</v>
      </c>
      <c r="E1966" s="3" t="s">
        <v>4548</v>
      </c>
      <c r="F1966" s="3" t="s">
        <v>17</v>
      </c>
      <c r="G1966" s="3" t="str">
        <f t="shared" si="3"/>
        <v>XIIBCF1</v>
      </c>
      <c r="H1966" s="3" t="str">
        <f>VLOOKUP($C1966,Userpass!$A$2:$L$3001,12,FALSE)</f>
        <v>BCF1</v>
      </c>
      <c r="I1966" s="5" t="s">
        <v>4223</v>
      </c>
      <c r="J1966" s="3">
        <v>2023.0</v>
      </c>
      <c r="K1966" s="4" t="str">
        <f>VLOOKUP($C1966,Userpass!$A$2:$R$3001,2,FALSE)</f>
        <v>bcf20238413.siswa@smkn12malang.sch.id</v>
      </c>
    </row>
    <row r="1967">
      <c r="A1967" s="3" t="str">
        <f t="shared" si="1"/>
        <v>OK</v>
      </c>
      <c r="B1967" s="3" t="str">
        <f t="shared" si="2"/>
        <v>OK</v>
      </c>
      <c r="C1967" s="3">
        <v>8468.0</v>
      </c>
      <c r="D1967" s="4" t="s">
        <v>4549</v>
      </c>
      <c r="E1967" s="3" t="s">
        <v>4550</v>
      </c>
      <c r="F1967" s="3" t="s">
        <v>13</v>
      </c>
      <c r="G1967" s="3" t="str">
        <f t="shared" si="3"/>
        <v>XIIBCF1</v>
      </c>
      <c r="H1967" s="3" t="str">
        <f>VLOOKUP($C1967,Userpass!$A$2:$L$3001,12,FALSE)</f>
        <v>BCF1</v>
      </c>
      <c r="I1967" s="5" t="s">
        <v>4223</v>
      </c>
      <c r="J1967" s="3">
        <v>2023.0</v>
      </c>
      <c r="K1967" s="4" t="str">
        <f>VLOOKUP($C1967,Userpass!$A$2:$R$3001,2,FALSE)</f>
        <v>bcf20238468.siswa@smkn12malang.sch.id</v>
      </c>
    </row>
    <row r="1968">
      <c r="A1968" s="3" t="str">
        <f t="shared" si="1"/>
        <v>OK</v>
      </c>
      <c r="B1968" s="3" t="str">
        <f t="shared" si="2"/>
        <v>OK</v>
      </c>
      <c r="C1968" s="3">
        <v>8546.0</v>
      </c>
      <c r="D1968" s="4" t="s">
        <v>4551</v>
      </c>
      <c r="E1968" s="3" t="s">
        <v>4552</v>
      </c>
      <c r="F1968" s="3" t="s">
        <v>13</v>
      </c>
      <c r="G1968" s="3" t="str">
        <f t="shared" si="3"/>
        <v>XIIBCF1</v>
      </c>
      <c r="H1968" s="3" t="str">
        <f>VLOOKUP($C1968,Userpass!$A$2:$L$3001,12,FALSE)</f>
        <v>BCF1</v>
      </c>
      <c r="I1968" s="5" t="s">
        <v>4223</v>
      </c>
      <c r="J1968" s="3">
        <v>2023.0</v>
      </c>
      <c r="K1968" s="4" t="str">
        <f>VLOOKUP($C1968,Userpass!$A$2:$R$3001,2,FALSE)</f>
        <v>bcf20238546.siswa@smkn12malang.sch.id</v>
      </c>
    </row>
    <row r="1969">
      <c r="A1969" s="3" t="str">
        <f t="shared" si="1"/>
        <v>OK</v>
      </c>
      <c r="B1969" s="3" t="str">
        <f t="shared" si="2"/>
        <v>OK</v>
      </c>
      <c r="C1969" s="3">
        <v>8554.0</v>
      </c>
      <c r="D1969" s="4" t="s">
        <v>4553</v>
      </c>
      <c r="E1969" s="3" t="s">
        <v>4554</v>
      </c>
      <c r="F1969" s="3" t="s">
        <v>17</v>
      </c>
      <c r="G1969" s="3" t="str">
        <f t="shared" si="3"/>
        <v>XIIBCF1</v>
      </c>
      <c r="H1969" s="3" t="str">
        <f>VLOOKUP($C1969,Userpass!$A$2:$L$3001,12,FALSE)</f>
        <v>BCF1</v>
      </c>
      <c r="I1969" s="5" t="s">
        <v>4223</v>
      </c>
      <c r="J1969" s="3">
        <v>2023.0</v>
      </c>
      <c r="K1969" s="4" t="str">
        <f>VLOOKUP($C1969,Userpass!$A$2:$R$3001,2,FALSE)</f>
        <v>bcf20238554.siswa@smkn12malang.sch.id</v>
      </c>
    </row>
    <row r="1970">
      <c r="A1970" s="3" t="str">
        <f t="shared" si="1"/>
        <v>OK</v>
      </c>
      <c r="B1970" s="3" t="str">
        <f t="shared" si="2"/>
        <v>OK</v>
      </c>
      <c r="C1970" s="3">
        <v>8560.0</v>
      </c>
      <c r="D1970" s="4" t="s">
        <v>4555</v>
      </c>
      <c r="E1970" s="3" t="s">
        <v>4556</v>
      </c>
      <c r="F1970" s="3" t="s">
        <v>13</v>
      </c>
      <c r="G1970" s="3" t="str">
        <f t="shared" si="3"/>
        <v>XIIBCF1</v>
      </c>
      <c r="H1970" s="3" t="str">
        <f>VLOOKUP($C1970,Userpass!$A$2:$L$3001,12,FALSE)</f>
        <v>BCF1</v>
      </c>
      <c r="I1970" s="5" t="s">
        <v>4223</v>
      </c>
      <c r="J1970" s="3">
        <v>2023.0</v>
      </c>
      <c r="K1970" s="4" t="str">
        <f>VLOOKUP($C1970,Userpass!$A$2:$R$3001,2,FALSE)</f>
        <v>bcf20238560.siswa@smkn12malang.sch.id</v>
      </c>
    </row>
    <row r="1971">
      <c r="A1971" s="3" t="str">
        <f t="shared" si="1"/>
        <v>OK</v>
      </c>
      <c r="B1971" s="3" t="str">
        <f t="shared" si="2"/>
        <v>OK</v>
      </c>
      <c r="C1971" s="3">
        <v>8563.0</v>
      </c>
      <c r="D1971" s="4" t="s">
        <v>4557</v>
      </c>
      <c r="E1971" s="3" t="s">
        <v>4558</v>
      </c>
      <c r="F1971" s="3" t="s">
        <v>13</v>
      </c>
      <c r="G1971" s="3" t="str">
        <f t="shared" si="3"/>
        <v>XIIBCF1</v>
      </c>
      <c r="H1971" s="3" t="str">
        <f>VLOOKUP($C1971,Userpass!$A$2:$L$3001,12,FALSE)</f>
        <v>BCF1</v>
      </c>
      <c r="I1971" s="5" t="s">
        <v>4223</v>
      </c>
      <c r="J1971" s="3">
        <v>2023.0</v>
      </c>
      <c r="K1971" s="4" t="str">
        <f>VLOOKUP($C1971,Userpass!$A$2:$R$3001,2,FALSE)</f>
        <v>bcf20238563.siswa@smkn12malang.sch.id</v>
      </c>
    </row>
    <row r="1972">
      <c r="A1972" s="3" t="str">
        <f t="shared" si="1"/>
        <v>OK</v>
      </c>
      <c r="B1972" s="3" t="str">
        <f t="shared" si="2"/>
        <v>OK</v>
      </c>
      <c r="C1972" s="3">
        <v>8571.0</v>
      </c>
      <c r="D1972" s="4" t="s">
        <v>4559</v>
      </c>
      <c r="E1972" s="3" t="s">
        <v>4560</v>
      </c>
      <c r="F1972" s="3" t="s">
        <v>13</v>
      </c>
      <c r="G1972" s="3" t="str">
        <f t="shared" si="3"/>
        <v>XIIBCF1</v>
      </c>
      <c r="H1972" s="3" t="str">
        <f>VLOOKUP($C1972,Userpass!$A$2:$L$3001,12,FALSE)</f>
        <v>BCF1</v>
      </c>
      <c r="I1972" s="5" t="s">
        <v>4223</v>
      </c>
      <c r="J1972" s="3">
        <v>2023.0</v>
      </c>
      <c r="K1972" s="4" t="str">
        <f>VLOOKUP($C1972,Userpass!$A$2:$R$3001,2,FALSE)</f>
        <v>bcf20238571.siswa@smkn12malang.sch.id</v>
      </c>
    </row>
    <row r="1973">
      <c r="A1973" s="3" t="str">
        <f t="shared" si="1"/>
        <v>OK</v>
      </c>
      <c r="B1973" s="3" t="str">
        <f t="shared" si="2"/>
        <v>OK</v>
      </c>
      <c r="C1973" s="3">
        <v>8607.0</v>
      </c>
      <c r="D1973" s="4" t="s">
        <v>4561</v>
      </c>
      <c r="E1973" s="3" t="s">
        <v>4562</v>
      </c>
      <c r="F1973" s="3" t="s">
        <v>13</v>
      </c>
      <c r="G1973" s="3" t="str">
        <f t="shared" si="3"/>
        <v>XIIBCF1</v>
      </c>
      <c r="H1973" s="3" t="str">
        <f>VLOOKUP($C1973,Userpass!$A$2:$L$3001,12,FALSE)</f>
        <v>BCF1</v>
      </c>
      <c r="I1973" s="5" t="s">
        <v>4223</v>
      </c>
      <c r="J1973" s="3">
        <v>2023.0</v>
      </c>
      <c r="K1973" s="4" t="str">
        <f>VLOOKUP($C1973,Userpass!$A$2:$R$3001,2,FALSE)</f>
        <v>bcf20238607.siswa@smkn12malang.sch.id</v>
      </c>
    </row>
    <row r="1974">
      <c r="A1974" s="3" t="str">
        <f t="shared" si="1"/>
        <v>OK</v>
      </c>
      <c r="B1974" s="3" t="str">
        <f t="shared" si="2"/>
        <v>OK</v>
      </c>
      <c r="C1974" s="3">
        <v>8625.0</v>
      </c>
      <c r="D1974" s="4" t="s">
        <v>4563</v>
      </c>
      <c r="E1974" s="3" t="s">
        <v>4564</v>
      </c>
      <c r="F1974" s="3" t="s">
        <v>13</v>
      </c>
      <c r="G1974" s="3" t="str">
        <f t="shared" si="3"/>
        <v>XIIBCF1</v>
      </c>
      <c r="H1974" s="3" t="str">
        <f>VLOOKUP($C1974,Userpass!$A$2:$L$3001,12,FALSE)</f>
        <v>BCF1</v>
      </c>
      <c r="I1974" s="5" t="s">
        <v>4223</v>
      </c>
      <c r="J1974" s="3">
        <v>2023.0</v>
      </c>
      <c r="K1974" s="4" t="str">
        <f>VLOOKUP($C1974,Userpass!$A$2:$R$3001,2,FALSE)</f>
        <v>bcf20238625.siswa@smkn12malang.sch.id</v>
      </c>
    </row>
    <row r="1975">
      <c r="A1975" s="3" t="str">
        <f t="shared" si="1"/>
        <v>OK</v>
      </c>
      <c r="B1975" s="3" t="str">
        <f t="shared" si="2"/>
        <v>OK</v>
      </c>
      <c r="C1975" s="3">
        <v>8626.0</v>
      </c>
      <c r="D1975" s="4" t="s">
        <v>4565</v>
      </c>
      <c r="E1975" s="3" t="s">
        <v>4566</v>
      </c>
      <c r="F1975" s="3" t="s">
        <v>13</v>
      </c>
      <c r="G1975" s="3" t="str">
        <f t="shared" si="3"/>
        <v>XIIBCF1</v>
      </c>
      <c r="H1975" s="3" t="str">
        <f>VLOOKUP($C1975,Userpass!$A$2:$L$3001,12,FALSE)</f>
        <v>BCF1</v>
      </c>
      <c r="I1975" s="5" t="s">
        <v>4223</v>
      </c>
      <c r="J1975" s="3">
        <v>2023.0</v>
      </c>
      <c r="K1975" s="4" t="str">
        <f>VLOOKUP($C1975,Userpass!$A$2:$R$3001,2,FALSE)</f>
        <v>bcf20238626.siswa@smkn12malang.sch.id</v>
      </c>
    </row>
    <row r="1976">
      <c r="A1976" s="3" t="str">
        <f t="shared" si="1"/>
        <v>OK</v>
      </c>
      <c r="B1976" s="3" t="str">
        <f t="shared" si="2"/>
        <v>OK</v>
      </c>
      <c r="C1976" s="3">
        <v>8629.0</v>
      </c>
      <c r="D1976" s="4" t="s">
        <v>4567</v>
      </c>
      <c r="E1976" s="3" t="s">
        <v>4568</v>
      </c>
      <c r="F1976" s="3" t="s">
        <v>13</v>
      </c>
      <c r="G1976" s="3" t="str">
        <f t="shared" si="3"/>
        <v>XIIBCF1</v>
      </c>
      <c r="H1976" s="3" t="str">
        <f>VLOOKUP($C1976,Userpass!$A$2:$L$3001,12,FALSE)</f>
        <v>BCF1</v>
      </c>
      <c r="I1976" s="5" t="s">
        <v>4223</v>
      </c>
      <c r="J1976" s="3">
        <v>2023.0</v>
      </c>
      <c r="K1976" s="4" t="str">
        <f>VLOOKUP($C1976,Userpass!$A$2:$R$3001,2,FALSE)</f>
        <v>bcf20238629.siswa@smkn12malang.sch.id</v>
      </c>
    </row>
    <row r="1977">
      <c r="A1977" s="3" t="str">
        <f t="shared" si="1"/>
        <v>OK</v>
      </c>
      <c r="B1977" s="3" t="str">
        <f t="shared" si="2"/>
        <v>OK</v>
      </c>
      <c r="C1977" s="3">
        <v>8024.0</v>
      </c>
      <c r="D1977" s="4" t="s">
        <v>4569</v>
      </c>
      <c r="E1977" s="3" t="s">
        <v>4570</v>
      </c>
      <c r="F1977" s="3" t="s">
        <v>17</v>
      </c>
      <c r="G1977" s="3" t="str">
        <f t="shared" si="3"/>
        <v>XIIDKV1</v>
      </c>
      <c r="H1977" s="3" t="str">
        <f>VLOOKUP($C1977,Userpass!$A$2:$L$3001,12,FALSE)</f>
        <v>DKV1</v>
      </c>
      <c r="I1977" s="5" t="s">
        <v>4223</v>
      </c>
      <c r="J1977" s="3">
        <v>2023.0</v>
      </c>
      <c r="K1977" s="4" t="str">
        <f>VLOOKUP($C1977,Userpass!$A$2:$R$3001,2,FALSE)</f>
        <v>dkv20238024.siswa@smkn12malang.sch.id</v>
      </c>
    </row>
    <row r="1978">
      <c r="A1978" s="3" t="str">
        <f t="shared" si="1"/>
        <v>OK</v>
      </c>
      <c r="B1978" s="3" t="str">
        <f t="shared" si="2"/>
        <v>OK</v>
      </c>
      <c r="C1978" s="3">
        <v>8043.0</v>
      </c>
      <c r="D1978" s="4" t="s">
        <v>4571</v>
      </c>
      <c r="E1978" s="3" t="s">
        <v>4572</v>
      </c>
      <c r="F1978" s="3" t="s">
        <v>13</v>
      </c>
      <c r="G1978" s="3" t="str">
        <f t="shared" si="3"/>
        <v>XIIDKV1</v>
      </c>
      <c r="H1978" s="3" t="str">
        <f>VLOOKUP($C1978,Userpass!$A$2:$L$3001,12,FALSE)</f>
        <v>DKV1</v>
      </c>
      <c r="I1978" s="5" t="s">
        <v>4223</v>
      </c>
      <c r="J1978" s="3">
        <v>2023.0</v>
      </c>
      <c r="K1978" s="4" t="str">
        <f>VLOOKUP($C1978,Userpass!$A$2:$R$3001,2,FALSE)</f>
        <v>dkv20238043.siswa@smkn12malang.sch.id</v>
      </c>
    </row>
    <row r="1979">
      <c r="A1979" s="3" t="str">
        <f t="shared" si="1"/>
        <v>OK</v>
      </c>
      <c r="B1979" s="3" t="str">
        <f t="shared" si="2"/>
        <v>OK</v>
      </c>
      <c r="C1979" s="3">
        <v>8052.0</v>
      </c>
      <c r="D1979" s="4" t="s">
        <v>4573</v>
      </c>
      <c r="E1979" s="3" t="s">
        <v>4574</v>
      </c>
      <c r="F1979" s="3" t="s">
        <v>17</v>
      </c>
      <c r="G1979" s="3" t="str">
        <f t="shared" si="3"/>
        <v>XIIDKV1</v>
      </c>
      <c r="H1979" s="3" t="str">
        <f>VLOOKUP($C1979,Userpass!$A$2:$L$3001,12,FALSE)</f>
        <v>DKV1</v>
      </c>
      <c r="I1979" s="5" t="s">
        <v>4223</v>
      </c>
      <c r="J1979" s="3">
        <v>2023.0</v>
      </c>
      <c r="K1979" s="4" t="str">
        <f>VLOOKUP($C1979,Userpass!$A$2:$R$3001,2,FALSE)</f>
        <v>dkv20238052.siswa@smkn12malang.sch.id</v>
      </c>
    </row>
    <row r="1980">
      <c r="A1980" s="3" t="str">
        <f t="shared" si="1"/>
        <v>OK</v>
      </c>
      <c r="B1980" s="3" t="str">
        <f t="shared" si="2"/>
        <v>OK</v>
      </c>
      <c r="C1980" s="3">
        <v>8073.0</v>
      </c>
      <c r="D1980" s="4" t="s">
        <v>4575</v>
      </c>
      <c r="E1980" s="3" t="s">
        <v>4576</v>
      </c>
      <c r="F1980" s="3" t="s">
        <v>17</v>
      </c>
      <c r="G1980" s="3" t="str">
        <f t="shared" si="3"/>
        <v>XIIDKV1</v>
      </c>
      <c r="H1980" s="3" t="str">
        <f>VLOOKUP($C1980,Userpass!$A$2:$L$3001,12,FALSE)</f>
        <v>DKV1</v>
      </c>
      <c r="I1980" s="5" t="s">
        <v>4223</v>
      </c>
      <c r="J1980" s="3">
        <v>2023.0</v>
      </c>
      <c r="K1980" s="4" t="str">
        <f>VLOOKUP($C1980,Userpass!$A$2:$R$3001,2,FALSE)</f>
        <v>dkv20238073.siswa@smkn12malang.sch.id</v>
      </c>
    </row>
    <row r="1981">
      <c r="A1981" s="3" t="str">
        <f t="shared" si="1"/>
        <v>OK</v>
      </c>
      <c r="B1981" s="3" t="str">
        <f t="shared" si="2"/>
        <v>OK</v>
      </c>
      <c r="C1981" s="3">
        <v>8084.0</v>
      </c>
      <c r="D1981" s="4" t="s">
        <v>4577</v>
      </c>
      <c r="E1981" s="3" t="s">
        <v>4578</v>
      </c>
      <c r="F1981" s="3" t="s">
        <v>13</v>
      </c>
      <c r="G1981" s="3" t="str">
        <f t="shared" si="3"/>
        <v>XIIDKV1</v>
      </c>
      <c r="H1981" s="3" t="str">
        <f>VLOOKUP($C1981,Userpass!$A$2:$L$3001,12,FALSE)</f>
        <v>DKV1</v>
      </c>
      <c r="I1981" s="5" t="s">
        <v>4223</v>
      </c>
      <c r="J1981" s="3">
        <v>2023.0</v>
      </c>
      <c r="K1981" s="4" t="str">
        <f>VLOOKUP($C1981,Userpass!$A$2:$R$3001,2,FALSE)</f>
        <v>dkv20238084.siswa@smkn12malang.sch.id</v>
      </c>
    </row>
    <row r="1982">
      <c r="A1982" s="3" t="str">
        <f t="shared" si="1"/>
        <v>OK</v>
      </c>
      <c r="B1982" s="3" t="str">
        <f t="shared" si="2"/>
        <v>OK</v>
      </c>
      <c r="C1982" s="3">
        <v>8142.0</v>
      </c>
      <c r="D1982" s="4" t="s">
        <v>4579</v>
      </c>
      <c r="E1982" s="3" t="s">
        <v>4580</v>
      </c>
      <c r="F1982" s="3" t="s">
        <v>13</v>
      </c>
      <c r="G1982" s="3" t="str">
        <f t="shared" si="3"/>
        <v>XIIDKV1</v>
      </c>
      <c r="H1982" s="3" t="str">
        <f>VLOOKUP($C1982,Userpass!$A$2:$L$3001,12,FALSE)</f>
        <v>DKV1</v>
      </c>
      <c r="I1982" s="5" t="s">
        <v>4223</v>
      </c>
      <c r="J1982" s="3">
        <v>2023.0</v>
      </c>
      <c r="K1982" s="4" t="str">
        <f>VLOOKUP($C1982,Userpass!$A$2:$R$3001,2,FALSE)</f>
        <v>dkv20238142.siswa@smkn12malang.sch.id</v>
      </c>
    </row>
    <row r="1983">
      <c r="A1983" s="3" t="str">
        <f t="shared" si="1"/>
        <v>OK</v>
      </c>
      <c r="B1983" s="3" t="str">
        <f t="shared" si="2"/>
        <v>OK</v>
      </c>
      <c r="C1983" s="3">
        <v>8158.0</v>
      </c>
      <c r="D1983" s="4" t="s">
        <v>4581</v>
      </c>
      <c r="E1983" s="3" t="s">
        <v>4582</v>
      </c>
      <c r="F1983" s="3" t="s">
        <v>13</v>
      </c>
      <c r="G1983" s="3" t="str">
        <f t="shared" si="3"/>
        <v>XIIDKV1</v>
      </c>
      <c r="H1983" s="3" t="str">
        <f>VLOOKUP($C1983,Userpass!$A$2:$L$3001,12,FALSE)</f>
        <v>DKV1</v>
      </c>
      <c r="I1983" s="5" t="s">
        <v>4223</v>
      </c>
      <c r="J1983" s="3">
        <v>2023.0</v>
      </c>
      <c r="K1983" s="4" t="str">
        <f>VLOOKUP($C1983,Userpass!$A$2:$R$3001,2,FALSE)</f>
        <v>dkv20238158.siswa@smkn12malang.sch.id</v>
      </c>
    </row>
    <row r="1984">
      <c r="A1984" s="3" t="str">
        <f t="shared" si="1"/>
        <v>OK</v>
      </c>
      <c r="B1984" s="3" t="str">
        <f t="shared" si="2"/>
        <v>OK</v>
      </c>
      <c r="C1984" s="3">
        <v>8171.0</v>
      </c>
      <c r="D1984" s="4" t="s">
        <v>4583</v>
      </c>
      <c r="E1984" s="3" t="s">
        <v>4584</v>
      </c>
      <c r="F1984" s="3" t="s">
        <v>17</v>
      </c>
      <c r="G1984" s="3" t="str">
        <f t="shared" si="3"/>
        <v>XIIDKV1</v>
      </c>
      <c r="H1984" s="3" t="str">
        <f>VLOOKUP($C1984,Userpass!$A$2:$L$3001,12,FALSE)</f>
        <v>DKV1</v>
      </c>
      <c r="I1984" s="5" t="s">
        <v>4223</v>
      </c>
      <c r="J1984" s="3">
        <v>2023.0</v>
      </c>
      <c r="K1984" s="4" t="str">
        <f>VLOOKUP($C1984,Userpass!$A$2:$R$3001,2,FALSE)</f>
        <v>dkv20238171.siswa@smkn12malang.sch.id</v>
      </c>
    </row>
    <row r="1985">
      <c r="A1985" s="3" t="str">
        <f t="shared" si="1"/>
        <v>OK</v>
      </c>
      <c r="B1985" s="3" t="str">
        <f t="shared" si="2"/>
        <v>OK</v>
      </c>
      <c r="C1985" s="3">
        <v>8209.0</v>
      </c>
      <c r="D1985" s="4" t="s">
        <v>4585</v>
      </c>
      <c r="E1985" s="3" t="s">
        <v>4586</v>
      </c>
      <c r="F1985" s="3" t="s">
        <v>13</v>
      </c>
      <c r="G1985" s="3" t="str">
        <f t="shared" si="3"/>
        <v>XIIDKV1</v>
      </c>
      <c r="H1985" s="3" t="str">
        <f>VLOOKUP($C1985,Userpass!$A$2:$L$3001,12,FALSE)</f>
        <v>DKV1</v>
      </c>
      <c r="I1985" s="5" t="s">
        <v>4223</v>
      </c>
      <c r="J1985" s="3">
        <v>2023.0</v>
      </c>
      <c r="K1985" s="4" t="str">
        <f>VLOOKUP($C1985,Userpass!$A$2:$R$3001,2,FALSE)</f>
        <v>dkv20238209.siswa@smkn12malang.sch.id</v>
      </c>
    </row>
    <row r="1986">
      <c r="A1986" s="3" t="str">
        <f t="shared" si="1"/>
        <v>OK</v>
      </c>
      <c r="B1986" s="3" t="str">
        <f t="shared" si="2"/>
        <v>OK</v>
      </c>
      <c r="C1986" s="3">
        <v>8216.0</v>
      </c>
      <c r="D1986" s="4" t="s">
        <v>4587</v>
      </c>
      <c r="E1986" s="3" t="s">
        <v>4588</v>
      </c>
      <c r="F1986" s="3" t="s">
        <v>13</v>
      </c>
      <c r="G1986" s="3" t="str">
        <f t="shared" si="3"/>
        <v>XIIDKV1</v>
      </c>
      <c r="H1986" s="3" t="str">
        <f>VLOOKUP($C1986,Userpass!$A$2:$L$3001,12,FALSE)</f>
        <v>DKV1</v>
      </c>
      <c r="I1986" s="5" t="s">
        <v>4223</v>
      </c>
      <c r="J1986" s="3">
        <v>2023.0</v>
      </c>
      <c r="K1986" s="4" t="str">
        <f>VLOOKUP($C1986,Userpass!$A$2:$R$3001,2,FALSE)</f>
        <v>dkv20238216.siswa@smkn12malang.sch.id</v>
      </c>
    </row>
    <row r="1987">
      <c r="A1987" s="3" t="str">
        <f t="shared" si="1"/>
        <v>OK</v>
      </c>
      <c r="B1987" s="3" t="str">
        <f t="shared" si="2"/>
        <v>OK</v>
      </c>
      <c r="C1987" s="3">
        <v>8229.0</v>
      </c>
      <c r="D1987" s="4" t="s">
        <v>4589</v>
      </c>
      <c r="E1987" s="3" t="s">
        <v>4590</v>
      </c>
      <c r="F1987" s="3" t="s">
        <v>17</v>
      </c>
      <c r="G1987" s="3" t="str">
        <f t="shared" si="3"/>
        <v>XIIDKV1</v>
      </c>
      <c r="H1987" s="3" t="str">
        <f>VLOOKUP($C1987,Userpass!$A$2:$L$3001,12,FALSE)</f>
        <v>DKV1</v>
      </c>
      <c r="I1987" s="5" t="s">
        <v>4223</v>
      </c>
      <c r="J1987" s="3">
        <v>2023.0</v>
      </c>
      <c r="K1987" s="4" t="str">
        <f>VLOOKUP($C1987,Userpass!$A$2:$R$3001,2,FALSE)</f>
        <v>dkv20238229.siswa@smkn12malang.sch.id</v>
      </c>
    </row>
    <row r="1988">
      <c r="A1988" s="3" t="str">
        <f t="shared" si="1"/>
        <v>OK</v>
      </c>
      <c r="B1988" s="3" t="str">
        <f t="shared" si="2"/>
        <v>OK</v>
      </c>
      <c r="C1988" s="3">
        <v>8260.0</v>
      </c>
      <c r="D1988" s="4" t="s">
        <v>4591</v>
      </c>
      <c r="E1988" s="3" t="s">
        <v>4592</v>
      </c>
      <c r="F1988" s="3" t="s">
        <v>13</v>
      </c>
      <c r="G1988" s="3" t="str">
        <f t="shared" si="3"/>
        <v>XIIDKV1</v>
      </c>
      <c r="H1988" s="3" t="str">
        <f>VLOOKUP($C1988,Userpass!$A$2:$L$3001,12,FALSE)</f>
        <v>DKV1</v>
      </c>
      <c r="I1988" s="5" t="s">
        <v>4223</v>
      </c>
      <c r="J1988" s="3">
        <v>2023.0</v>
      </c>
      <c r="K1988" s="4" t="str">
        <f>VLOOKUP($C1988,Userpass!$A$2:$R$3001,2,FALSE)</f>
        <v>dkv20238260.siswa@smkn12malang.sch.id</v>
      </c>
    </row>
    <row r="1989">
      <c r="A1989" s="3" t="str">
        <f t="shared" si="1"/>
        <v>OK</v>
      </c>
      <c r="B1989" s="3" t="str">
        <f t="shared" si="2"/>
        <v>OK</v>
      </c>
      <c r="C1989" s="3">
        <v>8281.0</v>
      </c>
      <c r="D1989" s="4" t="s">
        <v>4593</v>
      </c>
      <c r="E1989" s="3" t="s">
        <v>4594</v>
      </c>
      <c r="F1989" s="3" t="s">
        <v>13</v>
      </c>
      <c r="G1989" s="3" t="str">
        <f t="shared" si="3"/>
        <v>XIIDKV1</v>
      </c>
      <c r="H1989" s="3" t="str">
        <f>VLOOKUP($C1989,Userpass!$A$2:$L$3001,12,FALSE)</f>
        <v>DKV1</v>
      </c>
      <c r="I1989" s="5" t="s">
        <v>4223</v>
      </c>
      <c r="J1989" s="3">
        <v>2023.0</v>
      </c>
      <c r="K1989" s="4" t="str">
        <f>VLOOKUP($C1989,Userpass!$A$2:$R$3001,2,FALSE)</f>
        <v>dkv20238281.siswa@smkn12malang.sch.id</v>
      </c>
    </row>
    <row r="1990">
      <c r="A1990" s="3" t="str">
        <f t="shared" si="1"/>
        <v>OK</v>
      </c>
      <c r="B1990" s="3" t="str">
        <f t="shared" si="2"/>
        <v>OK</v>
      </c>
      <c r="C1990" s="3">
        <v>8284.0</v>
      </c>
      <c r="D1990" s="4" t="s">
        <v>4595</v>
      </c>
      <c r="E1990" s="3" t="s">
        <v>4596</v>
      </c>
      <c r="F1990" s="3" t="s">
        <v>17</v>
      </c>
      <c r="G1990" s="3" t="str">
        <f t="shared" si="3"/>
        <v>XIIDKV1</v>
      </c>
      <c r="H1990" s="3" t="str">
        <f>VLOOKUP($C1990,Userpass!$A$2:$L$3001,12,FALSE)</f>
        <v>DKV1</v>
      </c>
      <c r="I1990" s="5" t="s">
        <v>4223</v>
      </c>
      <c r="J1990" s="3">
        <v>2023.0</v>
      </c>
      <c r="K1990" s="4" t="str">
        <f>VLOOKUP($C1990,Userpass!$A$2:$R$3001,2,FALSE)</f>
        <v>dkv20238284.siswa@smkn12malang.sch.id</v>
      </c>
    </row>
    <row r="1991">
      <c r="A1991" s="3" t="str">
        <f t="shared" si="1"/>
        <v>OK</v>
      </c>
      <c r="B1991" s="3" t="str">
        <f t="shared" si="2"/>
        <v>OK</v>
      </c>
      <c r="C1991" s="3">
        <v>8303.0</v>
      </c>
      <c r="D1991" s="4" t="s">
        <v>4597</v>
      </c>
      <c r="E1991" s="3" t="s">
        <v>4598</v>
      </c>
      <c r="F1991" s="3" t="s">
        <v>13</v>
      </c>
      <c r="G1991" s="3" t="str">
        <f t="shared" si="3"/>
        <v>XIIDKV1</v>
      </c>
      <c r="H1991" s="3" t="str">
        <f>VLOOKUP($C1991,Userpass!$A$2:$L$3001,12,FALSE)</f>
        <v>DKV1</v>
      </c>
      <c r="I1991" s="5" t="s">
        <v>4223</v>
      </c>
      <c r="J1991" s="3">
        <v>2023.0</v>
      </c>
      <c r="K1991" s="4" t="str">
        <f>VLOOKUP($C1991,Userpass!$A$2:$R$3001,2,FALSE)</f>
        <v>dkv20238303.siswa@smkn12malang.sch.id</v>
      </c>
    </row>
    <row r="1992">
      <c r="A1992" s="3" t="str">
        <f t="shared" si="1"/>
        <v>OK</v>
      </c>
      <c r="B1992" s="3" t="str">
        <f t="shared" si="2"/>
        <v>OK</v>
      </c>
      <c r="C1992" s="3">
        <v>8314.0</v>
      </c>
      <c r="D1992" s="4" t="s">
        <v>4599</v>
      </c>
      <c r="E1992" s="3" t="s">
        <v>4600</v>
      </c>
      <c r="F1992" s="3" t="s">
        <v>13</v>
      </c>
      <c r="G1992" s="3" t="str">
        <f t="shared" si="3"/>
        <v>XIIDKV1</v>
      </c>
      <c r="H1992" s="3" t="str">
        <f>VLOOKUP($C1992,Userpass!$A$2:$L$3001,12,FALSE)</f>
        <v>DKV1</v>
      </c>
      <c r="I1992" s="5" t="s">
        <v>4223</v>
      </c>
      <c r="J1992" s="3">
        <v>2023.0</v>
      </c>
      <c r="K1992" s="4" t="str">
        <f>VLOOKUP($C1992,Userpass!$A$2:$R$3001,2,FALSE)</f>
        <v>dkv20238314.siswa@smkn12malang.sch.id</v>
      </c>
    </row>
    <row r="1993">
      <c r="A1993" s="3" t="str">
        <f t="shared" si="1"/>
        <v>OK</v>
      </c>
      <c r="B1993" s="3" t="str">
        <f t="shared" si="2"/>
        <v>OK</v>
      </c>
      <c r="C1993" s="3">
        <v>8317.0</v>
      </c>
      <c r="D1993" s="4" t="s">
        <v>4601</v>
      </c>
      <c r="E1993" s="3" t="s">
        <v>4602</v>
      </c>
      <c r="F1993" s="3" t="s">
        <v>13</v>
      </c>
      <c r="G1993" s="3" t="str">
        <f t="shared" si="3"/>
        <v>XIIDKV1</v>
      </c>
      <c r="H1993" s="3" t="str">
        <f>VLOOKUP($C1993,Userpass!$A$2:$L$3001,12,FALSE)</f>
        <v>DKV1</v>
      </c>
      <c r="I1993" s="5" t="s">
        <v>4223</v>
      </c>
      <c r="J1993" s="3">
        <v>2023.0</v>
      </c>
      <c r="K1993" s="4" t="str">
        <f>VLOOKUP($C1993,Userpass!$A$2:$R$3001,2,FALSE)</f>
        <v>dkv20238317.siswa@smkn12malang.sch.id</v>
      </c>
    </row>
    <row r="1994">
      <c r="A1994" s="3" t="str">
        <f t="shared" si="1"/>
        <v>OK</v>
      </c>
      <c r="B1994" s="3" t="str">
        <f t="shared" si="2"/>
        <v>OK</v>
      </c>
      <c r="C1994" s="3">
        <v>8342.0</v>
      </c>
      <c r="D1994" s="4" t="s">
        <v>4603</v>
      </c>
      <c r="E1994" s="3" t="s">
        <v>4604</v>
      </c>
      <c r="F1994" s="3" t="s">
        <v>13</v>
      </c>
      <c r="G1994" s="3" t="str">
        <f t="shared" si="3"/>
        <v>XIIDKV1</v>
      </c>
      <c r="H1994" s="3" t="str">
        <f>VLOOKUP($C1994,Userpass!$A$2:$L$3001,12,FALSE)</f>
        <v>DKV1</v>
      </c>
      <c r="I1994" s="5" t="s">
        <v>4223</v>
      </c>
      <c r="J1994" s="3">
        <v>2023.0</v>
      </c>
      <c r="K1994" s="4" t="str">
        <f>VLOOKUP($C1994,Userpass!$A$2:$R$3001,2,FALSE)</f>
        <v>dkv20238342.siswa@smkn12malang.sch.id</v>
      </c>
    </row>
    <row r="1995">
      <c r="A1995" s="3" t="str">
        <f t="shared" si="1"/>
        <v>OK</v>
      </c>
      <c r="B1995" s="3" t="str">
        <f t="shared" si="2"/>
        <v>OK</v>
      </c>
      <c r="C1995" s="3">
        <v>8350.0</v>
      </c>
      <c r="D1995" s="4" t="s">
        <v>4605</v>
      </c>
      <c r="E1995" s="3" t="s">
        <v>4606</v>
      </c>
      <c r="F1995" s="3" t="s">
        <v>13</v>
      </c>
      <c r="G1995" s="3" t="str">
        <f t="shared" si="3"/>
        <v>XIIDKV1</v>
      </c>
      <c r="H1995" s="3" t="str">
        <f>VLOOKUP($C1995,Userpass!$A$2:$L$3001,12,FALSE)</f>
        <v>DKV1</v>
      </c>
      <c r="I1995" s="5" t="s">
        <v>4223</v>
      </c>
      <c r="J1995" s="3">
        <v>2023.0</v>
      </c>
      <c r="K1995" s="4" t="str">
        <f>VLOOKUP($C1995,Userpass!$A$2:$R$3001,2,FALSE)</f>
        <v>dkv20238350.siswa@smkn12malang.sch.id</v>
      </c>
    </row>
    <row r="1996">
      <c r="A1996" s="3" t="str">
        <f t="shared" si="1"/>
        <v>OK</v>
      </c>
      <c r="B1996" s="3" t="str">
        <f t="shared" si="2"/>
        <v>OK</v>
      </c>
      <c r="C1996" s="3">
        <v>8391.0</v>
      </c>
      <c r="D1996" s="4" t="s">
        <v>4607</v>
      </c>
      <c r="E1996" s="3" t="s">
        <v>4608</v>
      </c>
      <c r="F1996" s="3" t="s">
        <v>17</v>
      </c>
      <c r="G1996" s="3" t="str">
        <f t="shared" si="3"/>
        <v>XIIDKV1</v>
      </c>
      <c r="H1996" s="3" t="str">
        <f>VLOOKUP($C1996,Userpass!$A$2:$L$3001,12,FALSE)</f>
        <v>DKV1</v>
      </c>
      <c r="I1996" s="5" t="s">
        <v>4223</v>
      </c>
      <c r="J1996" s="3">
        <v>2023.0</v>
      </c>
      <c r="K1996" s="4" t="str">
        <f>VLOOKUP($C1996,Userpass!$A$2:$R$3001,2,FALSE)</f>
        <v>dkv20238391.siswa@smkn12malang.sch.id</v>
      </c>
    </row>
    <row r="1997">
      <c r="A1997" s="3" t="str">
        <f t="shared" si="1"/>
        <v>OK</v>
      </c>
      <c r="B1997" s="3" t="str">
        <f t="shared" si="2"/>
        <v>OK</v>
      </c>
      <c r="C1997" s="3">
        <v>8409.0</v>
      </c>
      <c r="D1997" s="4" t="s">
        <v>4609</v>
      </c>
      <c r="E1997" s="3" t="s">
        <v>4610</v>
      </c>
      <c r="F1997" s="3" t="s">
        <v>17</v>
      </c>
      <c r="G1997" s="3" t="str">
        <f t="shared" si="3"/>
        <v>XIIDKV1</v>
      </c>
      <c r="H1997" s="3" t="str">
        <f>VLOOKUP($C1997,Userpass!$A$2:$L$3001,12,FALSE)</f>
        <v>DKV1</v>
      </c>
      <c r="I1997" s="5" t="s">
        <v>4223</v>
      </c>
      <c r="J1997" s="3">
        <v>2023.0</v>
      </c>
      <c r="K1997" s="4" t="str">
        <f>VLOOKUP($C1997,Userpass!$A$2:$R$3001,2,FALSE)</f>
        <v>dkv20238409.siswa@smkn12malang.sch.id</v>
      </c>
    </row>
    <row r="1998">
      <c r="A1998" s="3" t="str">
        <f t="shared" si="1"/>
        <v>OK</v>
      </c>
      <c r="B1998" s="3" t="str">
        <f t="shared" si="2"/>
        <v>OK</v>
      </c>
      <c r="C1998" s="3">
        <v>8419.0</v>
      </c>
      <c r="D1998" s="4" t="s">
        <v>4611</v>
      </c>
      <c r="E1998" s="3" t="s">
        <v>4612</v>
      </c>
      <c r="F1998" s="3" t="s">
        <v>17</v>
      </c>
      <c r="G1998" s="3" t="str">
        <f t="shared" si="3"/>
        <v>XIIDKV1</v>
      </c>
      <c r="H1998" s="3" t="str">
        <f>VLOOKUP($C1998,Userpass!$A$2:$L$3001,12,FALSE)</f>
        <v>DKV1</v>
      </c>
      <c r="I1998" s="5" t="s">
        <v>4223</v>
      </c>
      <c r="J1998" s="3">
        <v>2023.0</v>
      </c>
      <c r="K1998" s="4" t="str">
        <f>VLOOKUP($C1998,Userpass!$A$2:$R$3001,2,FALSE)</f>
        <v>dkv20238419.siswa@smkn12malang.sch.id</v>
      </c>
    </row>
    <row r="1999">
      <c r="A1999" s="3" t="str">
        <f t="shared" si="1"/>
        <v>OK</v>
      </c>
      <c r="B1999" s="3" t="str">
        <f t="shared" si="2"/>
        <v>OK</v>
      </c>
      <c r="C1999" s="3">
        <v>8445.0</v>
      </c>
      <c r="D1999" s="4" t="s">
        <v>4613</v>
      </c>
      <c r="E1999" s="3" t="s">
        <v>4614</v>
      </c>
      <c r="F1999" s="3" t="s">
        <v>13</v>
      </c>
      <c r="G1999" s="3" t="str">
        <f t="shared" si="3"/>
        <v>XIIDKV1</v>
      </c>
      <c r="H1999" s="3" t="str">
        <f>VLOOKUP($C1999,Userpass!$A$2:$L$3001,12,FALSE)</f>
        <v>DKV1</v>
      </c>
      <c r="I1999" s="5" t="s">
        <v>4223</v>
      </c>
      <c r="J1999" s="3">
        <v>2023.0</v>
      </c>
      <c r="K1999" s="4" t="str">
        <f>VLOOKUP($C1999,Userpass!$A$2:$R$3001,2,FALSE)</f>
        <v>dkv20238445.siswa@smkn12malang.sch.id</v>
      </c>
    </row>
    <row r="2000">
      <c r="A2000" s="3" t="str">
        <f t="shared" si="1"/>
        <v>OK</v>
      </c>
      <c r="B2000" s="3" t="str">
        <f t="shared" si="2"/>
        <v>OK</v>
      </c>
      <c r="C2000" s="3">
        <v>8452.0</v>
      </c>
      <c r="D2000" s="4" t="s">
        <v>4615</v>
      </c>
      <c r="E2000" s="3" t="s">
        <v>4616</v>
      </c>
      <c r="F2000" s="3" t="s">
        <v>13</v>
      </c>
      <c r="G2000" s="3" t="str">
        <f t="shared" si="3"/>
        <v>XIIDKV1</v>
      </c>
      <c r="H2000" s="3" t="str">
        <f>VLOOKUP($C2000,Userpass!$A$2:$L$3001,12,FALSE)</f>
        <v>DKV1</v>
      </c>
      <c r="I2000" s="5" t="s">
        <v>4223</v>
      </c>
      <c r="J2000" s="3">
        <v>2023.0</v>
      </c>
      <c r="K2000" s="4" t="str">
        <f>VLOOKUP($C2000,Userpass!$A$2:$R$3001,2,FALSE)</f>
        <v>dkv20238452.siswa@smkn12malang.sch.id</v>
      </c>
    </row>
    <row r="2001">
      <c r="A2001" s="3" t="str">
        <f t="shared" si="1"/>
        <v>OK</v>
      </c>
      <c r="B2001" s="3" t="str">
        <f t="shared" si="2"/>
        <v>OK</v>
      </c>
      <c r="C2001" s="3">
        <v>8471.0</v>
      </c>
      <c r="D2001" s="4" t="s">
        <v>4617</v>
      </c>
      <c r="E2001" s="3" t="s">
        <v>4618</v>
      </c>
      <c r="F2001" s="3" t="s">
        <v>13</v>
      </c>
      <c r="G2001" s="3" t="str">
        <f t="shared" si="3"/>
        <v>XIIDKV1</v>
      </c>
      <c r="H2001" s="3" t="str">
        <f>VLOOKUP($C2001,Userpass!$A$2:$L$3001,12,FALSE)</f>
        <v>DKV1</v>
      </c>
      <c r="I2001" s="5" t="s">
        <v>4223</v>
      </c>
      <c r="J2001" s="3">
        <v>2023.0</v>
      </c>
      <c r="K2001" s="4" t="str">
        <f>VLOOKUP($C2001,Userpass!$A$2:$R$3001,2,FALSE)</f>
        <v>dkv20238471.siswa@smkn12malang.sch.id</v>
      </c>
    </row>
    <row r="2002">
      <c r="A2002" s="3" t="str">
        <f t="shared" si="1"/>
        <v>OK</v>
      </c>
      <c r="B2002" s="3" t="str">
        <f t="shared" si="2"/>
        <v>OK</v>
      </c>
      <c r="C2002" s="3">
        <v>8481.0</v>
      </c>
      <c r="D2002" s="4" t="s">
        <v>4619</v>
      </c>
      <c r="E2002" s="3" t="s">
        <v>4620</v>
      </c>
      <c r="F2002" s="3" t="s">
        <v>13</v>
      </c>
      <c r="G2002" s="3" t="str">
        <f t="shared" si="3"/>
        <v>XIIDKV1</v>
      </c>
      <c r="H2002" s="3" t="str">
        <f>VLOOKUP($C2002,Userpass!$A$2:$L$3001,12,FALSE)</f>
        <v>DKV1</v>
      </c>
      <c r="I2002" s="5" t="s">
        <v>4223</v>
      </c>
      <c r="J2002" s="3">
        <v>2023.0</v>
      </c>
      <c r="K2002" s="4" t="str">
        <f>VLOOKUP($C2002,Userpass!$A$2:$R$3001,2,FALSE)</f>
        <v>dkv20238481.siswa@smkn12malang.sch.id</v>
      </c>
    </row>
    <row r="2003">
      <c r="A2003" s="3" t="str">
        <f t="shared" si="1"/>
        <v>OK</v>
      </c>
      <c r="B2003" s="3" t="str">
        <f t="shared" si="2"/>
        <v>OK</v>
      </c>
      <c r="C2003" s="3">
        <v>8511.0</v>
      </c>
      <c r="D2003" s="4" t="s">
        <v>4621</v>
      </c>
      <c r="E2003" s="3" t="s">
        <v>4622</v>
      </c>
      <c r="F2003" s="3" t="s">
        <v>13</v>
      </c>
      <c r="G2003" s="3" t="str">
        <f t="shared" si="3"/>
        <v>XIIDKV1</v>
      </c>
      <c r="H2003" s="3" t="str">
        <f>VLOOKUP($C2003,Userpass!$A$2:$L$3001,12,FALSE)</f>
        <v>DKV1</v>
      </c>
      <c r="I2003" s="5" t="s">
        <v>4223</v>
      </c>
      <c r="J2003" s="3">
        <v>2023.0</v>
      </c>
      <c r="K2003" s="4" t="str">
        <f>VLOOKUP($C2003,Userpass!$A$2:$R$3001,2,FALSE)</f>
        <v>dkv20238511.siswa@smkn12malang.sch.id</v>
      </c>
    </row>
    <row r="2004">
      <c r="A2004" s="3" t="str">
        <f t="shared" si="1"/>
        <v>OK</v>
      </c>
      <c r="B2004" s="3" t="str">
        <f t="shared" si="2"/>
        <v>OK</v>
      </c>
      <c r="C2004" s="3">
        <v>8512.0</v>
      </c>
      <c r="D2004" s="4" t="s">
        <v>4623</v>
      </c>
      <c r="E2004" s="3" t="s">
        <v>4624</v>
      </c>
      <c r="F2004" s="3" t="s">
        <v>17</v>
      </c>
      <c r="G2004" s="3" t="str">
        <f t="shared" si="3"/>
        <v>XIIDKV1</v>
      </c>
      <c r="H2004" s="3" t="str">
        <f>VLOOKUP($C2004,Userpass!$A$2:$L$3001,12,FALSE)</f>
        <v>DKV1</v>
      </c>
      <c r="I2004" s="5" t="s">
        <v>4223</v>
      </c>
      <c r="J2004" s="3">
        <v>2023.0</v>
      </c>
      <c r="K2004" s="4" t="str">
        <f>VLOOKUP($C2004,Userpass!$A$2:$R$3001,2,FALSE)</f>
        <v>dkv20238512.siswa@smkn12malang.sch.id</v>
      </c>
    </row>
    <row r="2005">
      <c r="A2005" s="3" t="str">
        <f t="shared" si="1"/>
        <v>OK</v>
      </c>
      <c r="B2005" s="3" t="str">
        <f t="shared" si="2"/>
        <v>OK</v>
      </c>
      <c r="C2005" s="3">
        <v>8561.0</v>
      </c>
      <c r="D2005" s="4" t="s">
        <v>4625</v>
      </c>
      <c r="E2005" s="3" t="s">
        <v>4626</v>
      </c>
      <c r="F2005" s="3" t="s">
        <v>13</v>
      </c>
      <c r="G2005" s="3" t="str">
        <f t="shared" si="3"/>
        <v>XIIDKV1</v>
      </c>
      <c r="H2005" s="3" t="str">
        <f>VLOOKUP($C2005,Userpass!$A$2:$L$3001,12,FALSE)</f>
        <v>DKV1</v>
      </c>
      <c r="I2005" s="5" t="s">
        <v>4223</v>
      </c>
      <c r="J2005" s="3">
        <v>2023.0</v>
      </c>
      <c r="K2005" s="4" t="str">
        <f>VLOOKUP($C2005,Userpass!$A$2:$R$3001,2,FALSE)</f>
        <v>dkv20238561.siswa@smkn12malang.sch.id</v>
      </c>
    </row>
    <row r="2006">
      <c r="A2006" s="3" t="str">
        <f t="shared" si="1"/>
        <v>OK</v>
      </c>
      <c r="B2006" s="3" t="str">
        <f t="shared" si="2"/>
        <v>OK</v>
      </c>
      <c r="C2006" s="3">
        <v>8579.0</v>
      </c>
      <c r="D2006" s="4" t="s">
        <v>4627</v>
      </c>
      <c r="E2006" s="3" t="s">
        <v>4628</v>
      </c>
      <c r="F2006" s="3" t="s">
        <v>13</v>
      </c>
      <c r="G2006" s="3" t="str">
        <f t="shared" si="3"/>
        <v>XIIDKV1</v>
      </c>
      <c r="H2006" s="3" t="str">
        <f>VLOOKUP($C2006,Userpass!$A$2:$L$3001,12,FALSE)</f>
        <v>DKV1</v>
      </c>
      <c r="I2006" s="5" t="s">
        <v>4223</v>
      </c>
      <c r="J2006" s="3">
        <v>2023.0</v>
      </c>
      <c r="K2006" s="4" t="str">
        <f>VLOOKUP($C2006,Userpass!$A$2:$R$3001,2,FALSE)</f>
        <v>dkv20238579.siswa@smkn12malang.sch.id</v>
      </c>
    </row>
    <row r="2007">
      <c r="A2007" s="3" t="str">
        <f t="shared" si="1"/>
        <v>OK</v>
      </c>
      <c r="B2007" s="3" t="str">
        <f t="shared" si="2"/>
        <v>OK</v>
      </c>
      <c r="C2007" s="3">
        <v>8588.0</v>
      </c>
      <c r="D2007" s="4" t="s">
        <v>4629</v>
      </c>
      <c r="E2007" s="3" t="s">
        <v>4630</v>
      </c>
      <c r="F2007" s="3" t="s">
        <v>13</v>
      </c>
      <c r="G2007" s="3" t="str">
        <f t="shared" si="3"/>
        <v>XIIDKV1</v>
      </c>
      <c r="H2007" s="3" t="str">
        <f>VLOOKUP($C2007,Userpass!$A$2:$L$3001,12,FALSE)</f>
        <v>DKV1</v>
      </c>
      <c r="I2007" s="5" t="s">
        <v>4223</v>
      </c>
      <c r="J2007" s="3">
        <v>2023.0</v>
      </c>
      <c r="K2007" s="4" t="str">
        <f>VLOOKUP($C2007,Userpass!$A$2:$R$3001,2,FALSE)</f>
        <v>dkv20238588.siswa@smkn12malang.sch.id</v>
      </c>
    </row>
    <row r="2008">
      <c r="A2008" s="3" t="str">
        <f t="shared" si="1"/>
        <v>OK</v>
      </c>
      <c r="B2008" s="3" t="str">
        <f t="shared" si="2"/>
        <v>OK</v>
      </c>
      <c r="C2008" s="3">
        <v>8599.0</v>
      </c>
      <c r="D2008" s="4" t="s">
        <v>4631</v>
      </c>
      <c r="E2008" s="3" t="s">
        <v>4632</v>
      </c>
      <c r="F2008" s="3" t="s">
        <v>13</v>
      </c>
      <c r="G2008" s="3" t="str">
        <f t="shared" si="3"/>
        <v>XIIDKV1</v>
      </c>
      <c r="H2008" s="3" t="str">
        <f>VLOOKUP($C2008,Userpass!$A$2:$L$3001,12,FALSE)</f>
        <v>DKV1</v>
      </c>
      <c r="I2008" s="5" t="s">
        <v>4223</v>
      </c>
      <c r="J2008" s="3">
        <v>2023.0</v>
      </c>
      <c r="K2008" s="4" t="str">
        <f>VLOOKUP($C2008,Userpass!$A$2:$R$3001,2,FALSE)</f>
        <v>dkv20238599.siswa@smkn12malang.sch.id</v>
      </c>
    </row>
    <row r="2009">
      <c r="A2009" s="3" t="str">
        <f t="shared" si="1"/>
        <v>OK</v>
      </c>
      <c r="B2009" s="3" t="str">
        <f t="shared" si="2"/>
        <v>OK</v>
      </c>
      <c r="C2009" s="3">
        <v>8603.0</v>
      </c>
      <c r="D2009" s="4" t="s">
        <v>4633</v>
      </c>
      <c r="E2009" s="3" t="s">
        <v>4634</v>
      </c>
      <c r="F2009" s="3" t="s">
        <v>17</v>
      </c>
      <c r="G2009" s="3" t="str">
        <f t="shared" si="3"/>
        <v>XIIDKV1</v>
      </c>
      <c r="H2009" s="3" t="str">
        <f>VLOOKUP($C2009,Userpass!$A$2:$L$3001,12,FALSE)</f>
        <v>DKV1</v>
      </c>
      <c r="I2009" s="5" t="s">
        <v>4223</v>
      </c>
      <c r="J2009" s="3">
        <v>2023.0</v>
      </c>
      <c r="K2009" s="4" t="str">
        <f>VLOOKUP($C2009,Userpass!$A$2:$R$3001,2,FALSE)</f>
        <v>dkv20238603.siswa@smkn12malang.sch.id</v>
      </c>
    </row>
    <row r="2010">
      <c r="A2010" s="3" t="str">
        <f t="shared" si="1"/>
        <v>OK</v>
      </c>
      <c r="B2010" s="3" t="str">
        <f t="shared" si="2"/>
        <v>OK</v>
      </c>
      <c r="C2010" s="3">
        <v>8617.0</v>
      </c>
      <c r="D2010" s="4" t="s">
        <v>4635</v>
      </c>
      <c r="E2010" s="3" t="s">
        <v>4636</v>
      </c>
      <c r="F2010" s="3" t="s">
        <v>13</v>
      </c>
      <c r="G2010" s="3" t="str">
        <f t="shared" si="3"/>
        <v>XIIDKV1</v>
      </c>
      <c r="H2010" s="3" t="str">
        <f>VLOOKUP($C2010,Userpass!$A$2:$L$3001,12,FALSE)</f>
        <v>DKV1</v>
      </c>
      <c r="I2010" s="5" t="s">
        <v>4223</v>
      </c>
      <c r="J2010" s="3">
        <v>2023.0</v>
      </c>
      <c r="K2010" s="4" t="str">
        <f>VLOOKUP($C2010,Userpass!$A$2:$R$3001,2,FALSE)</f>
        <v>dkv20238617.siswa@smkn12malang.sch.id</v>
      </c>
    </row>
    <row r="2011">
      <c r="A2011" s="3" t="str">
        <f t="shared" si="1"/>
        <v>OK</v>
      </c>
      <c r="B2011" s="3" t="str">
        <f t="shared" si="2"/>
        <v>OK</v>
      </c>
      <c r="C2011" s="3">
        <v>8631.0</v>
      </c>
      <c r="D2011" s="4" t="s">
        <v>4637</v>
      </c>
      <c r="E2011" s="3" t="s">
        <v>4638</v>
      </c>
      <c r="F2011" s="3" t="s">
        <v>17</v>
      </c>
      <c r="G2011" s="3" t="str">
        <f t="shared" si="3"/>
        <v>XIIDKV1</v>
      </c>
      <c r="H2011" s="3" t="str">
        <f>VLOOKUP($C2011,Userpass!$A$2:$L$3001,12,FALSE)</f>
        <v>DKV1</v>
      </c>
      <c r="I2011" s="5" t="s">
        <v>4223</v>
      </c>
      <c r="J2011" s="3">
        <v>2023.0</v>
      </c>
      <c r="K2011" s="4" t="str">
        <f>VLOOKUP($C2011,Userpass!$A$2:$R$3001,2,FALSE)</f>
        <v>dkv20238631.siswa@smkn12malang.sch.id</v>
      </c>
    </row>
    <row r="2012">
      <c r="A2012" s="3" t="str">
        <f t="shared" si="1"/>
        <v>OK</v>
      </c>
      <c r="B2012" s="3" t="str">
        <f t="shared" si="2"/>
        <v>OK</v>
      </c>
      <c r="C2012" s="3">
        <v>8036.0</v>
      </c>
      <c r="D2012" s="4" t="s">
        <v>4639</v>
      </c>
      <c r="E2012" s="3" t="s">
        <v>4640</v>
      </c>
      <c r="F2012" s="3" t="s">
        <v>13</v>
      </c>
      <c r="G2012" s="3" t="str">
        <f t="shared" si="3"/>
        <v>XIIDKV2</v>
      </c>
      <c r="H2012" s="3" t="str">
        <f>VLOOKUP($C2012,Userpass!$A$2:$L$3001,12,FALSE)</f>
        <v>DKV2</v>
      </c>
      <c r="I2012" s="5" t="s">
        <v>4223</v>
      </c>
      <c r="J2012" s="3">
        <v>2023.0</v>
      </c>
      <c r="K2012" s="4" t="str">
        <f>VLOOKUP($C2012,Userpass!$A$2:$R$3001,2,FALSE)</f>
        <v>dkv20238036.siswa@smkn12malang.sch.id</v>
      </c>
    </row>
    <row r="2013">
      <c r="A2013" s="3" t="str">
        <f t="shared" si="1"/>
        <v>OK</v>
      </c>
      <c r="B2013" s="3" t="str">
        <f t="shared" si="2"/>
        <v>OK</v>
      </c>
      <c r="C2013" s="3">
        <v>8041.0</v>
      </c>
      <c r="D2013" s="4" t="s">
        <v>4641</v>
      </c>
      <c r="E2013" s="3" t="s">
        <v>4642</v>
      </c>
      <c r="F2013" s="3" t="s">
        <v>13</v>
      </c>
      <c r="G2013" s="3" t="str">
        <f t="shared" si="3"/>
        <v>XIIDKV2</v>
      </c>
      <c r="H2013" s="3" t="str">
        <f>VLOOKUP($C2013,Userpass!$A$2:$L$3001,12,FALSE)</f>
        <v>DKV2</v>
      </c>
      <c r="I2013" s="5" t="s">
        <v>4223</v>
      </c>
      <c r="J2013" s="3">
        <v>2023.0</v>
      </c>
      <c r="K2013" s="4" t="str">
        <f>VLOOKUP($C2013,Userpass!$A$2:$R$3001,2,FALSE)</f>
        <v>dkv20238041.siswa@smkn12malang.sch.id</v>
      </c>
    </row>
    <row r="2014">
      <c r="A2014" s="3" t="str">
        <f t="shared" si="1"/>
        <v>OK</v>
      </c>
      <c r="B2014" s="3" t="str">
        <f t="shared" si="2"/>
        <v>OK</v>
      </c>
      <c r="C2014" s="3">
        <v>8054.0</v>
      </c>
      <c r="D2014" s="4" t="s">
        <v>4643</v>
      </c>
      <c r="E2014" s="3" t="s">
        <v>4644</v>
      </c>
      <c r="F2014" s="3" t="s">
        <v>13</v>
      </c>
      <c r="G2014" s="3" t="str">
        <f t="shared" si="3"/>
        <v>XIIDKV2</v>
      </c>
      <c r="H2014" s="3" t="str">
        <f>VLOOKUP($C2014,Userpass!$A$2:$L$3001,12,FALSE)</f>
        <v>DKV2</v>
      </c>
      <c r="I2014" s="5" t="s">
        <v>4223</v>
      </c>
      <c r="J2014" s="3">
        <v>2023.0</v>
      </c>
      <c r="K2014" s="4" t="str">
        <f>VLOOKUP($C2014,Userpass!$A$2:$R$3001,2,FALSE)</f>
        <v>dkv20238054.siswa@smkn12malang.sch.id</v>
      </c>
    </row>
    <row r="2015">
      <c r="A2015" s="3" t="str">
        <f t="shared" si="1"/>
        <v>OK</v>
      </c>
      <c r="B2015" s="3" t="str">
        <f t="shared" si="2"/>
        <v>OK</v>
      </c>
      <c r="C2015" s="3">
        <v>8058.0</v>
      </c>
      <c r="D2015" s="4" t="s">
        <v>4645</v>
      </c>
      <c r="E2015" s="3" t="s">
        <v>4646</v>
      </c>
      <c r="F2015" s="3" t="s">
        <v>17</v>
      </c>
      <c r="G2015" s="3" t="str">
        <f t="shared" si="3"/>
        <v>XIIDKV2</v>
      </c>
      <c r="H2015" s="3" t="str">
        <f>VLOOKUP($C2015,Userpass!$A$2:$L$3001,12,FALSE)</f>
        <v>DKV2</v>
      </c>
      <c r="I2015" s="5" t="s">
        <v>4223</v>
      </c>
      <c r="J2015" s="3">
        <v>2023.0</v>
      </c>
      <c r="K2015" s="4" t="str">
        <f>VLOOKUP($C2015,Userpass!$A$2:$R$3001,2,FALSE)</f>
        <v>dkv20238058.siswa@smkn12malang.sch.id</v>
      </c>
    </row>
    <row r="2016">
      <c r="A2016" s="3" t="str">
        <f t="shared" si="1"/>
        <v>OK</v>
      </c>
      <c r="B2016" s="3" t="str">
        <f t="shared" si="2"/>
        <v>OK</v>
      </c>
      <c r="C2016" s="3">
        <v>8085.0</v>
      </c>
      <c r="D2016" s="4" t="s">
        <v>4647</v>
      </c>
      <c r="E2016" s="3" t="s">
        <v>4648</v>
      </c>
      <c r="F2016" s="3" t="s">
        <v>13</v>
      </c>
      <c r="G2016" s="3" t="str">
        <f t="shared" si="3"/>
        <v>XIIDKV2</v>
      </c>
      <c r="H2016" s="3" t="str">
        <f>VLOOKUP($C2016,Userpass!$A$2:$L$3001,12,FALSE)</f>
        <v>DKV2</v>
      </c>
      <c r="I2016" s="5" t="s">
        <v>4223</v>
      </c>
      <c r="J2016" s="3">
        <v>2023.0</v>
      </c>
      <c r="K2016" s="4" t="str">
        <f>VLOOKUP($C2016,Userpass!$A$2:$R$3001,2,FALSE)</f>
        <v>dkv20238085.siswa@smkn12malang.sch.id</v>
      </c>
    </row>
    <row r="2017">
      <c r="A2017" s="3" t="str">
        <f t="shared" si="1"/>
        <v>OK</v>
      </c>
      <c r="B2017" s="3" t="str">
        <f t="shared" si="2"/>
        <v>OK</v>
      </c>
      <c r="C2017" s="3">
        <v>8141.0</v>
      </c>
      <c r="D2017" s="4" t="s">
        <v>4649</v>
      </c>
      <c r="E2017" s="3" t="s">
        <v>4650</v>
      </c>
      <c r="F2017" s="3" t="s">
        <v>13</v>
      </c>
      <c r="G2017" s="3" t="str">
        <f t="shared" si="3"/>
        <v>XIIDKV2</v>
      </c>
      <c r="H2017" s="3" t="str">
        <f>VLOOKUP($C2017,Userpass!$A$2:$L$3001,12,FALSE)</f>
        <v>DKV2</v>
      </c>
      <c r="I2017" s="5" t="s">
        <v>4223</v>
      </c>
      <c r="J2017" s="3">
        <v>2023.0</v>
      </c>
      <c r="K2017" s="4" t="str">
        <f>VLOOKUP($C2017,Userpass!$A$2:$R$3001,2,FALSE)</f>
        <v>dkv20238141.siswa@smkn12malang.sch.id</v>
      </c>
    </row>
    <row r="2018">
      <c r="A2018" s="3" t="str">
        <f t="shared" si="1"/>
        <v>OK</v>
      </c>
      <c r="B2018" s="3" t="str">
        <f t="shared" si="2"/>
        <v>OK</v>
      </c>
      <c r="C2018" s="3">
        <v>8146.0</v>
      </c>
      <c r="D2018" s="4" t="s">
        <v>4651</v>
      </c>
      <c r="E2018" s="3" t="s">
        <v>4652</v>
      </c>
      <c r="F2018" s="3" t="s">
        <v>13</v>
      </c>
      <c r="G2018" s="3" t="str">
        <f t="shared" si="3"/>
        <v>XIIDKV2</v>
      </c>
      <c r="H2018" s="3" t="str">
        <f>VLOOKUP($C2018,Userpass!$A$2:$L$3001,12,FALSE)</f>
        <v>DKV2</v>
      </c>
      <c r="I2018" s="5" t="s">
        <v>4223</v>
      </c>
      <c r="J2018" s="3">
        <v>2023.0</v>
      </c>
      <c r="K2018" s="4" t="str">
        <f>VLOOKUP($C2018,Userpass!$A$2:$R$3001,2,FALSE)</f>
        <v>dkv20238146.siswa@smkn12malang.sch.id</v>
      </c>
    </row>
    <row r="2019">
      <c r="A2019" s="3" t="str">
        <f t="shared" si="1"/>
        <v>OK</v>
      </c>
      <c r="B2019" s="3" t="str">
        <f t="shared" si="2"/>
        <v>OK</v>
      </c>
      <c r="C2019" s="3">
        <v>8189.0</v>
      </c>
      <c r="D2019" s="4" t="s">
        <v>4653</v>
      </c>
      <c r="E2019" s="3" t="s">
        <v>4654</v>
      </c>
      <c r="F2019" s="3" t="s">
        <v>13</v>
      </c>
      <c r="G2019" s="3" t="str">
        <f t="shared" si="3"/>
        <v>XIIDKV2</v>
      </c>
      <c r="H2019" s="3" t="str">
        <f>VLOOKUP($C2019,Userpass!$A$2:$L$3001,12,FALSE)</f>
        <v>DKV2</v>
      </c>
      <c r="I2019" s="5" t="s">
        <v>4223</v>
      </c>
      <c r="J2019" s="3">
        <v>2023.0</v>
      </c>
      <c r="K2019" s="4" t="str">
        <f>VLOOKUP($C2019,Userpass!$A$2:$R$3001,2,FALSE)</f>
        <v>dkv20238189.siswa@smkn12malang.sch.id</v>
      </c>
    </row>
    <row r="2020">
      <c r="A2020" s="3" t="str">
        <f t="shared" si="1"/>
        <v>OK</v>
      </c>
      <c r="B2020" s="3" t="str">
        <f t="shared" si="2"/>
        <v>OK</v>
      </c>
      <c r="C2020" s="3">
        <v>8204.0</v>
      </c>
      <c r="D2020" s="4" t="s">
        <v>4655</v>
      </c>
      <c r="E2020" s="3" t="s">
        <v>4656</v>
      </c>
      <c r="F2020" s="3" t="s">
        <v>17</v>
      </c>
      <c r="G2020" s="3" t="str">
        <f t="shared" si="3"/>
        <v>XIIDKV2</v>
      </c>
      <c r="H2020" s="3" t="str">
        <f>VLOOKUP($C2020,Userpass!$A$2:$L$3001,12,FALSE)</f>
        <v>DKV2</v>
      </c>
      <c r="I2020" s="5" t="s">
        <v>4223</v>
      </c>
      <c r="J2020" s="3">
        <v>2023.0</v>
      </c>
      <c r="K2020" s="4" t="str">
        <f>VLOOKUP($C2020,Userpass!$A$2:$R$3001,2,FALSE)</f>
        <v>dkv20238204.siswa@smkn12malang.sch.id</v>
      </c>
    </row>
    <row r="2021">
      <c r="A2021" s="3" t="str">
        <f t="shared" si="1"/>
        <v>OK</v>
      </c>
      <c r="B2021" s="3" t="str">
        <f t="shared" si="2"/>
        <v>OK</v>
      </c>
      <c r="C2021" s="3">
        <v>8215.0</v>
      </c>
      <c r="D2021" s="4" t="s">
        <v>4657</v>
      </c>
      <c r="E2021" s="3" t="s">
        <v>4658</v>
      </c>
      <c r="F2021" s="3" t="s">
        <v>13</v>
      </c>
      <c r="G2021" s="3" t="str">
        <f t="shared" si="3"/>
        <v>XIIDKV2</v>
      </c>
      <c r="H2021" s="3" t="str">
        <f>VLOOKUP($C2021,Userpass!$A$2:$L$3001,12,FALSE)</f>
        <v>DKV2</v>
      </c>
      <c r="I2021" s="5" t="s">
        <v>4223</v>
      </c>
      <c r="J2021" s="3">
        <v>2023.0</v>
      </c>
      <c r="K2021" s="4" t="str">
        <f>VLOOKUP($C2021,Userpass!$A$2:$R$3001,2,FALSE)</f>
        <v>dkv20238215.siswa@smkn12malang.sch.id</v>
      </c>
    </row>
    <row r="2022">
      <c r="A2022" s="3" t="str">
        <f t="shared" si="1"/>
        <v>OK</v>
      </c>
      <c r="B2022" s="3" t="str">
        <f t="shared" si="2"/>
        <v>OK</v>
      </c>
      <c r="C2022" s="3">
        <v>8244.0</v>
      </c>
      <c r="D2022" s="4" t="s">
        <v>4659</v>
      </c>
      <c r="E2022" s="3" t="s">
        <v>4660</v>
      </c>
      <c r="F2022" s="3" t="s">
        <v>17</v>
      </c>
      <c r="G2022" s="3" t="str">
        <f t="shared" si="3"/>
        <v>XIIDKV2</v>
      </c>
      <c r="H2022" s="3" t="str">
        <f>VLOOKUP($C2022,Userpass!$A$2:$L$3001,12,FALSE)</f>
        <v>DKV2</v>
      </c>
      <c r="I2022" s="5" t="s">
        <v>4223</v>
      </c>
      <c r="J2022" s="3">
        <v>2023.0</v>
      </c>
      <c r="K2022" s="4" t="str">
        <f>VLOOKUP($C2022,Userpass!$A$2:$R$3001,2,FALSE)</f>
        <v>dkv20238244.siswa@smkn12malang.sch.id</v>
      </c>
    </row>
    <row r="2023">
      <c r="A2023" s="3" t="str">
        <f t="shared" si="1"/>
        <v>OK</v>
      </c>
      <c r="B2023" s="3" t="str">
        <f t="shared" si="2"/>
        <v>OK</v>
      </c>
      <c r="C2023" s="3">
        <v>8245.0</v>
      </c>
      <c r="D2023" s="4" t="s">
        <v>4661</v>
      </c>
      <c r="E2023" s="3" t="s">
        <v>4662</v>
      </c>
      <c r="F2023" s="3" t="s">
        <v>13</v>
      </c>
      <c r="G2023" s="3" t="str">
        <f t="shared" si="3"/>
        <v>XIIDKV2</v>
      </c>
      <c r="H2023" s="3" t="str">
        <f>VLOOKUP($C2023,Userpass!$A$2:$L$3001,12,FALSE)</f>
        <v>DKV2</v>
      </c>
      <c r="I2023" s="5" t="s">
        <v>4223</v>
      </c>
      <c r="J2023" s="3">
        <v>2023.0</v>
      </c>
      <c r="K2023" s="4" t="str">
        <f>VLOOKUP($C2023,Userpass!$A$2:$R$3001,2,FALSE)</f>
        <v>dkv20238245.siswa@smkn12malang.sch.id</v>
      </c>
    </row>
    <row r="2024">
      <c r="A2024" s="3" t="str">
        <f t="shared" si="1"/>
        <v>OK</v>
      </c>
      <c r="B2024" s="3" t="str">
        <f t="shared" si="2"/>
        <v>INVALID</v>
      </c>
      <c r="C2024" s="3">
        <v>8276.0</v>
      </c>
      <c r="D2024" s="3">
        <v>8.4546198E7</v>
      </c>
      <c r="E2024" s="3" t="s">
        <v>4663</v>
      </c>
      <c r="F2024" s="3" t="s">
        <v>13</v>
      </c>
      <c r="G2024" s="3" t="str">
        <f t="shared" si="3"/>
        <v>XIIDKV2</v>
      </c>
      <c r="H2024" s="3" t="str">
        <f>VLOOKUP($C2024,Userpass!$A$2:$L$3001,12,FALSE)</f>
        <v>DKV2</v>
      </c>
      <c r="I2024" s="5" t="s">
        <v>4223</v>
      </c>
      <c r="J2024" s="3">
        <v>2023.0</v>
      </c>
      <c r="K2024" s="4" t="str">
        <f>VLOOKUP($C2024,Userpass!$A$2:$R$3001,2,FALSE)</f>
        <v>dkv20238276.siswa@smkn12malang.sch.id</v>
      </c>
    </row>
    <row r="2025">
      <c r="A2025" s="3" t="str">
        <f t="shared" si="1"/>
        <v>OK</v>
      </c>
      <c r="B2025" s="3" t="str">
        <f t="shared" si="2"/>
        <v>OK</v>
      </c>
      <c r="C2025" s="3">
        <v>8298.0</v>
      </c>
      <c r="D2025" s="4" t="s">
        <v>4664</v>
      </c>
      <c r="E2025" s="3" t="s">
        <v>4665</v>
      </c>
      <c r="F2025" s="3" t="s">
        <v>13</v>
      </c>
      <c r="G2025" s="3" t="str">
        <f t="shared" si="3"/>
        <v>XIIDKV2</v>
      </c>
      <c r="H2025" s="3" t="str">
        <f>VLOOKUP($C2025,Userpass!$A$2:$L$3001,12,FALSE)</f>
        <v>DKV2</v>
      </c>
      <c r="I2025" s="5" t="s">
        <v>4223</v>
      </c>
      <c r="J2025" s="3">
        <v>2023.0</v>
      </c>
      <c r="K2025" s="4" t="str">
        <f>VLOOKUP($C2025,Userpass!$A$2:$R$3001,2,FALSE)</f>
        <v>dkv20238298.siswa@smkn12malang.sch.id</v>
      </c>
    </row>
    <row r="2026">
      <c r="A2026" s="3" t="str">
        <f t="shared" si="1"/>
        <v>OK</v>
      </c>
      <c r="B2026" s="3" t="str">
        <f t="shared" si="2"/>
        <v>OK</v>
      </c>
      <c r="C2026" s="3">
        <v>8308.0</v>
      </c>
      <c r="D2026" s="4" t="s">
        <v>4666</v>
      </c>
      <c r="E2026" s="3" t="s">
        <v>4667</v>
      </c>
      <c r="F2026" s="3" t="s">
        <v>13</v>
      </c>
      <c r="G2026" s="3" t="str">
        <f t="shared" si="3"/>
        <v>XIIDKV2</v>
      </c>
      <c r="H2026" s="3" t="str">
        <f>VLOOKUP($C2026,Userpass!$A$2:$L$3001,12,FALSE)</f>
        <v>DKV2</v>
      </c>
      <c r="I2026" s="5" t="s">
        <v>4223</v>
      </c>
      <c r="J2026" s="3">
        <v>2023.0</v>
      </c>
      <c r="K2026" s="4" t="str">
        <f>VLOOKUP($C2026,Userpass!$A$2:$R$3001,2,FALSE)</f>
        <v>dkv20238308.siswa@smkn12malang.sch.id</v>
      </c>
    </row>
    <row r="2027">
      <c r="A2027" s="3" t="str">
        <f t="shared" si="1"/>
        <v>OK</v>
      </c>
      <c r="B2027" s="3" t="str">
        <f t="shared" si="2"/>
        <v>OK</v>
      </c>
      <c r="C2027" s="3">
        <v>8316.0</v>
      </c>
      <c r="D2027" s="4" t="s">
        <v>4668</v>
      </c>
      <c r="E2027" s="3" t="s">
        <v>4669</v>
      </c>
      <c r="F2027" s="3" t="s">
        <v>13</v>
      </c>
      <c r="G2027" s="3" t="str">
        <f t="shared" si="3"/>
        <v>XIIDKV2</v>
      </c>
      <c r="H2027" s="3" t="str">
        <f>VLOOKUP($C2027,Userpass!$A$2:$L$3001,12,FALSE)</f>
        <v>DKV2</v>
      </c>
      <c r="I2027" s="5" t="s">
        <v>4223</v>
      </c>
      <c r="J2027" s="3">
        <v>2023.0</v>
      </c>
      <c r="K2027" s="4" t="str">
        <f>VLOOKUP($C2027,Userpass!$A$2:$R$3001,2,FALSE)</f>
        <v>dkv20238316.siswa@smkn12malang.sch.id</v>
      </c>
    </row>
    <row r="2028">
      <c r="A2028" s="3" t="str">
        <f t="shared" si="1"/>
        <v>OK</v>
      </c>
      <c r="B2028" s="3" t="str">
        <f t="shared" si="2"/>
        <v>OK</v>
      </c>
      <c r="C2028" s="3">
        <v>8322.0</v>
      </c>
      <c r="D2028" s="4" t="s">
        <v>4670</v>
      </c>
      <c r="E2028" s="3" t="s">
        <v>4671</v>
      </c>
      <c r="F2028" s="3" t="s">
        <v>13</v>
      </c>
      <c r="G2028" s="3" t="str">
        <f t="shared" si="3"/>
        <v>XIIDKV2</v>
      </c>
      <c r="H2028" s="3" t="str">
        <f>VLOOKUP($C2028,Userpass!$A$2:$L$3001,12,FALSE)</f>
        <v>DKV2</v>
      </c>
      <c r="I2028" s="5" t="s">
        <v>4223</v>
      </c>
      <c r="J2028" s="3">
        <v>2023.0</v>
      </c>
      <c r="K2028" s="4" t="str">
        <f>VLOOKUP($C2028,Userpass!$A$2:$R$3001,2,FALSE)</f>
        <v>dkv20238322.siswa@smkn12malang.sch.id</v>
      </c>
    </row>
    <row r="2029">
      <c r="A2029" s="3" t="str">
        <f t="shared" si="1"/>
        <v>OK</v>
      </c>
      <c r="B2029" s="3" t="str">
        <f t="shared" si="2"/>
        <v>OK</v>
      </c>
      <c r="C2029" s="3">
        <v>8326.0</v>
      </c>
      <c r="D2029" s="4" t="s">
        <v>4672</v>
      </c>
      <c r="E2029" s="3" t="s">
        <v>4673</v>
      </c>
      <c r="F2029" s="3" t="s">
        <v>17</v>
      </c>
      <c r="G2029" s="3" t="str">
        <f t="shared" si="3"/>
        <v>XIIDKV2</v>
      </c>
      <c r="H2029" s="3" t="str">
        <f>VLOOKUP($C2029,Userpass!$A$2:$L$3001,12,FALSE)</f>
        <v>DKV2</v>
      </c>
      <c r="I2029" s="5" t="s">
        <v>4223</v>
      </c>
      <c r="J2029" s="3">
        <v>2023.0</v>
      </c>
      <c r="K2029" s="4" t="str">
        <f>VLOOKUP($C2029,Userpass!$A$2:$R$3001,2,FALSE)</f>
        <v>dkv20238326.siswa@smkn12malang.sch.id</v>
      </c>
    </row>
    <row r="2030">
      <c r="A2030" s="3" t="str">
        <f t="shared" si="1"/>
        <v>OK</v>
      </c>
      <c r="B2030" s="3" t="str">
        <f t="shared" si="2"/>
        <v>OK</v>
      </c>
      <c r="C2030" s="3">
        <v>8343.0</v>
      </c>
      <c r="D2030" s="4" t="s">
        <v>4674</v>
      </c>
      <c r="E2030" s="3" t="s">
        <v>4675</v>
      </c>
      <c r="F2030" s="3" t="s">
        <v>13</v>
      </c>
      <c r="G2030" s="3" t="str">
        <f t="shared" si="3"/>
        <v>XIIDKV2</v>
      </c>
      <c r="H2030" s="3" t="str">
        <f>VLOOKUP($C2030,Userpass!$A$2:$L$3001,12,FALSE)</f>
        <v>DKV2</v>
      </c>
      <c r="I2030" s="5" t="s">
        <v>4223</v>
      </c>
      <c r="J2030" s="3">
        <v>2023.0</v>
      </c>
      <c r="K2030" s="4" t="str">
        <f>VLOOKUP($C2030,Userpass!$A$2:$R$3001,2,FALSE)</f>
        <v>dkv20238343.siswa@smkn12malang.sch.id</v>
      </c>
    </row>
    <row r="2031">
      <c r="A2031" s="3" t="str">
        <f t="shared" si="1"/>
        <v>OK</v>
      </c>
      <c r="B2031" s="3" t="str">
        <f t="shared" si="2"/>
        <v>OK</v>
      </c>
      <c r="C2031" s="3">
        <v>8351.0</v>
      </c>
      <c r="D2031" s="4" t="s">
        <v>4676</v>
      </c>
      <c r="E2031" s="3" t="s">
        <v>4677</v>
      </c>
      <c r="F2031" s="3" t="s">
        <v>13</v>
      </c>
      <c r="G2031" s="3" t="str">
        <f t="shared" si="3"/>
        <v>XIIDKV2</v>
      </c>
      <c r="H2031" s="3" t="str">
        <f>VLOOKUP($C2031,Userpass!$A$2:$L$3001,12,FALSE)</f>
        <v>DKV2</v>
      </c>
      <c r="I2031" s="5" t="s">
        <v>4223</v>
      </c>
      <c r="J2031" s="3">
        <v>2023.0</v>
      </c>
      <c r="K2031" s="4" t="str">
        <f>VLOOKUP($C2031,Userpass!$A$2:$R$3001,2,FALSE)</f>
        <v>dkv20238351.siswa@smkn12malang.sch.id</v>
      </c>
    </row>
    <row r="2032">
      <c r="A2032" s="3" t="str">
        <f t="shared" si="1"/>
        <v>OK</v>
      </c>
      <c r="B2032" s="3" t="str">
        <f t="shared" si="2"/>
        <v>OK</v>
      </c>
      <c r="C2032" s="3">
        <v>8404.0</v>
      </c>
      <c r="D2032" s="4" t="s">
        <v>4678</v>
      </c>
      <c r="E2032" s="3" t="s">
        <v>4679</v>
      </c>
      <c r="F2032" s="3" t="s">
        <v>17</v>
      </c>
      <c r="G2032" s="3" t="str">
        <f t="shared" si="3"/>
        <v>XIIDKV2</v>
      </c>
      <c r="H2032" s="3" t="str">
        <f>VLOOKUP($C2032,Userpass!$A$2:$L$3001,12,FALSE)</f>
        <v>DKV2</v>
      </c>
      <c r="I2032" s="5" t="s">
        <v>4223</v>
      </c>
      <c r="J2032" s="3">
        <v>2023.0</v>
      </c>
      <c r="K2032" s="4" t="str">
        <f>VLOOKUP($C2032,Userpass!$A$2:$R$3001,2,FALSE)</f>
        <v>dkv20238404.siswa@smkn12malang.sch.id</v>
      </c>
    </row>
    <row r="2033">
      <c r="A2033" s="3" t="str">
        <f t="shared" si="1"/>
        <v>OK</v>
      </c>
      <c r="B2033" s="3" t="str">
        <f t="shared" si="2"/>
        <v>OK</v>
      </c>
      <c r="C2033" s="3">
        <v>8411.0</v>
      </c>
      <c r="D2033" s="4" t="s">
        <v>4680</v>
      </c>
      <c r="E2033" s="3" t="s">
        <v>4681</v>
      </c>
      <c r="F2033" s="3" t="s">
        <v>17</v>
      </c>
      <c r="G2033" s="3" t="str">
        <f t="shared" si="3"/>
        <v>XIIDKV2</v>
      </c>
      <c r="H2033" s="3" t="str">
        <f>VLOOKUP($C2033,Userpass!$A$2:$L$3001,12,FALSE)</f>
        <v>DKV2</v>
      </c>
      <c r="I2033" s="5" t="s">
        <v>4223</v>
      </c>
      <c r="J2033" s="3">
        <v>2023.0</v>
      </c>
      <c r="K2033" s="4" t="str">
        <f>VLOOKUP($C2033,Userpass!$A$2:$R$3001,2,FALSE)</f>
        <v>dkv20238411.siswa@smkn12malang.sch.id</v>
      </c>
    </row>
    <row r="2034">
      <c r="A2034" s="3" t="str">
        <f t="shared" si="1"/>
        <v>OK</v>
      </c>
      <c r="B2034" s="3" t="str">
        <f t="shared" si="2"/>
        <v>OK</v>
      </c>
      <c r="C2034" s="3">
        <v>8422.0</v>
      </c>
      <c r="D2034" s="4" t="s">
        <v>4682</v>
      </c>
      <c r="E2034" s="3" t="s">
        <v>4683</v>
      </c>
      <c r="F2034" s="3" t="s">
        <v>17</v>
      </c>
      <c r="G2034" s="3" t="str">
        <f t="shared" si="3"/>
        <v>XIIDKV2</v>
      </c>
      <c r="H2034" s="3" t="str">
        <f>VLOOKUP($C2034,Userpass!$A$2:$L$3001,12,FALSE)</f>
        <v>DKV2</v>
      </c>
      <c r="I2034" s="5" t="s">
        <v>4223</v>
      </c>
      <c r="J2034" s="3">
        <v>2023.0</v>
      </c>
      <c r="K2034" s="4" t="str">
        <f>VLOOKUP($C2034,Userpass!$A$2:$R$3001,2,FALSE)</f>
        <v>dkv20238422.siswa@smkn12malang.sch.id</v>
      </c>
    </row>
    <row r="2035">
      <c r="A2035" s="3" t="str">
        <f t="shared" si="1"/>
        <v>OK</v>
      </c>
      <c r="B2035" s="3" t="str">
        <f t="shared" si="2"/>
        <v>OK</v>
      </c>
      <c r="C2035" s="3">
        <v>8437.0</v>
      </c>
      <c r="D2035" s="4" t="s">
        <v>4684</v>
      </c>
      <c r="E2035" s="3" t="s">
        <v>4685</v>
      </c>
      <c r="F2035" s="3" t="s">
        <v>13</v>
      </c>
      <c r="G2035" s="3" t="str">
        <f t="shared" si="3"/>
        <v>XIIDKV2</v>
      </c>
      <c r="H2035" s="3" t="str">
        <f>VLOOKUP($C2035,Userpass!$A$2:$L$3001,12,FALSE)</f>
        <v>DKV2</v>
      </c>
      <c r="I2035" s="5" t="s">
        <v>4223</v>
      </c>
      <c r="J2035" s="3">
        <v>2023.0</v>
      </c>
      <c r="K2035" s="4" t="str">
        <f>VLOOKUP($C2035,Userpass!$A$2:$R$3001,2,FALSE)</f>
        <v>dkv20238437.siswa@smkn12malang.sch.id</v>
      </c>
    </row>
    <row r="2036">
      <c r="A2036" s="3" t="str">
        <f t="shared" si="1"/>
        <v>OK</v>
      </c>
      <c r="B2036" s="3" t="str">
        <f t="shared" si="2"/>
        <v>OK</v>
      </c>
      <c r="C2036" s="3">
        <v>8451.0</v>
      </c>
      <c r="D2036" s="4" t="s">
        <v>4686</v>
      </c>
      <c r="E2036" s="3" t="s">
        <v>4687</v>
      </c>
      <c r="F2036" s="3" t="s">
        <v>13</v>
      </c>
      <c r="G2036" s="3" t="str">
        <f t="shared" si="3"/>
        <v>XIIDKV2</v>
      </c>
      <c r="H2036" s="3" t="str">
        <f>VLOOKUP($C2036,Userpass!$A$2:$L$3001,12,FALSE)</f>
        <v>DKV2</v>
      </c>
      <c r="I2036" s="5" t="s">
        <v>4223</v>
      </c>
      <c r="J2036" s="3">
        <v>2023.0</v>
      </c>
      <c r="K2036" s="4" t="str">
        <f>VLOOKUP($C2036,Userpass!$A$2:$R$3001,2,FALSE)</f>
        <v>dkv20238451.siswa@smkn12malang.sch.id</v>
      </c>
    </row>
    <row r="2037">
      <c r="A2037" s="3" t="str">
        <f t="shared" si="1"/>
        <v>OK</v>
      </c>
      <c r="B2037" s="3" t="str">
        <f t="shared" si="2"/>
        <v>OK</v>
      </c>
      <c r="C2037" s="3">
        <v>8453.0</v>
      </c>
      <c r="D2037" s="4" t="s">
        <v>4688</v>
      </c>
      <c r="E2037" s="3" t="s">
        <v>4689</v>
      </c>
      <c r="F2037" s="3" t="s">
        <v>17</v>
      </c>
      <c r="G2037" s="3" t="str">
        <f t="shared" si="3"/>
        <v>XIIDKV2</v>
      </c>
      <c r="H2037" s="3" t="str">
        <f>VLOOKUP($C2037,Userpass!$A$2:$L$3001,12,FALSE)</f>
        <v>DKV2</v>
      </c>
      <c r="I2037" s="5" t="s">
        <v>4223</v>
      </c>
      <c r="J2037" s="3">
        <v>2023.0</v>
      </c>
      <c r="K2037" s="4" t="str">
        <f>VLOOKUP($C2037,Userpass!$A$2:$R$3001,2,FALSE)</f>
        <v>dkv20238453.siswa@smkn12malang.sch.id</v>
      </c>
    </row>
    <row r="2038">
      <c r="A2038" s="3" t="str">
        <f t="shared" si="1"/>
        <v>OK</v>
      </c>
      <c r="B2038" s="3" t="str">
        <f t="shared" si="2"/>
        <v>OK</v>
      </c>
      <c r="C2038" s="3">
        <v>8484.0</v>
      </c>
      <c r="D2038" s="4" t="s">
        <v>4690</v>
      </c>
      <c r="E2038" s="3" t="s">
        <v>4691</v>
      </c>
      <c r="F2038" s="3" t="s">
        <v>17</v>
      </c>
      <c r="G2038" s="3" t="str">
        <f t="shared" si="3"/>
        <v>XIIDKV2</v>
      </c>
      <c r="H2038" s="3" t="str">
        <f>VLOOKUP($C2038,Userpass!$A$2:$L$3001,12,FALSE)</f>
        <v>DKV2</v>
      </c>
      <c r="I2038" s="5" t="s">
        <v>4223</v>
      </c>
      <c r="J2038" s="3">
        <v>2023.0</v>
      </c>
      <c r="K2038" s="4" t="str">
        <f>VLOOKUP($C2038,Userpass!$A$2:$R$3001,2,FALSE)</f>
        <v>dkv20238484.siswa@smkn12malang.sch.id</v>
      </c>
    </row>
    <row r="2039">
      <c r="A2039" s="3" t="str">
        <f t="shared" si="1"/>
        <v>OK</v>
      </c>
      <c r="B2039" s="3" t="str">
        <f t="shared" si="2"/>
        <v>OK</v>
      </c>
      <c r="C2039" s="3">
        <v>8510.0</v>
      </c>
      <c r="D2039" s="4" t="s">
        <v>4692</v>
      </c>
      <c r="E2039" s="3" t="s">
        <v>4693</v>
      </c>
      <c r="F2039" s="3" t="s">
        <v>13</v>
      </c>
      <c r="G2039" s="3" t="str">
        <f t="shared" si="3"/>
        <v>XIIDKV2</v>
      </c>
      <c r="H2039" s="3" t="str">
        <f>VLOOKUP($C2039,Userpass!$A$2:$L$3001,12,FALSE)</f>
        <v>DKV2</v>
      </c>
      <c r="I2039" s="5" t="s">
        <v>4223</v>
      </c>
      <c r="J2039" s="3">
        <v>2023.0</v>
      </c>
      <c r="K2039" s="4" t="str">
        <f>VLOOKUP($C2039,Userpass!$A$2:$R$3001,2,FALSE)</f>
        <v>dkv20238510.siswa@smkn12malang.sch.id</v>
      </c>
    </row>
    <row r="2040">
      <c r="A2040" s="3" t="str">
        <f t="shared" si="1"/>
        <v>OK</v>
      </c>
      <c r="B2040" s="3" t="str">
        <f t="shared" si="2"/>
        <v>OK</v>
      </c>
      <c r="C2040" s="3">
        <v>8514.0</v>
      </c>
      <c r="D2040" s="4" t="s">
        <v>4694</v>
      </c>
      <c r="E2040" s="3" t="s">
        <v>4695</v>
      </c>
      <c r="F2040" s="3" t="s">
        <v>13</v>
      </c>
      <c r="G2040" s="3" t="str">
        <f t="shared" si="3"/>
        <v>XIIDKV2</v>
      </c>
      <c r="H2040" s="3" t="str">
        <f>VLOOKUP($C2040,Userpass!$A$2:$L$3001,12,FALSE)</f>
        <v>DKV2</v>
      </c>
      <c r="I2040" s="5" t="s">
        <v>4223</v>
      </c>
      <c r="J2040" s="3">
        <v>2023.0</v>
      </c>
      <c r="K2040" s="4" t="str">
        <f>VLOOKUP($C2040,Userpass!$A$2:$R$3001,2,FALSE)</f>
        <v>dkv20238514.siswa@smkn12malang.sch.id</v>
      </c>
    </row>
    <row r="2041">
      <c r="A2041" s="3" t="str">
        <f t="shared" si="1"/>
        <v>OK</v>
      </c>
      <c r="B2041" s="3" t="str">
        <f t="shared" si="2"/>
        <v>OK</v>
      </c>
      <c r="C2041" s="3">
        <v>8544.0</v>
      </c>
      <c r="D2041" s="4" t="s">
        <v>4696</v>
      </c>
      <c r="E2041" s="3" t="s">
        <v>4697</v>
      </c>
      <c r="F2041" s="3" t="s">
        <v>17</v>
      </c>
      <c r="G2041" s="3" t="str">
        <f t="shared" si="3"/>
        <v>XIIDKV2</v>
      </c>
      <c r="H2041" s="3" t="str">
        <f>VLOOKUP($C2041,Userpass!$A$2:$L$3001,12,FALSE)</f>
        <v>DKV2</v>
      </c>
      <c r="I2041" s="5" t="s">
        <v>4223</v>
      </c>
      <c r="J2041" s="3">
        <v>2023.0</v>
      </c>
      <c r="K2041" s="4" t="str">
        <f>VLOOKUP($C2041,Userpass!$A$2:$R$3001,2,FALSE)</f>
        <v>dkv20238544.siswa@smkn12malang.sch.id</v>
      </c>
    </row>
    <row r="2042">
      <c r="A2042" s="3" t="str">
        <f t="shared" si="1"/>
        <v>OK</v>
      </c>
      <c r="B2042" s="3" t="str">
        <f t="shared" si="2"/>
        <v>OK</v>
      </c>
      <c r="C2042" s="3">
        <v>8575.0</v>
      </c>
      <c r="D2042" s="4" t="s">
        <v>4698</v>
      </c>
      <c r="E2042" s="3" t="s">
        <v>4699</v>
      </c>
      <c r="F2042" s="3" t="s">
        <v>13</v>
      </c>
      <c r="G2042" s="3" t="str">
        <f t="shared" si="3"/>
        <v>XIIDKV2</v>
      </c>
      <c r="H2042" s="3" t="str">
        <f>VLOOKUP($C2042,Userpass!$A$2:$L$3001,12,FALSE)</f>
        <v>DKV2</v>
      </c>
      <c r="I2042" s="5" t="s">
        <v>4223</v>
      </c>
      <c r="J2042" s="3">
        <v>2023.0</v>
      </c>
      <c r="K2042" s="4" t="str">
        <f>VLOOKUP($C2042,Userpass!$A$2:$R$3001,2,FALSE)</f>
        <v>dkv20238575.siswa@smkn12malang.sch.id</v>
      </c>
    </row>
    <row r="2043">
      <c r="A2043" s="3" t="str">
        <f t="shared" si="1"/>
        <v>OK</v>
      </c>
      <c r="B2043" s="3" t="str">
        <f t="shared" si="2"/>
        <v>OK</v>
      </c>
      <c r="C2043" s="3">
        <v>8580.0</v>
      </c>
      <c r="D2043" s="4" t="s">
        <v>4700</v>
      </c>
      <c r="E2043" s="3" t="s">
        <v>4701</v>
      </c>
      <c r="F2043" s="3" t="s">
        <v>13</v>
      </c>
      <c r="G2043" s="3" t="str">
        <f t="shared" si="3"/>
        <v>XIIDKV2</v>
      </c>
      <c r="H2043" s="3" t="str">
        <f>VLOOKUP($C2043,Userpass!$A$2:$L$3001,12,FALSE)</f>
        <v>DKV2</v>
      </c>
      <c r="I2043" s="5" t="s">
        <v>4223</v>
      </c>
      <c r="J2043" s="3">
        <v>2023.0</v>
      </c>
      <c r="K2043" s="4" t="str">
        <f>VLOOKUP($C2043,Userpass!$A$2:$R$3001,2,FALSE)</f>
        <v>dkv20238580.siswa@smkn12malang.sch.id</v>
      </c>
    </row>
    <row r="2044">
      <c r="A2044" s="3" t="str">
        <f t="shared" si="1"/>
        <v>OK</v>
      </c>
      <c r="B2044" s="3" t="str">
        <f t="shared" si="2"/>
        <v>OK</v>
      </c>
      <c r="C2044" s="3">
        <v>8589.0</v>
      </c>
      <c r="D2044" s="4" t="s">
        <v>4702</v>
      </c>
      <c r="E2044" s="3" t="s">
        <v>4703</v>
      </c>
      <c r="F2044" s="3" t="s">
        <v>13</v>
      </c>
      <c r="G2044" s="3" t="str">
        <f t="shared" si="3"/>
        <v>XIIDKV2</v>
      </c>
      <c r="H2044" s="3" t="str">
        <f>VLOOKUP($C2044,Userpass!$A$2:$L$3001,12,FALSE)</f>
        <v>DKV2</v>
      </c>
      <c r="I2044" s="5" t="s">
        <v>4223</v>
      </c>
      <c r="J2044" s="3">
        <v>2023.0</v>
      </c>
      <c r="K2044" s="4" t="str">
        <f>VLOOKUP($C2044,Userpass!$A$2:$R$3001,2,FALSE)</f>
        <v>dkv20238589.siswa@smkn12malang.sch.id</v>
      </c>
    </row>
    <row r="2045">
      <c r="A2045" s="3" t="str">
        <f t="shared" si="1"/>
        <v>OK</v>
      </c>
      <c r="B2045" s="3" t="str">
        <f t="shared" si="2"/>
        <v>OK</v>
      </c>
      <c r="C2045" s="3">
        <v>8611.0</v>
      </c>
      <c r="D2045" s="4" t="s">
        <v>4704</v>
      </c>
      <c r="E2045" s="3" t="s">
        <v>4705</v>
      </c>
      <c r="F2045" s="3" t="s">
        <v>13</v>
      </c>
      <c r="G2045" s="3" t="str">
        <f t="shared" si="3"/>
        <v>XIIDKV2</v>
      </c>
      <c r="H2045" s="3" t="str">
        <f>VLOOKUP($C2045,Userpass!$A$2:$L$3001,12,FALSE)</f>
        <v>DKV2</v>
      </c>
      <c r="I2045" s="5" t="s">
        <v>4223</v>
      </c>
      <c r="J2045" s="3">
        <v>2023.0</v>
      </c>
      <c r="K2045" s="4" t="str">
        <f>VLOOKUP($C2045,Userpass!$A$2:$R$3001,2,FALSE)</f>
        <v>dkv20238611.siswa@smkn12malang.sch.id</v>
      </c>
    </row>
    <row r="2046">
      <c r="A2046" s="3" t="str">
        <f t="shared" si="1"/>
        <v>OK</v>
      </c>
      <c r="B2046" s="3" t="str">
        <f t="shared" si="2"/>
        <v>OK</v>
      </c>
      <c r="C2046" s="3">
        <v>8614.0</v>
      </c>
      <c r="D2046" s="4" t="s">
        <v>4706</v>
      </c>
      <c r="E2046" s="3" t="s">
        <v>4707</v>
      </c>
      <c r="F2046" s="3" t="s">
        <v>17</v>
      </c>
      <c r="G2046" s="3" t="str">
        <f t="shared" si="3"/>
        <v>XIIDKV2</v>
      </c>
      <c r="H2046" s="3" t="str">
        <f>VLOOKUP($C2046,Userpass!$A$2:$L$3001,12,FALSE)</f>
        <v>DKV2</v>
      </c>
      <c r="I2046" s="5" t="s">
        <v>4223</v>
      </c>
      <c r="J2046" s="3">
        <v>2023.0</v>
      </c>
      <c r="K2046" s="4" t="str">
        <f>VLOOKUP($C2046,Userpass!$A$2:$R$3001,2,FALSE)</f>
        <v>dkv20238614.siswa@smkn12malang.sch.id</v>
      </c>
    </row>
    <row r="2047">
      <c r="A2047" s="3" t="str">
        <f t="shared" si="1"/>
        <v>OK</v>
      </c>
      <c r="B2047" s="3" t="str">
        <f t="shared" si="2"/>
        <v>OK</v>
      </c>
      <c r="C2047" s="3">
        <v>8621.0</v>
      </c>
      <c r="D2047" s="4" t="s">
        <v>4708</v>
      </c>
      <c r="E2047" s="3" t="s">
        <v>4709</v>
      </c>
      <c r="F2047" s="3" t="s">
        <v>13</v>
      </c>
      <c r="G2047" s="3" t="str">
        <f t="shared" si="3"/>
        <v>XIIDKV2</v>
      </c>
      <c r="H2047" s="3" t="str">
        <f>VLOOKUP($C2047,Userpass!$A$2:$L$3001,12,FALSE)</f>
        <v>DKV2</v>
      </c>
      <c r="I2047" s="5" t="s">
        <v>4223</v>
      </c>
      <c r="J2047" s="3">
        <v>2023.0</v>
      </c>
      <c r="K2047" s="4" t="str">
        <f>VLOOKUP($C2047,Userpass!$A$2:$R$3001,2,FALSE)</f>
        <v>dkv20238621.siswa@smkn12malang.sch.id</v>
      </c>
    </row>
    <row r="2048">
      <c r="A2048" s="3" t="str">
        <f t="shared" si="1"/>
        <v>OK</v>
      </c>
      <c r="B2048" s="3" t="str">
        <f t="shared" si="2"/>
        <v>OK</v>
      </c>
      <c r="C2048" s="3">
        <v>8026.0</v>
      </c>
      <c r="D2048" s="4" t="s">
        <v>4710</v>
      </c>
      <c r="E2048" s="3" t="s">
        <v>4711</v>
      </c>
      <c r="F2048" s="3" t="s">
        <v>17</v>
      </c>
      <c r="G2048" s="3" t="str">
        <f t="shared" si="3"/>
        <v>XIIJKT1</v>
      </c>
      <c r="H2048" s="3" t="str">
        <f>VLOOKUP($C2048,Userpass!$A$2:$L$3001,12,FALSE)</f>
        <v>JKT1</v>
      </c>
      <c r="I2048" s="5" t="s">
        <v>4223</v>
      </c>
      <c r="J2048" s="3">
        <v>2023.0</v>
      </c>
      <c r="K2048" s="4" t="str">
        <f>VLOOKUP($C2048,Userpass!$A$2:$R$3001,2,FALSE)</f>
        <v>jkt20238026.siswa@smkn12malang.sch.id</v>
      </c>
    </row>
    <row r="2049">
      <c r="A2049" s="3" t="str">
        <f t="shared" si="1"/>
        <v>OK</v>
      </c>
      <c r="B2049" s="3" t="str">
        <f t="shared" si="2"/>
        <v>OK</v>
      </c>
      <c r="C2049" s="3">
        <v>8039.0</v>
      </c>
      <c r="D2049" s="4" t="s">
        <v>4712</v>
      </c>
      <c r="E2049" s="3" t="s">
        <v>4713</v>
      </c>
      <c r="F2049" s="3" t="s">
        <v>17</v>
      </c>
      <c r="G2049" s="3" t="str">
        <f t="shared" si="3"/>
        <v>XIIJKT1</v>
      </c>
      <c r="H2049" s="3" t="str">
        <f>VLOOKUP($C2049,Userpass!$A$2:$L$3001,12,FALSE)</f>
        <v>JKT1</v>
      </c>
      <c r="I2049" s="5" t="s">
        <v>4223</v>
      </c>
      <c r="J2049" s="3">
        <v>2023.0</v>
      </c>
      <c r="K2049" s="4" t="str">
        <f>VLOOKUP($C2049,Userpass!$A$2:$R$3001,2,FALSE)</f>
        <v>jkt20238039.siswa@smkn12malang.sch.id</v>
      </c>
    </row>
    <row r="2050">
      <c r="A2050" s="3" t="str">
        <f t="shared" si="1"/>
        <v>OK</v>
      </c>
      <c r="B2050" s="3" t="str">
        <f t="shared" si="2"/>
        <v>OK</v>
      </c>
      <c r="C2050" s="3">
        <v>8063.0</v>
      </c>
      <c r="D2050" s="4" t="s">
        <v>4714</v>
      </c>
      <c r="E2050" s="3" t="s">
        <v>4715</v>
      </c>
      <c r="F2050" s="3" t="s">
        <v>17</v>
      </c>
      <c r="G2050" s="3" t="str">
        <f t="shared" si="3"/>
        <v>XIIJKT1</v>
      </c>
      <c r="H2050" s="3" t="str">
        <f>VLOOKUP($C2050,Userpass!$A$2:$L$3001,12,FALSE)</f>
        <v>JKT1</v>
      </c>
      <c r="I2050" s="5" t="s">
        <v>4223</v>
      </c>
      <c r="J2050" s="3">
        <v>2023.0</v>
      </c>
      <c r="K2050" s="4" t="str">
        <f>VLOOKUP($C2050,Userpass!$A$2:$R$3001,2,FALSE)</f>
        <v>jkt20238063.siswa@smkn12malang.sch.id</v>
      </c>
    </row>
    <row r="2051">
      <c r="A2051" s="3" t="str">
        <f t="shared" si="1"/>
        <v>OK</v>
      </c>
      <c r="B2051" s="3" t="str">
        <f t="shared" si="2"/>
        <v>OK</v>
      </c>
      <c r="C2051" s="3">
        <v>8104.0</v>
      </c>
      <c r="D2051" s="4" t="s">
        <v>4716</v>
      </c>
      <c r="E2051" s="3" t="s">
        <v>4717</v>
      </c>
      <c r="F2051" s="3" t="s">
        <v>17</v>
      </c>
      <c r="G2051" s="3" t="str">
        <f t="shared" si="3"/>
        <v>XIIJKT1</v>
      </c>
      <c r="H2051" s="3" t="str">
        <f>VLOOKUP($C2051,Userpass!$A$2:$L$3001,12,FALSE)</f>
        <v>JKT1</v>
      </c>
      <c r="I2051" s="5" t="s">
        <v>4223</v>
      </c>
      <c r="J2051" s="3">
        <v>2023.0</v>
      </c>
      <c r="K2051" s="4" t="str">
        <f>VLOOKUP($C2051,Userpass!$A$2:$R$3001,2,FALSE)</f>
        <v>jkt20238104.siswa@smkn12malang.sch.id</v>
      </c>
    </row>
    <row r="2052">
      <c r="A2052" s="3" t="str">
        <f t="shared" si="1"/>
        <v>OK</v>
      </c>
      <c r="B2052" s="3" t="str">
        <f t="shared" si="2"/>
        <v>OK</v>
      </c>
      <c r="C2052" s="3">
        <v>8156.0</v>
      </c>
      <c r="D2052" s="4" t="s">
        <v>4718</v>
      </c>
      <c r="E2052" s="3" t="s">
        <v>4719</v>
      </c>
      <c r="F2052" s="3" t="s">
        <v>13</v>
      </c>
      <c r="G2052" s="3" t="str">
        <f t="shared" si="3"/>
        <v>XIIJKT1</v>
      </c>
      <c r="H2052" s="3" t="str">
        <f>VLOOKUP($C2052,Userpass!$A$2:$L$3001,12,FALSE)</f>
        <v>JKT1</v>
      </c>
      <c r="I2052" s="5" t="s">
        <v>4223</v>
      </c>
      <c r="J2052" s="3">
        <v>2023.0</v>
      </c>
      <c r="K2052" s="4" t="str">
        <f>VLOOKUP($C2052,Userpass!$A$2:$R$3001,2,FALSE)</f>
        <v>jkt20238156.siswa@smkn12malang.sch.id</v>
      </c>
    </row>
    <row r="2053">
      <c r="A2053" s="3" t="str">
        <f t="shared" si="1"/>
        <v>OK</v>
      </c>
      <c r="B2053" s="3" t="str">
        <f t="shared" si="2"/>
        <v>OK</v>
      </c>
      <c r="C2053" s="3">
        <v>8170.0</v>
      </c>
      <c r="D2053" s="4" t="s">
        <v>4720</v>
      </c>
      <c r="E2053" s="3" t="s">
        <v>4721</v>
      </c>
      <c r="F2053" s="3" t="s">
        <v>17</v>
      </c>
      <c r="G2053" s="3" t="str">
        <f t="shared" si="3"/>
        <v>XIIJKT1</v>
      </c>
      <c r="H2053" s="3" t="str">
        <f>VLOOKUP($C2053,Userpass!$A$2:$L$3001,12,FALSE)</f>
        <v>JKT1</v>
      </c>
      <c r="I2053" s="5" t="s">
        <v>4223</v>
      </c>
      <c r="J2053" s="3">
        <v>2023.0</v>
      </c>
      <c r="K2053" s="4" t="str">
        <f>VLOOKUP($C2053,Userpass!$A$2:$R$3001,2,FALSE)</f>
        <v>jkt20238170.siswa@smkn12malang.sch.id</v>
      </c>
    </row>
    <row r="2054">
      <c r="A2054" s="3" t="str">
        <f t="shared" si="1"/>
        <v>OK</v>
      </c>
      <c r="B2054" s="3" t="str">
        <f t="shared" si="2"/>
        <v>OK</v>
      </c>
      <c r="C2054" s="3">
        <v>8177.0</v>
      </c>
      <c r="D2054" s="4" t="s">
        <v>4722</v>
      </c>
      <c r="E2054" s="3" t="s">
        <v>4723</v>
      </c>
      <c r="F2054" s="3" t="s">
        <v>13</v>
      </c>
      <c r="G2054" s="3" t="str">
        <f t="shared" si="3"/>
        <v>XIIJKT1</v>
      </c>
      <c r="H2054" s="3" t="str">
        <f>VLOOKUP($C2054,Userpass!$A$2:$L$3001,12,FALSE)</f>
        <v>JKT1</v>
      </c>
      <c r="I2054" s="5" t="s">
        <v>4223</v>
      </c>
      <c r="J2054" s="3">
        <v>2023.0</v>
      </c>
      <c r="K2054" s="4" t="str">
        <f>VLOOKUP($C2054,Userpass!$A$2:$R$3001,2,FALSE)</f>
        <v>jkt20238177.siswa@smkn12malang.sch.id</v>
      </c>
    </row>
    <row r="2055">
      <c r="A2055" s="3" t="str">
        <f t="shared" si="1"/>
        <v>OK</v>
      </c>
      <c r="B2055" s="3" t="str">
        <f t="shared" si="2"/>
        <v>OK</v>
      </c>
      <c r="C2055" s="3">
        <v>8190.0</v>
      </c>
      <c r="D2055" s="4" t="s">
        <v>4724</v>
      </c>
      <c r="E2055" s="3" t="s">
        <v>4725</v>
      </c>
      <c r="F2055" s="3" t="s">
        <v>13</v>
      </c>
      <c r="G2055" s="3" t="str">
        <f t="shared" si="3"/>
        <v>XIIJKT1</v>
      </c>
      <c r="H2055" s="3" t="str">
        <f>VLOOKUP($C2055,Userpass!$A$2:$L$3001,12,FALSE)</f>
        <v>JKT1</v>
      </c>
      <c r="I2055" s="5" t="s">
        <v>4223</v>
      </c>
      <c r="J2055" s="3">
        <v>2023.0</v>
      </c>
      <c r="K2055" s="4" t="str">
        <f>VLOOKUP($C2055,Userpass!$A$2:$R$3001,2,FALSE)</f>
        <v>jkt20238190.siswa@smkn12malang.sch.id</v>
      </c>
    </row>
    <row r="2056">
      <c r="A2056" s="3" t="str">
        <f t="shared" si="1"/>
        <v>OK</v>
      </c>
      <c r="B2056" s="3" t="str">
        <f t="shared" si="2"/>
        <v>OK</v>
      </c>
      <c r="C2056" s="3">
        <v>8211.0</v>
      </c>
      <c r="D2056" s="4" t="s">
        <v>4726</v>
      </c>
      <c r="E2056" s="3" t="s">
        <v>4727</v>
      </c>
      <c r="F2056" s="3" t="s">
        <v>17</v>
      </c>
      <c r="G2056" s="3" t="str">
        <f t="shared" si="3"/>
        <v>XIIJKT1</v>
      </c>
      <c r="H2056" s="3" t="str">
        <f>VLOOKUP($C2056,Userpass!$A$2:$L$3001,12,FALSE)</f>
        <v>JKT1</v>
      </c>
      <c r="I2056" s="5" t="s">
        <v>4223</v>
      </c>
      <c r="J2056" s="3">
        <v>2023.0</v>
      </c>
      <c r="K2056" s="4" t="str">
        <f>VLOOKUP($C2056,Userpass!$A$2:$R$3001,2,FALSE)</f>
        <v>jkt20238211.siswa@smkn12malang.sch.id</v>
      </c>
    </row>
    <row r="2057">
      <c r="A2057" s="3" t="str">
        <f t="shared" si="1"/>
        <v>OK</v>
      </c>
      <c r="B2057" s="3" t="str">
        <f t="shared" si="2"/>
        <v>OK</v>
      </c>
      <c r="C2057" s="3">
        <v>8228.0</v>
      </c>
      <c r="D2057" s="4" t="s">
        <v>4728</v>
      </c>
      <c r="E2057" s="3" t="s">
        <v>4729</v>
      </c>
      <c r="F2057" s="3" t="s">
        <v>13</v>
      </c>
      <c r="G2057" s="3" t="str">
        <f t="shared" si="3"/>
        <v>XIIJKT1</v>
      </c>
      <c r="H2057" s="3" t="str">
        <f>VLOOKUP($C2057,Userpass!$A$2:$L$3001,12,FALSE)</f>
        <v>JKT1</v>
      </c>
      <c r="I2057" s="5" t="s">
        <v>4223</v>
      </c>
      <c r="J2057" s="3">
        <v>2023.0</v>
      </c>
      <c r="K2057" s="4" t="str">
        <f>VLOOKUP($C2057,Userpass!$A$2:$R$3001,2,FALSE)</f>
        <v>jkt20238228.siswa@smkn12malang.sch.id</v>
      </c>
    </row>
    <row r="2058">
      <c r="A2058" s="3" t="str">
        <f t="shared" si="1"/>
        <v>OK</v>
      </c>
      <c r="B2058" s="3" t="str">
        <f t="shared" si="2"/>
        <v>OK</v>
      </c>
      <c r="C2058" s="3">
        <v>8257.0</v>
      </c>
      <c r="D2058" s="4" t="s">
        <v>4730</v>
      </c>
      <c r="E2058" s="3" t="s">
        <v>4731</v>
      </c>
      <c r="F2058" s="3" t="s">
        <v>17</v>
      </c>
      <c r="G2058" s="3" t="str">
        <f t="shared" si="3"/>
        <v>XIIJKT1</v>
      </c>
      <c r="H2058" s="3" t="str">
        <f>VLOOKUP($C2058,Userpass!$A$2:$L$3001,12,FALSE)</f>
        <v>JKT1</v>
      </c>
      <c r="I2058" s="5" t="s">
        <v>4223</v>
      </c>
      <c r="J2058" s="3">
        <v>2023.0</v>
      </c>
      <c r="K2058" s="4" t="str">
        <f>VLOOKUP($C2058,Userpass!$A$2:$R$3001,2,FALSE)</f>
        <v>jkt20238257.siswa@smkn12malang.sch.id</v>
      </c>
    </row>
    <row r="2059">
      <c r="A2059" s="3" t="str">
        <f t="shared" si="1"/>
        <v>OK</v>
      </c>
      <c r="B2059" s="3" t="str">
        <f t="shared" si="2"/>
        <v>OK</v>
      </c>
      <c r="C2059" s="3">
        <v>8283.0</v>
      </c>
      <c r="D2059" s="4" t="s">
        <v>4732</v>
      </c>
      <c r="E2059" s="3" t="s">
        <v>4733</v>
      </c>
      <c r="F2059" s="3" t="s">
        <v>17</v>
      </c>
      <c r="G2059" s="3" t="str">
        <f t="shared" si="3"/>
        <v>XIIJKT1</v>
      </c>
      <c r="H2059" s="3" t="str">
        <f>VLOOKUP($C2059,Userpass!$A$2:$L$3001,12,FALSE)</f>
        <v>JKT1</v>
      </c>
      <c r="I2059" s="5" t="s">
        <v>4223</v>
      </c>
      <c r="J2059" s="3">
        <v>2023.0</v>
      </c>
      <c r="K2059" s="4" t="str">
        <f>VLOOKUP($C2059,Userpass!$A$2:$R$3001,2,FALSE)</f>
        <v>jkt20238283.siswa@smkn12malang.sch.id</v>
      </c>
    </row>
    <row r="2060">
      <c r="A2060" s="3" t="str">
        <f t="shared" si="1"/>
        <v>OK</v>
      </c>
      <c r="B2060" s="3" t="str">
        <f t="shared" si="2"/>
        <v>OK</v>
      </c>
      <c r="C2060" s="3">
        <v>8330.0</v>
      </c>
      <c r="D2060" s="4" t="s">
        <v>4734</v>
      </c>
      <c r="E2060" s="3" t="s">
        <v>4735</v>
      </c>
      <c r="F2060" s="3" t="s">
        <v>17</v>
      </c>
      <c r="G2060" s="3" t="str">
        <f t="shared" si="3"/>
        <v>XIIJKT1</v>
      </c>
      <c r="H2060" s="3" t="str">
        <f>VLOOKUP($C2060,Userpass!$A$2:$L$3001,12,FALSE)</f>
        <v>JKT1</v>
      </c>
      <c r="I2060" s="5" t="s">
        <v>4223</v>
      </c>
      <c r="J2060" s="3">
        <v>2023.0</v>
      </c>
      <c r="K2060" s="4" t="str">
        <f>VLOOKUP($C2060,Userpass!$A$2:$R$3001,2,FALSE)</f>
        <v>jkt20238330.siswa@smkn12malang.sch.id</v>
      </c>
    </row>
    <row r="2061">
      <c r="A2061" s="3" t="str">
        <f t="shared" si="1"/>
        <v>OK</v>
      </c>
      <c r="B2061" s="3" t="str">
        <f t="shared" si="2"/>
        <v>OK</v>
      </c>
      <c r="C2061" s="3">
        <v>8341.0</v>
      </c>
      <c r="D2061" s="4" t="s">
        <v>4736</v>
      </c>
      <c r="E2061" s="3" t="s">
        <v>4737</v>
      </c>
      <c r="F2061" s="3" t="s">
        <v>13</v>
      </c>
      <c r="G2061" s="3" t="str">
        <f t="shared" si="3"/>
        <v>XIIJKT1</v>
      </c>
      <c r="H2061" s="3" t="str">
        <f>VLOOKUP($C2061,Userpass!$A$2:$L$3001,12,FALSE)</f>
        <v>JKT1</v>
      </c>
      <c r="I2061" s="5" t="s">
        <v>4223</v>
      </c>
      <c r="J2061" s="3">
        <v>2023.0</v>
      </c>
      <c r="K2061" s="4" t="str">
        <f>VLOOKUP($C2061,Userpass!$A$2:$R$3001,2,FALSE)</f>
        <v>jkt20238341.siswa@smkn12malang.sch.id</v>
      </c>
    </row>
    <row r="2062">
      <c r="A2062" s="3" t="str">
        <f t="shared" si="1"/>
        <v>OK</v>
      </c>
      <c r="B2062" s="3" t="str">
        <f t="shared" si="2"/>
        <v>OK</v>
      </c>
      <c r="C2062" s="3">
        <v>8359.0</v>
      </c>
      <c r="D2062" s="4" t="s">
        <v>4738</v>
      </c>
      <c r="E2062" s="3" t="s">
        <v>4739</v>
      </c>
      <c r="F2062" s="3" t="s">
        <v>17</v>
      </c>
      <c r="G2062" s="3" t="str">
        <f t="shared" si="3"/>
        <v>XIIJKT1</v>
      </c>
      <c r="H2062" s="3" t="str">
        <f>VLOOKUP($C2062,Userpass!$A$2:$L$3001,12,FALSE)</f>
        <v>JKT1</v>
      </c>
      <c r="I2062" s="5" t="s">
        <v>4223</v>
      </c>
      <c r="J2062" s="3">
        <v>2023.0</v>
      </c>
      <c r="K2062" s="4" t="str">
        <f>VLOOKUP($C2062,Userpass!$A$2:$R$3001,2,FALSE)</f>
        <v>jkt20238359.siswa@smkn12malang.sch.id</v>
      </c>
    </row>
    <row r="2063">
      <c r="A2063" s="3" t="str">
        <f t="shared" si="1"/>
        <v>OK</v>
      </c>
      <c r="B2063" s="3" t="str">
        <f t="shared" si="2"/>
        <v>OK</v>
      </c>
      <c r="C2063" s="3">
        <v>8375.0</v>
      </c>
      <c r="D2063" s="4" t="s">
        <v>4740</v>
      </c>
      <c r="E2063" s="3" t="s">
        <v>4741</v>
      </c>
      <c r="F2063" s="3" t="s">
        <v>17</v>
      </c>
      <c r="G2063" s="3" t="str">
        <f t="shared" si="3"/>
        <v>XIIJKT1</v>
      </c>
      <c r="H2063" s="3" t="str">
        <f>VLOOKUP($C2063,Userpass!$A$2:$L$3001,12,FALSE)</f>
        <v>JKT1</v>
      </c>
      <c r="I2063" s="5" t="s">
        <v>4223</v>
      </c>
      <c r="J2063" s="3">
        <v>2023.0</v>
      </c>
      <c r="K2063" s="4" t="str">
        <f>VLOOKUP($C2063,Userpass!$A$2:$R$3001,2,FALSE)</f>
        <v>jkt20238375.siswa@smkn12malang.sch.id</v>
      </c>
    </row>
    <row r="2064">
      <c r="A2064" s="3" t="str">
        <f t="shared" si="1"/>
        <v>OK</v>
      </c>
      <c r="B2064" s="3" t="str">
        <f t="shared" si="2"/>
        <v>OK</v>
      </c>
      <c r="C2064" s="3">
        <v>8416.0</v>
      </c>
      <c r="D2064" s="4" t="s">
        <v>4742</v>
      </c>
      <c r="E2064" s="3" t="s">
        <v>4743</v>
      </c>
      <c r="F2064" s="3" t="s">
        <v>17</v>
      </c>
      <c r="G2064" s="3" t="str">
        <f t="shared" si="3"/>
        <v>XIIJKT1</v>
      </c>
      <c r="H2064" s="3" t="str">
        <f>VLOOKUP($C2064,Userpass!$A$2:$L$3001,12,FALSE)</f>
        <v>JKT1</v>
      </c>
      <c r="I2064" s="5" t="s">
        <v>4223</v>
      </c>
      <c r="J2064" s="3">
        <v>2023.0</v>
      </c>
      <c r="K2064" s="4" t="str">
        <f>VLOOKUP($C2064,Userpass!$A$2:$R$3001,2,FALSE)</f>
        <v>jkt20238416.siswa@smkn12malang.sch.id</v>
      </c>
    </row>
    <row r="2065">
      <c r="A2065" s="3" t="str">
        <f t="shared" si="1"/>
        <v>OK</v>
      </c>
      <c r="B2065" s="3" t="str">
        <f t="shared" si="2"/>
        <v>OK</v>
      </c>
      <c r="C2065" s="3">
        <v>8408.0</v>
      </c>
      <c r="D2065" s="4" t="s">
        <v>4744</v>
      </c>
      <c r="E2065" s="3" t="s">
        <v>4745</v>
      </c>
      <c r="F2065" s="3" t="s">
        <v>17</v>
      </c>
      <c r="G2065" s="3" t="str">
        <f t="shared" si="3"/>
        <v>XIIJKT1</v>
      </c>
      <c r="H2065" s="3" t="str">
        <f>VLOOKUP($C2065,Userpass!$A$2:$L$3001,12,FALSE)</f>
        <v>JKT1</v>
      </c>
      <c r="I2065" s="5" t="s">
        <v>4223</v>
      </c>
      <c r="J2065" s="3">
        <v>2023.0</v>
      </c>
      <c r="K2065" s="4" t="str">
        <f>VLOOKUP($C2065,Userpass!$A$2:$R$3001,2,FALSE)</f>
        <v>jkt20238408.siswa@smkn12malang.sch.id</v>
      </c>
    </row>
    <row r="2066">
      <c r="A2066" s="3" t="str">
        <f t="shared" si="1"/>
        <v>OK</v>
      </c>
      <c r="B2066" s="3" t="str">
        <f t="shared" si="2"/>
        <v>OK</v>
      </c>
      <c r="C2066" s="3">
        <v>8417.0</v>
      </c>
      <c r="D2066" s="4" t="s">
        <v>4746</v>
      </c>
      <c r="E2066" s="3" t="s">
        <v>4747</v>
      </c>
      <c r="F2066" s="3" t="s">
        <v>17</v>
      </c>
      <c r="G2066" s="3" t="str">
        <f t="shared" si="3"/>
        <v>XIIJKT1</v>
      </c>
      <c r="H2066" s="3" t="str">
        <f>VLOOKUP($C2066,Userpass!$A$2:$L$3001,12,FALSE)</f>
        <v>JKT1</v>
      </c>
      <c r="I2066" s="5" t="s">
        <v>4223</v>
      </c>
      <c r="J2066" s="3">
        <v>2023.0</v>
      </c>
      <c r="K2066" s="4" t="str">
        <f>VLOOKUP($C2066,Userpass!$A$2:$R$3001,2,FALSE)</f>
        <v>jkt20238417.siswa@smkn12malang.sch.id</v>
      </c>
    </row>
    <row r="2067">
      <c r="A2067" s="3" t="str">
        <f t="shared" si="1"/>
        <v>OK</v>
      </c>
      <c r="B2067" s="3" t="str">
        <f t="shared" si="2"/>
        <v>OK</v>
      </c>
      <c r="C2067" s="3">
        <v>8418.0</v>
      </c>
      <c r="D2067" s="4" t="s">
        <v>4748</v>
      </c>
      <c r="E2067" s="3" t="s">
        <v>4749</v>
      </c>
      <c r="F2067" s="3" t="s">
        <v>17</v>
      </c>
      <c r="G2067" s="3" t="str">
        <f t="shared" si="3"/>
        <v>XIIJKT1</v>
      </c>
      <c r="H2067" s="3" t="str">
        <f>VLOOKUP($C2067,Userpass!$A$2:$L$3001,12,FALSE)</f>
        <v>JKT1</v>
      </c>
      <c r="I2067" s="5" t="s">
        <v>4223</v>
      </c>
      <c r="J2067" s="3">
        <v>2023.0</v>
      </c>
      <c r="K2067" s="4" t="str">
        <f>VLOOKUP($C2067,Userpass!$A$2:$R$3001,2,FALSE)</f>
        <v>jkt20238418.siswa@smkn12malang.sch.id</v>
      </c>
    </row>
    <row r="2068">
      <c r="A2068" s="3" t="str">
        <f t="shared" si="1"/>
        <v>OK</v>
      </c>
      <c r="B2068" s="3" t="str">
        <f t="shared" si="2"/>
        <v>OK</v>
      </c>
      <c r="C2068" s="3">
        <v>8337.0</v>
      </c>
      <c r="D2068" s="4" t="s">
        <v>4750</v>
      </c>
      <c r="E2068" s="3" t="s">
        <v>4751</v>
      </c>
      <c r="F2068" s="3" t="s">
        <v>17</v>
      </c>
      <c r="G2068" s="3" t="str">
        <f t="shared" si="3"/>
        <v>XIIJKT1</v>
      </c>
      <c r="H2068" s="3" t="str">
        <f>VLOOKUP($C2068,Userpass!$A$2:$L$3001,12,FALSE)</f>
        <v>JKT1</v>
      </c>
      <c r="I2068" s="5" t="s">
        <v>4223</v>
      </c>
      <c r="J2068" s="3">
        <v>2023.0</v>
      </c>
      <c r="K2068" s="4" t="str">
        <f>VLOOKUP($C2068,Userpass!$A$2:$R$3001,2,FALSE)</f>
        <v>jkt20238337.siswa@smkn12malang.sch.id</v>
      </c>
    </row>
    <row r="2069">
      <c r="A2069" s="3" t="str">
        <f t="shared" si="1"/>
        <v>OK</v>
      </c>
      <c r="B2069" s="3" t="str">
        <f t="shared" si="2"/>
        <v>OK</v>
      </c>
      <c r="C2069" s="3">
        <v>8428.0</v>
      </c>
      <c r="D2069" s="4" t="s">
        <v>4752</v>
      </c>
      <c r="E2069" s="3" t="s">
        <v>4753</v>
      </c>
      <c r="F2069" s="3" t="s">
        <v>17</v>
      </c>
      <c r="G2069" s="3" t="str">
        <f t="shared" si="3"/>
        <v>XIIJKT1</v>
      </c>
      <c r="H2069" s="3" t="str">
        <f>VLOOKUP($C2069,Userpass!$A$2:$L$3001,12,FALSE)</f>
        <v>JKT1</v>
      </c>
      <c r="I2069" s="5" t="s">
        <v>4223</v>
      </c>
      <c r="J2069" s="3">
        <v>2023.0</v>
      </c>
      <c r="K2069" s="4" t="str">
        <f>VLOOKUP($C2069,Userpass!$A$2:$R$3001,2,FALSE)</f>
        <v>jkt20238428.siswa@smkn12malang.sch.id</v>
      </c>
    </row>
    <row r="2070">
      <c r="A2070" s="3" t="str">
        <f t="shared" si="1"/>
        <v>OK</v>
      </c>
      <c r="B2070" s="3" t="str">
        <f t="shared" si="2"/>
        <v>OK</v>
      </c>
      <c r="C2070" s="3">
        <v>8429.0</v>
      </c>
      <c r="D2070" s="4" t="s">
        <v>4754</v>
      </c>
      <c r="E2070" s="3" t="s">
        <v>4755</v>
      </c>
      <c r="F2070" s="3" t="s">
        <v>17</v>
      </c>
      <c r="G2070" s="3" t="str">
        <f t="shared" si="3"/>
        <v>XIIJKT1</v>
      </c>
      <c r="H2070" s="3" t="str">
        <f>VLOOKUP($C2070,Userpass!$A$2:$L$3001,12,FALSE)</f>
        <v>JKT1</v>
      </c>
      <c r="I2070" s="5" t="s">
        <v>4223</v>
      </c>
      <c r="J2070" s="3">
        <v>2023.0</v>
      </c>
      <c r="K2070" s="4" t="str">
        <f>VLOOKUP($C2070,Userpass!$A$2:$R$3001,2,FALSE)</f>
        <v>jkt20238429.siswa@smkn12malang.sch.id</v>
      </c>
    </row>
    <row r="2071">
      <c r="A2071" s="3" t="str">
        <f t="shared" si="1"/>
        <v>OK</v>
      </c>
      <c r="B2071" s="3" t="str">
        <f t="shared" si="2"/>
        <v>OK</v>
      </c>
      <c r="C2071" s="3">
        <v>8459.0</v>
      </c>
      <c r="D2071" s="4" t="s">
        <v>4756</v>
      </c>
      <c r="E2071" s="3" t="s">
        <v>4757</v>
      </c>
      <c r="F2071" s="3" t="s">
        <v>13</v>
      </c>
      <c r="G2071" s="3" t="str">
        <f t="shared" si="3"/>
        <v>XIIJKT1</v>
      </c>
      <c r="H2071" s="3" t="str">
        <f>VLOOKUP($C2071,Userpass!$A$2:$L$3001,12,FALSE)</f>
        <v>JKT1</v>
      </c>
      <c r="I2071" s="5" t="s">
        <v>4223</v>
      </c>
      <c r="J2071" s="3">
        <v>2023.0</v>
      </c>
      <c r="K2071" s="4" t="str">
        <f>VLOOKUP($C2071,Userpass!$A$2:$R$3001,2,FALSE)</f>
        <v>jkt20238459.siswa@smkn12malang.sch.id</v>
      </c>
    </row>
    <row r="2072">
      <c r="A2072" s="3" t="str">
        <f t="shared" si="1"/>
        <v>OK</v>
      </c>
      <c r="B2072" s="3" t="str">
        <f t="shared" si="2"/>
        <v>OK</v>
      </c>
      <c r="C2072" s="3">
        <v>8460.0</v>
      </c>
      <c r="D2072" s="4" t="s">
        <v>4758</v>
      </c>
      <c r="E2072" s="3" t="s">
        <v>4759</v>
      </c>
      <c r="F2072" s="3" t="s">
        <v>17</v>
      </c>
      <c r="G2072" s="3" t="str">
        <f t="shared" si="3"/>
        <v>XIIJKT1</v>
      </c>
      <c r="H2072" s="3" t="str">
        <f>VLOOKUP($C2072,Userpass!$A$2:$L$3001,12,FALSE)</f>
        <v>JKT1</v>
      </c>
      <c r="I2072" s="5" t="s">
        <v>4223</v>
      </c>
      <c r="J2072" s="3">
        <v>2023.0</v>
      </c>
      <c r="K2072" s="4" t="str">
        <f>VLOOKUP($C2072,Userpass!$A$2:$R$3001,2,FALSE)</f>
        <v>jkt20238460.siswa@smkn12malang.sch.id</v>
      </c>
    </row>
    <row r="2073">
      <c r="A2073" s="3" t="str">
        <f t="shared" si="1"/>
        <v>OK</v>
      </c>
      <c r="B2073" s="3" t="str">
        <f t="shared" si="2"/>
        <v>OK</v>
      </c>
      <c r="C2073" s="3">
        <v>8480.0</v>
      </c>
      <c r="D2073" s="4" t="s">
        <v>4760</v>
      </c>
      <c r="E2073" s="3" t="s">
        <v>4761</v>
      </c>
      <c r="F2073" s="3" t="s">
        <v>13</v>
      </c>
      <c r="G2073" s="3" t="str">
        <f t="shared" si="3"/>
        <v>XIIJKT1</v>
      </c>
      <c r="H2073" s="3" t="str">
        <f>VLOOKUP($C2073,Userpass!$A$2:$L$3001,12,FALSE)</f>
        <v>JKT1</v>
      </c>
      <c r="I2073" s="5" t="s">
        <v>4223</v>
      </c>
      <c r="J2073" s="3">
        <v>2023.0</v>
      </c>
      <c r="K2073" s="4" t="str">
        <f>VLOOKUP($C2073,Userpass!$A$2:$R$3001,2,FALSE)</f>
        <v>jkt20238480.siswa@smkn12malang.sch.id</v>
      </c>
    </row>
    <row r="2074">
      <c r="A2074" s="3" t="str">
        <f t="shared" si="1"/>
        <v>OK</v>
      </c>
      <c r="B2074" s="3" t="str">
        <f t="shared" si="2"/>
        <v>OK</v>
      </c>
      <c r="C2074" s="3">
        <v>8499.0</v>
      </c>
      <c r="D2074" s="4" t="s">
        <v>4762</v>
      </c>
      <c r="E2074" s="3" t="s">
        <v>4763</v>
      </c>
      <c r="F2074" s="3" t="s">
        <v>17</v>
      </c>
      <c r="G2074" s="3" t="str">
        <f t="shared" si="3"/>
        <v>XIIJKT1</v>
      </c>
      <c r="H2074" s="3" t="str">
        <f>VLOOKUP($C2074,Userpass!$A$2:$L$3001,12,FALSE)</f>
        <v>JKT1</v>
      </c>
      <c r="I2074" s="5" t="s">
        <v>4223</v>
      </c>
      <c r="J2074" s="3">
        <v>2023.0</v>
      </c>
      <c r="K2074" s="4" t="str">
        <f>VLOOKUP($C2074,Userpass!$A$2:$R$3001,2,FALSE)</f>
        <v>jkt20238499.siswa@smkn12malang.sch.id</v>
      </c>
    </row>
    <row r="2075">
      <c r="A2075" s="3" t="str">
        <f t="shared" si="1"/>
        <v>OK</v>
      </c>
      <c r="B2075" s="3" t="str">
        <f t="shared" si="2"/>
        <v>OK</v>
      </c>
      <c r="C2075" s="3">
        <v>8539.0</v>
      </c>
      <c r="D2075" s="4" t="s">
        <v>4764</v>
      </c>
      <c r="E2075" s="3" t="s">
        <v>4765</v>
      </c>
      <c r="F2075" s="3" t="s">
        <v>13</v>
      </c>
      <c r="G2075" s="3" t="str">
        <f t="shared" si="3"/>
        <v>XIIJKT1</v>
      </c>
      <c r="H2075" s="3" t="str">
        <f>VLOOKUP($C2075,Userpass!$A$2:$L$3001,12,FALSE)</f>
        <v>JKT1</v>
      </c>
      <c r="I2075" s="5" t="s">
        <v>4223</v>
      </c>
      <c r="J2075" s="3">
        <v>2023.0</v>
      </c>
      <c r="K2075" s="4" t="str">
        <f>VLOOKUP($C2075,Userpass!$A$2:$R$3001,2,FALSE)</f>
        <v>jkt20238539.siswa@smkn12malang.sch.id</v>
      </c>
    </row>
    <row r="2076">
      <c r="A2076" s="3" t="str">
        <f t="shared" si="1"/>
        <v>OK</v>
      </c>
      <c r="B2076" s="3" t="str">
        <f t="shared" si="2"/>
        <v>OK</v>
      </c>
      <c r="C2076" s="3">
        <v>8540.0</v>
      </c>
      <c r="D2076" s="4" t="s">
        <v>4766</v>
      </c>
      <c r="E2076" s="3" t="s">
        <v>4767</v>
      </c>
      <c r="F2076" s="3" t="s">
        <v>17</v>
      </c>
      <c r="G2076" s="3" t="str">
        <f t="shared" si="3"/>
        <v>XIIJKT1</v>
      </c>
      <c r="H2076" s="3" t="str">
        <f>VLOOKUP($C2076,Userpass!$A$2:$L$3001,12,FALSE)</f>
        <v>JKT1</v>
      </c>
      <c r="I2076" s="5" t="s">
        <v>4223</v>
      </c>
      <c r="J2076" s="3">
        <v>2023.0</v>
      </c>
      <c r="K2076" s="4" t="str">
        <f>VLOOKUP($C2076,Userpass!$A$2:$R$3001,2,FALSE)</f>
        <v>jkt20238540.siswa@smkn12malang.sch.id</v>
      </c>
    </row>
    <row r="2077">
      <c r="A2077" s="3" t="str">
        <f t="shared" si="1"/>
        <v>OK</v>
      </c>
      <c r="B2077" s="3" t="str">
        <f t="shared" si="2"/>
        <v>OK</v>
      </c>
      <c r="C2077" s="3">
        <v>8541.0</v>
      </c>
      <c r="D2077" s="4" t="s">
        <v>4768</v>
      </c>
      <c r="E2077" s="3" t="s">
        <v>4769</v>
      </c>
      <c r="F2077" s="3" t="s">
        <v>13</v>
      </c>
      <c r="G2077" s="3" t="str">
        <f t="shared" si="3"/>
        <v>XIIJKT1</v>
      </c>
      <c r="H2077" s="3" t="str">
        <f>VLOOKUP($C2077,Userpass!$A$2:$L$3001,12,FALSE)</f>
        <v>JKT1</v>
      </c>
      <c r="I2077" s="5" t="s">
        <v>4223</v>
      </c>
      <c r="J2077" s="3">
        <v>2023.0</v>
      </c>
      <c r="K2077" s="4" t="str">
        <f>VLOOKUP($C2077,Userpass!$A$2:$R$3001,2,FALSE)</f>
        <v>jkt20238541.siswa@smkn12malang.sch.id</v>
      </c>
    </row>
    <row r="2078">
      <c r="A2078" s="3" t="str">
        <f t="shared" si="1"/>
        <v>OK</v>
      </c>
      <c r="B2078" s="3" t="str">
        <f t="shared" si="2"/>
        <v>OK</v>
      </c>
      <c r="C2078" s="3">
        <v>8587.0</v>
      </c>
      <c r="D2078" s="4" t="s">
        <v>4770</v>
      </c>
      <c r="E2078" s="3" t="s">
        <v>4771</v>
      </c>
      <c r="F2078" s="3" t="s">
        <v>17</v>
      </c>
      <c r="G2078" s="3" t="str">
        <f t="shared" si="3"/>
        <v>XIIJKT1</v>
      </c>
      <c r="H2078" s="3" t="str">
        <f>VLOOKUP($C2078,Userpass!$A$2:$L$3001,12,FALSE)</f>
        <v>JKT1</v>
      </c>
      <c r="I2078" s="5" t="s">
        <v>4223</v>
      </c>
      <c r="J2078" s="3">
        <v>2023.0</v>
      </c>
      <c r="K2078" s="4" t="str">
        <f>VLOOKUP($C2078,Userpass!$A$2:$R$3001,2,FALSE)</f>
        <v>jkt20238587.siswa@smkn12malang.sch.id</v>
      </c>
    </row>
    <row r="2079">
      <c r="A2079" s="3" t="str">
        <f t="shared" si="1"/>
        <v>OK</v>
      </c>
      <c r="B2079" s="3" t="str">
        <f t="shared" si="2"/>
        <v>OK</v>
      </c>
      <c r="C2079" s="3">
        <v>8605.0</v>
      </c>
      <c r="D2079" s="4" t="s">
        <v>4772</v>
      </c>
      <c r="E2079" s="3" t="s">
        <v>4773</v>
      </c>
      <c r="F2079" s="3" t="s">
        <v>13</v>
      </c>
      <c r="G2079" s="3" t="str">
        <f t="shared" si="3"/>
        <v>XIIJKT1</v>
      </c>
      <c r="H2079" s="3" t="str">
        <f>VLOOKUP($C2079,Userpass!$A$2:$L$3001,12,FALSE)</f>
        <v>JKT1</v>
      </c>
      <c r="I2079" s="5" t="s">
        <v>4223</v>
      </c>
      <c r="J2079" s="3">
        <v>2023.0</v>
      </c>
      <c r="K2079" s="4" t="str">
        <f>VLOOKUP($C2079,Userpass!$A$2:$R$3001,2,FALSE)</f>
        <v>jkt20238605.siswa@smkn12malang.sch.id</v>
      </c>
    </row>
    <row r="2080">
      <c r="A2080" s="3" t="str">
        <f t="shared" si="1"/>
        <v>OK</v>
      </c>
      <c r="B2080" s="3" t="str">
        <f t="shared" si="2"/>
        <v>OK</v>
      </c>
      <c r="C2080" s="3">
        <v>8613.0</v>
      </c>
      <c r="D2080" s="4" t="s">
        <v>4774</v>
      </c>
      <c r="E2080" s="3" t="s">
        <v>4775</v>
      </c>
      <c r="F2080" s="3" t="s">
        <v>13</v>
      </c>
      <c r="G2080" s="3" t="str">
        <f t="shared" si="3"/>
        <v>XIIJKT1</v>
      </c>
      <c r="H2080" s="3" t="str">
        <f>VLOOKUP($C2080,Userpass!$A$2:$L$3001,12,FALSE)</f>
        <v>JKT1</v>
      </c>
      <c r="I2080" s="5" t="s">
        <v>4223</v>
      </c>
      <c r="J2080" s="3">
        <v>2023.0</v>
      </c>
      <c r="K2080" s="4" t="str">
        <f>VLOOKUP($C2080,Userpass!$A$2:$R$3001,2,FALSE)</f>
        <v>jkt20238613.siswa@smkn12malang.sch.id</v>
      </c>
    </row>
    <row r="2081">
      <c r="A2081" s="3" t="str">
        <f t="shared" si="1"/>
        <v>OK</v>
      </c>
      <c r="B2081" s="3" t="str">
        <f t="shared" si="2"/>
        <v>OK</v>
      </c>
      <c r="C2081" s="3">
        <v>8044.0</v>
      </c>
      <c r="D2081" s="4" t="s">
        <v>4776</v>
      </c>
      <c r="E2081" s="3" t="s">
        <v>4777</v>
      </c>
      <c r="F2081" s="3" t="s">
        <v>17</v>
      </c>
      <c r="G2081" s="3" t="str">
        <f t="shared" si="3"/>
        <v>XIIJKT2</v>
      </c>
      <c r="H2081" s="3" t="str">
        <f>VLOOKUP($C2081,Userpass!$A$2:$L$3001,12,FALSE)</f>
        <v>JKT2</v>
      </c>
      <c r="I2081" s="5" t="s">
        <v>4223</v>
      </c>
      <c r="J2081" s="3">
        <v>2023.0</v>
      </c>
      <c r="K2081" s="4" t="str">
        <f>VLOOKUP($C2081,Userpass!$A$2:$R$3001,2,FALSE)</f>
        <v>jkt20238044.siswa@smkn12malang.sch.id</v>
      </c>
    </row>
    <row r="2082">
      <c r="A2082" s="3" t="str">
        <f t="shared" si="1"/>
        <v>OK</v>
      </c>
      <c r="B2082" s="3" t="str">
        <f t="shared" si="2"/>
        <v>OK</v>
      </c>
      <c r="C2082" s="3">
        <v>8047.0</v>
      </c>
      <c r="D2082" s="4" t="s">
        <v>4778</v>
      </c>
      <c r="E2082" s="3" t="s">
        <v>4779</v>
      </c>
      <c r="F2082" s="3" t="s">
        <v>17</v>
      </c>
      <c r="G2082" s="3" t="str">
        <f t="shared" si="3"/>
        <v>XIIJKT2</v>
      </c>
      <c r="H2082" s="3" t="str">
        <f>VLOOKUP($C2082,Userpass!$A$2:$L$3001,12,FALSE)</f>
        <v>JKT2</v>
      </c>
      <c r="I2082" s="5" t="s">
        <v>4223</v>
      </c>
      <c r="J2082" s="3">
        <v>2023.0</v>
      </c>
      <c r="K2082" s="4" t="str">
        <f>VLOOKUP($C2082,Userpass!$A$2:$R$3001,2,FALSE)</f>
        <v>jkt20238047.siswa@smkn12malang.sch.id</v>
      </c>
    </row>
    <row r="2083">
      <c r="A2083" s="3" t="str">
        <f t="shared" si="1"/>
        <v>OK</v>
      </c>
      <c r="B2083" s="3" t="str">
        <f t="shared" si="2"/>
        <v>OK</v>
      </c>
      <c r="C2083" s="3">
        <v>8074.0</v>
      </c>
      <c r="D2083" s="4" t="s">
        <v>4780</v>
      </c>
      <c r="E2083" s="3" t="s">
        <v>4781</v>
      </c>
      <c r="F2083" s="3" t="s">
        <v>17</v>
      </c>
      <c r="G2083" s="3" t="str">
        <f t="shared" si="3"/>
        <v>XIIJKT2</v>
      </c>
      <c r="H2083" s="3" t="str">
        <f>VLOOKUP($C2083,Userpass!$A$2:$L$3001,12,FALSE)</f>
        <v>JKT2</v>
      </c>
      <c r="I2083" s="5" t="s">
        <v>4223</v>
      </c>
      <c r="J2083" s="3">
        <v>2023.0</v>
      </c>
      <c r="K2083" s="4" t="str">
        <f>VLOOKUP($C2083,Userpass!$A$2:$R$3001,2,FALSE)</f>
        <v>jkt20238074.siswa@smkn12malang.sch.id</v>
      </c>
    </row>
    <row r="2084">
      <c r="A2084" s="3" t="str">
        <f t="shared" si="1"/>
        <v>OK</v>
      </c>
      <c r="B2084" s="3" t="str">
        <f t="shared" si="2"/>
        <v>OK</v>
      </c>
      <c r="C2084" s="3">
        <v>8080.0</v>
      </c>
      <c r="D2084" s="4" t="s">
        <v>4782</v>
      </c>
      <c r="E2084" s="3" t="s">
        <v>4783</v>
      </c>
      <c r="F2084" s="3" t="s">
        <v>13</v>
      </c>
      <c r="G2084" s="3" t="str">
        <f t="shared" si="3"/>
        <v>XIIJKT2</v>
      </c>
      <c r="H2084" s="3" t="str">
        <f>VLOOKUP($C2084,Userpass!$A$2:$L$3001,12,FALSE)</f>
        <v>JKT2</v>
      </c>
      <c r="I2084" s="5" t="s">
        <v>4223</v>
      </c>
      <c r="J2084" s="3">
        <v>2023.0</v>
      </c>
      <c r="K2084" s="4" t="str">
        <f>VLOOKUP($C2084,Userpass!$A$2:$R$3001,2,FALSE)</f>
        <v>jkt20238080.siswa@smkn12malang.sch.id</v>
      </c>
    </row>
    <row r="2085">
      <c r="A2085" s="3" t="str">
        <f t="shared" si="1"/>
        <v>OK</v>
      </c>
      <c r="B2085" s="3" t="str">
        <f t="shared" si="2"/>
        <v>OK</v>
      </c>
      <c r="C2085" s="3">
        <v>8089.0</v>
      </c>
      <c r="D2085" s="4" t="s">
        <v>4784</v>
      </c>
      <c r="E2085" s="3" t="s">
        <v>4785</v>
      </c>
      <c r="F2085" s="3" t="s">
        <v>17</v>
      </c>
      <c r="G2085" s="3" t="str">
        <f t="shared" si="3"/>
        <v>XIIJKT2</v>
      </c>
      <c r="H2085" s="3" t="str">
        <f>VLOOKUP($C2085,Userpass!$A$2:$L$3001,12,FALSE)</f>
        <v>JKT2</v>
      </c>
      <c r="I2085" s="5" t="s">
        <v>4223</v>
      </c>
      <c r="J2085" s="3">
        <v>2023.0</v>
      </c>
      <c r="K2085" s="4" t="str">
        <f>VLOOKUP($C2085,Userpass!$A$2:$R$3001,2,FALSE)</f>
        <v>jkt20238089.siswa@smkn12malang.sch.id</v>
      </c>
    </row>
    <row r="2086">
      <c r="A2086" s="3" t="str">
        <f t="shared" si="1"/>
        <v>OK</v>
      </c>
      <c r="B2086" s="3" t="str">
        <f t="shared" si="2"/>
        <v>OK</v>
      </c>
      <c r="C2086" s="3">
        <v>8103.0</v>
      </c>
      <c r="D2086" s="4" t="s">
        <v>4786</v>
      </c>
      <c r="E2086" s="3" t="s">
        <v>4787</v>
      </c>
      <c r="F2086" s="3" t="s">
        <v>17</v>
      </c>
      <c r="G2086" s="3" t="str">
        <f t="shared" si="3"/>
        <v>XIIJKT2</v>
      </c>
      <c r="H2086" s="3" t="str">
        <f>VLOOKUP($C2086,Userpass!$A$2:$L$3001,12,FALSE)</f>
        <v>JKT2</v>
      </c>
      <c r="I2086" s="5" t="s">
        <v>4223</v>
      </c>
      <c r="J2086" s="3">
        <v>2023.0</v>
      </c>
      <c r="K2086" s="4" t="str">
        <f>VLOOKUP($C2086,Userpass!$A$2:$R$3001,2,FALSE)</f>
        <v>jkt20238103.siswa@smkn12malang.sch.id</v>
      </c>
    </row>
    <row r="2087">
      <c r="A2087" s="3" t="str">
        <f t="shared" si="1"/>
        <v>OK</v>
      </c>
      <c r="B2087" s="3" t="str">
        <f t="shared" si="2"/>
        <v>OK</v>
      </c>
      <c r="C2087" s="3">
        <v>8137.0</v>
      </c>
      <c r="D2087" s="4" t="s">
        <v>4788</v>
      </c>
      <c r="E2087" s="3" t="s">
        <v>4789</v>
      </c>
      <c r="F2087" s="3" t="s">
        <v>13</v>
      </c>
      <c r="G2087" s="3" t="str">
        <f t="shared" si="3"/>
        <v>XIIJKT2</v>
      </c>
      <c r="H2087" s="3" t="str">
        <f>VLOOKUP($C2087,Userpass!$A$2:$L$3001,12,FALSE)</f>
        <v>JKT2</v>
      </c>
      <c r="I2087" s="5" t="s">
        <v>4223</v>
      </c>
      <c r="J2087" s="3">
        <v>2023.0</v>
      </c>
      <c r="K2087" s="4" t="str">
        <f>VLOOKUP($C2087,Userpass!$A$2:$R$3001,2,FALSE)</f>
        <v>jkt20238137.siswa@smkn12malang.sch.id</v>
      </c>
    </row>
    <row r="2088">
      <c r="A2088" s="3" t="str">
        <f t="shared" si="1"/>
        <v>OK</v>
      </c>
      <c r="B2088" s="3" t="str">
        <f t="shared" si="2"/>
        <v>OK</v>
      </c>
      <c r="C2088" s="3">
        <v>8154.0</v>
      </c>
      <c r="D2088" s="4" t="s">
        <v>4790</v>
      </c>
      <c r="E2088" s="3" t="s">
        <v>4791</v>
      </c>
      <c r="F2088" s="3" t="s">
        <v>13</v>
      </c>
      <c r="G2088" s="3" t="str">
        <f t="shared" si="3"/>
        <v>XIIJKT2</v>
      </c>
      <c r="H2088" s="3" t="str">
        <f>VLOOKUP($C2088,Userpass!$A$2:$L$3001,12,FALSE)</f>
        <v>JKT2</v>
      </c>
      <c r="I2088" s="5" t="s">
        <v>4223</v>
      </c>
      <c r="J2088" s="3">
        <v>2023.0</v>
      </c>
      <c r="K2088" s="4" t="str">
        <f>VLOOKUP($C2088,Userpass!$A$2:$R$3001,2,FALSE)</f>
        <v>jkt20238154.siswa@smkn12malang.sch.id</v>
      </c>
    </row>
    <row r="2089">
      <c r="A2089" s="3" t="str">
        <f t="shared" si="1"/>
        <v>OK</v>
      </c>
      <c r="B2089" s="3" t="str">
        <f t="shared" si="2"/>
        <v>OK</v>
      </c>
      <c r="C2089" s="3">
        <v>8191.0</v>
      </c>
      <c r="D2089" s="4" t="s">
        <v>4792</v>
      </c>
      <c r="E2089" s="3" t="s">
        <v>4793</v>
      </c>
      <c r="F2089" s="3" t="s">
        <v>17</v>
      </c>
      <c r="G2089" s="3" t="str">
        <f t="shared" si="3"/>
        <v>XIIJKT2</v>
      </c>
      <c r="H2089" s="3" t="str">
        <f>VLOOKUP($C2089,Userpass!$A$2:$L$3001,12,FALSE)</f>
        <v>JKT2</v>
      </c>
      <c r="I2089" s="5" t="s">
        <v>4223</v>
      </c>
      <c r="J2089" s="3">
        <v>2023.0</v>
      </c>
      <c r="K2089" s="4" t="str">
        <f>VLOOKUP($C2089,Userpass!$A$2:$R$3001,2,FALSE)</f>
        <v>jkt20238191.siswa@smkn12malang.sch.id</v>
      </c>
    </row>
    <row r="2090">
      <c r="A2090" s="3" t="str">
        <f t="shared" si="1"/>
        <v>OK</v>
      </c>
      <c r="B2090" s="3" t="str">
        <f t="shared" si="2"/>
        <v>OK</v>
      </c>
      <c r="C2090" s="3">
        <v>8208.0</v>
      </c>
      <c r="D2090" s="4" t="s">
        <v>4794</v>
      </c>
      <c r="E2090" s="3" t="s">
        <v>4795</v>
      </c>
      <c r="F2090" s="3" t="s">
        <v>13</v>
      </c>
      <c r="G2090" s="3" t="str">
        <f t="shared" si="3"/>
        <v>XIIJKT2</v>
      </c>
      <c r="H2090" s="3" t="str">
        <f>VLOOKUP($C2090,Userpass!$A$2:$L$3001,12,FALSE)</f>
        <v>JKT2</v>
      </c>
      <c r="I2090" s="5" t="s">
        <v>4223</v>
      </c>
      <c r="J2090" s="3">
        <v>2023.0</v>
      </c>
      <c r="K2090" s="4" t="str">
        <f>VLOOKUP($C2090,Userpass!$A$2:$R$3001,2,FALSE)</f>
        <v>jkt20238208.siswa@smkn12malang.sch.id</v>
      </c>
    </row>
    <row r="2091" hidden="1">
      <c r="A2091" s="3" t="str">
        <f t="shared" si="1"/>
        <v>OK</v>
      </c>
      <c r="B2091" s="3" t="str">
        <f t="shared" si="2"/>
        <v>OK</v>
      </c>
      <c r="C2091" s="3">
        <v>8235.0</v>
      </c>
      <c r="D2091" s="4" t="s">
        <v>4796</v>
      </c>
      <c r="E2091" s="3" t="s">
        <v>4797</v>
      </c>
      <c r="F2091" s="3" t="s">
        <v>17</v>
      </c>
      <c r="G2091" s="3" t="str">
        <f t="shared" si="3"/>
        <v>DROPOUT</v>
      </c>
      <c r="H2091" s="3" t="str">
        <f>VLOOKUP($C2091,Userpass!$A$2:$L$3001,12,FALSE)</f>
        <v>OUT</v>
      </c>
      <c r="I2091" s="5" t="s">
        <v>1166</v>
      </c>
      <c r="J2091" s="3">
        <v>2023.0</v>
      </c>
      <c r="K2091" s="4" t="str">
        <f>VLOOKUP($C2091,Userpass!$A$2:$R$3001,2,FALSE)</f>
        <v>jkt20238235.siswa@smkn12malang.sch.id</v>
      </c>
    </row>
    <row r="2092">
      <c r="A2092" s="3" t="str">
        <f t="shared" si="1"/>
        <v>OK</v>
      </c>
      <c r="B2092" s="3" t="str">
        <f t="shared" si="2"/>
        <v>OK</v>
      </c>
      <c r="C2092" s="3">
        <v>8238.0</v>
      </c>
      <c r="D2092" s="4" t="s">
        <v>4798</v>
      </c>
      <c r="E2092" s="3" t="s">
        <v>4799</v>
      </c>
      <c r="F2092" s="3" t="s">
        <v>13</v>
      </c>
      <c r="G2092" s="3" t="str">
        <f t="shared" si="3"/>
        <v>XIIJKT2</v>
      </c>
      <c r="H2092" s="3" t="str">
        <f>VLOOKUP($C2092,Userpass!$A$2:$L$3001,12,FALSE)</f>
        <v>JKT2</v>
      </c>
      <c r="I2092" s="5" t="s">
        <v>4223</v>
      </c>
      <c r="J2092" s="3">
        <v>2023.0</v>
      </c>
      <c r="K2092" s="4" t="str">
        <f>VLOOKUP($C2092,Userpass!$A$2:$R$3001,2,FALSE)</f>
        <v>jkt20238238.siswa@smkn12malang.sch.id</v>
      </c>
    </row>
    <row r="2093">
      <c r="A2093" s="3" t="str">
        <f t="shared" si="1"/>
        <v>OK</v>
      </c>
      <c r="B2093" s="3" t="str">
        <f t="shared" si="2"/>
        <v>OK</v>
      </c>
      <c r="C2093" s="3">
        <v>8242.0</v>
      </c>
      <c r="D2093" s="4" t="s">
        <v>4800</v>
      </c>
      <c r="E2093" s="3" t="s">
        <v>4801</v>
      </c>
      <c r="F2093" s="3" t="s">
        <v>17</v>
      </c>
      <c r="G2093" s="3" t="str">
        <f t="shared" si="3"/>
        <v>XIIJKT2</v>
      </c>
      <c r="H2093" s="3" t="str">
        <f>VLOOKUP($C2093,Userpass!$A$2:$L$3001,12,FALSE)</f>
        <v>JKT2</v>
      </c>
      <c r="I2093" s="5" t="s">
        <v>4223</v>
      </c>
      <c r="J2093" s="3">
        <v>2023.0</v>
      </c>
      <c r="K2093" s="4" t="str">
        <f>VLOOKUP($C2093,Userpass!$A$2:$R$3001,2,FALSE)</f>
        <v>jkt20238242.siswa@smkn12malang.sch.id</v>
      </c>
    </row>
    <row r="2094">
      <c r="A2094" s="3" t="str">
        <f t="shared" si="1"/>
        <v>OK</v>
      </c>
      <c r="B2094" s="3" t="str">
        <f t="shared" si="2"/>
        <v>OK</v>
      </c>
      <c r="C2094" s="3">
        <v>8300.0</v>
      </c>
      <c r="D2094" s="4" t="s">
        <v>4802</v>
      </c>
      <c r="E2094" s="3" t="s">
        <v>4803</v>
      </c>
      <c r="F2094" s="3" t="s">
        <v>17</v>
      </c>
      <c r="G2094" s="3" t="str">
        <f t="shared" si="3"/>
        <v>XIIJKT2</v>
      </c>
      <c r="H2094" s="3" t="str">
        <f>VLOOKUP($C2094,Userpass!$A$2:$L$3001,12,FALSE)</f>
        <v>JKT2</v>
      </c>
      <c r="I2094" s="5" t="s">
        <v>4223</v>
      </c>
      <c r="J2094" s="3">
        <v>2023.0</v>
      </c>
      <c r="K2094" s="4" t="str">
        <f>VLOOKUP($C2094,Userpass!$A$2:$R$3001,2,FALSE)</f>
        <v>jkt20238300.siswa@smkn12malang.sch.id</v>
      </c>
    </row>
    <row r="2095">
      <c r="A2095" s="3" t="str">
        <f t="shared" si="1"/>
        <v>OK</v>
      </c>
      <c r="B2095" s="3" t="str">
        <f t="shared" si="2"/>
        <v>OK</v>
      </c>
      <c r="C2095" s="3">
        <v>8301.0</v>
      </c>
      <c r="D2095" s="4" t="s">
        <v>4804</v>
      </c>
      <c r="E2095" s="3" t="s">
        <v>4805</v>
      </c>
      <c r="F2095" s="3" t="s">
        <v>13</v>
      </c>
      <c r="G2095" s="3" t="str">
        <f t="shared" si="3"/>
        <v>XIIJKT2</v>
      </c>
      <c r="H2095" s="3" t="str">
        <f>VLOOKUP($C2095,Userpass!$A$2:$L$3001,12,FALSE)</f>
        <v>JKT2</v>
      </c>
      <c r="I2095" s="5" t="s">
        <v>4223</v>
      </c>
      <c r="J2095" s="3">
        <v>2023.0</v>
      </c>
      <c r="K2095" s="4" t="str">
        <f>VLOOKUP($C2095,Userpass!$A$2:$R$3001,2,FALSE)</f>
        <v>jkt20238301.siswa@smkn12malang.sch.id</v>
      </c>
    </row>
    <row r="2096">
      <c r="A2096" s="3" t="str">
        <f t="shared" si="1"/>
        <v>OK</v>
      </c>
      <c r="B2096" s="3" t="str">
        <f t="shared" si="2"/>
        <v>OK</v>
      </c>
      <c r="C2096" s="3">
        <v>8309.0</v>
      </c>
      <c r="D2096" s="4" t="s">
        <v>4806</v>
      </c>
      <c r="E2096" s="3" t="s">
        <v>4807</v>
      </c>
      <c r="F2096" s="3" t="s">
        <v>13</v>
      </c>
      <c r="G2096" s="3" t="str">
        <f t="shared" si="3"/>
        <v>XIIJKT2</v>
      </c>
      <c r="H2096" s="3" t="str">
        <f>VLOOKUP($C2096,Userpass!$A$2:$L$3001,12,FALSE)</f>
        <v>JKT2</v>
      </c>
      <c r="I2096" s="5" t="s">
        <v>4223</v>
      </c>
      <c r="J2096" s="3">
        <v>2023.0</v>
      </c>
      <c r="K2096" s="4" t="str">
        <f>VLOOKUP($C2096,Userpass!$A$2:$R$3001,2,FALSE)</f>
        <v>jkt20238309.siswa@smkn12malang.sch.id</v>
      </c>
    </row>
    <row r="2097">
      <c r="A2097" s="3" t="str">
        <f t="shared" si="1"/>
        <v>OK</v>
      </c>
      <c r="B2097" s="3" t="str">
        <f t="shared" si="2"/>
        <v>OK</v>
      </c>
      <c r="C2097" s="3">
        <v>8319.0</v>
      </c>
      <c r="D2097" s="4" t="s">
        <v>4808</v>
      </c>
      <c r="E2097" s="3" t="s">
        <v>4809</v>
      </c>
      <c r="F2097" s="3" t="s">
        <v>13</v>
      </c>
      <c r="G2097" s="3" t="str">
        <f t="shared" si="3"/>
        <v>XIIJKT2</v>
      </c>
      <c r="H2097" s="3" t="str">
        <f>VLOOKUP($C2097,Userpass!$A$2:$L$3001,12,FALSE)</f>
        <v>JKT2</v>
      </c>
      <c r="I2097" s="5" t="s">
        <v>4223</v>
      </c>
      <c r="J2097" s="3">
        <v>2023.0</v>
      </c>
      <c r="K2097" s="4" t="str">
        <f>VLOOKUP($C2097,Userpass!$A$2:$R$3001,2,FALSE)</f>
        <v>jkt20238319.siswa@smkn12malang.sch.id</v>
      </c>
    </row>
    <row r="2098">
      <c r="A2098" s="3" t="str">
        <f t="shared" si="1"/>
        <v>OK</v>
      </c>
      <c r="B2098" s="3" t="str">
        <f t="shared" si="2"/>
        <v>OK</v>
      </c>
      <c r="C2098" s="3">
        <v>8329.0</v>
      </c>
      <c r="D2098" s="4" t="s">
        <v>4810</v>
      </c>
      <c r="E2098" s="3" t="s">
        <v>4811</v>
      </c>
      <c r="F2098" s="3" t="s">
        <v>17</v>
      </c>
      <c r="G2098" s="3" t="str">
        <f t="shared" si="3"/>
        <v>XIIJKT2</v>
      </c>
      <c r="H2098" s="3" t="str">
        <f>VLOOKUP($C2098,Userpass!$A$2:$L$3001,12,FALSE)</f>
        <v>JKT2</v>
      </c>
      <c r="I2098" s="5" t="s">
        <v>4223</v>
      </c>
      <c r="J2098" s="3">
        <v>2023.0</v>
      </c>
      <c r="K2098" s="4" t="str">
        <f>VLOOKUP($C2098,Userpass!$A$2:$R$3001,2,FALSE)</f>
        <v>jkt20238329.siswa@smkn12malang.sch.id</v>
      </c>
    </row>
    <row r="2099">
      <c r="A2099" s="3" t="str">
        <f t="shared" si="1"/>
        <v>OK</v>
      </c>
      <c r="B2099" s="3" t="str">
        <f t="shared" si="2"/>
        <v>OK</v>
      </c>
      <c r="C2099" s="3">
        <v>8357.0</v>
      </c>
      <c r="D2099" s="4" t="s">
        <v>4812</v>
      </c>
      <c r="E2099" s="3" t="s">
        <v>4813</v>
      </c>
      <c r="F2099" s="3" t="s">
        <v>17</v>
      </c>
      <c r="G2099" s="3" t="str">
        <f t="shared" si="3"/>
        <v>XIIJKT2</v>
      </c>
      <c r="H2099" s="3" t="str">
        <f>VLOOKUP($C2099,Userpass!$A$2:$L$3001,12,FALSE)</f>
        <v>JKT2</v>
      </c>
      <c r="I2099" s="5" t="s">
        <v>4223</v>
      </c>
      <c r="J2099" s="3">
        <v>2023.0</v>
      </c>
      <c r="K2099" s="4" t="str">
        <f>VLOOKUP($C2099,Userpass!$A$2:$R$3001,2,FALSE)</f>
        <v>jkt20238357.siswa@smkn12malang.sch.id</v>
      </c>
    </row>
    <row r="2100">
      <c r="A2100" s="3" t="str">
        <f t="shared" si="1"/>
        <v>OK</v>
      </c>
      <c r="B2100" s="3" t="str">
        <f t="shared" si="2"/>
        <v>OK</v>
      </c>
      <c r="C2100" s="3">
        <v>8361.0</v>
      </c>
      <c r="D2100" s="4" t="s">
        <v>4814</v>
      </c>
      <c r="E2100" s="3" t="s">
        <v>4815</v>
      </c>
      <c r="F2100" s="3" t="s">
        <v>17</v>
      </c>
      <c r="G2100" s="3" t="str">
        <f t="shared" si="3"/>
        <v>XIIJKT2</v>
      </c>
      <c r="H2100" s="3" t="str">
        <f>VLOOKUP($C2100,Userpass!$A$2:$L$3001,12,FALSE)</f>
        <v>JKT2</v>
      </c>
      <c r="I2100" s="5" t="s">
        <v>4223</v>
      </c>
      <c r="J2100" s="3">
        <v>2023.0</v>
      </c>
      <c r="K2100" s="4" t="str">
        <f>VLOOKUP($C2100,Userpass!$A$2:$R$3001,2,FALSE)</f>
        <v>jkt20238361.siswa@smkn12malang.sch.id</v>
      </c>
    </row>
    <row r="2101">
      <c r="A2101" s="3" t="str">
        <f t="shared" si="1"/>
        <v>OK</v>
      </c>
      <c r="B2101" s="3" t="str">
        <f t="shared" si="2"/>
        <v>OK</v>
      </c>
      <c r="C2101" s="3">
        <v>8385.0</v>
      </c>
      <c r="D2101" s="4" t="s">
        <v>4816</v>
      </c>
      <c r="E2101" s="3" t="s">
        <v>4817</v>
      </c>
      <c r="F2101" s="3" t="s">
        <v>17</v>
      </c>
      <c r="G2101" s="3" t="str">
        <f t="shared" si="3"/>
        <v>XIIJKT2</v>
      </c>
      <c r="H2101" s="3" t="str">
        <f>VLOOKUP($C2101,Userpass!$A$2:$L$3001,12,FALSE)</f>
        <v>JKT2</v>
      </c>
      <c r="I2101" s="5" t="s">
        <v>4223</v>
      </c>
      <c r="J2101" s="3">
        <v>2023.0</v>
      </c>
      <c r="K2101" s="4" t="str">
        <f>VLOOKUP($C2101,Userpass!$A$2:$R$3001,2,FALSE)</f>
        <v>jkt20238385.siswa@smkn12malang.sch.id</v>
      </c>
    </row>
    <row r="2102">
      <c r="A2102" s="3" t="str">
        <f t="shared" si="1"/>
        <v>OK</v>
      </c>
      <c r="B2102" s="3" t="str">
        <f t="shared" si="2"/>
        <v>OK</v>
      </c>
      <c r="C2102" s="3">
        <v>8396.0</v>
      </c>
      <c r="D2102" s="4" t="s">
        <v>4818</v>
      </c>
      <c r="E2102" s="3" t="s">
        <v>4819</v>
      </c>
      <c r="F2102" s="3" t="s">
        <v>17</v>
      </c>
      <c r="G2102" s="3" t="str">
        <f t="shared" si="3"/>
        <v>XIIJKT2</v>
      </c>
      <c r="H2102" s="3" t="str">
        <f>VLOOKUP($C2102,Userpass!$A$2:$L$3001,12,FALSE)</f>
        <v>JKT2</v>
      </c>
      <c r="I2102" s="5" t="s">
        <v>4223</v>
      </c>
      <c r="J2102" s="3">
        <v>2023.0</v>
      </c>
      <c r="K2102" s="4" t="str">
        <f>VLOOKUP($C2102,Userpass!$A$2:$R$3001,2,FALSE)</f>
        <v>jkt20238396.siswa@smkn12malang.sch.id</v>
      </c>
    </row>
    <row r="2103">
      <c r="A2103" s="3" t="str">
        <f t="shared" si="1"/>
        <v>OK</v>
      </c>
      <c r="B2103" s="3" t="str">
        <f t="shared" si="2"/>
        <v>OK</v>
      </c>
      <c r="C2103" s="3">
        <v>8470.0</v>
      </c>
      <c r="D2103" s="4" t="s">
        <v>4820</v>
      </c>
      <c r="E2103" s="3" t="s">
        <v>4821</v>
      </c>
      <c r="F2103" s="3" t="s">
        <v>13</v>
      </c>
      <c r="G2103" s="3" t="str">
        <f t="shared" si="3"/>
        <v>XIIJKT2</v>
      </c>
      <c r="H2103" s="3" t="str">
        <f>VLOOKUP($C2103,Userpass!$A$2:$L$3001,12,FALSE)</f>
        <v>JKT2</v>
      </c>
      <c r="I2103" s="5" t="s">
        <v>4223</v>
      </c>
      <c r="J2103" s="3">
        <v>2023.0</v>
      </c>
      <c r="K2103" s="4" t="str">
        <f>VLOOKUP($C2103,Userpass!$A$2:$R$3001,2,FALSE)</f>
        <v>jkt20238470.siswa@smkn12malang.sch.id</v>
      </c>
    </row>
    <row r="2104">
      <c r="A2104" s="3" t="str">
        <f t="shared" si="1"/>
        <v>OK</v>
      </c>
      <c r="B2104" s="3" t="str">
        <f t="shared" si="2"/>
        <v>OK</v>
      </c>
      <c r="C2104" s="3">
        <v>8486.0</v>
      </c>
      <c r="D2104" s="4" t="s">
        <v>4822</v>
      </c>
      <c r="E2104" s="3" t="s">
        <v>4823</v>
      </c>
      <c r="F2104" s="3" t="s">
        <v>13</v>
      </c>
      <c r="G2104" s="3" t="str">
        <f t="shared" si="3"/>
        <v>XIIJKT2</v>
      </c>
      <c r="H2104" s="3" t="str">
        <f>VLOOKUP($C2104,Userpass!$A$2:$L$3001,12,FALSE)</f>
        <v>JKT2</v>
      </c>
      <c r="I2104" s="5" t="s">
        <v>4223</v>
      </c>
      <c r="J2104" s="3">
        <v>2023.0</v>
      </c>
      <c r="K2104" s="4" t="str">
        <f>VLOOKUP($C2104,Userpass!$A$2:$R$3001,2,FALSE)</f>
        <v>jkt20238486.siswa@smkn12malang.sch.id</v>
      </c>
    </row>
    <row r="2105">
      <c r="A2105" s="3" t="str">
        <f t="shared" si="1"/>
        <v>OK</v>
      </c>
      <c r="B2105" s="3" t="str">
        <f t="shared" si="2"/>
        <v>OK</v>
      </c>
      <c r="C2105" s="3">
        <v>8494.0</v>
      </c>
      <c r="D2105" s="4" t="s">
        <v>4824</v>
      </c>
      <c r="E2105" s="5" t="s">
        <v>4825</v>
      </c>
      <c r="F2105" s="3" t="s">
        <v>13</v>
      </c>
      <c r="G2105" s="3" t="str">
        <f t="shared" si="3"/>
        <v>XIIJKT2</v>
      </c>
      <c r="H2105" s="3" t="str">
        <f>VLOOKUP($C2105,Userpass!$A$2:$L$3001,12,FALSE)</f>
        <v>JKT2</v>
      </c>
      <c r="I2105" s="5" t="s">
        <v>4223</v>
      </c>
      <c r="J2105" s="3">
        <v>2023.0</v>
      </c>
      <c r="K2105" s="4" t="str">
        <f>VLOOKUP($C2105,Userpass!$A$2:$R$3001,2,FALSE)</f>
        <v>jkt20238494.siswa@smkn12malang.sch.id</v>
      </c>
    </row>
    <row r="2106">
      <c r="A2106" s="3" t="str">
        <f t="shared" si="1"/>
        <v>OK</v>
      </c>
      <c r="B2106" s="3" t="str">
        <f t="shared" si="2"/>
        <v>OK</v>
      </c>
      <c r="C2106" s="3">
        <v>8500.0</v>
      </c>
      <c r="D2106" s="4" t="s">
        <v>4826</v>
      </c>
      <c r="E2106" s="3" t="s">
        <v>4827</v>
      </c>
      <c r="F2106" s="3" t="s">
        <v>17</v>
      </c>
      <c r="G2106" s="3" t="str">
        <f t="shared" si="3"/>
        <v>XIIJKT2</v>
      </c>
      <c r="H2106" s="3" t="str">
        <f>VLOOKUP($C2106,Userpass!$A$2:$L$3001,12,FALSE)</f>
        <v>JKT2</v>
      </c>
      <c r="I2106" s="5" t="s">
        <v>4223</v>
      </c>
      <c r="J2106" s="3">
        <v>2023.0</v>
      </c>
      <c r="K2106" s="4" t="str">
        <f>VLOOKUP($C2106,Userpass!$A$2:$R$3001,2,FALSE)</f>
        <v>jkt20238500.siswa@smkn12malang.sch.id</v>
      </c>
    </row>
    <row r="2107">
      <c r="A2107" s="3" t="str">
        <f t="shared" si="1"/>
        <v>OK</v>
      </c>
      <c r="B2107" s="3" t="str">
        <f t="shared" si="2"/>
        <v>OK</v>
      </c>
      <c r="C2107" s="3">
        <v>8525.0</v>
      </c>
      <c r="D2107" s="4" t="s">
        <v>4828</v>
      </c>
      <c r="E2107" s="3" t="s">
        <v>4829</v>
      </c>
      <c r="F2107" s="3" t="s">
        <v>13</v>
      </c>
      <c r="G2107" s="3" t="str">
        <f t="shared" si="3"/>
        <v>XIIJKT2</v>
      </c>
      <c r="H2107" s="3" t="str">
        <f>VLOOKUP($C2107,Userpass!$A$2:$L$3001,12,FALSE)</f>
        <v>JKT2</v>
      </c>
      <c r="I2107" s="5" t="s">
        <v>4223</v>
      </c>
      <c r="J2107" s="3">
        <v>2023.0</v>
      </c>
      <c r="K2107" s="4" t="str">
        <f>VLOOKUP($C2107,Userpass!$A$2:$R$3001,2,FALSE)</f>
        <v>jkt20238525.siswa@smkn12malang.sch.id</v>
      </c>
    </row>
    <row r="2108">
      <c r="A2108" s="3" t="str">
        <f t="shared" si="1"/>
        <v>OK</v>
      </c>
      <c r="B2108" s="3" t="str">
        <f t="shared" si="2"/>
        <v>OK</v>
      </c>
      <c r="C2108" s="3">
        <v>8548.0</v>
      </c>
      <c r="D2108" s="4" t="s">
        <v>4830</v>
      </c>
      <c r="E2108" s="3" t="s">
        <v>4831</v>
      </c>
      <c r="F2108" s="3" t="s">
        <v>17</v>
      </c>
      <c r="G2108" s="3" t="str">
        <f t="shared" si="3"/>
        <v>XIIJKT2</v>
      </c>
      <c r="H2108" s="3" t="str">
        <f>VLOOKUP($C2108,Userpass!$A$2:$L$3001,12,FALSE)</f>
        <v>JKT2</v>
      </c>
      <c r="I2108" s="5" t="s">
        <v>4223</v>
      </c>
      <c r="J2108" s="3">
        <v>2023.0</v>
      </c>
      <c r="K2108" s="4" t="str">
        <f>VLOOKUP($C2108,Userpass!$A$2:$R$3001,2,FALSE)</f>
        <v>jkt20238548.siswa@smkn12malang.sch.id</v>
      </c>
    </row>
    <row r="2109">
      <c r="A2109" s="3" t="str">
        <f t="shared" si="1"/>
        <v>OK</v>
      </c>
      <c r="B2109" s="3" t="str">
        <f t="shared" si="2"/>
        <v>OK</v>
      </c>
      <c r="C2109" s="3">
        <v>8559.0</v>
      </c>
      <c r="D2109" s="4" t="s">
        <v>4832</v>
      </c>
      <c r="E2109" s="3" t="s">
        <v>4833</v>
      </c>
      <c r="F2109" s="3" t="s">
        <v>13</v>
      </c>
      <c r="G2109" s="3" t="str">
        <f t="shared" si="3"/>
        <v>XIIJKT2</v>
      </c>
      <c r="H2109" s="3" t="str">
        <f>VLOOKUP($C2109,Userpass!$A$2:$L$3001,12,FALSE)</f>
        <v>JKT2</v>
      </c>
      <c r="I2109" s="5" t="s">
        <v>4223</v>
      </c>
      <c r="J2109" s="3">
        <v>2023.0</v>
      </c>
      <c r="K2109" s="4" t="str">
        <f>VLOOKUP($C2109,Userpass!$A$2:$R$3001,2,FALSE)</f>
        <v>jkt20238559.siswa@smkn12malang.sch.id</v>
      </c>
    </row>
    <row r="2110">
      <c r="A2110" s="3" t="str">
        <f t="shared" si="1"/>
        <v>OK</v>
      </c>
      <c r="B2110" s="3" t="str">
        <f t="shared" si="2"/>
        <v>OK</v>
      </c>
      <c r="C2110" s="3">
        <v>8572.0</v>
      </c>
      <c r="D2110" s="4" t="s">
        <v>4834</v>
      </c>
      <c r="E2110" s="3" t="s">
        <v>4835</v>
      </c>
      <c r="F2110" s="3" t="s">
        <v>13</v>
      </c>
      <c r="G2110" s="3" t="str">
        <f t="shared" si="3"/>
        <v>XIIJKT2</v>
      </c>
      <c r="H2110" s="3" t="str">
        <f>VLOOKUP($C2110,Userpass!$A$2:$L$3001,12,FALSE)</f>
        <v>JKT2</v>
      </c>
      <c r="I2110" s="5" t="s">
        <v>4223</v>
      </c>
      <c r="J2110" s="3">
        <v>2023.0</v>
      </c>
      <c r="K2110" s="4" t="str">
        <f>VLOOKUP($C2110,Userpass!$A$2:$R$3001,2,FALSE)</f>
        <v>jkt20238572.siswa@smkn12malang.sch.id</v>
      </c>
    </row>
    <row r="2111">
      <c r="A2111" s="3" t="str">
        <f t="shared" si="1"/>
        <v>OK</v>
      </c>
      <c r="B2111" s="3" t="str">
        <f t="shared" si="2"/>
        <v>OK</v>
      </c>
      <c r="C2111" s="3">
        <v>8602.0</v>
      </c>
      <c r="D2111" s="4" t="s">
        <v>4836</v>
      </c>
      <c r="E2111" s="3" t="s">
        <v>4837</v>
      </c>
      <c r="F2111" s="3" t="s">
        <v>13</v>
      </c>
      <c r="G2111" s="3" t="str">
        <f t="shared" si="3"/>
        <v>XIIJKT2</v>
      </c>
      <c r="H2111" s="3" t="str">
        <f>VLOOKUP($C2111,Userpass!$A$2:$L$3001,12,FALSE)</f>
        <v>JKT2</v>
      </c>
      <c r="I2111" s="5" t="s">
        <v>4223</v>
      </c>
      <c r="J2111" s="3">
        <v>2023.0</v>
      </c>
      <c r="K2111" s="4" t="str">
        <f>VLOOKUP($C2111,Userpass!$A$2:$R$3001,2,FALSE)</f>
        <v>jkt20238602.siswa@smkn12malang.sch.id</v>
      </c>
    </row>
    <row r="2112">
      <c r="A2112" s="3" t="str">
        <f t="shared" si="1"/>
        <v>OK</v>
      </c>
      <c r="B2112" s="3" t="str">
        <f t="shared" si="2"/>
        <v>OK</v>
      </c>
      <c r="C2112" s="3">
        <v>8604.0</v>
      </c>
      <c r="D2112" s="4" t="s">
        <v>4838</v>
      </c>
      <c r="E2112" s="3" t="s">
        <v>4839</v>
      </c>
      <c r="F2112" s="3" t="s">
        <v>13</v>
      </c>
      <c r="G2112" s="3" t="str">
        <f t="shared" si="3"/>
        <v>XIIJKT2</v>
      </c>
      <c r="H2112" s="3" t="str">
        <f>VLOOKUP($C2112,Userpass!$A$2:$L$3001,12,FALSE)</f>
        <v>JKT2</v>
      </c>
      <c r="I2112" s="5" t="s">
        <v>4223</v>
      </c>
      <c r="J2112" s="3">
        <v>2023.0</v>
      </c>
      <c r="K2112" s="4" t="str">
        <f>VLOOKUP($C2112,Userpass!$A$2:$R$3001,2,FALSE)</f>
        <v>jkt20238604.siswa@smkn12malang.sch.id</v>
      </c>
    </row>
    <row r="2113">
      <c r="A2113" s="3" t="str">
        <f t="shared" si="1"/>
        <v>OK</v>
      </c>
      <c r="B2113" s="3" t="str">
        <f t="shared" si="2"/>
        <v>OK</v>
      </c>
      <c r="C2113" s="3">
        <v>8608.0</v>
      </c>
      <c r="D2113" s="4" t="s">
        <v>4840</v>
      </c>
      <c r="E2113" s="3" t="s">
        <v>4841</v>
      </c>
      <c r="F2113" s="3" t="s">
        <v>13</v>
      </c>
      <c r="G2113" s="3" t="str">
        <f t="shared" si="3"/>
        <v>XIIJKT2</v>
      </c>
      <c r="H2113" s="3" t="str">
        <f>VLOOKUP($C2113,Userpass!$A$2:$L$3001,12,FALSE)</f>
        <v>JKT2</v>
      </c>
      <c r="I2113" s="5" t="s">
        <v>4223</v>
      </c>
      <c r="J2113" s="3">
        <v>2023.0</v>
      </c>
      <c r="K2113" s="4" t="str">
        <f>VLOOKUP($C2113,Userpass!$A$2:$R$3001,2,FALSE)</f>
        <v>jkt20238608.siswa@smkn12malang.sch.id</v>
      </c>
    </row>
    <row r="2114">
      <c r="A2114" s="3" t="str">
        <f t="shared" si="1"/>
        <v>OK</v>
      </c>
      <c r="B2114" s="3" t="str">
        <f t="shared" si="2"/>
        <v>OK</v>
      </c>
      <c r="C2114" s="3">
        <v>8610.0</v>
      </c>
      <c r="D2114" s="4" t="s">
        <v>4842</v>
      </c>
      <c r="E2114" s="3" t="s">
        <v>4843</v>
      </c>
      <c r="F2114" s="3" t="s">
        <v>17</v>
      </c>
      <c r="G2114" s="3" t="str">
        <f t="shared" si="3"/>
        <v>XIIJKT2</v>
      </c>
      <c r="H2114" s="3" t="str">
        <f>VLOOKUP($C2114,Userpass!$A$2:$L$3001,12,FALSE)</f>
        <v>JKT2</v>
      </c>
      <c r="I2114" s="5" t="s">
        <v>4223</v>
      </c>
      <c r="J2114" s="3">
        <v>2023.0</v>
      </c>
      <c r="K2114" s="4" t="str">
        <f>VLOOKUP($C2114,Userpass!$A$2:$R$3001,2,FALSE)</f>
        <v>jkt20238610.siswa@smkn12malang.sch.id</v>
      </c>
    </row>
    <row r="2115">
      <c r="A2115" s="3" t="str">
        <f t="shared" si="1"/>
        <v>OK</v>
      </c>
      <c r="B2115" s="3" t="str">
        <f t="shared" si="2"/>
        <v>OK</v>
      </c>
      <c r="C2115" s="3">
        <v>8624.0</v>
      </c>
      <c r="D2115" s="4" t="s">
        <v>4844</v>
      </c>
      <c r="E2115" s="3" t="s">
        <v>4845</v>
      </c>
      <c r="F2115" s="3" t="s">
        <v>13</v>
      </c>
      <c r="G2115" s="3" t="str">
        <f t="shared" si="3"/>
        <v>XIIJKT2</v>
      </c>
      <c r="H2115" s="3" t="str">
        <f>VLOOKUP($C2115,Userpass!$A$2:$L$3001,12,FALSE)</f>
        <v>JKT2</v>
      </c>
      <c r="I2115" s="5" t="s">
        <v>4223</v>
      </c>
      <c r="J2115" s="3">
        <v>2023.0</v>
      </c>
      <c r="K2115" s="4" t="str">
        <f>VLOOKUP($C2115,Userpass!$A$2:$R$3001,2,FALSE)</f>
        <v>jkt20238624.siswa@smkn12malang.sch.id</v>
      </c>
    </row>
    <row r="2116">
      <c r="A2116" s="3" t="str">
        <f t="shared" si="1"/>
        <v>OK</v>
      </c>
      <c r="B2116" s="3" t="str">
        <f t="shared" si="2"/>
        <v>OK</v>
      </c>
      <c r="C2116" s="3">
        <v>8040.0</v>
      </c>
      <c r="D2116" s="4" t="s">
        <v>4846</v>
      </c>
      <c r="E2116" s="3" t="s">
        <v>4847</v>
      </c>
      <c r="F2116" s="3" t="s">
        <v>13</v>
      </c>
      <c r="G2116" s="3" t="str">
        <f t="shared" si="3"/>
        <v>XIIKLR1</v>
      </c>
      <c r="H2116" s="3" t="str">
        <f>VLOOKUP($C2116,Userpass!$A$2:$L$3001,12,FALSE)</f>
        <v>KLR1</v>
      </c>
      <c r="I2116" s="5" t="s">
        <v>4223</v>
      </c>
      <c r="J2116" s="3">
        <v>2023.0</v>
      </c>
      <c r="K2116" s="4" t="str">
        <f>VLOOKUP($C2116,Userpass!$A$2:$R$3001,2,FALSE)</f>
        <v>klr20238040.siswa@smkn12malang.sch.id</v>
      </c>
    </row>
    <row r="2117">
      <c r="A2117" s="3" t="str">
        <f t="shared" si="1"/>
        <v>OK</v>
      </c>
      <c r="B2117" s="3" t="str">
        <f t="shared" si="2"/>
        <v>OK</v>
      </c>
      <c r="C2117" s="3">
        <v>8068.0</v>
      </c>
      <c r="D2117" s="4" t="s">
        <v>4848</v>
      </c>
      <c r="E2117" s="3" t="s">
        <v>4849</v>
      </c>
      <c r="F2117" s="3" t="s">
        <v>13</v>
      </c>
      <c r="G2117" s="3" t="str">
        <f t="shared" si="3"/>
        <v>XIIKLR1</v>
      </c>
      <c r="H2117" s="3" t="str">
        <f>VLOOKUP($C2117,Userpass!$A$2:$L$3001,12,FALSE)</f>
        <v>KLR1</v>
      </c>
      <c r="I2117" s="5" t="s">
        <v>4223</v>
      </c>
      <c r="J2117" s="3">
        <v>2023.0</v>
      </c>
      <c r="K2117" s="4" t="str">
        <f>VLOOKUP($C2117,Userpass!$A$2:$R$3001,2,FALSE)</f>
        <v>klr20238068.siswa@smkn12malang.sch.id</v>
      </c>
    </row>
    <row r="2118">
      <c r="A2118" s="3" t="str">
        <f t="shared" si="1"/>
        <v>OK</v>
      </c>
      <c r="B2118" s="3" t="str">
        <f t="shared" si="2"/>
        <v>OK</v>
      </c>
      <c r="C2118" s="3">
        <v>8095.0</v>
      </c>
      <c r="D2118" s="4" t="s">
        <v>4850</v>
      </c>
      <c r="E2118" s="3" t="s">
        <v>4851</v>
      </c>
      <c r="F2118" s="3" t="s">
        <v>13</v>
      </c>
      <c r="G2118" s="3" t="str">
        <f t="shared" si="3"/>
        <v>XIIKLR1</v>
      </c>
      <c r="H2118" s="3" t="str">
        <f>VLOOKUP($C2118,Userpass!$A$2:$L$3001,12,FALSE)</f>
        <v>KLR1</v>
      </c>
      <c r="I2118" s="5" t="s">
        <v>4223</v>
      </c>
      <c r="J2118" s="3">
        <v>2023.0</v>
      </c>
      <c r="K2118" s="4" t="str">
        <f>VLOOKUP($C2118,Userpass!$A$2:$R$3001,2,FALSE)</f>
        <v>klr20238095.siswa@smkn12malang.sch.id</v>
      </c>
    </row>
    <row r="2119">
      <c r="A2119" s="3" t="str">
        <f t="shared" si="1"/>
        <v>OK</v>
      </c>
      <c r="B2119" s="3" t="str">
        <f t="shared" si="2"/>
        <v>OK</v>
      </c>
      <c r="C2119" s="3">
        <v>8124.0</v>
      </c>
      <c r="D2119" s="4" t="s">
        <v>4852</v>
      </c>
      <c r="E2119" s="3" t="s">
        <v>4853</v>
      </c>
      <c r="F2119" s="3" t="s">
        <v>13</v>
      </c>
      <c r="G2119" s="3" t="str">
        <f t="shared" si="3"/>
        <v>XIIKLR1</v>
      </c>
      <c r="H2119" s="3" t="str">
        <f>VLOOKUP($C2119,Userpass!$A$2:$L$3001,12,FALSE)</f>
        <v>KLR1</v>
      </c>
      <c r="I2119" s="5" t="s">
        <v>4223</v>
      </c>
      <c r="J2119" s="3">
        <v>2023.0</v>
      </c>
      <c r="K2119" s="4" t="str">
        <f>VLOOKUP($C2119,Userpass!$A$2:$R$3001,2,FALSE)</f>
        <v>klr20238124.siswa@smkn12malang.sch.id</v>
      </c>
    </row>
    <row r="2120">
      <c r="A2120" s="3" t="str">
        <f t="shared" si="1"/>
        <v>OK</v>
      </c>
      <c r="B2120" s="3" t="str">
        <f t="shared" si="2"/>
        <v>OK</v>
      </c>
      <c r="C2120" s="3">
        <v>8163.0</v>
      </c>
      <c r="D2120" s="4" t="s">
        <v>4854</v>
      </c>
      <c r="E2120" s="3" t="s">
        <v>4855</v>
      </c>
      <c r="F2120" s="3" t="s">
        <v>13</v>
      </c>
      <c r="G2120" s="3" t="str">
        <f t="shared" si="3"/>
        <v>XIIKLR1</v>
      </c>
      <c r="H2120" s="3" t="str">
        <f>VLOOKUP($C2120,Userpass!$A$2:$L$3001,12,FALSE)</f>
        <v>KLR1</v>
      </c>
      <c r="I2120" s="5" t="s">
        <v>4223</v>
      </c>
      <c r="J2120" s="3">
        <v>2023.0</v>
      </c>
      <c r="K2120" s="4" t="str">
        <f>VLOOKUP($C2120,Userpass!$A$2:$R$3001,2,FALSE)</f>
        <v>klr20238163.siswa@smkn12malang.sch.id</v>
      </c>
    </row>
    <row r="2121">
      <c r="A2121" s="3" t="str">
        <f t="shared" si="1"/>
        <v>OK</v>
      </c>
      <c r="B2121" s="3" t="str">
        <f t="shared" si="2"/>
        <v>OK</v>
      </c>
      <c r="C2121" s="3">
        <v>8175.0</v>
      </c>
      <c r="D2121" s="4" t="s">
        <v>4856</v>
      </c>
      <c r="E2121" s="3" t="s">
        <v>4857</v>
      </c>
      <c r="F2121" s="3" t="s">
        <v>13</v>
      </c>
      <c r="G2121" s="3" t="str">
        <f t="shared" si="3"/>
        <v>XIIKLR1</v>
      </c>
      <c r="H2121" s="3" t="str">
        <f>VLOOKUP($C2121,Userpass!$A$2:$L$3001,12,FALSE)</f>
        <v>KLR1</v>
      </c>
      <c r="I2121" s="5" t="s">
        <v>4223</v>
      </c>
      <c r="J2121" s="3">
        <v>2023.0</v>
      </c>
      <c r="K2121" s="4" t="str">
        <f>VLOOKUP($C2121,Userpass!$A$2:$R$3001,2,FALSE)</f>
        <v>klr20238175.siswa@smkn12malang.sch.id</v>
      </c>
    </row>
    <row r="2122">
      <c r="A2122" s="3" t="str">
        <f t="shared" si="1"/>
        <v>OK</v>
      </c>
      <c r="B2122" s="3" t="str">
        <f t="shared" si="2"/>
        <v>OK</v>
      </c>
      <c r="C2122" s="3">
        <v>8182.0</v>
      </c>
      <c r="D2122" s="4" t="s">
        <v>4858</v>
      </c>
      <c r="E2122" s="3" t="s">
        <v>4859</v>
      </c>
      <c r="F2122" s="3" t="s">
        <v>13</v>
      </c>
      <c r="G2122" s="3" t="str">
        <f t="shared" si="3"/>
        <v>XIIKLR1</v>
      </c>
      <c r="H2122" s="3" t="str">
        <f>VLOOKUP($C2122,Userpass!$A$2:$L$3001,12,FALSE)</f>
        <v>KLR1</v>
      </c>
      <c r="I2122" s="5" t="s">
        <v>4223</v>
      </c>
      <c r="J2122" s="3">
        <v>2023.0</v>
      </c>
      <c r="K2122" s="4" t="str">
        <f>VLOOKUP($C2122,Userpass!$A$2:$R$3001,2,FALSE)</f>
        <v>klr20238182.siswa@smkn12malang.sch.id</v>
      </c>
    </row>
    <row r="2123">
      <c r="A2123" s="3" t="str">
        <f t="shared" si="1"/>
        <v>OK</v>
      </c>
      <c r="B2123" s="3" t="str">
        <f t="shared" si="2"/>
        <v>OK</v>
      </c>
      <c r="C2123" s="3">
        <v>8193.0</v>
      </c>
      <c r="D2123" s="4" t="s">
        <v>4860</v>
      </c>
      <c r="E2123" s="3" t="s">
        <v>4861</v>
      </c>
      <c r="F2123" s="3" t="s">
        <v>13</v>
      </c>
      <c r="G2123" s="3" t="str">
        <f t="shared" si="3"/>
        <v>XIIKLR1</v>
      </c>
      <c r="H2123" s="3" t="str">
        <f>VLOOKUP($C2123,Userpass!$A$2:$L$3001,12,FALSE)</f>
        <v>KLR1</v>
      </c>
      <c r="I2123" s="5" t="s">
        <v>4223</v>
      </c>
      <c r="J2123" s="3">
        <v>2023.0</v>
      </c>
      <c r="K2123" s="4" t="str">
        <f>VLOOKUP($C2123,Userpass!$A$2:$R$3001,2,FALSE)</f>
        <v>klr20238193.siswa@smkn12malang.sch.id</v>
      </c>
    </row>
    <row r="2124">
      <c r="A2124" s="3" t="str">
        <f t="shared" si="1"/>
        <v>OK</v>
      </c>
      <c r="B2124" s="3" t="str">
        <f t="shared" si="2"/>
        <v>OK</v>
      </c>
      <c r="C2124" s="3">
        <v>8203.0</v>
      </c>
      <c r="D2124" s="4" t="s">
        <v>4862</v>
      </c>
      <c r="E2124" s="3" t="s">
        <v>4863</v>
      </c>
      <c r="F2124" s="3" t="s">
        <v>13</v>
      </c>
      <c r="G2124" s="3" t="str">
        <f t="shared" si="3"/>
        <v>XIIKLR1</v>
      </c>
      <c r="H2124" s="3" t="str">
        <f>VLOOKUP($C2124,Userpass!$A$2:$L$3001,12,FALSE)</f>
        <v>KLR1</v>
      </c>
      <c r="I2124" s="5" t="s">
        <v>4223</v>
      </c>
      <c r="J2124" s="3">
        <v>2023.0</v>
      </c>
      <c r="K2124" s="4" t="str">
        <f>VLOOKUP($C2124,Userpass!$A$2:$R$3001,2,FALSE)</f>
        <v>klr20238203.siswa@smkn12malang.sch.id</v>
      </c>
    </row>
    <row r="2125">
      <c r="A2125" s="3" t="str">
        <f t="shared" si="1"/>
        <v>OK</v>
      </c>
      <c r="B2125" s="3" t="str">
        <f t="shared" si="2"/>
        <v>OK</v>
      </c>
      <c r="C2125" s="3">
        <v>8220.0</v>
      </c>
      <c r="D2125" s="4" t="s">
        <v>4864</v>
      </c>
      <c r="E2125" s="3" t="s">
        <v>4865</v>
      </c>
      <c r="F2125" s="3" t="s">
        <v>13</v>
      </c>
      <c r="G2125" s="3" t="str">
        <f t="shared" si="3"/>
        <v>XIIKLR1</v>
      </c>
      <c r="H2125" s="3" t="str">
        <f>VLOOKUP($C2125,Userpass!$A$2:$L$3001,12,FALSE)</f>
        <v>KLR1</v>
      </c>
      <c r="I2125" s="5" t="s">
        <v>4223</v>
      </c>
      <c r="J2125" s="3">
        <v>2023.0</v>
      </c>
      <c r="K2125" s="4" t="str">
        <f>VLOOKUP($C2125,Userpass!$A$2:$R$3001,2,FALSE)</f>
        <v>klr20238220.siswa@smkn12malang.sch.id</v>
      </c>
    </row>
    <row r="2126">
      <c r="A2126" s="3" t="str">
        <f t="shared" si="1"/>
        <v>OK</v>
      </c>
      <c r="B2126" s="3" t="str">
        <f t="shared" si="2"/>
        <v>OK</v>
      </c>
      <c r="C2126" s="3">
        <v>8243.0</v>
      </c>
      <c r="D2126" s="4" t="s">
        <v>4866</v>
      </c>
      <c r="E2126" s="3" t="s">
        <v>4867</v>
      </c>
      <c r="F2126" s="3" t="s">
        <v>13</v>
      </c>
      <c r="G2126" s="3" t="str">
        <f t="shared" si="3"/>
        <v>XIIKLR1</v>
      </c>
      <c r="H2126" s="3" t="str">
        <f>VLOOKUP($C2126,Userpass!$A$2:$L$3001,12,FALSE)</f>
        <v>KLR1</v>
      </c>
      <c r="I2126" s="5" t="s">
        <v>4223</v>
      </c>
      <c r="J2126" s="3">
        <v>2023.0</v>
      </c>
      <c r="K2126" s="4" t="str">
        <f>VLOOKUP($C2126,Userpass!$A$2:$R$3001,2,FALSE)</f>
        <v>klr20238243.siswa@smkn12malang.sch.id</v>
      </c>
    </row>
    <row r="2127">
      <c r="A2127" s="3" t="str">
        <f t="shared" si="1"/>
        <v>OK</v>
      </c>
      <c r="B2127" s="3" t="str">
        <f t="shared" si="2"/>
        <v>OK</v>
      </c>
      <c r="C2127" s="3">
        <v>8256.0</v>
      </c>
      <c r="D2127" s="4" t="s">
        <v>4868</v>
      </c>
      <c r="E2127" s="3" t="s">
        <v>4869</v>
      </c>
      <c r="F2127" s="3" t="s">
        <v>13</v>
      </c>
      <c r="G2127" s="3" t="str">
        <f t="shared" si="3"/>
        <v>XIIKLR1</v>
      </c>
      <c r="H2127" s="3" t="str">
        <f>VLOOKUP($C2127,Userpass!$A$2:$L$3001,12,FALSE)</f>
        <v>KLR1</v>
      </c>
      <c r="I2127" s="5" t="s">
        <v>4223</v>
      </c>
      <c r="J2127" s="3">
        <v>2023.0</v>
      </c>
      <c r="K2127" s="4" t="str">
        <f>VLOOKUP($C2127,Userpass!$A$2:$R$3001,2,FALSE)</f>
        <v>klr20238256.siswa@smkn12malang.sch.id</v>
      </c>
    </row>
    <row r="2128">
      <c r="A2128" s="3" t="str">
        <f t="shared" si="1"/>
        <v>OK</v>
      </c>
      <c r="B2128" s="3" t="str">
        <f t="shared" si="2"/>
        <v>OK</v>
      </c>
      <c r="C2128" s="3">
        <v>8285.0</v>
      </c>
      <c r="D2128" s="4" t="s">
        <v>4870</v>
      </c>
      <c r="E2128" s="3" t="s">
        <v>4871</v>
      </c>
      <c r="F2128" s="3" t="s">
        <v>13</v>
      </c>
      <c r="G2128" s="3" t="str">
        <f t="shared" si="3"/>
        <v>XIIKLR1</v>
      </c>
      <c r="H2128" s="3" t="str">
        <f>VLOOKUP($C2128,Userpass!$A$2:$L$3001,12,FALSE)</f>
        <v>KLR1</v>
      </c>
      <c r="I2128" s="5" t="s">
        <v>4223</v>
      </c>
      <c r="J2128" s="3">
        <v>2023.0</v>
      </c>
      <c r="K2128" s="4" t="str">
        <f>VLOOKUP($C2128,Userpass!$A$2:$R$3001,2,FALSE)</f>
        <v>klr20238285.siswa@smkn12malang.sch.id</v>
      </c>
    </row>
    <row r="2129">
      <c r="A2129" s="3" t="str">
        <f t="shared" si="1"/>
        <v>OK</v>
      </c>
      <c r="B2129" s="3" t="str">
        <f t="shared" si="2"/>
        <v>OK</v>
      </c>
      <c r="C2129" s="3">
        <v>8292.0</v>
      </c>
      <c r="D2129" s="4" t="s">
        <v>4872</v>
      </c>
      <c r="E2129" s="3" t="s">
        <v>4873</v>
      </c>
      <c r="F2129" s="3" t="s">
        <v>13</v>
      </c>
      <c r="G2129" s="3" t="str">
        <f t="shared" si="3"/>
        <v>XIIKLR1</v>
      </c>
      <c r="H2129" s="3" t="str">
        <f>VLOOKUP($C2129,Userpass!$A$2:$L$3001,12,FALSE)</f>
        <v>KLR1</v>
      </c>
      <c r="I2129" s="5" t="s">
        <v>4223</v>
      </c>
      <c r="J2129" s="3">
        <v>2023.0</v>
      </c>
      <c r="K2129" s="4" t="str">
        <f>VLOOKUP($C2129,Userpass!$A$2:$R$3001,2,FALSE)</f>
        <v>klr20238292.siswa@smkn12malang.sch.id</v>
      </c>
    </row>
    <row r="2130">
      <c r="A2130" s="3" t="str">
        <f t="shared" si="1"/>
        <v>OK</v>
      </c>
      <c r="B2130" s="3" t="str">
        <f t="shared" si="2"/>
        <v>OK</v>
      </c>
      <c r="C2130" s="3">
        <v>8307.0</v>
      </c>
      <c r="D2130" s="4" t="s">
        <v>4874</v>
      </c>
      <c r="E2130" s="3" t="s">
        <v>4875</v>
      </c>
      <c r="F2130" s="3" t="s">
        <v>13</v>
      </c>
      <c r="G2130" s="3" t="str">
        <f t="shared" si="3"/>
        <v>XIIKLR1</v>
      </c>
      <c r="H2130" s="3" t="str">
        <f>VLOOKUP($C2130,Userpass!$A$2:$L$3001,12,FALSE)</f>
        <v>KLR1</v>
      </c>
      <c r="I2130" s="5" t="s">
        <v>4223</v>
      </c>
      <c r="J2130" s="3">
        <v>2023.0</v>
      </c>
      <c r="K2130" s="4" t="str">
        <f>VLOOKUP($C2130,Userpass!$A$2:$R$3001,2,FALSE)</f>
        <v>klr20238307.siswa@smkn12malang.sch.id</v>
      </c>
    </row>
    <row r="2131">
      <c r="A2131" s="3" t="str">
        <f t="shared" si="1"/>
        <v>OK</v>
      </c>
      <c r="B2131" s="3" t="str">
        <f t="shared" si="2"/>
        <v>OK</v>
      </c>
      <c r="C2131" s="3">
        <v>8382.0</v>
      </c>
      <c r="D2131" s="4" t="s">
        <v>4876</v>
      </c>
      <c r="E2131" s="3" t="s">
        <v>4877</v>
      </c>
      <c r="F2131" s="3" t="s">
        <v>17</v>
      </c>
      <c r="G2131" s="3" t="str">
        <f t="shared" si="3"/>
        <v>XIIKLR1</v>
      </c>
      <c r="H2131" s="3" t="str">
        <f>VLOOKUP($C2131,Userpass!$A$2:$L$3001,12,FALSE)</f>
        <v>KLR1</v>
      </c>
      <c r="I2131" s="5" t="s">
        <v>4223</v>
      </c>
      <c r="J2131" s="3">
        <v>2023.0</v>
      </c>
      <c r="K2131" s="4" t="str">
        <f>VLOOKUP($C2131,Userpass!$A$2:$R$3001,2,FALSE)</f>
        <v>klr20238382.siswa@smkn12malang.sch.id</v>
      </c>
    </row>
    <row r="2132">
      <c r="A2132" s="3" t="str">
        <f t="shared" si="1"/>
        <v>OK</v>
      </c>
      <c r="B2132" s="3" t="str">
        <f t="shared" si="2"/>
        <v>OK</v>
      </c>
      <c r="C2132" s="3">
        <v>8425.0</v>
      </c>
      <c r="D2132" s="4" t="s">
        <v>4878</v>
      </c>
      <c r="E2132" s="3" t="s">
        <v>4879</v>
      </c>
      <c r="F2132" s="3" t="s">
        <v>17</v>
      </c>
      <c r="G2132" s="3" t="str">
        <f t="shared" si="3"/>
        <v>XIIKLR1</v>
      </c>
      <c r="H2132" s="3" t="str">
        <f>VLOOKUP($C2132,Userpass!$A$2:$L$3001,12,FALSE)</f>
        <v>KLR1</v>
      </c>
      <c r="I2132" s="5" t="s">
        <v>4223</v>
      </c>
      <c r="J2132" s="3">
        <v>2023.0</v>
      </c>
      <c r="K2132" s="4" t="str">
        <f>VLOOKUP($C2132,Userpass!$A$2:$R$3001,2,FALSE)</f>
        <v>klr20238425.siswa@smkn12malang.sch.id</v>
      </c>
    </row>
    <row r="2133">
      <c r="A2133" s="3" t="str">
        <f t="shared" si="1"/>
        <v>OK</v>
      </c>
      <c r="B2133" s="3" t="str">
        <f t="shared" si="2"/>
        <v>OK</v>
      </c>
      <c r="C2133" s="3">
        <v>8438.0</v>
      </c>
      <c r="D2133" s="4" t="s">
        <v>4880</v>
      </c>
      <c r="E2133" s="3" t="s">
        <v>4881</v>
      </c>
      <c r="F2133" s="3" t="s">
        <v>13</v>
      </c>
      <c r="G2133" s="3" t="str">
        <f t="shared" si="3"/>
        <v>XIIKLR1</v>
      </c>
      <c r="H2133" s="3" t="str">
        <f>VLOOKUP($C2133,Userpass!$A$2:$L$3001,12,FALSE)</f>
        <v>KLR1</v>
      </c>
      <c r="I2133" s="5" t="s">
        <v>4223</v>
      </c>
      <c r="J2133" s="3">
        <v>2023.0</v>
      </c>
      <c r="K2133" s="4" t="str">
        <f>VLOOKUP($C2133,Userpass!$A$2:$R$3001,2,FALSE)</f>
        <v>klr20238438.siswa@smkn12malang.sch.id</v>
      </c>
    </row>
    <row r="2134">
      <c r="A2134" s="3" t="str">
        <f t="shared" si="1"/>
        <v>OK</v>
      </c>
      <c r="B2134" s="3" t="str">
        <f t="shared" si="2"/>
        <v>OK</v>
      </c>
      <c r="C2134" s="3">
        <v>8444.0</v>
      </c>
      <c r="D2134" s="4" t="s">
        <v>4882</v>
      </c>
      <c r="E2134" s="3" t="s">
        <v>4883</v>
      </c>
      <c r="F2134" s="3" t="s">
        <v>13</v>
      </c>
      <c r="G2134" s="3" t="str">
        <f t="shared" si="3"/>
        <v>XIIKLR1</v>
      </c>
      <c r="H2134" s="3" t="str">
        <f>VLOOKUP($C2134,Userpass!$A$2:$L$3001,12,FALSE)</f>
        <v>KLR1</v>
      </c>
      <c r="I2134" s="5" t="s">
        <v>4223</v>
      </c>
      <c r="J2134" s="3">
        <v>2023.0</v>
      </c>
      <c r="K2134" s="4" t="str">
        <f>VLOOKUP($C2134,Userpass!$A$2:$R$3001,2,FALSE)</f>
        <v>klr20238444.siswa@smkn12malang.sch.id</v>
      </c>
    </row>
    <row r="2135">
      <c r="A2135" s="3" t="str">
        <f t="shared" si="1"/>
        <v>OK</v>
      </c>
      <c r="B2135" s="3" t="str">
        <f t="shared" si="2"/>
        <v>OK</v>
      </c>
      <c r="C2135" s="3">
        <v>8466.0</v>
      </c>
      <c r="D2135" s="4" t="s">
        <v>4884</v>
      </c>
      <c r="E2135" s="3" t="s">
        <v>4885</v>
      </c>
      <c r="F2135" s="3" t="s">
        <v>13</v>
      </c>
      <c r="G2135" s="3" t="str">
        <f t="shared" si="3"/>
        <v>XIIKLR1</v>
      </c>
      <c r="H2135" s="3" t="str">
        <f>VLOOKUP($C2135,Userpass!$A$2:$L$3001,12,FALSE)</f>
        <v>KLR1</v>
      </c>
      <c r="I2135" s="5" t="s">
        <v>4223</v>
      </c>
      <c r="J2135" s="3">
        <v>2023.0</v>
      </c>
      <c r="K2135" s="4" t="str">
        <f>VLOOKUP($C2135,Userpass!$A$2:$R$3001,2,FALSE)</f>
        <v>klr20238466.siswa@smkn12malang.sch.id</v>
      </c>
    </row>
    <row r="2136">
      <c r="A2136" s="3" t="str">
        <f t="shared" si="1"/>
        <v>OK</v>
      </c>
      <c r="B2136" s="3" t="str">
        <f t="shared" si="2"/>
        <v>OK</v>
      </c>
      <c r="C2136" s="3">
        <v>8485.0</v>
      </c>
      <c r="D2136" s="4" t="s">
        <v>4886</v>
      </c>
      <c r="E2136" s="3" t="s">
        <v>4887</v>
      </c>
      <c r="F2136" s="3" t="s">
        <v>13</v>
      </c>
      <c r="G2136" s="3" t="str">
        <f t="shared" si="3"/>
        <v>XIIKLR1</v>
      </c>
      <c r="H2136" s="3" t="str">
        <f>VLOOKUP($C2136,Userpass!$A$2:$L$3001,12,FALSE)</f>
        <v>KLR1</v>
      </c>
      <c r="I2136" s="5" t="s">
        <v>4223</v>
      </c>
      <c r="J2136" s="3">
        <v>2023.0</v>
      </c>
      <c r="K2136" s="4" t="str">
        <f>VLOOKUP($C2136,Userpass!$A$2:$R$3001,2,FALSE)</f>
        <v>klr20238485.siswa@smkn12malang.sch.id</v>
      </c>
    </row>
    <row r="2137">
      <c r="A2137" s="3" t="str">
        <f t="shared" si="1"/>
        <v>OK</v>
      </c>
      <c r="B2137" s="3" t="str">
        <f t="shared" si="2"/>
        <v>OK</v>
      </c>
      <c r="C2137" s="3">
        <v>8497.0</v>
      </c>
      <c r="D2137" s="4" t="s">
        <v>4888</v>
      </c>
      <c r="E2137" s="3" t="s">
        <v>4889</v>
      </c>
      <c r="F2137" s="3" t="s">
        <v>13</v>
      </c>
      <c r="G2137" s="3" t="str">
        <f t="shared" si="3"/>
        <v>XIIKLR1</v>
      </c>
      <c r="H2137" s="3" t="str">
        <f>VLOOKUP($C2137,Userpass!$A$2:$L$3001,12,FALSE)</f>
        <v>KLR1</v>
      </c>
      <c r="I2137" s="5" t="s">
        <v>4223</v>
      </c>
      <c r="J2137" s="3">
        <v>2023.0</v>
      </c>
      <c r="K2137" s="4" t="str">
        <f>VLOOKUP($C2137,Userpass!$A$2:$R$3001,2,FALSE)</f>
        <v>klr20238497.siswa@smkn12malang.sch.id</v>
      </c>
    </row>
    <row r="2138">
      <c r="A2138" s="3" t="str">
        <f t="shared" si="1"/>
        <v>OK</v>
      </c>
      <c r="B2138" s="3" t="str">
        <f t="shared" si="2"/>
        <v>OK</v>
      </c>
      <c r="C2138" s="3">
        <v>8498.0</v>
      </c>
      <c r="D2138" s="4" t="s">
        <v>4890</v>
      </c>
      <c r="E2138" s="3" t="s">
        <v>4891</v>
      </c>
      <c r="F2138" s="3" t="s">
        <v>17</v>
      </c>
      <c r="G2138" s="3" t="str">
        <f t="shared" si="3"/>
        <v>XIIKLR1</v>
      </c>
      <c r="H2138" s="3" t="str">
        <f>VLOOKUP($C2138,Userpass!$A$2:$L$3001,12,FALSE)</f>
        <v>KLR1</v>
      </c>
      <c r="I2138" s="5" t="s">
        <v>4223</v>
      </c>
      <c r="J2138" s="3">
        <v>2023.0</v>
      </c>
      <c r="K2138" s="4" t="str">
        <f>VLOOKUP($C2138,Userpass!$A$2:$R$3001,2,FALSE)</f>
        <v>klr20238498.siswa@smkn12malang.sch.id</v>
      </c>
    </row>
    <row r="2139">
      <c r="A2139" s="3" t="str">
        <f t="shared" si="1"/>
        <v>OK</v>
      </c>
      <c r="B2139" s="3" t="str">
        <f t="shared" si="2"/>
        <v>OK</v>
      </c>
      <c r="C2139" s="3">
        <v>8508.0</v>
      </c>
      <c r="D2139" s="4" t="s">
        <v>4892</v>
      </c>
      <c r="E2139" s="3" t="s">
        <v>4893</v>
      </c>
      <c r="F2139" s="3" t="s">
        <v>13</v>
      </c>
      <c r="G2139" s="3" t="str">
        <f t="shared" si="3"/>
        <v>XIIKLR1</v>
      </c>
      <c r="H2139" s="3" t="str">
        <f>VLOOKUP($C2139,Userpass!$A$2:$L$3001,12,FALSE)</f>
        <v>KLR1</v>
      </c>
      <c r="I2139" s="5" t="s">
        <v>4223</v>
      </c>
      <c r="J2139" s="3">
        <v>2023.0</v>
      </c>
      <c r="K2139" s="4" t="str">
        <f>VLOOKUP($C2139,Userpass!$A$2:$R$3001,2,FALSE)</f>
        <v>klr20238508.siswa@smkn12malang.sch.id</v>
      </c>
    </row>
    <row r="2140">
      <c r="A2140" s="3" t="str">
        <f t="shared" si="1"/>
        <v>OK</v>
      </c>
      <c r="B2140" s="3" t="str">
        <f t="shared" si="2"/>
        <v>OK</v>
      </c>
      <c r="C2140" s="3">
        <v>8513.0</v>
      </c>
      <c r="D2140" s="4" t="s">
        <v>4894</v>
      </c>
      <c r="E2140" s="3" t="s">
        <v>4895</v>
      </c>
      <c r="F2140" s="3" t="s">
        <v>13</v>
      </c>
      <c r="G2140" s="3" t="str">
        <f t="shared" si="3"/>
        <v>XIIKLR1</v>
      </c>
      <c r="H2140" s="3" t="str">
        <f>VLOOKUP($C2140,Userpass!$A$2:$L$3001,12,FALSE)</f>
        <v>KLR1</v>
      </c>
      <c r="I2140" s="5" t="s">
        <v>4223</v>
      </c>
      <c r="J2140" s="3">
        <v>2023.0</v>
      </c>
      <c r="K2140" s="4" t="str">
        <f>VLOOKUP($C2140,Userpass!$A$2:$R$3001,2,FALSE)</f>
        <v>klr20238513.siswa@smkn12malang.sch.id</v>
      </c>
    </row>
    <row r="2141">
      <c r="A2141" s="3" t="str">
        <f t="shared" si="1"/>
        <v>OK</v>
      </c>
      <c r="B2141" s="3" t="str">
        <f t="shared" si="2"/>
        <v>OK</v>
      </c>
      <c r="C2141" s="3">
        <v>8542.0</v>
      </c>
      <c r="D2141" s="4" t="s">
        <v>4896</v>
      </c>
      <c r="E2141" s="3" t="s">
        <v>4897</v>
      </c>
      <c r="F2141" s="3" t="s">
        <v>13</v>
      </c>
      <c r="G2141" s="3" t="str">
        <f t="shared" si="3"/>
        <v>XIIKLR1</v>
      </c>
      <c r="H2141" s="3" t="str">
        <f>VLOOKUP($C2141,Userpass!$A$2:$L$3001,12,FALSE)</f>
        <v>KLR1</v>
      </c>
      <c r="I2141" s="5" t="s">
        <v>4223</v>
      </c>
      <c r="J2141" s="3">
        <v>2023.0</v>
      </c>
      <c r="K2141" s="4" t="str">
        <f>VLOOKUP($C2141,Userpass!$A$2:$R$3001,2,FALSE)</f>
        <v>klr20238542.siswa@smkn12malang.sch.id</v>
      </c>
    </row>
    <row r="2142">
      <c r="A2142" s="3" t="str">
        <f t="shared" si="1"/>
        <v>OK</v>
      </c>
      <c r="B2142" s="3" t="str">
        <f t="shared" si="2"/>
        <v>OK</v>
      </c>
      <c r="C2142" s="3">
        <v>8549.0</v>
      </c>
      <c r="D2142" s="4" t="s">
        <v>4898</v>
      </c>
      <c r="E2142" s="3" t="s">
        <v>4899</v>
      </c>
      <c r="F2142" s="3" t="s">
        <v>13</v>
      </c>
      <c r="G2142" s="3" t="str">
        <f t="shared" si="3"/>
        <v>XIIKLR1</v>
      </c>
      <c r="H2142" s="3" t="str">
        <f>VLOOKUP($C2142,Userpass!$A$2:$L$3001,12,FALSE)</f>
        <v>KLR1</v>
      </c>
      <c r="I2142" s="5" t="s">
        <v>4223</v>
      </c>
      <c r="J2142" s="3">
        <v>2023.0</v>
      </c>
      <c r="K2142" s="4" t="str">
        <f>VLOOKUP($C2142,Userpass!$A$2:$R$3001,2,FALSE)</f>
        <v>klr20238549.siswa@smkn12malang.sch.id</v>
      </c>
    </row>
    <row r="2143">
      <c r="A2143" s="3" t="str">
        <f t="shared" si="1"/>
        <v>OK</v>
      </c>
      <c r="B2143" s="3" t="str">
        <f t="shared" si="2"/>
        <v>OK</v>
      </c>
      <c r="C2143" s="3">
        <v>8555.0</v>
      </c>
      <c r="D2143" s="4" t="s">
        <v>4900</v>
      </c>
      <c r="E2143" s="3" t="s">
        <v>4901</v>
      </c>
      <c r="F2143" s="3" t="s">
        <v>13</v>
      </c>
      <c r="G2143" s="3" t="str">
        <f t="shared" si="3"/>
        <v>XIIKLR1</v>
      </c>
      <c r="H2143" s="3" t="str">
        <f>VLOOKUP($C2143,Userpass!$A$2:$L$3001,12,FALSE)</f>
        <v>KLR1</v>
      </c>
      <c r="I2143" s="5" t="s">
        <v>4223</v>
      </c>
      <c r="J2143" s="3">
        <v>2023.0</v>
      </c>
      <c r="K2143" s="4" t="str">
        <f>VLOOKUP($C2143,Userpass!$A$2:$R$3001,2,FALSE)</f>
        <v>klr20238555.siswa@smkn12malang.sch.id</v>
      </c>
    </row>
    <row r="2144">
      <c r="A2144" s="3" t="str">
        <f t="shared" si="1"/>
        <v>OK</v>
      </c>
      <c r="B2144" s="3" t="str">
        <f t="shared" si="2"/>
        <v>OK</v>
      </c>
      <c r="C2144" s="3">
        <v>8558.0</v>
      </c>
      <c r="D2144" s="4" t="s">
        <v>4902</v>
      </c>
      <c r="E2144" s="3" t="s">
        <v>4903</v>
      </c>
      <c r="F2144" s="3" t="s">
        <v>13</v>
      </c>
      <c r="G2144" s="3" t="str">
        <f t="shared" si="3"/>
        <v>XIIKLR1</v>
      </c>
      <c r="H2144" s="3" t="str">
        <f>VLOOKUP($C2144,Userpass!$A$2:$L$3001,12,FALSE)</f>
        <v>KLR1</v>
      </c>
      <c r="I2144" s="5" t="s">
        <v>4223</v>
      </c>
      <c r="J2144" s="3">
        <v>2023.0</v>
      </c>
      <c r="K2144" s="4" t="str">
        <f>VLOOKUP($C2144,Userpass!$A$2:$R$3001,2,FALSE)</f>
        <v>klr20238558.siswa@smkn12malang.sch.id</v>
      </c>
    </row>
    <row r="2145">
      <c r="A2145" s="3" t="str">
        <f t="shared" si="1"/>
        <v>OK</v>
      </c>
      <c r="B2145" s="3" t="str">
        <f t="shared" si="2"/>
        <v>OK</v>
      </c>
      <c r="C2145" s="3">
        <v>8565.0</v>
      </c>
      <c r="D2145" s="4" t="s">
        <v>4904</v>
      </c>
      <c r="E2145" s="3" t="s">
        <v>4905</v>
      </c>
      <c r="F2145" s="3" t="s">
        <v>13</v>
      </c>
      <c r="G2145" s="3" t="str">
        <f t="shared" si="3"/>
        <v>XIIKLR1</v>
      </c>
      <c r="H2145" s="3" t="str">
        <f>VLOOKUP($C2145,Userpass!$A$2:$L$3001,12,FALSE)</f>
        <v>KLR1</v>
      </c>
      <c r="I2145" s="5" t="s">
        <v>4223</v>
      </c>
      <c r="J2145" s="3">
        <v>2023.0</v>
      </c>
      <c r="K2145" s="4" t="str">
        <f>VLOOKUP($C2145,Userpass!$A$2:$R$3001,2,FALSE)</f>
        <v>klr20238565.siswa@smkn12malang.sch.id</v>
      </c>
    </row>
    <row r="2146">
      <c r="A2146" s="3" t="str">
        <f t="shared" si="1"/>
        <v>OK</v>
      </c>
      <c r="B2146" s="3" t="str">
        <f t="shared" si="2"/>
        <v>OK</v>
      </c>
      <c r="C2146" s="3">
        <v>8569.0</v>
      </c>
      <c r="D2146" s="4" t="s">
        <v>4906</v>
      </c>
      <c r="E2146" s="3" t="s">
        <v>4907</v>
      </c>
      <c r="F2146" s="3" t="s">
        <v>13</v>
      </c>
      <c r="G2146" s="3" t="str">
        <f t="shared" si="3"/>
        <v>XIIKLR1</v>
      </c>
      <c r="H2146" s="3" t="str">
        <f>VLOOKUP($C2146,Userpass!$A$2:$L$3001,12,FALSE)</f>
        <v>KLR1</v>
      </c>
      <c r="I2146" s="5" t="s">
        <v>4223</v>
      </c>
      <c r="J2146" s="3">
        <v>2023.0</v>
      </c>
      <c r="K2146" s="4" t="str">
        <f>VLOOKUP($C2146,Userpass!$A$2:$R$3001,2,FALSE)</f>
        <v>klr20238569.siswa@smkn12malang.sch.id</v>
      </c>
    </row>
    <row r="2147">
      <c r="A2147" s="3" t="str">
        <f t="shared" si="1"/>
        <v>OK</v>
      </c>
      <c r="B2147" s="3" t="str">
        <f t="shared" si="2"/>
        <v>OK</v>
      </c>
      <c r="C2147" s="3">
        <v>8594.0</v>
      </c>
      <c r="D2147" s="4" t="s">
        <v>4908</v>
      </c>
      <c r="E2147" s="3" t="s">
        <v>4909</v>
      </c>
      <c r="F2147" s="3" t="s">
        <v>13</v>
      </c>
      <c r="G2147" s="3" t="str">
        <f t="shared" si="3"/>
        <v>XIIKLR1</v>
      </c>
      <c r="H2147" s="3" t="str">
        <f>VLOOKUP($C2147,Userpass!$A$2:$L$3001,12,FALSE)</f>
        <v>KLR1</v>
      </c>
      <c r="I2147" s="5" t="s">
        <v>4223</v>
      </c>
      <c r="J2147" s="3">
        <v>2023.0</v>
      </c>
      <c r="K2147" s="4" t="str">
        <f>VLOOKUP($C2147,Userpass!$A$2:$R$3001,2,FALSE)</f>
        <v>klr20238594.siswa@smkn12malang.sch.id</v>
      </c>
    </row>
    <row r="2148">
      <c r="A2148" s="3" t="str">
        <f t="shared" si="1"/>
        <v>OK</v>
      </c>
      <c r="B2148" s="3" t="str">
        <f t="shared" si="2"/>
        <v>OK</v>
      </c>
      <c r="C2148" s="3">
        <v>8595.0</v>
      </c>
      <c r="D2148" s="4" t="s">
        <v>4910</v>
      </c>
      <c r="E2148" s="3" t="s">
        <v>4911</v>
      </c>
      <c r="F2148" s="3" t="s">
        <v>13</v>
      </c>
      <c r="G2148" s="3" t="str">
        <f t="shared" si="3"/>
        <v>XIIKLR1</v>
      </c>
      <c r="H2148" s="3" t="str">
        <f>VLOOKUP($C2148,Userpass!$A$2:$L$3001,12,FALSE)</f>
        <v>KLR1</v>
      </c>
      <c r="I2148" s="5" t="s">
        <v>4223</v>
      </c>
      <c r="J2148" s="3">
        <v>2023.0</v>
      </c>
      <c r="K2148" s="4" t="str">
        <f>VLOOKUP($C2148,Userpass!$A$2:$R$3001,2,FALSE)</f>
        <v>klr20238595.siswa@smkn12malang.sch.id</v>
      </c>
    </row>
    <row r="2149">
      <c r="A2149" s="3" t="str">
        <f t="shared" si="1"/>
        <v>OK</v>
      </c>
      <c r="B2149" s="3" t="str">
        <f t="shared" si="2"/>
        <v>OK</v>
      </c>
      <c r="C2149" s="3">
        <v>8612.0</v>
      </c>
      <c r="D2149" s="4" t="s">
        <v>4912</v>
      </c>
      <c r="E2149" s="3" t="s">
        <v>4913</v>
      </c>
      <c r="F2149" s="3" t="s">
        <v>13</v>
      </c>
      <c r="G2149" s="3" t="str">
        <f t="shared" si="3"/>
        <v>XIIKLR1</v>
      </c>
      <c r="H2149" s="3" t="str">
        <f>VLOOKUP($C2149,Userpass!$A$2:$L$3001,12,FALSE)</f>
        <v>KLR1</v>
      </c>
      <c r="I2149" s="5" t="s">
        <v>4223</v>
      </c>
      <c r="J2149" s="3">
        <v>2023.0</v>
      </c>
      <c r="K2149" s="4" t="str">
        <f>VLOOKUP($C2149,Userpass!$A$2:$R$3001,2,FALSE)</f>
        <v>klr20238612.siswa@smkn12malang.sch.id</v>
      </c>
    </row>
    <row r="2150">
      <c r="A2150" s="3" t="str">
        <f t="shared" si="1"/>
        <v>OK</v>
      </c>
      <c r="B2150" s="3" t="str">
        <f t="shared" si="2"/>
        <v>OK</v>
      </c>
      <c r="C2150" s="3">
        <v>8627.0</v>
      </c>
      <c r="D2150" s="4" t="s">
        <v>4914</v>
      </c>
      <c r="E2150" s="3" t="s">
        <v>4915</v>
      </c>
      <c r="F2150" s="3" t="s">
        <v>13</v>
      </c>
      <c r="G2150" s="3" t="str">
        <f t="shared" si="3"/>
        <v>XIIKLR1</v>
      </c>
      <c r="H2150" s="3" t="str">
        <f>VLOOKUP($C2150,Userpass!$A$2:$L$3001,12,FALSE)</f>
        <v>KLR1</v>
      </c>
      <c r="I2150" s="5" t="s">
        <v>4223</v>
      </c>
      <c r="J2150" s="3">
        <v>2023.0</v>
      </c>
      <c r="K2150" s="4" t="str">
        <f>VLOOKUP($C2150,Userpass!$A$2:$R$3001,2,FALSE)</f>
        <v>klr20238627.siswa@smkn12malang.sch.id</v>
      </c>
    </row>
    <row r="2151">
      <c r="A2151" s="3" t="str">
        <f t="shared" si="1"/>
        <v>OK</v>
      </c>
      <c r="B2151" s="3" t="str">
        <f t="shared" si="2"/>
        <v>OK</v>
      </c>
      <c r="C2151" s="3">
        <v>8025.0</v>
      </c>
      <c r="D2151" s="4" t="s">
        <v>4916</v>
      </c>
      <c r="E2151" s="3" t="s">
        <v>4917</v>
      </c>
      <c r="F2151" s="3" t="s">
        <v>17</v>
      </c>
      <c r="G2151" s="3" t="str">
        <f t="shared" si="3"/>
        <v>XIIOTO1</v>
      </c>
      <c r="H2151" s="3" t="str">
        <f>VLOOKUP($C2151,Userpass!$A$2:$L$3001,12,FALSE)</f>
        <v>OTO1</v>
      </c>
      <c r="I2151" s="5" t="s">
        <v>4223</v>
      </c>
      <c r="J2151" s="3">
        <v>2023.0</v>
      </c>
      <c r="K2151" s="4" t="str">
        <f>VLOOKUP($C2151,Userpass!$A$2:$R$3001,2,FALSE)</f>
        <v>oto20238025.siswa@smkn12malang.sch.id</v>
      </c>
    </row>
    <row r="2152">
      <c r="A2152" s="3" t="str">
        <f t="shared" si="1"/>
        <v>OK</v>
      </c>
      <c r="B2152" s="3" t="str">
        <f t="shared" si="2"/>
        <v>OK</v>
      </c>
      <c r="C2152" s="3">
        <v>8037.0</v>
      </c>
      <c r="D2152" s="4" t="s">
        <v>4918</v>
      </c>
      <c r="E2152" s="3" t="s">
        <v>4919</v>
      </c>
      <c r="F2152" s="3" t="s">
        <v>17</v>
      </c>
      <c r="G2152" s="3" t="str">
        <f t="shared" si="3"/>
        <v>XIIOTO1</v>
      </c>
      <c r="H2152" s="3" t="str">
        <f>VLOOKUP($C2152,Userpass!$A$2:$L$3001,12,FALSE)</f>
        <v>OTO1</v>
      </c>
      <c r="I2152" s="5" t="s">
        <v>4223</v>
      </c>
      <c r="J2152" s="3">
        <v>2023.0</v>
      </c>
      <c r="K2152" s="4" t="str">
        <f>VLOOKUP($C2152,Userpass!$A$2:$R$3001,2,FALSE)</f>
        <v>oto20238037.siswa@smkn12malang.sch.id</v>
      </c>
    </row>
    <row r="2153">
      <c r="A2153" s="3" t="str">
        <f t="shared" si="1"/>
        <v>OK</v>
      </c>
      <c r="B2153" s="3" t="str">
        <f t="shared" si="2"/>
        <v>OK</v>
      </c>
      <c r="C2153" s="3">
        <v>8059.0</v>
      </c>
      <c r="D2153" s="4" t="s">
        <v>4920</v>
      </c>
      <c r="E2153" s="3" t="s">
        <v>4921</v>
      </c>
      <c r="F2153" s="3" t="s">
        <v>17</v>
      </c>
      <c r="G2153" s="3" t="str">
        <f t="shared" si="3"/>
        <v>XIIOTO1</v>
      </c>
      <c r="H2153" s="3" t="str">
        <f>VLOOKUP($C2153,Userpass!$A$2:$L$3001,12,FALSE)</f>
        <v>OTO1</v>
      </c>
      <c r="I2153" s="5" t="s">
        <v>4223</v>
      </c>
      <c r="J2153" s="3">
        <v>2023.0</v>
      </c>
      <c r="K2153" s="4" t="str">
        <f>VLOOKUP($C2153,Userpass!$A$2:$R$3001,2,FALSE)</f>
        <v>oto20238059.siswa@smkn12malang.sch.id</v>
      </c>
    </row>
    <row r="2154">
      <c r="A2154" s="3" t="str">
        <f t="shared" si="1"/>
        <v>OK</v>
      </c>
      <c r="B2154" s="3" t="str">
        <f t="shared" si="2"/>
        <v>OK</v>
      </c>
      <c r="C2154" s="3">
        <v>8062.0</v>
      </c>
      <c r="D2154" s="4" t="s">
        <v>4922</v>
      </c>
      <c r="E2154" s="3" t="s">
        <v>4923</v>
      </c>
      <c r="F2154" s="3" t="s">
        <v>17</v>
      </c>
      <c r="G2154" s="3" t="str">
        <f t="shared" si="3"/>
        <v>XIIOTO1</v>
      </c>
      <c r="H2154" s="3" t="str">
        <f>VLOOKUP($C2154,Userpass!$A$2:$L$3001,12,FALSE)</f>
        <v>OTO1</v>
      </c>
      <c r="I2154" s="5" t="s">
        <v>4223</v>
      </c>
      <c r="J2154" s="3">
        <v>2023.0</v>
      </c>
      <c r="K2154" s="4" t="str">
        <f>VLOOKUP($C2154,Userpass!$A$2:$R$3001,2,FALSE)</f>
        <v>oto20238062.siswa@smkn12malang.sch.id</v>
      </c>
    </row>
    <row r="2155">
      <c r="A2155" s="3" t="str">
        <f t="shared" si="1"/>
        <v>OK</v>
      </c>
      <c r="B2155" s="3" t="str">
        <f t="shared" si="2"/>
        <v>OK</v>
      </c>
      <c r="C2155" s="3">
        <v>8116.0</v>
      </c>
      <c r="D2155" s="4" t="s">
        <v>4924</v>
      </c>
      <c r="E2155" s="3" t="s">
        <v>4925</v>
      </c>
      <c r="F2155" s="3" t="s">
        <v>17</v>
      </c>
      <c r="G2155" s="3" t="str">
        <f t="shared" si="3"/>
        <v>XIIOTO1</v>
      </c>
      <c r="H2155" s="3" t="str">
        <f>VLOOKUP($C2155,Userpass!$A$2:$L$3001,12,FALSE)</f>
        <v>OTO1</v>
      </c>
      <c r="I2155" s="5" t="s">
        <v>4223</v>
      </c>
      <c r="J2155" s="3">
        <v>2023.0</v>
      </c>
      <c r="K2155" s="4" t="str">
        <f>VLOOKUP($C2155,Userpass!$A$2:$R$3001,2,FALSE)</f>
        <v>oto20238116.siswa@smkn12malang.sch.id</v>
      </c>
    </row>
    <row r="2156">
      <c r="A2156" s="3" t="str">
        <f t="shared" si="1"/>
        <v>OK</v>
      </c>
      <c r="B2156" s="3" t="str">
        <f t="shared" si="2"/>
        <v>OK</v>
      </c>
      <c r="C2156" s="3">
        <v>8133.0</v>
      </c>
      <c r="D2156" s="4" t="s">
        <v>4926</v>
      </c>
      <c r="E2156" s="3" t="s">
        <v>4927</v>
      </c>
      <c r="F2156" s="3" t="s">
        <v>17</v>
      </c>
      <c r="G2156" s="3" t="str">
        <f t="shared" si="3"/>
        <v>XIIOTO1</v>
      </c>
      <c r="H2156" s="3" t="str">
        <f>VLOOKUP($C2156,Userpass!$A$2:$L$3001,12,FALSE)</f>
        <v>OTO1</v>
      </c>
      <c r="I2156" s="5" t="s">
        <v>4223</v>
      </c>
      <c r="J2156" s="3">
        <v>2023.0</v>
      </c>
      <c r="K2156" s="4" t="str">
        <f>VLOOKUP($C2156,Userpass!$A$2:$R$3001,2,FALSE)</f>
        <v>oto20238133.siswa@smkn12malang.sch.id</v>
      </c>
    </row>
    <row r="2157">
      <c r="A2157" s="3" t="str">
        <f t="shared" si="1"/>
        <v>OK</v>
      </c>
      <c r="B2157" s="3" t="str">
        <f t="shared" si="2"/>
        <v>OK</v>
      </c>
      <c r="C2157" s="3">
        <v>8169.0</v>
      </c>
      <c r="D2157" s="4" t="s">
        <v>4928</v>
      </c>
      <c r="E2157" s="3" t="s">
        <v>4929</v>
      </c>
      <c r="F2157" s="3" t="s">
        <v>17</v>
      </c>
      <c r="G2157" s="3" t="str">
        <f t="shared" si="3"/>
        <v>XIIOTO1</v>
      </c>
      <c r="H2157" s="3" t="str">
        <f>VLOOKUP($C2157,Userpass!$A$2:$L$3001,12,FALSE)</f>
        <v>OTO1</v>
      </c>
      <c r="I2157" s="5" t="s">
        <v>4223</v>
      </c>
      <c r="J2157" s="3">
        <v>2023.0</v>
      </c>
      <c r="K2157" s="4" t="str">
        <f>VLOOKUP($C2157,Userpass!$A$2:$R$3001,2,FALSE)</f>
        <v>oto20238169.siswa@smkn12malang.sch.id</v>
      </c>
    </row>
    <row r="2158">
      <c r="A2158" s="3" t="str">
        <f t="shared" si="1"/>
        <v>OK</v>
      </c>
      <c r="B2158" s="3" t="str">
        <f t="shared" si="2"/>
        <v>OK</v>
      </c>
      <c r="C2158" s="3">
        <v>8194.0</v>
      </c>
      <c r="D2158" s="4" t="s">
        <v>4930</v>
      </c>
      <c r="E2158" s="3" t="s">
        <v>4931</v>
      </c>
      <c r="F2158" s="3" t="s">
        <v>17</v>
      </c>
      <c r="G2158" s="3" t="str">
        <f t="shared" si="3"/>
        <v>XIIOTO1</v>
      </c>
      <c r="H2158" s="3" t="str">
        <f>VLOOKUP($C2158,Userpass!$A$2:$L$3001,12,FALSE)</f>
        <v>OTO1</v>
      </c>
      <c r="I2158" s="5" t="s">
        <v>4223</v>
      </c>
      <c r="J2158" s="3">
        <v>2023.0</v>
      </c>
      <c r="K2158" s="4" t="str">
        <f>VLOOKUP($C2158,Userpass!$A$2:$R$3001,2,FALSE)</f>
        <v>oto20238194.siswa@smkn12malang.sch.id</v>
      </c>
    </row>
    <row r="2159">
      <c r="A2159" s="3" t="str">
        <f t="shared" si="1"/>
        <v>OK</v>
      </c>
      <c r="B2159" s="3" t="str">
        <f t="shared" si="2"/>
        <v>OK</v>
      </c>
      <c r="C2159" s="3">
        <v>8232.0</v>
      </c>
      <c r="D2159" s="4" t="s">
        <v>4932</v>
      </c>
      <c r="E2159" s="3" t="s">
        <v>4933</v>
      </c>
      <c r="F2159" s="3" t="s">
        <v>17</v>
      </c>
      <c r="G2159" s="3" t="str">
        <f t="shared" si="3"/>
        <v>XIIOTO1</v>
      </c>
      <c r="H2159" s="3" t="str">
        <f>VLOOKUP($C2159,Userpass!$A$2:$L$3001,12,FALSE)</f>
        <v>OTO1</v>
      </c>
      <c r="I2159" s="5" t="s">
        <v>4223</v>
      </c>
      <c r="J2159" s="3">
        <v>2023.0</v>
      </c>
      <c r="K2159" s="4" t="str">
        <f>VLOOKUP($C2159,Userpass!$A$2:$R$3001,2,FALSE)</f>
        <v>oto20238232.siswa@smkn12malang.sch.id</v>
      </c>
    </row>
    <row r="2160">
      <c r="A2160" s="3" t="str">
        <f t="shared" si="1"/>
        <v>OK</v>
      </c>
      <c r="B2160" s="3" t="str">
        <f t="shared" si="2"/>
        <v>OK</v>
      </c>
      <c r="C2160" s="3">
        <v>8254.0</v>
      </c>
      <c r="D2160" s="4" t="s">
        <v>4934</v>
      </c>
      <c r="E2160" s="3" t="s">
        <v>4935</v>
      </c>
      <c r="F2160" s="3" t="s">
        <v>17</v>
      </c>
      <c r="G2160" s="3" t="str">
        <f t="shared" si="3"/>
        <v>XIIOTO1</v>
      </c>
      <c r="H2160" s="3" t="str">
        <f>VLOOKUP($C2160,Userpass!$A$2:$L$3001,12,FALSE)</f>
        <v>OTO1</v>
      </c>
      <c r="I2160" s="5" t="s">
        <v>4223</v>
      </c>
      <c r="J2160" s="3">
        <v>2023.0</v>
      </c>
      <c r="K2160" s="4" t="str">
        <f>VLOOKUP($C2160,Userpass!$A$2:$R$3001,2,FALSE)</f>
        <v>oto20238254.siswa@smkn12malang.sch.id</v>
      </c>
    </row>
    <row r="2161">
      <c r="A2161" s="3" t="str">
        <f t="shared" si="1"/>
        <v>OK</v>
      </c>
      <c r="B2161" s="3" t="str">
        <f t="shared" si="2"/>
        <v>OK</v>
      </c>
      <c r="C2161" s="3">
        <v>8265.0</v>
      </c>
      <c r="D2161" s="4" t="s">
        <v>4936</v>
      </c>
      <c r="E2161" s="3" t="s">
        <v>4937</v>
      </c>
      <c r="F2161" s="3" t="s">
        <v>17</v>
      </c>
      <c r="G2161" s="3" t="str">
        <f t="shared" si="3"/>
        <v>XIIOTO1</v>
      </c>
      <c r="H2161" s="3" t="str">
        <f>VLOOKUP($C2161,Userpass!$A$2:$L$3001,12,FALSE)</f>
        <v>OTO1</v>
      </c>
      <c r="I2161" s="5" t="s">
        <v>4223</v>
      </c>
      <c r="J2161" s="3">
        <v>2023.0</v>
      </c>
      <c r="K2161" s="4" t="str">
        <f>VLOOKUP($C2161,Userpass!$A$2:$R$3001,2,FALSE)</f>
        <v>oto20238265.siswa@smkn12malang.sch.id</v>
      </c>
    </row>
    <row r="2162">
      <c r="A2162" s="3" t="str">
        <f t="shared" si="1"/>
        <v>OK</v>
      </c>
      <c r="B2162" s="3" t="str">
        <f t="shared" si="2"/>
        <v>OK</v>
      </c>
      <c r="C2162" s="3">
        <v>8272.0</v>
      </c>
      <c r="D2162" s="4" t="s">
        <v>1183</v>
      </c>
      <c r="E2162" s="3" t="s">
        <v>4938</v>
      </c>
      <c r="F2162" s="3" t="s">
        <v>17</v>
      </c>
      <c r="G2162" s="3" t="str">
        <f t="shared" si="3"/>
        <v>XIIOTO1</v>
      </c>
      <c r="H2162" s="3" t="str">
        <f>VLOOKUP($C2162,Userpass!$A$2:$L$3001,12,FALSE)</f>
        <v>OTO1</v>
      </c>
      <c r="I2162" s="5" t="s">
        <v>4223</v>
      </c>
      <c r="J2162" s="3">
        <v>2023.0</v>
      </c>
      <c r="K2162" s="4" t="str">
        <f>VLOOKUP($C2162,Userpass!$A$2:$R$3001,2,FALSE)</f>
        <v>oto20238272.siswa@smkn12malang.sch.id</v>
      </c>
    </row>
    <row r="2163">
      <c r="A2163" s="3" t="str">
        <f t="shared" si="1"/>
        <v>OK</v>
      </c>
      <c r="B2163" s="3" t="str">
        <f t="shared" si="2"/>
        <v>OK</v>
      </c>
      <c r="C2163" s="3">
        <v>8280.0</v>
      </c>
      <c r="D2163" s="4" t="s">
        <v>4939</v>
      </c>
      <c r="E2163" s="3" t="s">
        <v>4940</v>
      </c>
      <c r="F2163" s="3" t="s">
        <v>17</v>
      </c>
      <c r="G2163" s="3" t="str">
        <f t="shared" si="3"/>
        <v>XIIOTO1</v>
      </c>
      <c r="H2163" s="3" t="str">
        <f>VLOOKUP($C2163,Userpass!$A$2:$L$3001,12,FALSE)</f>
        <v>OTO1</v>
      </c>
      <c r="I2163" s="5" t="s">
        <v>4223</v>
      </c>
      <c r="J2163" s="3">
        <v>2023.0</v>
      </c>
      <c r="K2163" s="4" t="str">
        <f>VLOOKUP($C2163,Userpass!$A$2:$R$3001,2,FALSE)</f>
        <v>oto20238280.siswa@smkn12malang.sch.id</v>
      </c>
    </row>
    <row r="2164">
      <c r="A2164" s="3" t="str">
        <f t="shared" si="1"/>
        <v>OK</v>
      </c>
      <c r="B2164" s="3" t="str">
        <f t="shared" si="2"/>
        <v>OK</v>
      </c>
      <c r="C2164" s="3">
        <v>8293.0</v>
      </c>
      <c r="D2164" s="4" t="s">
        <v>4941</v>
      </c>
      <c r="E2164" s="3" t="s">
        <v>4942</v>
      </c>
      <c r="F2164" s="3" t="s">
        <v>17</v>
      </c>
      <c r="G2164" s="3" t="str">
        <f t="shared" si="3"/>
        <v>XIIOTO1</v>
      </c>
      <c r="H2164" s="3" t="str">
        <f>VLOOKUP($C2164,Userpass!$A$2:$L$3001,12,FALSE)</f>
        <v>OTO1</v>
      </c>
      <c r="I2164" s="5" t="s">
        <v>4223</v>
      </c>
      <c r="J2164" s="3">
        <v>2023.0</v>
      </c>
      <c r="K2164" s="4" t="str">
        <f>VLOOKUP($C2164,Userpass!$A$2:$R$3001,2,FALSE)</f>
        <v>oto20238293.siswa@smkn12malang.sch.id</v>
      </c>
    </row>
    <row r="2165">
      <c r="A2165" s="3" t="str">
        <f t="shared" si="1"/>
        <v>OK</v>
      </c>
      <c r="B2165" s="3" t="str">
        <f t="shared" si="2"/>
        <v>OK</v>
      </c>
      <c r="C2165" s="3">
        <v>8333.0</v>
      </c>
      <c r="D2165" s="4" t="s">
        <v>4943</v>
      </c>
      <c r="E2165" s="3" t="s">
        <v>4944</v>
      </c>
      <c r="F2165" s="3" t="s">
        <v>17</v>
      </c>
      <c r="G2165" s="3" t="str">
        <f t="shared" si="3"/>
        <v>XIIOTO1</v>
      </c>
      <c r="H2165" s="3" t="str">
        <f>VLOOKUP($C2165,Userpass!$A$2:$L$3001,12,FALSE)</f>
        <v>OTO1</v>
      </c>
      <c r="I2165" s="5" t="s">
        <v>4223</v>
      </c>
      <c r="J2165" s="3">
        <v>2023.0</v>
      </c>
      <c r="K2165" s="4" t="str">
        <f>VLOOKUP($C2165,Userpass!$A$2:$R$3001,2,FALSE)</f>
        <v>oto20238333.siswa@smkn12malang.sch.id</v>
      </c>
    </row>
    <row r="2166">
      <c r="A2166" s="3" t="str">
        <f t="shared" si="1"/>
        <v>OK</v>
      </c>
      <c r="B2166" s="3" t="str">
        <f t="shared" si="2"/>
        <v>OK</v>
      </c>
      <c r="C2166" s="3">
        <v>8348.0</v>
      </c>
      <c r="D2166" s="4" t="s">
        <v>4945</v>
      </c>
      <c r="E2166" s="3" t="s">
        <v>4946</v>
      </c>
      <c r="F2166" s="3" t="s">
        <v>17</v>
      </c>
      <c r="G2166" s="3" t="str">
        <f t="shared" si="3"/>
        <v>XIIOTO1</v>
      </c>
      <c r="H2166" s="3" t="str">
        <f>VLOOKUP($C2166,Userpass!$A$2:$L$3001,12,FALSE)</f>
        <v>OTO1</v>
      </c>
      <c r="I2166" s="5" t="s">
        <v>4223</v>
      </c>
      <c r="J2166" s="3">
        <v>2023.0</v>
      </c>
      <c r="K2166" s="4" t="str">
        <f>VLOOKUP($C2166,Userpass!$A$2:$R$3001,2,FALSE)</f>
        <v>oto20238348.siswa@smkn12malang.sch.id</v>
      </c>
    </row>
    <row r="2167">
      <c r="A2167" s="3" t="str">
        <f t="shared" si="1"/>
        <v>OK</v>
      </c>
      <c r="B2167" s="3" t="str">
        <f t="shared" si="2"/>
        <v>OK</v>
      </c>
      <c r="C2167" s="3">
        <v>8365.0</v>
      </c>
      <c r="D2167" s="4" t="s">
        <v>4947</v>
      </c>
      <c r="E2167" s="3" t="s">
        <v>4948</v>
      </c>
      <c r="F2167" s="3" t="s">
        <v>17</v>
      </c>
      <c r="G2167" s="3" t="str">
        <f t="shared" si="3"/>
        <v>XIIOTO1</v>
      </c>
      <c r="H2167" s="3" t="str">
        <f>VLOOKUP($C2167,Userpass!$A$2:$L$3001,12,FALSE)</f>
        <v>OTO1</v>
      </c>
      <c r="I2167" s="5" t="s">
        <v>4223</v>
      </c>
      <c r="J2167" s="3">
        <v>2023.0</v>
      </c>
      <c r="K2167" s="4" t="str">
        <f>VLOOKUP($C2167,Userpass!$A$2:$R$3001,2,FALSE)</f>
        <v>oto20238365.siswa@smkn12malang.sch.id</v>
      </c>
    </row>
    <row r="2168">
      <c r="A2168" s="3" t="str">
        <f t="shared" si="1"/>
        <v>OK</v>
      </c>
      <c r="B2168" s="3" t="str">
        <f t="shared" si="2"/>
        <v>OK</v>
      </c>
      <c r="C2168" s="3">
        <v>8371.0</v>
      </c>
      <c r="D2168" s="4" t="s">
        <v>4949</v>
      </c>
      <c r="E2168" s="3" t="s">
        <v>4950</v>
      </c>
      <c r="F2168" s="3" t="s">
        <v>17</v>
      </c>
      <c r="G2168" s="3" t="str">
        <f t="shared" si="3"/>
        <v>XIIOTO1</v>
      </c>
      <c r="H2168" s="3" t="str">
        <f>VLOOKUP($C2168,Userpass!$A$2:$L$3001,12,FALSE)</f>
        <v>OTO1</v>
      </c>
      <c r="I2168" s="5" t="s">
        <v>4223</v>
      </c>
      <c r="J2168" s="3">
        <v>2023.0</v>
      </c>
      <c r="K2168" s="4" t="str">
        <f>VLOOKUP($C2168,Userpass!$A$2:$R$3001,2,FALSE)</f>
        <v>oto20238371.siswa@smkn12malang.sch.id</v>
      </c>
    </row>
    <row r="2169">
      <c r="A2169" s="3" t="str">
        <f t="shared" si="1"/>
        <v>OK</v>
      </c>
      <c r="B2169" s="3" t="str">
        <f t="shared" si="2"/>
        <v>OK</v>
      </c>
      <c r="C2169" s="3">
        <v>8380.0</v>
      </c>
      <c r="D2169" s="4" t="s">
        <v>4951</v>
      </c>
      <c r="E2169" s="3" t="s">
        <v>4952</v>
      </c>
      <c r="F2169" s="3" t="s">
        <v>17</v>
      </c>
      <c r="G2169" s="3" t="str">
        <f t="shared" si="3"/>
        <v>XIIOTO1</v>
      </c>
      <c r="H2169" s="3" t="str">
        <f>VLOOKUP($C2169,Userpass!$A$2:$L$3001,12,FALSE)</f>
        <v>OTO1</v>
      </c>
      <c r="I2169" s="5" t="s">
        <v>4223</v>
      </c>
      <c r="J2169" s="3">
        <v>2023.0</v>
      </c>
      <c r="K2169" s="4" t="str">
        <f>VLOOKUP($C2169,Userpass!$A$2:$R$3001,2,FALSE)</f>
        <v>oto20238380.siswa@smkn12malang.sch.id</v>
      </c>
    </row>
    <row r="2170">
      <c r="A2170" s="3" t="str">
        <f t="shared" si="1"/>
        <v>OK</v>
      </c>
      <c r="B2170" s="3" t="str">
        <f t="shared" si="2"/>
        <v>OK</v>
      </c>
      <c r="C2170" s="3">
        <v>8392.0</v>
      </c>
      <c r="D2170" s="4" t="s">
        <v>4953</v>
      </c>
      <c r="E2170" s="3" t="s">
        <v>4954</v>
      </c>
      <c r="F2170" s="3" t="s">
        <v>17</v>
      </c>
      <c r="G2170" s="3" t="str">
        <f t="shared" si="3"/>
        <v>XIIOTO1</v>
      </c>
      <c r="H2170" s="3" t="str">
        <f>VLOOKUP($C2170,Userpass!$A$2:$L$3001,12,FALSE)</f>
        <v>OTO1</v>
      </c>
      <c r="I2170" s="5" t="s">
        <v>4223</v>
      </c>
      <c r="J2170" s="3">
        <v>2023.0</v>
      </c>
      <c r="K2170" s="4" t="str">
        <f>VLOOKUP($C2170,Userpass!$A$2:$R$3001,2,FALSE)</f>
        <v>oto20238392.siswa@smkn12malang.sch.id</v>
      </c>
    </row>
    <row r="2171">
      <c r="A2171" s="3" t="str">
        <f t="shared" si="1"/>
        <v>OK</v>
      </c>
      <c r="B2171" s="3" t="str">
        <f t="shared" si="2"/>
        <v>OK</v>
      </c>
      <c r="C2171" s="3">
        <v>8401.0</v>
      </c>
      <c r="D2171" s="4" t="s">
        <v>4955</v>
      </c>
      <c r="E2171" s="3" t="s">
        <v>4956</v>
      </c>
      <c r="F2171" s="3" t="s">
        <v>17</v>
      </c>
      <c r="G2171" s="3" t="str">
        <f t="shared" si="3"/>
        <v>XIIOTO1</v>
      </c>
      <c r="H2171" s="3" t="str">
        <f>VLOOKUP($C2171,Userpass!$A$2:$L$3001,12,FALSE)</f>
        <v>OTO1</v>
      </c>
      <c r="I2171" s="5" t="s">
        <v>4223</v>
      </c>
      <c r="J2171" s="3">
        <v>2023.0</v>
      </c>
      <c r="K2171" s="4" t="str">
        <f>VLOOKUP($C2171,Userpass!$A$2:$R$3001,2,FALSE)</f>
        <v>oto20238401.siswa@smkn12malang.sch.id</v>
      </c>
    </row>
    <row r="2172">
      <c r="A2172" s="3" t="str">
        <f t="shared" si="1"/>
        <v>OK</v>
      </c>
      <c r="B2172" s="3" t="str">
        <f t="shared" si="2"/>
        <v>OK</v>
      </c>
      <c r="C2172" s="3">
        <v>8405.0</v>
      </c>
      <c r="D2172" s="4" t="s">
        <v>4957</v>
      </c>
      <c r="E2172" s="3" t="s">
        <v>4958</v>
      </c>
      <c r="F2172" s="3" t="s">
        <v>17</v>
      </c>
      <c r="G2172" s="3" t="str">
        <f t="shared" si="3"/>
        <v>XIIOTO1</v>
      </c>
      <c r="H2172" s="3" t="str">
        <f>VLOOKUP($C2172,Userpass!$A$2:$L$3001,12,FALSE)</f>
        <v>OTO1</v>
      </c>
      <c r="I2172" s="5" t="s">
        <v>4223</v>
      </c>
      <c r="J2172" s="3">
        <v>2023.0</v>
      </c>
      <c r="K2172" s="4" t="str">
        <f>VLOOKUP($C2172,Userpass!$A$2:$R$3001,2,FALSE)</f>
        <v>oto20238405.siswa@smkn12malang.sch.id</v>
      </c>
    </row>
    <row r="2173">
      <c r="A2173" s="3" t="str">
        <f t="shared" si="1"/>
        <v>OK</v>
      </c>
      <c r="B2173" s="3" t="str">
        <f t="shared" si="2"/>
        <v>OK</v>
      </c>
      <c r="C2173" s="3">
        <v>8414.0</v>
      </c>
      <c r="D2173" s="4" t="s">
        <v>4959</v>
      </c>
      <c r="E2173" s="3" t="s">
        <v>4960</v>
      </c>
      <c r="F2173" s="3" t="s">
        <v>17</v>
      </c>
      <c r="G2173" s="3" t="str">
        <f t="shared" si="3"/>
        <v>XIIOTO1</v>
      </c>
      <c r="H2173" s="3" t="str">
        <f>VLOOKUP($C2173,Userpass!$A$2:$L$3001,12,FALSE)</f>
        <v>OTO1</v>
      </c>
      <c r="I2173" s="5" t="s">
        <v>4223</v>
      </c>
      <c r="J2173" s="3">
        <v>2023.0</v>
      </c>
      <c r="K2173" s="4" t="str">
        <f>VLOOKUP($C2173,Userpass!$A$2:$R$3001,2,FALSE)</f>
        <v>oto20238414.siswa@smkn12malang.sch.id</v>
      </c>
    </row>
    <row r="2174">
      <c r="A2174" s="3" t="str">
        <f t="shared" si="1"/>
        <v>OK</v>
      </c>
      <c r="B2174" s="3" t="str">
        <f t="shared" si="2"/>
        <v>OK</v>
      </c>
      <c r="C2174" s="3">
        <v>8423.0</v>
      </c>
      <c r="D2174" s="4" t="s">
        <v>4961</v>
      </c>
      <c r="E2174" s="3" t="s">
        <v>4962</v>
      </c>
      <c r="F2174" s="3" t="s">
        <v>17</v>
      </c>
      <c r="G2174" s="3" t="str">
        <f t="shared" si="3"/>
        <v>XIIOTO1</v>
      </c>
      <c r="H2174" s="3" t="str">
        <f>VLOOKUP($C2174,Userpass!$A$2:$L$3001,12,FALSE)</f>
        <v>OTO1</v>
      </c>
      <c r="I2174" s="5" t="s">
        <v>4223</v>
      </c>
      <c r="J2174" s="3">
        <v>2023.0</v>
      </c>
      <c r="K2174" s="4" t="str">
        <f>VLOOKUP($C2174,Userpass!$A$2:$R$3001,2,FALSE)</f>
        <v>oto20238423.siswa@smkn12malang.sch.id</v>
      </c>
    </row>
    <row r="2175">
      <c r="A2175" s="3" t="str">
        <f t="shared" si="1"/>
        <v>OK</v>
      </c>
      <c r="B2175" s="3" t="str">
        <f t="shared" si="2"/>
        <v>OK</v>
      </c>
      <c r="C2175" s="3">
        <v>8434.0</v>
      </c>
      <c r="D2175" s="4" t="s">
        <v>4963</v>
      </c>
      <c r="E2175" s="3" t="s">
        <v>4964</v>
      </c>
      <c r="F2175" s="3" t="s">
        <v>17</v>
      </c>
      <c r="G2175" s="3" t="str">
        <f t="shared" si="3"/>
        <v>XIIOTO1</v>
      </c>
      <c r="H2175" s="3" t="str">
        <f>VLOOKUP($C2175,Userpass!$A$2:$L$3001,12,FALSE)</f>
        <v>OTO1</v>
      </c>
      <c r="I2175" s="5" t="s">
        <v>4223</v>
      </c>
      <c r="J2175" s="3">
        <v>2023.0</v>
      </c>
      <c r="K2175" s="4" t="str">
        <f>VLOOKUP($C2175,Userpass!$A$2:$R$3001,2,FALSE)</f>
        <v>oto20238434.siswa@smkn12malang.sch.id</v>
      </c>
    </row>
    <row r="2176">
      <c r="A2176" s="3" t="str">
        <f t="shared" si="1"/>
        <v>OK</v>
      </c>
      <c r="B2176" s="3" t="str">
        <f t="shared" si="2"/>
        <v>OK</v>
      </c>
      <c r="C2176" s="3">
        <v>8473.0</v>
      </c>
      <c r="D2176" s="4" t="s">
        <v>4965</v>
      </c>
      <c r="E2176" s="3" t="s">
        <v>4966</v>
      </c>
      <c r="F2176" s="3" t="s">
        <v>17</v>
      </c>
      <c r="G2176" s="3" t="str">
        <f t="shared" si="3"/>
        <v>XIIOTO1</v>
      </c>
      <c r="H2176" s="3" t="str">
        <f>VLOOKUP($C2176,Userpass!$A$2:$L$3001,12,FALSE)</f>
        <v>OTO1</v>
      </c>
      <c r="I2176" s="5" t="s">
        <v>4223</v>
      </c>
      <c r="J2176" s="3">
        <v>2023.0</v>
      </c>
      <c r="K2176" s="4" t="str">
        <f>VLOOKUP($C2176,Userpass!$A$2:$R$3001,2,FALSE)</f>
        <v>oto20238473.siswa@smkn12malang.sch.id</v>
      </c>
    </row>
    <row r="2177">
      <c r="A2177" s="3" t="str">
        <f t="shared" si="1"/>
        <v>OK</v>
      </c>
      <c r="B2177" s="3" t="str">
        <f t="shared" si="2"/>
        <v>OK</v>
      </c>
      <c r="C2177" s="3">
        <v>8478.0</v>
      </c>
      <c r="D2177" s="4" t="s">
        <v>4967</v>
      </c>
      <c r="E2177" s="3" t="s">
        <v>4968</v>
      </c>
      <c r="F2177" s="3" t="s">
        <v>17</v>
      </c>
      <c r="G2177" s="3" t="str">
        <f t="shared" si="3"/>
        <v>XIIOTO1</v>
      </c>
      <c r="H2177" s="3" t="str">
        <f>VLOOKUP($C2177,Userpass!$A$2:$L$3001,12,FALSE)</f>
        <v>OTO1</v>
      </c>
      <c r="I2177" s="5" t="s">
        <v>4223</v>
      </c>
      <c r="J2177" s="3">
        <v>2023.0</v>
      </c>
      <c r="K2177" s="4" t="str">
        <f>VLOOKUP($C2177,Userpass!$A$2:$R$3001,2,FALSE)</f>
        <v>oto20238478.siswa@smkn12malang.sch.id</v>
      </c>
    </row>
    <row r="2178">
      <c r="A2178" s="3" t="str">
        <f t="shared" si="1"/>
        <v>OK</v>
      </c>
      <c r="B2178" s="3" t="str">
        <f t="shared" si="2"/>
        <v>OK</v>
      </c>
      <c r="C2178" s="3">
        <v>8504.0</v>
      </c>
      <c r="D2178" s="4" t="s">
        <v>4969</v>
      </c>
      <c r="E2178" s="3" t="s">
        <v>4970</v>
      </c>
      <c r="F2178" s="3" t="s">
        <v>17</v>
      </c>
      <c r="G2178" s="3" t="str">
        <f t="shared" si="3"/>
        <v>XIIOTO1</v>
      </c>
      <c r="H2178" s="3" t="str">
        <f>VLOOKUP($C2178,Userpass!$A$2:$L$3001,12,FALSE)</f>
        <v>OTO1</v>
      </c>
      <c r="I2178" s="5" t="s">
        <v>4223</v>
      </c>
      <c r="J2178" s="3">
        <v>2023.0</v>
      </c>
      <c r="K2178" s="4" t="str">
        <f>VLOOKUP($C2178,Userpass!$A$2:$R$3001,2,FALSE)</f>
        <v>oto20238504.siswa@smkn12malang.sch.id</v>
      </c>
    </row>
    <row r="2179">
      <c r="A2179" s="3" t="str">
        <f t="shared" si="1"/>
        <v>OK</v>
      </c>
      <c r="B2179" s="3" t="str">
        <f t="shared" si="2"/>
        <v>OK</v>
      </c>
      <c r="C2179" s="3">
        <v>8517.0</v>
      </c>
      <c r="D2179" s="4" t="s">
        <v>4971</v>
      </c>
      <c r="E2179" s="3" t="s">
        <v>4972</v>
      </c>
      <c r="F2179" s="3" t="s">
        <v>17</v>
      </c>
      <c r="G2179" s="3" t="str">
        <f t="shared" si="3"/>
        <v>XIIOTO1</v>
      </c>
      <c r="H2179" s="3" t="str">
        <f>VLOOKUP($C2179,Userpass!$A$2:$L$3001,12,FALSE)</f>
        <v>OTO1</v>
      </c>
      <c r="I2179" s="5" t="s">
        <v>4223</v>
      </c>
      <c r="J2179" s="3">
        <v>2023.0</v>
      </c>
      <c r="K2179" s="4" t="str">
        <f>VLOOKUP($C2179,Userpass!$A$2:$R$3001,2,FALSE)</f>
        <v>oto20238517.siswa@smkn12malang.sch.id</v>
      </c>
    </row>
    <row r="2180">
      <c r="A2180" s="3" t="str">
        <f t="shared" si="1"/>
        <v>OK</v>
      </c>
      <c r="B2180" s="3" t="str">
        <f t="shared" si="2"/>
        <v>OK</v>
      </c>
      <c r="C2180" s="3">
        <v>8537.0</v>
      </c>
      <c r="D2180" s="4" t="s">
        <v>4973</v>
      </c>
      <c r="E2180" s="3" t="s">
        <v>4974</v>
      </c>
      <c r="F2180" s="3" t="s">
        <v>17</v>
      </c>
      <c r="G2180" s="3" t="str">
        <f t="shared" si="3"/>
        <v>XIIOTO1</v>
      </c>
      <c r="H2180" s="3" t="str">
        <f>VLOOKUP($C2180,Userpass!$A$2:$L$3001,12,FALSE)</f>
        <v>OTO1</v>
      </c>
      <c r="I2180" s="5" t="s">
        <v>4223</v>
      </c>
      <c r="J2180" s="3">
        <v>2023.0</v>
      </c>
      <c r="K2180" s="4" t="str">
        <f>VLOOKUP($C2180,Userpass!$A$2:$R$3001,2,FALSE)</f>
        <v>oto20238537.siswa@smkn12malang.sch.id</v>
      </c>
    </row>
    <row r="2181">
      <c r="A2181" s="3" t="str">
        <f t="shared" si="1"/>
        <v>OK</v>
      </c>
      <c r="B2181" s="3" t="str">
        <f t="shared" si="2"/>
        <v>OK</v>
      </c>
      <c r="C2181" s="3">
        <v>8592.0</v>
      </c>
      <c r="D2181" s="4" t="s">
        <v>4975</v>
      </c>
      <c r="E2181" s="3" t="s">
        <v>4976</v>
      </c>
      <c r="F2181" s="3" t="s">
        <v>17</v>
      </c>
      <c r="G2181" s="3" t="str">
        <f t="shared" si="3"/>
        <v>XIIOTO1</v>
      </c>
      <c r="H2181" s="3" t="str">
        <f>VLOOKUP($C2181,Userpass!$A$2:$L$3001,12,FALSE)</f>
        <v>OTO1</v>
      </c>
      <c r="I2181" s="5" t="s">
        <v>4223</v>
      </c>
      <c r="J2181" s="3">
        <v>2023.0</v>
      </c>
      <c r="K2181" s="4" t="str">
        <f>VLOOKUP($C2181,Userpass!$A$2:$R$3001,2,FALSE)</f>
        <v>oto20238592.siswa@smkn12malang.sch.id</v>
      </c>
    </row>
    <row r="2182">
      <c r="A2182" s="3" t="str">
        <f t="shared" si="1"/>
        <v>OK</v>
      </c>
      <c r="B2182" s="3" t="str">
        <f t="shared" si="2"/>
        <v>OK</v>
      </c>
      <c r="C2182" s="3">
        <v>8028.0</v>
      </c>
      <c r="D2182" s="4" t="s">
        <v>4977</v>
      </c>
      <c r="E2182" s="3" t="s">
        <v>4978</v>
      </c>
      <c r="F2182" s="3" t="s">
        <v>17</v>
      </c>
      <c r="G2182" s="3" t="str">
        <f t="shared" si="3"/>
        <v>XIIOTO2</v>
      </c>
      <c r="H2182" s="3" t="str">
        <f>VLOOKUP($C2182,Userpass!$A$2:$L$3001,12,FALSE)</f>
        <v>OTO2</v>
      </c>
      <c r="I2182" s="5" t="s">
        <v>4223</v>
      </c>
      <c r="J2182" s="3">
        <v>2023.0</v>
      </c>
      <c r="K2182" s="4" t="str">
        <f>VLOOKUP($C2182,Userpass!$A$2:$R$3001,2,FALSE)</f>
        <v>oto20238028.siswa@smkn12malang.sch.id</v>
      </c>
    </row>
    <row r="2183">
      <c r="A2183" s="3" t="str">
        <f t="shared" si="1"/>
        <v>OK</v>
      </c>
      <c r="B2183" s="3" t="str">
        <f t="shared" si="2"/>
        <v>OK</v>
      </c>
      <c r="C2183" s="3">
        <v>8042.0</v>
      </c>
      <c r="D2183" s="4" t="s">
        <v>4979</v>
      </c>
      <c r="E2183" s="3" t="s">
        <v>4980</v>
      </c>
      <c r="F2183" s="3" t="s">
        <v>17</v>
      </c>
      <c r="G2183" s="3" t="str">
        <f t="shared" si="3"/>
        <v>XIIOTO2</v>
      </c>
      <c r="H2183" s="3" t="str">
        <f>VLOOKUP($C2183,Userpass!$A$2:$L$3001,12,FALSE)</f>
        <v>OTO2</v>
      </c>
      <c r="I2183" s="5" t="s">
        <v>4223</v>
      </c>
      <c r="J2183" s="3">
        <v>2023.0</v>
      </c>
      <c r="K2183" s="4" t="str">
        <f>VLOOKUP($C2183,Userpass!$A$2:$R$3001,2,FALSE)</f>
        <v>oto20238042.siswa@smkn12malang.sch.id</v>
      </c>
    </row>
    <row r="2184">
      <c r="A2184" s="3" t="str">
        <f t="shared" si="1"/>
        <v>OK</v>
      </c>
      <c r="B2184" s="3" t="str">
        <f t="shared" si="2"/>
        <v>OK</v>
      </c>
      <c r="C2184" s="3">
        <v>8050.0</v>
      </c>
      <c r="D2184" s="4" t="s">
        <v>4981</v>
      </c>
      <c r="E2184" s="3" t="s">
        <v>4982</v>
      </c>
      <c r="F2184" s="3" t="s">
        <v>17</v>
      </c>
      <c r="G2184" s="3" t="str">
        <f t="shared" si="3"/>
        <v>XIIOTO2</v>
      </c>
      <c r="H2184" s="3" t="str">
        <f>VLOOKUP($C2184,Userpass!$A$2:$L$3001,12,FALSE)</f>
        <v>OTO2</v>
      </c>
      <c r="I2184" s="5" t="s">
        <v>4223</v>
      </c>
      <c r="J2184" s="3">
        <v>2023.0</v>
      </c>
      <c r="K2184" s="4" t="str">
        <f>VLOOKUP($C2184,Userpass!$A$2:$R$3001,2,FALSE)</f>
        <v>oto20238050.siswa@smkn12malang.sch.id</v>
      </c>
    </row>
    <row r="2185">
      <c r="A2185" s="3" t="str">
        <f t="shared" si="1"/>
        <v>OK</v>
      </c>
      <c r="B2185" s="3" t="str">
        <f t="shared" si="2"/>
        <v>OK</v>
      </c>
      <c r="C2185" s="3">
        <v>8065.0</v>
      </c>
      <c r="D2185" s="4" t="s">
        <v>4983</v>
      </c>
      <c r="E2185" s="3" t="s">
        <v>4984</v>
      </c>
      <c r="F2185" s="3" t="s">
        <v>17</v>
      </c>
      <c r="G2185" s="3" t="str">
        <f t="shared" si="3"/>
        <v>XIIOTO2</v>
      </c>
      <c r="H2185" s="3" t="str">
        <f>VLOOKUP($C2185,Userpass!$A$2:$L$3001,12,FALSE)</f>
        <v>OTO2</v>
      </c>
      <c r="I2185" s="5" t="s">
        <v>4223</v>
      </c>
      <c r="J2185" s="3">
        <v>2023.0</v>
      </c>
      <c r="K2185" s="4" t="str">
        <f>VLOOKUP($C2185,Userpass!$A$2:$R$3001,2,FALSE)</f>
        <v>oto20238065.siswa@smkn12malang.sch.id</v>
      </c>
    </row>
    <row r="2186">
      <c r="A2186" s="3" t="str">
        <f t="shared" si="1"/>
        <v>OK</v>
      </c>
      <c r="B2186" s="3" t="str">
        <f t="shared" si="2"/>
        <v>OK</v>
      </c>
      <c r="C2186" s="3">
        <v>8094.0</v>
      </c>
      <c r="D2186" s="4" t="s">
        <v>4985</v>
      </c>
      <c r="E2186" s="3" t="s">
        <v>4986</v>
      </c>
      <c r="F2186" s="3" t="s">
        <v>17</v>
      </c>
      <c r="G2186" s="3" t="str">
        <f t="shared" si="3"/>
        <v>XIIOTO2</v>
      </c>
      <c r="H2186" s="3" t="str">
        <f>VLOOKUP($C2186,Userpass!$A$2:$L$3001,12,FALSE)</f>
        <v>OTO2</v>
      </c>
      <c r="I2186" s="5" t="s">
        <v>4223</v>
      </c>
      <c r="J2186" s="3">
        <v>2023.0</v>
      </c>
      <c r="K2186" s="4" t="str">
        <f>VLOOKUP($C2186,Userpass!$A$2:$R$3001,2,FALSE)</f>
        <v>oto20238094.siswa@smkn12malang.sch.id</v>
      </c>
    </row>
    <row r="2187">
      <c r="A2187" s="3" t="str">
        <f t="shared" si="1"/>
        <v>OK</v>
      </c>
      <c r="B2187" s="3" t="str">
        <f t="shared" si="2"/>
        <v>OK</v>
      </c>
      <c r="C2187" s="3">
        <v>8110.0</v>
      </c>
      <c r="D2187" s="4" t="s">
        <v>4987</v>
      </c>
      <c r="E2187" s="3" t="s">
        <v>4988</v>
      </c>
      <c r="F2187" s="3" t="s">
        <v>17</v>
      </c>
      <c r="G2187" s="3" t="str">
        <f t="shared" si="3"/>
        <v>XIIOTO2</v>
      </c>
      <c r="H2187" s="3" t="str">
        <f>VLOOKUP($C2187,Userpass!$A$2:$L$3001,12,FALSE)</f>
        <v>OTO2</v>
      </c>
      <c r="I2187" s="5" t="s">
        <v>4223</v>
      </c>
      <c r="J2187" s="3">
        <v>2023.0</v>
      </c>
      <c r="K2187" s="4" t="str">
        <f>VLOOKUP($C2187,Userpass!$A$2:$R$3001,2,FALSE)</f>
        <v>oto20238110.siswa@smkn12malang.sch.id</v>
      </c>
    </row>
    <row r="2188">
      <c r="A2188" s="3" t="str">
        <f t="shared" si="1"/>
        <v>OK</v>
      </c>
      <c r="B2188" s="3" t="str">
        <f t="shared" si="2"/>
        <v>OK</v>
      </c>
      <c r="C2188" s="3">
        <v>8118.0</v>
      </c>
      <c r="D2188" s="4" t="s">
        <v>4989</v>
      </c>
      <c r="E2188" s="3" t="s">
        <v>4990</v>
      </c>
      <c r="F2188" s="3" t="s">
        <v>17</v>
      </c>
      <c r="G2188" s="3" t="str">
        <f t="shared" si="3"/>
        <v>XIIOTO2</v>
      </c>
      <c r="H2188" s="3" t="str">
        <f>VLOOKUP($C2188,Userpass!$A$2:$L$3001,12,FALSE)</f>
        <v>OTO2</v>
      </c>
      <c r="I2188" s="5" t="s">
        <v>4223</v>
      </c>
      <c r="J2188" s="3">
        <v>2023.0</v>
      </c>
      <c r="K2188" s="4" t="str">
        <f>VLOOKUP($C2188,Userpass!$A$2:$R$3001,2,FALSE)</f>
        <v>oto20238118.siswa@smkn12malang.sch.id</v>
      </c>
    </row>
    <row r="2189">
      <c r="A2189" s="3" t="str">
        <f t="shared" si="1"/>
        <v>OK</v>
      </c>
      <c r="B2189" s="3" t="str">
        <f t="shared" si="2"/>
        <v>OK</v>
      </c>
      <c r="C2189" s="3">
        <v>8166.0</v>
      </c>
      <c r="D2189" s="4" t="s">
        <v>4991</v>
      </c>
      <c r="E2189" s="3" t="s">
        <v>4992</v>
      </c>
      <c r="F2189" s="3" t="s">
        <v>17</v>
      </c>
      <c r="G2189" s="3" t="str">
        <f t="shared" si="3"/>
        <v>XIIOTO2</v>
      </c>
      <c r="H2189" s="3" t="str">
        <f>VLOOKUP($C2189,Userpass!$A$2:$L$3001,12,FALSE)</f>
        <v>OTO2</v>
      </c>
      <c r="I2189" s="5" t="s">
        <v>4223</v>
      </c>
      <c r="J2189" s="3">
        <v>2023.0</v>
      </c>
      <c r="K2189" s="4" t="str">
        <f>VLOOKUP($C2189,Userpass!$A$2:$R$3001,2,FALSE)</f>
        <v>oto20238166.siswa@smkn12malang.sch.id</v>
      </c>
    </row>
    <row r="2190">
      <c r="A2190" s="3" t="str">
        <f t="shared" si="1"/>
        <v>OK</v>
      </c>
      <c r="B2190" s="3" t="str">
        <f t="shared" si="2"/>
        <v>OK</v>
      </c>
      <c r="C2190" s="3">
        <v>8184.0</v>
      </c>
      <c r="D2190" s="4" t="s">
        <v>4993</v>
      </c>
      <c r="E2190" s="3" t="s">
        <v>4994</v>
      </c>
      <c r="F2190" s="3" t="s">
        <v>17</v>
      </c>
      <c r="G2190" s="3" t="str">
        <f t="shared" si="3"/>
        <v>XIIOTO2</v>
      </c>
      <c r="H2190" s="3" t="str">
        <f>VLOOKUP($C2190,Userpass!$A$2:$L$3001,12,FALSE)</f>
        <v>OTO2</v>
      </c>
      <c r="I2190" s="5" t="s">
        <v>4223</v>
      </c>
      <c r="J2190" s="3">
        <v>2023.0</v>
      </c>
      <c r="K2190" s="4" t="str">
        <f>VLOOKUP($C2190,Userpass!$A$2:$R$3001,2,FALSE)</f>
        <v>oto20238184.siswa@smkn12malang.sch.id</v>
      </c>
    </row>
    <row r="2191">
      <c r="A2191" s="3" t="str">
        <f t="shared" si="1"/>
        <v>OK</v>
      </c>
      <c r="B2191" s="3" t="str">
        <f t="shared" si="2"/>
        <v>OK</v>
      </c>
      <c r="C2191" s="3">
        <v>8218.0</v>
      </c>
      <c r="D2191" s="4" t="s">
        <v>4995</v>
      </c>
      <c r="E2191" s="3" t="s">
        <v>4996</v>
      </c>
      <c r="F2191" s="3" t="s">
        <v>17</v>
      </c>
      <c r="G2191" s="3" t="str">
        <f t="shared" si="3"/>
        <v>XIIOTO2</v>
      </c>
      <c r="H2191" s="3" t="str">
        <f>VLOOKUP($C2191,Userpass!$A$2:$L$3001,12,FALSE)</f>
        <v>OTO2</v>
      </c>
      <c r="I2191" s="5" t="s">
        <v>4223</v>
      </c>
      <c r="J2191" s="3">
        <v>2023.0</v>
      </c>
      <c r="K2191" s="4" t="str">
        <f>VLOOKUP($C2191,Userpass!$A$2:$R$3001,2,FALSE)</f>
        <v>oto20238218.siswa@smkn12malang.sch.id</v>
      </c>
    </row>
    <row r="2192">
      <c r="A2192" s="3" t="str">
        <f t="shared" si="1"/>
        <v>OK</v>
      </c>
      <c r="B2192" s="3" t="str">
        <f t="shared" si="2"/>
        <v>OK</v>
      </c>
      <c r="C2192" s="3">
        <v>8233.0</v>
      </c>
      <c r="D2192" s="4" t="s">
        <v>4997</v>
      </c>
      <c r="E2192" s="3" t="s">
        <v>4998</v>
      </c>
      <c r="F2192" s="3" t="s">
        <v>17</v>
      </c>
      <c r="G2192" s="3" t="str">
        <f t="shared" si="3"/>
        <v>XIIOTO2</v>
      </c>
      <c r="H2192" s="3" t="str">
        <f>VLOOKUP($C2192,Userpass!$A$2:$L$3001,12,FALSE)</f>
        <v>OTO2</v>
      </c>
      <c r="I2192" s="5" t="s">
        <v>4223</v>
      </c>
      <c r="J2192" s="3">
        <v>2023.0</v>
      </c>
      <c r="K2192" s="4" t="str">
        <f>VLOOKUP($C2192,Userpass!$A$2:$R$3001,2,FALSE)</f>
        <v>oto20238233.siswa@smkn12malang.sch.id</v>
      </c>
    </row>
    <row r="2193">
      <c r="A2193" s="3" t="str">
        <f t="shared" si="1"/>
        <v>OK</v>
      </c>
      <c r="B2193" s="3" t="str">
        <f t="shared" si="2"/>
        <v>OK</v>
      </c>
      <c r="C2193" s="3">
        <v>8261.0</v>
      </c>
      <c r="D2193" s="4" t="s">
        <v>4999</v>
      </c>
      <c r="E2193" s="3" t="s">
        <v>5000</v>
      </c>
      <c r="F2193" s="3" t="s">
        <v>17</v>
      </c>
      <c r="G2193" s="3" t="str">
        <f t="shared" si="3"/>
        <v>XIIOTO2</v>
      </c>
      <c r="H2193" s="3" t="str">
        <f>VLOOKUP($C2193,Userpass!$A$2:$L$3001,12,FALSE)</f>
        <v>OTO2</v>
      </c>
      <c r="I2193" s="5" t="s">
        <v>4223</v>
      </c>
      <c r="J2193" s="3">
        <v>2023.0</v>
      </c>
      <c r="K2193" s="4" t="str">
        <f>VLOOKUP($C2193,Userpass!$A$2:$R$3001,2,FALSE)</f>
        <v>oto20238261.siswa@smkn12malang.sch.id</v>
      </c>
    </row>
    <row r="2194">
      <c r="A2194" s="3" t="str">
        <f t="shared" si="1"/>
        <v>OK</v>
      </c>
      <c r="B2194" s="3" t="str">
        <f t="shared" si="2"/>
        <v>OK</v>
      </c>
      <c r="C2194" s="3">
        <v>8270.0</v>
      </c>
      <c r="D2194" s="4" t="s">
        <v>5001</v>
      </c>
      <c r="E2194" s="3" t="s">
        <v>5002</v>
      </c>
      <c r="F2194" s="3" t="s">
        <v>17</v>
      </c>
      <c r="G2194" s="3" t="str">
        <f t="shared" si="3"/>
        <v>XIIOTO2</v>
      </c>
      <c r="H2194" s="3" t="str">
        <f>VLOOKUP($C2194,Userpass!$A$2:$L$3001,12,FALSE)</f>
        <v>OTO2</v>
      </c>
      <c r="I2194" s="5" t="s">
        <v>4223</v>
      </c>
      <c r="J2194" s="3">
        <v>2023.0</v>
      </c>
      <c r="K2194" s="4" t="str">
        <f>VLOOKUP($C2194,Userpass!$A$2:$R$3001,2,FALSE)</f>
        <v>oto20238270.siswa@smkn12malang.sch.id</v>
      </c>
    </row>
    <row r="2195">
      <c r="A2195" s="3" t="str">
        <f t="shared" si="1"/>
        <v>OK</v>
      </c>
      <c r="B2195" s="3" t="str">
        <f t="shared" si="2"/>
        <v>OK</v>
      </c>
      <c r="C2195" s="3">
        <v>8274.0</v>
      </c>
      <c r="D2195" s="4" t="s">
        <v>5003</v>
      </c>
      <c r="E2195" s="3" t="s">
        <v>5004</v>
      </c>
      <c r="F2195" s="3" t="s">
        <v>17</v>
      </c>
      <c r="G2195" s="3" t="str">
        <f t="shared" si="3"/>
        <v>XIIOTO2</v>
      </c>
      <c r="H2195" s="3" t="str">
        <f>VLOOKUP($C2195,Userpass!$A$2:$L$3001,12,FALSE)</f>
        <v>OTO2</v>
      </c>
      <c r="I2195" s="5" t="s">
        <v>4223</v>
      </c>
      <c r="J2195" s="3">
        <v>2023.0</v>
      </c>
      <c r="K2195" s="4" t="str">
        <f>VLOOKUP($C2195,Userpass!$A$2:$R$3001,2,FALSE)</f>
        <v>oto20238274.siswa@smkn12malang.sch.id</v>
      </c>
    </row>
    <row r="2196">
      <c r="A2196" s="3" t="str">
        <f t="shared" si="1"/>
        <v>OK</v>
      </c>
      <c r="B2196" s="3" t="str">
        <f t="shared" si="2"/>
        <v>OK</v>
      </c>
      <c r="C2196" s="3">
        <v>8288.0</v>
      </c>
      <c r="D2196" s="4" t="s">
        <v>5005</v>
      </c>
      <c r="E2196" s="3" t="s">
        <v>5006</v>
      </c>
      <c r="F2196" s="3" t="s">
        <v>17</v>
      </c>
      <c r="G2196" s="3" t="str">
        <f t="shared" si="3"/>
        <v>XIIOTO2</v>
      </c>
      <c r="H2196" s="3" t="str">
        <f>VLOOKUP($C2196,Userpass!$A$2:$L$3001,12,FALSE)</f>
        <v>OTO2</v>
      </c>
      <c r="I2196" s="5" t="s">
        <v>4223</v>
      </c>
      <c r="J2196" s="3">
        <v>2023.0</v>
      </c>
      <c r="K2196" s="4" t="str">
        <f>VLOOKUP($C2196,Userpass!$A$2:$R$3001,2,FALSE)</f>
        <v>oto20238288.siswa@smkn12malang.sch.id</v>
      </c>
    </row>
    <row r="2197">
      <c r="A2197" s="3" t="str">
        <f t="shared" si="1"/>
        <v>OK</v>
      </c>
      <c r="B2197" s="3" t="str">
        <f t="shared" si="2"/>
        <v>OK</v>
      </c>
      <c r="C2197" s="3">
        <v>8328.0</v>
      </c>
      <c r="D2197" s="4" t="s">
        <v>5007</v>
      </c>
      <c r="E2197" s="3" t="s">
        <v>5008</v>
      </c>
      <c r="F2197" s="3" t="s">
        <v>17</v>
      </c>
      <c r="G2197" s="3" t="str">
        <f t="shared" si="3"/>
        <v>XIIOTO2</v>
      </c>
      <c r="H2197" s="3" t="str">
        <f>VLOOKUP($C2197,Userpass!$A$2:$L$3001,12,FALSE)</f>
        <v>OTO2</v>
      </c>
      <c r="I2197" s="5" t="s">
        <v>4223</v>
      </c>
      <c r="J2197" s="3">
        <v>2023.0</v>
      </c>
      <c r="K2197" s="4" t="str">
        <f>VLOOKUP($C2197,Userpass!$A$2:$R$3001,2,FALSE)</f>
        <v>oto20238328.siswa@smkn12malang.sch.id</v>
      </c>
    </row>
    <row r="2198">
      <c r="A2198" s="3" t="str">
        <f t="shared" si="1"/>
        <v>OK</v>
      </c>
      <c r="B2198" s="3" t="str">
        <f t="shared" si="2"/>
        <v>OK</v>
      </c>
      <c r="C2198" s="3">
        <v>8340.0</v>
      </c>
      <c r="D2198" s="4" t="s">
        <v>5009</v>
      </c>
      <c r="E2198" s="3" t="s">
        <v>5010</v>
      </c>
      <c r="F2198" s="3" t="s">
        <v>17</v>
      </c>
      <c r="G2198" s="3" t="str">
        <f t="shared" si="3"/>
        <v>XIIOTO2</v>
      </c>
      <c r="H2198" s="3" t="str">
        <f>VLOOKUP($C2198,Userpass!$A$2:$L$3001,12,FALSE)</f>
        <v>OTO2</v>
      </c>
      <c r="I2198" s="5" t="s">
        <v>4223</v>
      </c>
      <c r="J2198" s="3">
        <v>2023.0</v>
      </c>
      <c r="K2198" s="4" t="str">
        <f>VLOOKUP($C2198,Userpass!$A$2:$R$3001,2,FALSE)</f>
        <v>oto20238340.siswa@smkn12malang.sch.id</v>
      </c>
    </row>
    <row r="2199">
      <c r="A2199" s="3" t="str">
        <f t="shared" si="1"/>
        <v>OK</v>
      </c>
      <c r="B2199" s="3" t="str">
        <f t="shared" si="2"/>
        <v>OK</v>
      </c>
      <c r="C2199" s="3">
        <v>8360.0</v>
      </c>
      <c r="D2199" s="4" t="s">
        <v>5011</v>
      </c>
      <c r="E2199" s="3" t="s">
        <v>5012</v>
      </c>
      <c r="F2199" s="3" t="s">
        <v>17</v>
      </c>
      <c r="G2199" s="3" t="str">
        <f t="shared" si="3"/>
        <v>XIIOTO2</v>
      </c>
      <c r="H2199" s="3" t="str">
        <f>VLOOKUP($C2199,Userpass!$A$2:$L$3001,12,FALSE)</f>
        <v>OTO2</v>
      </c>
      <c r="I2199" s="5" t="s">
        <v>4223</v>
      </c>
      <c r="J2199" s="3">
        <v>2023.0</v>
      </c>
      <c r="K2199" s="4" t="str">
        <f>VLOOKUP($C2199,Userpass!$A$2:$R$3001,2,FALSE)</f>
        <v>oto20238360.siswa@smkn12malang.sch.id</v>
      </c>
    </row>
    <row r="2200">
      <c r="A2200" s="3" t="str">
        <f t="shared" si="1"/>
        <v>OK</v>
      </c>
      <c r="B2200" s="3" t="str">
        <f t="shared" si="2"/>
        <v>OK</v>
      </c>
      <c r="C2200" s="3">
        <v>8367.0</v>
      </c>
      <c r="D2200" s="4" t="s">
        <v>5013</v>
      </c>
      <c r="E2200" s="3" t="s">
        <v>5014</v>
      </c>
      <c r="F2200" s="3" t="s">
        <v>17</v>
      </c>
      <c r="G2200" s="3" t="str">
        <f t="shared" si="3"/>
        <v>XIIOTO2</v>
      </c>
      <c r="H2200" s="3" t="str">
        <f>VLOOKUP($C2200,Userpass!$A$2:$L$3001,12,FALSE)</f>
        <v>OTO2</v>
      </c>
      <c r="I2200" s="5" t="s">
        <v>4223</v>
      </c>
      <c r="J2200" s="3">
        <v>2023.0</v>
      </c>
      <c r="K2200" s="4" t="str">
        <f>VLOOKUP($C2200,Userpass!$A$2:$R$3001,2,FALSE)</f>
        <v>oto20238367.siswa@smkn12malang.sch.id</v>
      </c>
    </row>
    <row r="2201">
      <c r="A2201" s="3" t="str">
        <f t="shared" si="1"/>
        <v>OK</v>
      </c>
      <c r="B2201" s="3" t="str">
        <f t="shared" si="2"/>
        <v>OK</v>
      </c>
      <c r="C2201" s="3">
        <v>8373.0</v>
      </c>
      <c r="D2201" s="4" t="s">
        <v>5015</v>
      </c>
      <c r="E2201" s="3" t="s">
        <v>5016</v>
      </c>
      <c r="F2201" s="3" t="s">
        <v>17</v>
      </c>
      <c r="G2201" s="3" t="str">
        <f t="shared" si="3"/>
        <v>XIIOTO2</v>
      </c>
      <c r="H2201" s="3" t="str">
        <f>VLOOKUP($C2201,Userpass!$A$2:$L$3001,12,FALSE)</f>
        <v>OTO2</v>
      </c>
      <c r="I2201" s="5" t="s">
        <v>4223</v>
      </c>
      <c r="J2201" s="3">
        <v>2023.0</v>
      </c>
      <c r="K2201" s="4" t="str">
        <f>VLOOKUP($C2201,Userpass!$A$2:$R$3001,2,FALSE)</f>
        <v>oto20238373.siswa@smkn12malang.sch.id</v>
      </c>
    </row>
    <row r="2202">
      <c r="A2202" s="3" t="str">
        <f t="shared" si="1"/>
        <v>OK</v>
      </c>
      <c r="B2202" s="3" t="str">
        <f t="shared" si="2"/>
        <v>OK</v>
      </c>
      <c r="C2202" s="3">
        <v>8387.0</v>
      </c>
      <c r="D2202" s="4" t="s">
        <v>5017</v>
      </c>
      <c r="E2202" s="3" t="s">
        <v>5018</v>
      </c>
      <c r="F2202" s="3" t="s">
        <v>17</v>
      </c>
      <c r="G2202" s="3" t="str">
        <f t="shared" si="3"/>
        <v>XIIOTO2</v>
      </c>
      <c r="H2202" s="3" t="str">
        <f>VLOOKUP($C2202,Userpass!$A$2:$L$3001,12,FALSE)</f>
        <v>OTO2</v>
      </c>
      <c r="I2202" s="5" t="s">
        <v>4223</v>
      </c>
      <c r="J2202" s="3">
        <v>2023.0</v>
      </c>
      <c r="K2202" s="4" t="str">
        <f>VLOOKUP($C2202,Userpass!$A$2:$R$3001,2,FALSE)</f>
        <v>oto20238387.siswa@smkn12malang.sch.id</v>
      </c>
    </row>
    <row r="2203">
      <c r="A2203" s="3" t="str">
        <f t="shared" si="1"/>
        <v>OK</v>
      </c>
      <c r="B2203" s="3" t="str">
        <f t="shared" si="2"/>
        <v>OK</v>
      </c>
      <c r="C2203" s="3">
        <v>8393.0</v>
      </c>
      <c r="D2203" s="4" t="s">
        <v>5019</v>
      </c>
      <c r="E2203" s="3" t="s">
        <v>5020</v>
      </c>
      <c r="F2203" s="3" t="s">
        <v>17</v>
      </c>
      <c r="G2203" s="3" t="str">
        <f t="shared" si="3"/>
        <v>XIIOTO2</v>
      </c>
      <c r="H2203" s="3" t="str">
        <f>VLOOKUP($C2203,Userpass!$A$2:$L$3001,12,FALSE)</f>
        <v>OTO2</v>
      </c>
      <c r="I2203" s="5" t="s">
        <v>4223</v>
      </c>
      <c r="J2203" s="3">
        <v>2023.0</v>
      </c>
      <c r="K2203" s="4" t="str">
        <f>VLOOKUP($C2203,Userpass!$A$2:$R$3001,2,FALSE)</f>
        <v>oto20238393.siswa@smkn12malang.sch.id</v>
      </c>
    </row>
    <row r="2204">
      <c r="A2204" s="3" t="str">
        <f t="shared" si="1"/>
        <v>OK</v>
      </c>
      <c r="B2204" s="3" t="str">
        <f t="shared" si="2"/>
        <v>OK</v>
      </c>
      <c r="C2204" s="3">
        <v>8402.0</v>
      </c>
      <c r="D2204" s="4" t="s">
        <v>5021</v>
      </c>
      <c r="E2204" s="3" t="s">
        <v>5022</v>
      </c>
      <c r="F2204" s="3" t="s">
        <v>17</v>
      </c>
      <c r="G2204" s="3" t="str">
        <f t="shared" si="3"/>
        <v>XIIOTO2</v>
      </c>
      <c r="H2204" s="3" t="str">
        <f>VLOOKUP($C2204,Userpass!$A$2:$L$3001,12,FALSE)</f>
        <v>OTO2</v>
      </c>
      <c r="I2204" s="5" t="s">
        <v>4223</v>
      </c>
      <c r="J2204" s="3">
        <v>2023.0</v>
      </c>
      <c r="K2204" s="4" t="str">
        <f>VLOOKUP($C2204,Userpass!$A$2:$R$3001,2,FALSE)</f>
        <v>oto20238402.siswa@smkn12malang.sch.id</v>
      </c>
    </row>
    <row r="2205">
      <c r="A2205" s="3" t="str">
        <f t="shared" si="1"/>
        <v>OK</v>
      </c>
      <c r="B2205" s="3" t="str">
        <f t="shared" si="2"/>
        <v>OK</v>
      </c>
      <c r="C2205" s="3">
        <v>8406.0</v>
      </c>
      <c r="D2205" s="4" t="s">
        <v>5023</v>
      </c>
      <c r="E2205" s="3" t="s">
        <v>5024</v>
      </c>
      <c r="F2205" s="3" t="s">
        <v>17</v>
      </c>
      <c r="G2205" s="3" t="str">
        <f t="shared" si="3"/>
        <v>XIIOTO2</v>
      </c>
      <c r="H2205" s="3" t="str">
        <f>VLOOKUP($C2205,Userpass!$A$2:$L$3001,12,FALSE)</f>
        <v>OTO2</v>
      </c>
      <c r="I2205" s="5" t="s">
        <v>4223</v>
      </c>
      <c r="J2205" s="3">
        <v>2023.0</v>
      </c>
      <c r="K2205" s="4" t="str">
        <f>VLOOKUP($C2205,Userpass!$A$2:$R$3001,2,FALSE)</f>
        <v>oto20238406.siswa@smkn12malang.sch.id</v>
      </c>
    </row>
    <row r="2206">
      <c r="A2206" s="3" t="str">
        <f t="shared" si="1"/>
        <v>OK</v>
      </c>
      <c r="B2206" s="3" t="str">
        <f t="shared" si="2"/>
        <v>OK</v>
      </c>
      <c r="C2206" s="3">
        <v>8420.0</v>
      </c>
      <c r="D2206" s="4" t="s">
        <v>5025</v>
      </c>
      <c r="E2206" s="3" t="s">
        <v>5026</v>
      </c>
      <c r="F2206" s="3" t="s">
        <v>17</v>
      </c>
      <c r="G2206" s="3" t="str">
        <f t="shared" si="3"/>
        <v>XIIOTO2</v>
      </c>
      <c r="H2206" s="3" t="str">
        <f>VLOOKUP($C2206,Userpass!$A$2:$L$3001,12,FALSE)</f>
        <v>OTO2</v>
      </c>
      <c r="I2206" s="5" t="s">
        <v>4223</v>
      </c>
      <c r="J2206" s="3">
        <v>2023.0</v>
      </c>
      <c r="K2206" s="4" t="str">
        <f>VLOOKUP($C2206,Userpass!$A$2:$R$3001,2,FALSE)</f>
        <v>oto20238420.siswa@smkn12malang.sch.id</v>
      </c>
    </row>
    <row r="2207">
      <c r="A2207" s="3" t="str">
        <f t="shared" si="1"/>
        <v>OK</v>
      </c>
      <c r="B2207" s="3" t="str">
        <f t="shared" si="2"/>
        <v>OK</v>
      </c>
      <c r="C2207" s="3">
        <v>8427.0</v>
      </c>
      <c r="D2207" s="4" t="s">
        <v>5027</v>
      </c>
      <c r="E2207" s="3" t="s">
        <v>5028</v>
      </c>
      <c r="F2207" s="3" t="s">
        <v>17</v>
      </c>
      <c r="G2207" s="3" t="str">
        <f t="shared" si="3"/>
        <v>XIIOTO2</v>
      </c>
      <c r="H2207" s="3" t="str">
        <f>VLOOKUP($C2207,Userpass!$A$2:$L$3001,12,FALSE)</f>
        <v>OTO2</v>
      </c>
      <c r="I2207" s="5" t="s">
        <v>4223</v>
      </c>
      <c r="J2207" s="3">
        <v>2023.0</v>
      </c>
      <c r="K2207" s="4" t="str">
        <f>VLOOKUP($C2207,Userpass!$A$2:$R$3001,2,FALSE)</f>
        <v>oto20238427.siswa@smkn12malang.sch.id</v>
      </c>
    </row>
    <row r="2208">
      <c r="A2208" s="3" t="str">
        <f t="shared" si="1"/>
        <v>OK</v>
      </c>
      <c r="B2208" s="3" t="str">
        <f t="shared" si="2"/>
        <v>OK</v>
      </c>
      <c r="C2208" s="3">
        <v>8435.0</v>
      </c>
      <c r="D2208" s="4" t="s">
        <v>5029</v>
      </c>
      <c r="E2208" s="3" t="s">
        <v>5030</v>
      </c>
      <c r="F2208" s="3" t="s">
        <v>17</v>
      </c>
      <c r="G2208" s="3" t="str">
        <f t="shared" si="3"/>
        <v>XIIOTO2</v>
      </c>
      <c r="H2208" s="3" t="str">
        <f>VLOOKUP($C2208,Userpass!$A$2:$L$3001,12,FALSE)</f>
        <v>OTO2</v>
      </c>
      <c r="I2208" s="5" t="s">
        <v>4223</v>
      </c>
      <c r="J2208" s="3">
        <v>2023.0</v>
      </c>
      <c r="K2208" s="4" t="str">
        <f>VLOOKUP($C2208,Userpass!$A$2:$R$3001,2,FALSE)</f>
        <v>oto20238435.siswa@smkn12malang.sch.id</v>
      </c>
    </row>
    <row r="2209">
      <c r="A2209" s="3" t="str">
        <f t="shared" si="1"/>
        <v>OK</v>
      </c>
      <c r="B2209" s="3" t="str">
        <f t="shared" si="2"/>
        <v>OK</v>
      </c>
      <c r="C2209" s="3">
        <v>8465.0</v>
      </c>
      <c r="D2209" s="4" t="s">
        <v>5031</v>
      </c>
      <c r="E2209" s="3" t="s">
        <v>5032</v>
      </c>
      <c r="F2209" s="3" t="s">
        <v>17</v>
      </c>
      <c r="G2209" s="3" t="str">
        <f t="shared" si="3"/>
        <v>XIIOTO2</v>
      </c>
      <c r="H2209" s="3" t="str">
        <f>VLOOKUP($C2209,Userpass!$A$2:$L$3001,12,FALSE)</f>
        <v>OTO2</v>
      </c>
      <c r="I2209" s="5" t="s">
        <v>4223</v>
      </c>
      <c r="J2209" s="3">
        <v>2023.0</v>
      </c>
      <c r="K2209" s="4" t="str">
        <f>VLOOKUP($C2209,Userpass!$A$2:$R$3001,2,FALSE)</f>
        <v>oto20238465.siswa@smkn12malang.sch.id</v>
      </c>
    </row>
    <row r="2210">
      <c r="A2210" s="3" t="str">
        <f t="shared" si="1"/>
        <v>OK</v>
      </c>
      <c r="B2210" s="3" t="str">
        <f t="shared" si="2"/>
        <v>OK</v>
      </c>
      <c r="C2210" s="3">
        <v>8475.0</v>
      </c>
      <c r="D2210" s="4" t="s">
        <v>5033</v>
      </c>
      <c r="E2210" s="3" t="s">
        <v>5034</v>
      </c>
      <c r="F2210" s="3" t="s">
        <v>17</v>
      </c>
      <c r="G2210" s="3" t="str">
        <f t="shared" si="3"/>
        <v>XIIOTO2</v>
      </c>
      <c r="H2210" s="3" t="str">
        <f>VLOOKUP($C2210,Userpass!$A$2:$L$3001,12,FALSE)</f>
        <v>OTO2</v>
      </c>
      <c r="I2210" s="5" t="s">
        <v>4223</v>
      </c>
      <c r="J2210" s="3">
        <v>2023.0</v>
      </c>
      <c r="K2210" s="4" t="str">
        <f>VLOOKUP($C2210,Userpass!$A$2:$R$3001,2,FALSE)</f>
        <v>oto20238475.siswa@smkn12malang.sch.id</v>
      </c>
    </row>
    <row r="2211">
      <c r="A2211" s="3" t="str">
        <f t="shared" si="1"/>
        <v>OK</v>
      </c>
      <c r="B2211" s="3" t="str">
        <f t="shared" si="2"/>
        <v>OK</v>
      </c>
      <c r="C2211" s="3">
        <v>8482.0</v>
      </c>
      <c r="D2211" s="4" t="s">
        <v>5035</v>
      </c>
      <c r="E2211" s="3" t="s">
        <v>5036</v>
      </c>
      <c r="F2211" s="3" t="s">
        <v>17</v>
      </c>
      <c r="G2211" s="3" t="str">
        <f t="shared" si="3"/>
        <v>XIIOTO2</v>
      </c>
      <c r="H2211" s="3" t="str">
        <f>VLOOKUP($C2211,Userpass!$A$2:$L$3001,12,FALSE)</f>
        <v>OTO2</v>
      </c>
      <c r="I2211" s="5" t="s">
        <v>4223</v>
      </c>
      <c r="J2211" s="3">
        <v>2023.0</v>
      </c>
      <c r="K2211" s="4" t="str">
        <f>VLOOKUP($C2211,Userpass!$A$2:$R$3001,2,FALSE)</f>
        <v>oto20238482.siswa@smkn12malang.sch.id</v>
      </c>
    </row>
    <row r="2212">
      <c r="A2212" s="3" t="str">
        <f t="shared" si="1"/>
        <v>OK</v>
      </c>
      <c r="B2212" s="3" t="str">
        <f t="shared" si="2"/>
        <v>OK</v>
      </c>
      <c r="C2212" s="3">
        <v>8496.0</v>
      </c>
      <c r="D2212" s="4" t="s">
        <v>5037</v>
      </c>
      <c r="E2212" s="3" t="s">
        <v>5038</v>
      </c>
      <c r="F2212" s="3" t="s">
        <v>17</v>
      </c>
      <c r="G2212" s="3" t="str">
        <f t="shared" si="3"/>
        <v>XIIOTO2</v>
      </c>
      <c r="H2212" s="3" t="str">
        <f>VLOOKUP($C2212,Userpass!$A$2:$L$3001,12,FALSE)</f>
        <v>OTO2</v>
      </c>
      <c r="I2212" s="5" t="s">
        <v>4223</v>
      </c>
      <c r="J2212" s="3">
        <v>2023.0</v>
      </c>
      <c r="K2212" s="4" t="str">
        <f>VLOOKUP($C2212,Userpass!$A$2:$R$3001,2,FALSE)</f>
        <v>oto20238496.siswa@smkn12malang.sch.id</v>
      </c>
    </row>
    <row r="2213">
      <c r="A2213" s="3" t="str">
        <f t="shared" si="1"/>
        <v>OK</v>
      </c>
      <c r="B2213" s="3" t="str">
        <f t="shared" si="2"/>
        <v>OK</v>
      </c>
      <c r="C2213" s="3">
        <v>8507.0</v>
      </c>
      <c r="D2213" s="4" t="s">
        <v>5039</v>
      </c>
      <c r="E2213" s="3" t="s">
        <v>5040</v>
      </c>
      <c r="F2213" s="3" t="s">
        <v>17</v>
      </c>
      <c r="G2213" s="3" t="str">
        <f t="shared" si="3"/>
        <v>XIIOTO2</v>
      </c>
      <c r="H2213" s="3" t="str">
        <f>VLOOKUP($C2213,Userpass!$A$2:$L$3001,12,FALSE)</f>
        <v>OTO2</v>
      </c>
      <c r="I2213" s="5" t="s">
        <v>4223</v>
      </c>
      <c r="J2213" s="3">
        <v>2023.0</v>
      </c>
      <c r="K2213" s="4" t="str">
        <f>VLOOKUP($C2213,Userpass!$A$2:$R$3001,2,FALSE)</f>
        <v>oto20238507.siswa@smkn12malang.sch.id</v>
      </c>
    </row>
    <row r="2214">
      <c r="A2214" s="3" t="str">
        <f t="shared" si="1"/>
        <v>OK</v>
      </c>
      <c r="B2214" s="3" t="str">
        <f t="shared" si="2"/>
        <v>OK</v>
      </c>
      <c r="C2214" s="3">
        <v>8523.0</v>
      </c>
      <c r="D2214" s="4" t="s">
        <v>5041</v>
      </c>
      <c r="E2214" s="3" t="s">
        <v>5042</v>
      </c>
      <c r="F2214" s="3" t="s">
        <v>17</v>
      </c>
      <c r="G2214" s="3" t="str">
        <f t="shared" si="3"/>
        <v>XIIOTO2</v>
      </c>
      <c r="H2214" s="3" t="str">
        <f>VLOOKUP($C2214,Userpass!$A$2:$L$3001,12,FALSE)</f>
        <v>OTO2</v>
      </c>
      <c r="I2214" s="5" t="s">
        <v>4223</v>
      </c>
      <c r="J2214" s="3">
        <v>2023.0</v>
      </c>
      <c r="K2214" s="4" t="str">
        <f>VLOOKUP($C2214,Userpass!$A$2:$R$3001,2,FALSE)</f>
        <v>oto20238523.siswa@smkn12malang.sch.id</v>
      </c>
    </row>
    <row r="2215">
      <c r="A2215" s="3" t="str">
        <f t="shared" si="1"/>
        <v>OK</v>
      </c>
      <c r="B2215" s="3" t="str">
        <f t="shared" si="2"/>
        <v>OK</v>
      </c>
      <c r="C2215" s="3">
        <v>8596.0</v>
      </c>
      <c r="D2215" s="4" t="s">
        <v>5043</v>
      </c>
      <c r="E2215" s="3" t="s">
        <v>5044</v>
      </c>
      <c r="F2215" s="3" t="s">
        <v>17</v>
      </c>
      <c r="G2215" s="3" t="str">
        <f t="shared" si="3"/>
        <v>XIIOTO2</v>
      </c>
      <c r="H2215" s="3" t="str">
        <f>VLOOKUP($C2215,Userpass!$A$2:$L$3001,12,FALSE)</f>
        <v>OTO2</v>
      </c>
      <c r="I2215" s="5" t="s">
        <v>4223</v>
      </c>
      <c r="J2215" s="3">
        <v>2023.0</v>
      </c>
      <c r="K2215" s="4" t="str">
        <f>VLOOKUP($C2215,Userpass!$A$2:$R$3001,2,FALSE)</f>
        <v>oto20238596.siswa@smkn12malang.sch.id</v>
      </c>
    </row>
    <row r="2216">
      <c r="A2216" s="3" t="str">
        <f t="shared" si="1"/>
        <v>OK</v>
      </c>
      <c r="B2216" s="3" t="str">
        <f t="shared" si="2"/>
        <v>OK</v>
      </c>
      <c r="C2216" s="3">
        <v>8031.0</v>
      </c>
      <c r="D2216" s="4" t="s">
        <v>5045</v>
      </c>
      <c r="E2216" s="3" t="s">
        <v>5046</v>
      </c>
      <c r="F2216" s="3" t="s">
        <v>17</v>
      </c>
      <c r="G2216" s="3" t="str">
        <f t="shared" si="3"/>
        <v>XIIOTO3</v>
      </c>
      <c r="H2216" s="3" t="str">
        <f>VLOOKUP($C2216,Userpass!$A$2:$L$3001,12,FALSE)</f>
        <v>OTO3</v>
      </c>
      <c r="I2216" s="5" t="s">
        <v>4223</v>
      </c>
      <c r="J2216" s="3">
        <v>2023.0</v>
      </c>
      <c r="K2216" s="4" t="str">
        <f>VLOOKUP($C2216,Userpass!$A$2:$R$3001,2,FALSE)</f>
        <v>oto20238031.siswa@smkn12malang.sch.id</v>
      </c>
    </row>
    <row r="2217">
      <c r="A2217" s="3" t="str">
        <f t="shared" si="1"/>
        <v>OK</v>
      </c>
      <c r="B2217" s="3" t="str">
        <f t="shared" si="2"/>
        <v>OK</v>
      </c>
      <c r="C2217" s="3">
        <v>8046.0</v>
      </c>
      <c r="D2217" s="4" t="s">
        <v>5047</v>
      </c>
      <c r="E2217" s="3" t="s">
        <v>5048</v>
      </c>
      <c r="F2217" s="3" t="s">
        <v>17</v>
      </c>
      <c r="G2217" s="3" t="str">
        <f t="shared" si="3"/>
        <v>XIIOTO3</v>
      </c>
      <c r="H2217" s="3" t="str">
        <f>VLOOKUP($C2217,Userpass!$A$2:$L$3001,12,FALSE)</f>
        <v>OTO3</v>
      </c>
      <c r="I2217" s="5" t="s">
        <v>4223</v>
      </c>
      <c r="J2217" s="3">
        <v>2023.0</v>
      </c>
      <c r="K2217" s="4" t="str">
        <f>VLOOKUP($C2217,Userpass!$A$2:$R$3001,2,FALSE)</f>
        <v>oto20238046.siswa@smkn12malang.sch.id</v>
      </c>
    </row>
    <row r="2218">
      <c r="A2218" s="3" t="str">
        <f t="shared" si="1"/>
        <v>OK</v>
      </c>
      <c r="B2218" s="3" t="str">
        <f t="shared" si="2"/>
        <v>OK</v>
      </c>
      <c r="C2218" s="3">
        <v>8061.0</v>
      </c>
      <c r="D2218" s="4" t="s">
        <v>5049</v>
      </c>
      <c r="E2218" s="3" t="s">
        <v>5050</v>
      </c>
      <c r="F2218" s="3" t="s">
        <v>17</v>
      </c>
      <c r="G2218" s="3" t="str">
        <f t="shared" si="3"/>
        <v>XIIOTO3</v>
      </c>
      <c r="H2218" s="3" t="str">
        <f>VLOOKUP($C2218,Userpass!$A$2:$L$3001,12,FALSE)</f>
        <v>OTO3</v>
      </c>
      <c r="I2218" s="5" t="s">
        <v>4223</v>
      </c>
      <c r="J2218" s="3">
        <v>2023.0</v>
      </c>
      <c r="K2218" s="4" t="str">
        <f>VLOOKUP($C2218,Userpass!$A$2:$R$3001,2,FALSE)</f>
        <v>oto20238061.siswa@smkn12malang.sch.id</v>
      </c>
    </row>
    <row r="2219">
      <c r="A2219" s="3" t="str">
        <f t="shared" si="1"/>
        <v>OK</v>
      </c>
      <c r="B2219" s="3" t="str">
        <f t="shared" si="2"/>
        <v>OK</v>
      </c>
      <c r="C2219" s="3">
        <v>8066.0</v>
      </c>
      <c r="D2219" s="4" t="s">
        <v>5051</v>
      </c>
      <c r="E2219" s="3" t="s">
        <v>5052</v>
      </c>
      <c r="F2219" s="3" t="s">
        <v>17</v>
      </c>
      <c r="G2219" s="3" t="str">
        <f t="shared" si="3"/>
        <v>XIIOTO3</v>
      </c>
      <c r="H2219" s="3" t="str">
        <f>VLOOKUP($C2219,Userpass!$A$2:$L$3001,12,FALSE)</f>
        <v>OTO3</v>
      </c>
      <c r="I2219" s="5" t="s">
        <v>4223</v>
      </c>
      <c r="J2219" s="3">
        <v>2023.0</v>
      </c>
      <c r="K2219" s="4" t="str">
        <f>VLOOKUP($C2219,Userpass!$A$2:$R$3001,2,FALSE)</f>
        <v>oto20238066.siswa@smkn12malang.sch.id</v>
      </c>
    </row>
    <row r="2220">
      <c r="A2220" s="3" t="str">
        <f t="shared" si="1"/>
        <v>OK</v>
      </c>
      <c r="B2220" s="3" t="str">
        <f t="shared" si="2"/>
        <v>OK</v>
      </c>
      <c r="C2220" s="3">
        <v>8107.0</v>
      </c>
      <c r="D2220" s="4" t="s">
        <v>5053</v>
      </c>
      <c r="E2220" s="3" t="s">
        <v>5054</v>
      </c>
      <c r="F2220" s="3" t="s">
        <v>17</v>
      </c>
      <c r="G2220" s="3" t="str">
        <f t="shared" si="3"/>
        <v>XIIOTO3</v>
      </c>
      <c r="H2220" s="3" t="str">
        <f>VLOOKUP($C2220,Userpass!$A$2:$L$3001,12,FALSE)</f>
        <v>OTO3</v>
      </c>
      <c r="I2220" s="5" t="s">
        <v>4223</v>
      </c>
      <c r="J2220" s="3">
        <v>2023.0</v>
      </c>
      <c r="K2220" s="4" t="str">
        <f>VLOOKUP($C2220,Userpass!$A$2:$R$3001,2,FALSE)</f>
        <v>oto20238107.siswa@smkn12malang.sch.id</v>
      </c>
    </row>
    <row r="2221">
      <c r="A2221" s="3" t="str">
        <f t="shared" si="1"/>
        <v>OK</v>
      </c>
      <c r="B2221" s="3" t="str">
        <f t="shared" si="2"/>
        <v>OK</v>
      </c>
      <c r="C2221" s="3">
        <v>8115.0</v>
      </c>
      <c r="D2221" s="4" t="s">
        <v>5055</v>
      </c>
      <c r="E2221" s="3" t="s">
        <v>5056</v>
      </c>
      <c r="F2221" s="3" t="s">
        <v>17</v>
      </c>
      <c r="G2221" s="3" t="str">
        <f t="shared" si="3"/>
        <v>XIIOTO3</v>
      </c>
      <c r="H2221" s="3" t="str">
        <f>VLOOKUP($C2221,Userpass!$A$2:$L$3001,12,FALSE)</f>
        <v>OTO3</v>
      </c>
      <c r="I2221" s="5" t="s">
        <v>4223</v>
      </c>
      <c r="J2221" s="3">
        <v>2023.0</v>
      </c>
      <c r="K2221" s="4" t="str">
        <f>VLOOKUP($C2221,Userpass!$A$2:$R$3001,2,FALSE)</f>
        <v>oto20238115.siswa@smkn12malang.sch.id</v>
      </c>
    </row>
    <row r="2222">
      <c r="A2222" s="3" t="str">
        <f t="shared" si="1"/>
        <v>OK</v>
      </c>
      <c r="B2222" s="3" t="str">
        <f t="shared" si="2"/>
        <v>OK</v>
      </c>
      <c r="C2222" s="3">
        <v>8132.0</v>
      </c>
      <c r="D2222" s="4" t="s">
        <v>5057</v>
      </c>
      <c r="E2222" s="3" t="s">
        <v>5058</v>
      </c>
      <c r="F2222" s="3" t="s">
        <v>17</v>
      </c>
      <c r="G2222" s="3" t="str">
        <f t="shared" si="3"/>
        <v>XIIOTO3</v>
      </c>
      <c r="H2222" s="3" t="str">
        <f>VLOOKUP($C2222,Userpass!$A$2:$L$3001,12,FALSE)</f>
        <v>OTO3</v>
      </c>
      <c r="I2222" s="5" t="s">
        <v>4223</v>
      </c>
      <c r="J2222" s="3">
        <v>2023.0</v>
      </c>
      <c r="K2222" s="4" t="str">
        <f>VLOOKUP($C2222,Userpass!$A$2:$R$3001,2,FALSE)</f>
        <v>oto20238132.siswa@smkn12malang.sch.id</v>
      </c>
    </row>
    <row r="2223">
      <c r="A2223" s="3" t="str">
        <f t="shared" si="1"/>
        <v>OK</v>
      </c>
      <c r="B2223" s="3" t="str">
        <f t="shared" si="2"/>
        <v>OK</v>
      </c>
      <c r="C2223" s="3">
        <v>8138.0</v>
      </c>
      <c r="D2223" s="4" t="s">
        <v>5059</v>
      </c>
      <c r="E2223" s="3" t="s">
        <v>5060</v>
      </c>
      <c r="F2223" s="3" t="s">
        <v>17</v>
      </c>
      <c r="G2223" s="3" t="str">
        <f t="shared" si="3"/>
        <v>XIIOTO3</v>
      </c>
      <c r="H2223" s="3" t="str">
        <f>VLOOKUP($C2223,Userpass!$A$2:$L$3001,12,FALSE)</f>
        <v>OTO3</v>
      </c>
      <c r="I2223" s="5" t="s">
        <v>4223</v>
      </c>
      <c r="J2223" s="3">
        <v>2023.0</v>
      </c>
      <c r="K2223" s="4" t="str">
        <f>VLOOKUP($C2223,Userpass!$A$2:$R$3001,2,FALSE)</f>
        <v>oto20238138.siswa@smkn12malang.sch.id</v>
      </c>
    </row>
    <row r="2224">
      <c r="A2224" s="3" t="str">
        <f t="shared" si="1"/>
        <v>OK</v>
      </c>
      <c r="B2224" s="3" t="str">
        <f t="shared" si="2"/>
        <v>OK</v>
      </c>
      <c r="C2224" s="3">
        <v>8168.0</v>
      </c>
      <c r="D2224" s="4" t="s">
        <v>5061</v>
      </c>
      <c r="E2224" s="3" t="s">
        <v>5062</v>
      </c>
      <c r="F2224" s="3" t="s">
        <v>17</v>
      </c>
      <c r="G2224" s="3" t="str">
        <f t="shared" si="3"/>
        <v>XIIOTO3</v>
      </c>
      <c r="H2224" s="3" t="str">
        <f>VLOOKUP($C2224,Userpass!$A$2:$L$3001,12,FALSE)</f>
        <v>OTO3</v>
      </c>
      <c r="I2224" s="5" t="s">
        <v>4223</v>
      </c>
      <c r="J2224" s="3">
        <v>2023.0</v>
      </c>
      <c r="K2224" s="4" t="str">
        <f>VLOOKUP($C2224,Userpass!$A$2:$R$3001,2,FALSE)</f>
        <v>oto20238168.siswa@smkn12malang.sch.id</v>
      </c>
    </row>
    <row r="2225">
      <c r="A2225" s="3" t="str">
        <f t="shared" si="1"/>
        <v>OK</v>
      </c>
      <c r="B2225" s="3" t="str">
        <f t="shared" si="2"/>
        <v>OK</v>
      </c>
      <c r="C2225" s="3">
        <v>8192.0</v>
      </c>
      <c r="D2225" s="4" t="s">
        <v>5063</v>
      </c>
      <c r="E2225" s="3" t="s">
        <v>5064</v>
      </c>
      <c r="F2225" s="3" t="s">
        <v>17</v>
      </c>
      <c r="G2225" s="3" t="str">
        <f t="shared" si="3"/>
        <v>XIIOTO3</v>
      </c>
      <c r="H2225" s="3" t="str">
        <f>VLOOKUP($C2225,Userpass!$A$2:$L$3001,12,FALSE)</f>
        <v>OTO3</v>
      </c>
      <c r="I2225" s="5" t="s">
        <v>4223</v>
      </c>
      <c r="J2225" s="3">
        <v>2023.0</v>
      </c>
      <c r="K2225" s="4" t="str">
        <f>VLOOKUP($C2225,Userpass!$A$2:$R$3001,2,FALSE)</f>
        <v>oto20238192.siswa@smkn12malang.sch.id</v>
      </c>
    </row>
    <row r="2226">
      <c r="A2226" s="3" t="str">
        <f t="shared" si="1"/>
        <v>OK</v>
      </c>
      <c r="B2226" s="3" t="str">
        <f t="shared" si="2"/>
        <v>OK</v>
      </c>
      <c r="C2226" s="3">
        <v>8221.0</v>
      </c>
      <c r="D2226" s="4" t="s">
        <v>5065</v>
      </c>
      <c r="E2226" s="3" t="s">
        <v>5066</v>
      </c>
      <c r="F2226" s="3" t="s">
        <v>17</v>
      </c>
      <c r="G2226" s="3" t="str">
        <f t="shared" si="3"/>
        <v>XIIOTO3</v>
      </c>
      <c r="H2226" s="3" t="str">
        <f>VLOOKUP($C2226,Userpass!$A$2:$L$3001,12,FALSE)</f>
        <v>OTO3</v>
      </c>
      <c r="I2226" s="5" t="s">
        <v>4223</v>
      </c>
      <c r="J2226" s="3">
        <v>2023.0</v>
      </c>
      <c r="K2226" s="4" t="str">
        <f>VLOOKUP($C2226,Userpass!$A$2:$R$3001,2,FALSE)</f>
        <v>oto20238221.siswa@smkn12malang.sch.id</v>
      </c>
    </row>
    <row r="2227">
      <c r="A2227" s="3" t="str">
        <f t="shared" si="1"/>
        <v>OK</v>
      </c>
      <c r="B2227" s="3" t="str">
        <f t="shared" si="2"/>
        <v>OK</v>
      </c>
      <c r="C2227" s="3">
        <v>8236.0</v>
      </c>
      <c r="D2227" s="4" t="s">
        <v>5067</v>
      </c>
      <c r="E2227" s="3" t="s">
        <v>5068</v>
      </c>
      <c r="F2227" s="3" t="s">
        <v>17</v>
      </c>
      <c r="G2227" s="3" t="str">
        <f t="shared" si="3"/>
        <v>XIIOTO3</v>
      </c>
      <c r="H2227" s="3" t="str">
        <f>VLOOKUP($C2227,Userpass!$A$2:$L$3001,12,FALSE)</f>
        <v>OTO3</v>
      </c>
      <c r="I2227" s="5" t="s">
        <v>4223</v>
      </c>
      <c r="J2227" s="3">
        <v>2023.0</v>
      </c>
      <c r="K2227" s="4" t="str">
        <f>VLOOKUP($C2227,Userpass!$A$2:$R$3001,2,FALSE)</f>
        <v>oto20238236.siswa@smkn12malang.sch.id</v>
      </c>
    </row>
    <row r="2228">
      <c r="A2228" s="3" t="str">
        <f t="shared" si="1"/>
        <v>OK</v>
      </c>
      <c r="B2228" s="3" t="str">
        <f t="shared" si="2"/>
        <v>OK</v>
      </c>
      <c r="C2228" s="3">
        <v>8263.0</v>
      </c>
      <c r="D2228" s="4" t="s">
        <v>5069</v>
      </c>
      <c r="E2228" s="3" t="s">
        <v>5070</v>
      </c>
      <c r="F2228" s="3" t="s">
        <v>17</v>
      </c>
      <c r="G2228" s="3" t="str">
        <f t="shared" si="3"/>
        <v>XIIOTO3</v>
      </c>
      <c r="H2228" s="3" t="str">
        <f>VLOOKUP($C2228,Userpass!$A$2:$L$3001,12,FALSE)</f>
        <v>OTO3</v>
      </c>
      <c r="I2228" s="5" t="s">
        <v>4223</v>
      </c>
      <c r="J2228" s="3">
        <v>2023.0</v>
      </c>
      <c r="K2228" s="4" t="str">
        <f>VLOOKUP($C2228,Userpass!$A$2:$R$3001,2,FALSE)</f>
        <v>oto20238263.siswa@smkn12malang.sch.id</v>
      </c>
    </row>
    <row r="2229">
      <c r="A2229" s="3" t="str">
        <f t="shared" si="1"/>
        <v>OK</v>
      </c>
      <c r="B2229" s="3" t="str">
        <f t="shared" si="2"/>
        <v>OK</v>
      </c>
      <c r="C2229" s="3">
        <v>8271.0</v>
      </c>
      <c r="D2229" s="4" t="s">
        <v>5071</v>
      </c>
      <c r="E2229" s="3" t="s">
        <v>5072</v>
      </c>
      <c r="F2229" s="3" t="s">
        <v>17</v>
      </c>
      <c r="G2229" s="3" t="str">
        <f t="shared" si="3"/>
        <v>XIIOTO3</v>
      </c>
      <c r="H2229" s="3" t="str">
        <f>VLOOKUP($C2229,Userpass!$A$2:$L$3001,12,FALSE)</f>
        <v>OTO3</v>
      </c>
      <c r="I2229" s="5" t="s">
        <v>4223</v>
      </c>
      <c r="J2229" s="3">
        <v>2023.0</v>
      </c>
      <c r="K2229" s="4" t="str">
        <f>VLOOKUP($C2229,Userpass!$A$2:$R$3001,2,FALSE)</f>
        <v>oto20238271.siswa@smkn12malang.sch.id</v>
      </c>
    </row>
    <row r="2230">
      <c r="A2230" s="3" t="str">
        <f t="shared" si="1"/>
        <v>OK</v>
      </c>
      <c r="B2230" s="3" t="str">
        <f t="shared" si="2"/>
        <v>OK</v>
      </c>
      <c r="C2230" s="3">
        <v>8289.0</v>
      </c>
      <c r="D2230" s="4" t="s">
        <v>5073</v>
      </c>
      <c r="E2230" s="3" t="s">
        <v>5074</v>
      </c>
      <c r="F2230" s="3" t="s">
        <v>17</v>
      </c>
      <c r="G2230" s="3" t="str">
        <f t="shared" si="3"/>
        <v>XIIOTO3</v>
      </c>
      <c r="H2230" s="3" t="str">
        <f>VLOOKUP($C2230,Userpass!$A$2:$L$3001,12,FALSE)</f>
        <v>OTO3</v>
      </c>
      <c r="I2230" s="5" t="s">
        <v>4223</v>
      </c>
      <c r="J2230" s="3">
        <v>2023.0</v>
      </c>
      <c r="K2230" s="4" t="str">
        <f>VLOOKUP($C2230,Userpass!$A$2:$R$3001,2,FALSE)</f>
        <v>oto20238289.siswa@smkn12malang.sch.id</v>
      </c>
    </row>
    <row r="2231">
      <c r="A2231" s="3" t="str">
        <f t="shared" si="1"/>
        <v>OK</v>
      </c>
      <c r="B2231" s="3" t="str">
        <f t="shared" si="2"/>
        <v>OK</v>
      </c>
      <c r="C2231" s="3">
        <v>8331.0</v>
      </c>
      <c r="D2231" s="4" t="s">
        <v>5075</v>
      </c>
      <c r="E2231" s="3" t="s">
        <v>5076</v>
      </c>
      <c r="F2231" s="3" t="s">
        <v>17</v>
      </c>
      <c r="G2231" s="3" t="str">
        <f t="shared" si="3"/>
        <v>XIIOTO3</v>
      </c>
      <c r="H2231" s="3" t="str">
        <f>VLOOKUP($C2231,Userpass!$A$2:$L$3001,12,FALSE)</f>
        <v>OTO3</v>
      </c>
      <c r="I2231" s="5" t="s">
        <v>4223</v>
      </c>
      <c r="J2231" s="3">
        <v>2023.0</v>
      </c>
      <c r="K2231" s="4" t="str">
        <f>VLOOKUP($C2231,Userpass!$A$2:$R$3001,2,FALSE)</f>
        <v>oto20238331.siswa@smkn12malang.sch.id</v>
      </c>
    </row>
    <row r="2232">
      <c r="A2232" s="3" t="str">
        <f t="shared" si="1"/>
        <v>OK</v>
      </c>
      <c r="B2232" s="3" t="str">
        <f t="shared" si="2"/>
        <v>OK</v>
      </c>
      <c r="C2232" s="3">
        <v>8345.0</v>
      </c>
      <c r="D2232" s="4" t="s">
        <v>5077</v>
      </c>
      <c r="E2232" s="3" t="s">
        <v>5078</v>
      </c>
      <c r="F2232" s="3" t="s">
        <v>17</v>
      </c>
      <c r="G2232" s="3" t="str">
        <f t="shared" si="3"/>
        <v>XIIOTO3</v>
      </c>
      <c r="H2232" s="3" t="str">
        <f>VLOOKUP($C2232,Userpass!$A$2:$L$3001,12,FALSE)</f>
        <v>OTO3</v>
      </c>
      <c r="I2232" s="5" t="s">
        <v>4223</v>
      </c>
      <c r="J2232" s="3">
        <v>2023.0</v>
      </c>
      <c r="K2232" s="4" t="str">
        <f>VLOOKUP($C2232,Userpass!$A$2:$R$3001,2,FALSE)</f>
        <v>oto20238345.siswa@smkn12malang.sch.id</v>
      </c>
    </row>
    <row r="2233">
      <c r="A2233" s="3" t="str">
        <f t="shared" si="1"/>
        <v>OK</v>
      </c>
      <c r="B2233" s="3" t="str">
        <f t="shared" si="2"/>
        <v>OK</v>
      </c>
      <c r="C2233" s="3">
        <v>8364.0</v>
      </c>
      <c r="D2233" s="4" t="s">
        <v>5079</v>
      </c>
      <c r="E2233" s="3" t="s">
        <v>5080</v>
      </c>
      <c r="F2233" s="3" t="s">
        <v>17</v>
      </c>
      <c r="G2233" s="3" t="str">
        <f t="shared" si="3"/>
        <v>XIIOTO3</v>
      </c>
      <c r="H2233" s="3" t="str">
        <f>VLOOKUP($C2233,Userpass!$A$2:$L$3001,12,FALSE)</f>
        <v>OTO3</v>
      </c>
      <c r="I2233" s="5" t="s">
        <v>4223</v>
      </c>
      <c r="J2233" s="3">
        <v>2023.0</v>
      </c>
      <c r="K2233" s="4" t="str">
        <f>VLOOKUP($C2233,Userpass!$A$2:$R$3001,2,FALSE)</f>
        <v>oto20238364.siswa@smkn12malang.sch.id</v>
      </c>
    </row>
    <row r="2234">
      <c r="A2234" s="3" t="str">
        <f t="shared" si="1"/>
        <v>OK</v>
      </c>
      <c r="B2234" s="3" t="str">
        <f t="shared" si="2"/>
        <v>OK</v>
      </c>
      <c r="C2234" s="3">
        <v>8369.0</v>
      </c>
      <c r="D2234" s="4" t="s">
        <v>5081</v>
      </c>
      <c r="E2234" s="3" t="s">
        <v>5082</v>
      </c>
      <c r="F2234" s="3" t="s">
        <v>17</v>
      </c>
      <c r="G2234" s="3" t="str">
        <f t="shared" si="3"/>
        <v>XIIOTO3</v>
      </c>
      <c r="H2234" s="3" t="str">
        <f>VLOOKUP($C2234,Userpass!$A$2:$L$3001,12,FALSE)</f>
        <v>OTO3</v>
      </c>
      <c r="I2234" s="5" t="s">
        <v>4223</v>
      </c>
      <c r="J2234" s="3">
        <v>2023.0</v>
      </c>
      <c r="K2234" s="4" t="str">
        <f>VLOOKUP($C2234,Userpass!$A$2:$R$3001,2,FALSE)</f>
        <v>oto20238369.siswa@smkn12malang.sch.id</v>
      </c>
    </row>
    <row r="2235">
      <c r="A2235" s="3" t="str">
        <f t="shared" si="1"/>
        <v>OK</v>
      </c>
      <c r="B2235" s="3" t="str">
        <f t="shared" si="2"/>
        <v>OK</v>
      </c>
      <c r="C2235" s="3">
        <v>8378.0</v>
      </c>
      <c r="D2235" s="4" t="s">
        <v>5083</v>
      </c>
      <c r="E2235" s="3" t="s">
        <v>5084</v>
      </c>
      <c r="F2235" s="3" t="s">
        <v>17</v>
      </c>
      <c r="G2235" s="3" t="str">
        <f t="shared" si="3"/>
        <v>XIIOTO3</v>
      </c>
      <c r="H2235" s="3" t="str">
        <f>VLOOKUP($C2235,Userpass!$A$2:$L$3001,12,FALSE)</f>
        <v>OTO3</v>
      </c>
      <c r="I2235" s="5" t="s">
        <v>4223</v>
      </c>
      <c r="J2235" s="3">
        <v>2023.0</v>
      </c>
      <c r="K2235" s="4" t="str">
        <f>VLOOKUP($C2235,Userpass!$A$2:$R$3001,2,FALSE)</f>
        <v>oto20238378.siswa@smkn12malang.sch.id</v>
      </c>
    </row>
    <row r="2236">
      <c r="A2236" s="3" t="str">
        <f t="shared" si="1"/>
        <v>OK</v>
      </c>
      <c r="B2236" s="3" t="str">
        <f t="shared" si="2"/>
        <v>OK</v>
      </c>
      <c r="C2236" s="3">
        <v>8388.0</v>
      </c>
      <c r="D2236" s="4" t="s">
        <v>5085</v>
      </c>
      <c r="E2236" s="3" t="s">
        <v>5086</v>
      </c>
      <c r="F2236" s="3" t="s">
        <v>17</v>
      </c>
      <c r="G2236" s="3" t="str">
        <f t="shared" si="3"/>
        <v>XIIOTO3</v>
      </c>
      <c r="H2236" s="3" t="str">
        <f>VLOOKUP($C2236,Userpass!$A$2:$L$3001,12,FALSE)</f>
        <v>OTO3</v>
      </c>
      <c r="I2236" s="5" t="s">
        <v>4223</v>
      </c>
      <c r="J2236" s="3">
        <v>2023.0</v>
      </c>
      <c r="K2236" s="4" t="str">
        <f>VLOOKUP($C2236,Userpass!$A$2:$R$3001,2,FALSE)</f>
        <v>oto20238388.siswa@smkn12malang.sch.id</v>
      </c>
    </row>
    <row r="2237">
      <c r="A2237" s="3" t="str">
        <f t="shared" si="1"/>
        <v>OK</v>
      </c>
      <c r="B2237" s="3" t="str">
        <f t="shared" si="2"/>
        <v>OK</v>
      </c>
      <c r="C2237" s="3">
        <v>8397.0</v>
      </c>
      <c r="D2237" s="4" t="s">
        <v>5087</v>
      </c>
      <c r="E2237" s="3" t="s">
        <v>5088</v>
      </c>
      <c r="F2237" s="3" t="s">
        <v>17</v>
      </c>
      <c r="G2237" s="3" t="str">
        <f t="shared" si="3"/>
        <v>XIIOTO3</v>
      </c>
      <c r="H2237" s="3" t="str">
        <f>VLOOKUP($C2237,Userpass!$A$2:$L$3001,12,FALSE)</f>
        <v>OTO3</v>
      </c>
      <c r="I2237" s="5" t="s">
        <v>4223</v>
      </c>
      <c r="J2237" s="3">
        <v>2023.0</v>
      </c>
      <c r="K2237" s="4" t="str">
        <f>VLOOKUP($C2237,Userpass!$A$2:$R$3001,2,FALSE)</f>
        <v>oto20238397.siswa@smkn12malang.sch.id</v>
      </c>
    </row>
    <row r="2238">
      <c r="A2238" s="3" t="str">
        <f t="shared" si="1"/>
        <v>OK</v>
      </c>
      <c r="B2238" s="3" t="str">
        <f t="shared" si="2"/>
        <v>OK</v>
      </c>
      <c r="C2238" s="3">
        <v>8403.0</v>
      </c>
      <c r="D2238" s="4" t="s">
        <v>5089</v>
      </c>
      <c r="E2238" s="3" t="s">
        <v>5090</v>
      </c>
      <c r="F2238" s="3" t="s">
        <v>17</v>
      </c>
      <c r="G2238" s="3" t="str">
        <f t="shared" si="3"/>
        <v>XIIOTO3</v>
      </c>
      <c r="H2238" s="3" t="str">
        <f>VLOOKUP($C2238,Userpass!$A$2:$L$3001,12,FALSE)</f>
        <v>OTO3</v>
      </c>
      <c r="I2238" s="5" t="s">
        <v>4223</v>
      </c>
      <c r="J2238" s="3">
        <v>2023.0</v>
      </c>
      <c r="K2238" s="4" t="str">
        <f>VLOOKUP($C2238,Userpass!$A$2:$R$3001,2,FALSE)</f>
        <v>oto20238403.siswa@smkn12malang.sch.id</v>
      </c>
    </row>
    <row r="2239">
      <c r="A2239" s="3" t="str">
        <f t="shared" si="1"/>
        <v>OK</v>
      </c>
      <c r="B2239" s="3" t="str">
        <f t="shared" si="2"/>
        <v>OK</v>
      </c>
      <c r="C2239" s="3">
        <v>8407.0</v>
      </c>
      <c r="D2239" s="4" t="s">
        <v>5091</v>
      </c>
      <c r="E2239" s="3" t="s">
        <v>5092</v>
      </c>
      <c r="F2239" s="3" t="s">
        <v>17</v>
      </c>
      <c r="G2239" s="3" t="str">
        <f t="shared" si="3"/>
        <v>XIIOTO3</v>
      </c>
      <c r="H2239" s="3" t="str">
        <f>VLOOKUP($C2239,Userpass!$A$2:$L$3001,12,FALSE)</f>
        <v>OTO3</v>
      </c>
      <c r="I2239" s="5" t="s">
        <v>4223</v>
      </c>
      <c r="J2239" s="3">
        <v>2023.0</v>
      </c>
      <c r="K2239" s="4" t="str">
        <f>VLOOKUP($C2239,Userpass!$A$2:$R$3001,2,FALSE)</f>
        <v>oto20238407.siswa@smkn12malang.sch.id</v>
      </c>
    </row>
    <row r="2240">
      <c r="A2240" s="3" t="str">
        <f t="shared" si="1"/>
        <v>OK</v>
      </c>
      <c r="B2240" s="3" t="str">
        <f t="shared" si="2"/>
        <v>OK</v>
      </c>
      <c r="C2240" s="3">
        <v>8421.0</v>
      </c>
      <c r="D2240" s="4" t="s">
        <v>5093</v>
      </c>
      <c r="E2240" s="3" t="s">
        <v>5094</v>
      </c>
      <c r="F2240" s="3" t="s">
        <v>17</v>
      </c>
      <c r="G2240" s="3" t="str">
        <f t="shared" si="3"/>
        <v>XIIOTO3</v>
      </c>
      <c r="H2240" s="3" t="str">
        <f>VLOOKUP($C2240,Userpass!$A$2:$L$3001,12,FALSE)</f>
        <v>OTO3</v>
      </c>
      <c r="I2240" s="5" t="s">
        <v>4223</v>
      </c>
      <c r="J2240" s="3">
        <v>2023.0</v>
      </c>
      <c r="K2240" s="4" t="str">
        <f>VLOOKUP($C2240,Userpass!$A$2:$R$3001,2,FALSE)</f>
        <v>oto20238421.siswa@smkn12malang.sch.id</v>
      </c>
    </row>
    <row r="2241">
      <c r="A2241" s="3" t="str">
        <f t="shared" si="1"/>
        <v>OK</v>
      </c>
      <c r="B2241" s="3" t="str">
        <f t="shared" si="2"/>
        <v>OK</v>
      </c>
      <c r="C2241" s="3">
        <v>8430.0</v>
      </c>
      <c r="D2241" s="4" t="s">
        <v>5095</v>
      </c>
      <c r="E2241" s="3" t="s">
        <v>5096</v>
      </c>
      <c r="F2241" s="3" t="s">
        <v>17</v>
      </c>
      <c r="G2241" s="3" t="str">
        <f t="shared" si="3"/>
        <v>XIIOTO3</v>
      </c>
      <c r="H2241" s="3" t="str">
        <f>VLOOKUP($C2241,Userpass!$A$2:$L$3001,12,FALSE)</f>
        <v>OTO3</v>
      </c>
      <c r="I2241" s="5" t="s">
        <v>4223</v>
      </c>
      <c r="J2241" s="3">
        <v>2023.0</v>
      </c>
      <c r="K2241" s="4" t="str">
        <f>VLOOKUP($C2241,Userpass!$A$2:$R$3001,2,FALSE)</f>
        <v>oto20238430.siswa@smkn12malang.sch.id</v>
      </c>
    </row>
    <row r="2242">
      <c r="A2242" s="3" t="str">
        <f t="shared" si="1"/>
        <v>OK</v>
      </c>
      <c r="B2242" s="3" t="str">
        <f t="shared" si="2"/>
        <v>OK</v>
      </c>
      <c r="C2242" s="3">
        <v>8436.0</v>
      </c>
      <c r="D2242" s="4" t="s">
        <v>5097</v>
      </c>
      <c r="E2242" s="3" t="s">
        <v>5098</v>
      </c>
      <c r="F2242" s="3" t="s">
        <v>17</v>
      </c>
      <c r="G2242" s="3" t="str">
        <f t="shared" si="3"/>
        <v>XIIOTO3</v>
      </c>
      <c r="H2242" s="3" t="str">
        <f>VLOOKUP($C2242,Userpass!$A$2:$L$3001,12,FALSE)</f>
        <v>OTO3</v>
      </c>
      <c r="I2242" s="5" t="s">
        <v>4223</v>
      </c>
      <c r="J2242" s="3">
        <v>2023.0</v>
      </c>
      <c r="K2242" s="4" t="str">
        <f>VLOOKUP($C2242,Userpass!$A$2:$R$3001,2,FALSE)</f>
        <v>oto20238436.siswa@smkn12malang.sch.id</v>
      </c>
    </row>
    <row r="2243">
      <c r="A2243" s="3" t="str">
        <f t="shared" si="1"/>
        <v>OK</v>
      </c>
      <c r="B2243" s="3" t="str">
        <f t="shared" si="2"/>
        <v>OK</v>
      </c>
      <c r="C2243" s="3">
        <v>8467.0</v>
      </c>
      <c r="D2243" s="4" t="s">
        <v>5099</v>
      </c>
      <c r="E2243" s="3" t="s">
        <v>5100</v>
      </c>
      <c r="F2243" s="3" t="s">
        <v>17</v>
      </c>
      <c r="G2243" s="3" t="str">
        <f t="shared" si="3"/>
        <v>XIIOTO3</v>
      </c>
      <c r="H2243" s="3" t="str">
        <f>VLOOKUP($C2243,Userpass!$A$2:$L$3001,12,FALSE)</f>
        <v>OTO3</v>
      </c>
      <c r="I2243" s="5" t="s">
        <v>4223</v>
      </c>
      <c r="J2243" s="3">
        <v>2023.0</v>
      </c>
      <c r="K2243" s="4" t="str">
        <f>VLOOKUP($C2243,Userpass!$A$2:$R$3001,2,FALSE)</f>
        <v>oto20238467.siswa@smkn12malang.sch.id</v>
      </c>
    </row>
    <row r="2244">
      <c r="A2244" s="3" t="str">
        <f t="shared" si="1"/>
        <v>OK</v>
      </c>
      <c r="B2244" s="3" t="str">
        <f t="shared" si="2"/>
        <v>OK</v>
      </c>
      <c r="C2244" s="3">
        <v>8476.0</v>
      </c>
      <c r="D2244" s="4" t="s">
        <v>5101</v>
      </c>
      <c r="E2244" s="3" t="s">
        <v>5102</v>
      </c>
      <c r="F2244" s="3" t="s">
        <v>17</v>
      </c>
      <c r="G2244" s="3" t="str">
        <f t="shared" si="3"/>
        <v>XIIOTO3</v>
      </c>
      <c r="H2244" s="3" t="str">
        <f>VLOOKUP($C2244,Userpass!$A$2:$L$3001,12,FALSE)</f>
        <v>OTO3</v>
      </c>
      <c r="I2244" s="5" t="s">
        <v>4223</v>
      </c>
      <c r="J2244" s="3">
        <v>2023.0</v>
      </c>
      <c r="K2244" s="4" t="str">
        <f>VLOOKUP($C2244,Userpass!$A$2:$R$3001,2,FALSE)</f>
        <v>oto20238476.siswa@smkn12malang.sch.id</v>
      </c>
    </row>
    <row r="2245">
      <c r="A2245" s="3" t="str">
        <f t="shared" si="1"/>
        <v>OK</v>
      </c>
      <c r="B2245" s="3" t="str">
        <f t="shared" si="2"/>
        <v>OK</v>
      </c>
      <c r="C2245" s="3">
        <v>8488.0</v>
      </c>
      <c r="D2245" s="4" t="s">
        <v>5103</v>
      </c>
      <c r="E2245" s="3" t="s">
        <v>5104</v>
      </c>
      <c r="F2245" s="3" t="s">
        <v>17</v>
      </c>
      <c r="G2245" s="3" t="str">
        <f t="shared" si="3"/>
        <v>XIIOTO3</v>
      </c>
      <c r="H2245" s="3" t="str">
        <f>VLOOKUP($C2245,Userpass!$A$2:$L$3001,12,FALSE)</f>
        <v>OTO3</v>
      </c>
      <c r="I2245" s="5" t="s">
        <v>4223</v>
      </c>
      <c r="J2245" s="3">
        <v>2023.0</v>
      </c>
      <c r="K2245" s="4" t="str">
        <f>VLOOKUP($C2245,Userpass!$A$2:$R$3001,2,FALSE)</f>
        <v>oto20238488.siswa@smkn12malang.sch.id</v>
      </c>
    </row>
    <row r="2246">
      <c r="A2246" s="3" t="str">
        <f t="shared" si="1"/>
        <v>OK</v>
      </c>
      <c r="B2246" s="3" t="str">
        <f t="shared" si="2"/>
        <v>OK</v>
      </c>
      <c r="C2246" s="3">
        <v>8502.0</v>
      </c>
      <c r="D2246" s="4" t="s">
        <v>5105</v>
      </c>
      <c r="E2246" s="3" t="s">
        <v>5106</v>
      </c>
      <c r="F2246" s="3" t="s">
        <v>17</v>
      </c>
      <c r="G2246" s="3" t="str">
        <f t="shared" si="3"/>
        <v>XIIOTO3</v>
      </c>
      <c r="H2246" s="3" t="str">
        <f>VLOOKUP($C2246,Userpass!$A$2:$L$3001,12,FALSE)</f>
        <v>OTO3</v>
      </c>
      <c r="I2246" s="5" t="s">
        <v>4223</v>
      </c>
      <c r="J2246" s="3">
        <v>2023.0</v>
      </c>
      <c r="K2246" s="4" t="str">
        <f>VLOOKUP($C2246,Userpass!$A$2:$R$3001,2,FALSE)</f>
        <v>oto20238502.siswa@smkn12malang.sch.id</v>
      </c>
    </row>
    <row r="2247">
      <c r="A2247" s="3" t="str">
        <f t="shared" si="1"/>
        <v>OK</v>
      </c>
      <c r="B2247" s="3" t="str">
        <f t="shared" si="2"/>
        <v>OK</v>
      </c>
      <c r="C2247" s="3">
        <v>8516.0</v>
      </c>
      <c r="D2247" s="4" t="s">
        <v>5107</v>
      </c>
      <c r="E2247" s="3" t="s">
        <v>5108</v>
      </c>
      <c r="F2247" s="3" t="s">
        <v>17</v>
      </c>
      <c r="G2247" s="3" t="str">
        <f t="shared" si="3"/>
        <v>XIIOTO3</v>
      </c>
      <c r="H2247" s="3" t="str">
        <f>VLOOKUP($C2247,Userpass!$A$2:$L$3001,12,FALSE)</f>
        <v>OTO3</v>
      </c>
      <c r="I2247" s="5" t="s">
        <v>4223</v>
      </c>
      <c r="J2247" s="3">
        <v>2023.0</v>
      </c>
      <c r="K2247" s="4" t="str">
        <f>VLOOKUP($C2247,Userpass!$A$2:$R$3001,2,FALSE)</f>
        <v>oto20238516.siswa@smkn12malang.sch.id</v>
      </c>
    </row>
    <row r="2248">
      <c r="A2248" s="3" t="str">
        <f t="shared" si="1"/>
        <v>OK</v>
      </c>
      <c r="B2248" s="3" t="str">
        <f t="shared" si="2"/>
        <v>OK</v>
      </c>
      <c r="C2248" s="3">
        <v>8528.0</v>
      </c>
      <c r="D2248" s="4" t="s">
        <v>5109</v>
      </c>
      <c r="E2248" s="3" t="s">
        <v>5110</v>
      </c>
      <c r="F2248" s="3" t="s">
        <v>17</v>
      </c>
      <c r="G2248" s="3" t="str">
        <f t="shared" si="3"/>
        <v>XIIOTO3</v>
      </c>
      <c r="H2248" s="3" t="str">
        <f>VLOOKUP($C2248,Userpass!$A$2:$L$3001,12,FALSE)</f>
        <v>OTO3</v>
      </c>
      <c r="I2248" s="5" t="s">
        <v>4223</v>
      </c>
      <c r="J2248" s="3">
        <v>2023.0</v>
      </c>
      <c r="K2248" s="4" t="str">
        <f>VLOOKUP($C2248,Userpass!$A$2:$R$3001,2,FALSE)</f>
        <v>oto20238528.siswa@smkn12malang.sch.id</v>
      </c>
    </row>
    <row r="2249">
      <c r="A2249" s="3" t="str">
        <f t="shared" si="1"/>
        <v>OK</v>
      </c>
      <c r="B2249" s="3" t="str">
        <f t="shared" si="2"/>
        <v>OK</v>
      </c>
      <c r="C2249" s="3">
        <v>8584.0</v>
      </c>
      <c r="D2249" s="4" t="s">
        <v>5111</v>
      </c>
      <c r="E2249" s="3" t="s">
        <v>5112</v>
      </c>
      <c r="F2249" s="3" t="s">
        <v>17</v>
      </c>
      <c r="G2249" s="3" t="str">
        <f t="shared" si="3"/>
        <v>XIIOTO3</v>
      </c>
      <c r="H2249" s="3" t="str">
        <f>VLOOKUP($C2249,Userpass!$A$2:$L$3001,12,FALSE)</f>
        <v>OTO3</v>
      </c>
      <c r="I2249" s="5" t="s">
        <v>4223</v>
      </c>
      <c r="J2249" s="3">
        <v>2023.0</v>
      </c>
      <c r="K2249" s="4" t="str">
        <f>VLOOKUP($C2249,Userpass!$A$2:$R$3001,2,FALSE)</f>
        <v>oto20238584.siswa@smkn12malang.sch.id</v>
      </c>
    </row>
    <row r="2250">
      <c r="A2250" s="3" t="str">
        <f t="shared" si="1"/>
        <v>OK</v>
      </c>
      <c r="B2250" s="3" t="str">
        <f t="shared" si="2"/>
        <v>OK</v>
      </c>
      <c r="C2250" s="3">
        <v>8619.0</v>
      </c>
      <c r="D2250" s="4" t="s">
        <v>5113</v>
      </c>
      <c r="E2250" s="3" t="s">
        <v>5114</v>
      </c>
      <c r="F2250" s="3" t="s">
        <v>17</v>
      </c>
      <c r="G2250" s="3" t="str">
        <f t="shared" si="3"/>
        <v>XIIOTO3</v>
      </c>
      <c r="H2250" s="3" t="str">
        <f>VLOOKUP($C2250,Userpass!$A$2:$L$3001,12,FALSE)</f>
        <v>OTO3</v>
      </c>
      <c r="I2250" s="5" t="s">
        <v>4223</v>
      </c>
      <c r="J2250" s="3">
        <v>2023.0</v>
      </c>
      <c r="K2250" s="4" t="str">
        <f>VLOOKUP($C2250,Userpass!$A$2:$R$3001,2,FALSE)</f>
        <v>oto20238619.siswa@smkn12malang.sch.id</v>
      </c>
    </row>
    <row r="2251">
      <c r="A2251" s="3" t="str">
        <f t="shared" si="1"/>
        <v>OK</v>
      </c>
      <c r="B2251" s="3" t="str">
        <f t="shared" si="2"/>
        <v>OK</v>
      </c>
      <c r="C2251" s="3">
        <v>8022.0</v>
      </c>
      <c r="D2251" s="4" t="s">
        <v>5115</v>
      </c>
      <c r="E2251" s="3" t="s">
        <v>5116</v>
      </c>
      <c r="F2251" s="3" t="s">
        <v>17</v>
      </c>
      <c r="G2251" s="3" t="str">
        <f t="shared" si="3"/>
        <v>XIIOTO4</v>
      </c>
      <c r="H2251" s="3" t="str">
        <f>VLOOKUP($C2251,Userpass!$A$2:$L$3001,12,FALSE)</f>
        <v>OTO4</v>
      </c>
      <c r="I2251" s="5" t="s">
        <v>4223</v>
      </c>
      <c r="J2251" s="3">
        <v>2023.0</v>
      </c>
      <c r="K2251" s="4" t="str">
        <f>VLOOKUP($C2251,Userpass!$A$2:$R$3001,2,FALSE)</f>
        <v>oto20238022.siswa@smkn12malang.sch.id</v>
      </c>
    </row>
    <row r="2252">
      <c r="A2252" s="3" t="str">
        <f t="shared" si="1"/>
        <v>OK</v>
      </c>
      <c r="B2252" s="3" t="str">
        <f t="shared" si="2"/>
        <v>OK</v>
      </c>
      <c r="C2252" s="3">
        <v>8035.0</v>
      </c>
      <c r="D2252" s="4" t="s">
        <v>5117</v>
      </c>
      <c r="E2252" s="3" t="s">
        <v>5118</v>
      </c>
      <c r="F2252" s="3" t="s">
        <v>17</v>
      </c>
      <c r="G2252" s="3" t="str">
        <f t="shared" si="3"/>
        <v>XIIOTO4</v>
      </c>
      <c r="H2252" s="3" t="str">
        <f>VLOOKUP($C2252,Userpass!$A$2:$L$3001,12,FALSE)</f>
        <v>OTO4</v>
      </c>
      <c r="I2252" s="5" t="s">
        <v>4223</v>
      </c>
      <c r="J2252" s="3">
        <v>2023.0</v>
      </c>
      <c r="K2252" s="4" t="str">
        <f>VLOOKUP($C2252,Userpass!$A$2:$R$3001,2,FALSE)</f>
        <v>oto20238035.siswa@smkn12malang.sch.id</v>
      </c>
    </row>
    <row r="2253">
      <c r="A2253" s="3" t="str">
        <f t="shared" si="1"/>
        <v>OK</v>
      </c>
      <c r="B2253" s="3" t="str">
        <f t="shared" si="2"/>
        <v>OK</v>
      </c>
      <c r="C2253" s="3">
        <v>8069.0</v>
      </c>
      <c r="D2253" s="4" t="s">
        <v>5119</v>
      </c>
      <c r="E2253" s="3" t="s">
        <v>5120</v>
      </c>
      <c r="F2253" s="3" t="s">
        <v>17</v>
      </c>
      <c r="G2253" s="3" t="str">
        <f t="shared" si="3"/>
        <v>XIIOTO4</v>
      </c>
      <c r="H2253" s="3" t="str">
        <f>VLOOKUP($C2253,Userpass!$A$2:$L$3001,12,FALSE)</f>
        <v>OTO4</v>
      </c>
      <c r="I2253" s="5" t="s">
        <v>4223</v>
      </c>
      <c r="J2253" s="3">
        <v>2023.0</v>
      </c>
      <c r="K2253" s="4" t="str">
        <f>VLOOKUP($C2253,Userpass!$A$2:$R$3001,2,FALSE)</f>
        <v>oto20238069.siswa@smkn12malang.sch.id</v>
      </c>
    </row>
    <row r="2254">
      <c r="A2254" s="3" t="str">
        <f t="shared" si="1"/>
        <v>OK</v>
      </c>
      <c r="B2254" s="3" t="str">
        <f t="shared" si="2"/>
        <v>OK</v>
      </c>
      <c r="C2254" s="3">
        <v>8087.0</v>
      </c>
      <c r="D2254" s="4" t="s">
        <v>5121</v>
      </c>
      <c r="E2254" s="3" t="s">
        <v>5122</v>
      </c>
      <c r="F2254" s="3" t="s">
        <v>17</v>
      </c>
      <c r="G2254" s="3" t="str">
        <f t="shared" si="3"/>
        <v>XIIOTO4</v>
      </c>
      <c r="H2254" s="3" t="str">
        <f>VLOOKUP($C2254,Userpass!$A$2:$L$3001,12,FALSE)</f>
        <v>OTO4</v>
      </c>
      <c r="I2254" s="5" t="s">
        <v>4223</v>
      </c>
      <c r="J2254" s="3">
        <v>2023.0</v>
      </c>
      <c r="K2254" s="4" t="str">
        <f>VLOOKUP($C2254,Userpass!$A$2:$R$3001,2,FALSE)</f>
        <v>oto20238087.siswa@smkn12malang.sch.id</v>
      </c>
    </row>
    <row r="2255">
      <c r="A2255" s="3" t="str">
        <f t="shared" si="1"/>
        <v>OK</v>
      </c>
      <c r="B2255" s="3" t="str">
        <f t="shared" si="2"/>
        <v>OK</v>
      </c>
      <c r="C2255" s="3">
        <v>8105.0</v>
      </c>
      <c r="D2255" s="4" t="s">
        <v>5123</v>
      </c>
      <c r="E2255" s="3" t="s">
        <v>5124</v>
      </c>
      <c r="F2255" s="3" t="s">
        <v>17</v>
      </c>
      <c r="G2255" s="3" t="str">
        <f t="shared" si="3"/>
        <v>XIIOTO4</v>
      </c>
      <c r="H2255" s="3" t="str">
        <f>VLOOKUP($C2255,Userpass!$A$2:$L$3001,12,FALSE)</f>
        <v>OTO4</v>
      </c>
      <c r="I2255" s="5" t="s">
        <v>4223</v>
      </c>
      <c r="J2255" s="3">
        <v>2023.0</v>
      </c>
      <c r="K2255" s="4" t="str">
        <f>VLOOKUP($C2255,Userpass!$A$2:$R$3001,2,FALSE)</f>
        <v>oto20238105.siswa@smkn12malang.sch.id</v>
      </c>
    </row>
    <row r="2256">
      <c r="A2256" s="3" t="str">
        <f t="shared" si="1"/>
        <v>OK</v>
      </c>
      <c r="B2256" s="3" t="str">
        <f t="shared" si="2"/>
        <v>OK</v>
      </c>
      <c r="C2256" s="3">
        <v>8113.0</v>
      </c>
      <c r="D2256" s="4" t="s">
        <v>5125</v>
      </c>
      <c r="E2256" s="3" t="s">
        <v>5126</v>
      </c>
      <c r="F2256" s="3" t="s">
        <v>17</v>
      </c>
      <c r="G2256" s="3" t="str">
        <f t="shared" si="3"/>
        <v>XIIOTO4</v>
      </c>
      <c r="H2256" s="3" t="str">
        <f>VLOOKUP($C2256,Userpass!$A$2:$L$3001,12,FALSE)</f>
        <v>OTO4</v>
      </c>
      <c r="I2256" s="5" t="s">
        <v>4223</v>
      </c>
      <c r="J2256" s="3">
        <v>2023.0</v>
      </c>
      <c r="K2256" s="4" t="str">
        <f>VLOOKUP($C2256,Userpass!$A$2:$R$3001,2,FALSE)</f>
        <v>oto20238113.siswa@smkn12malang.sch.id</v>
      </c>
    </row>
    <row r="2257">
      <c r="A2257" s="3" t="str">
        <f t="shared" si="1"/>
        <v>OK</v>
      </c>
      <c r="B2257" s="3" t="str">
        <f t="shared" si="2"/>
        <v>OK</v>
      </c>
      <c r="C2257" s="3">
        <v>8131.0</v>
      </c>
      <c r="D2257" s="4" t="s">
        <v>5127</v>
      </c>
      <c r="E2257" s="3" t="s">
        <v>5128</v>
      </c>
      <c r="F2257" s="3" t="s">
        <v>17</v>
      </c>
      <c r="G2257" s="3" t="str">
        <f t="shared" si="3"/>
        <v>XIIOTO4</v>
      </c>
      <c r="H2257" s="3" t="str">
        <f>VLOOKUP($C2257,Userpass!$A$2:$L$3001,12,FALSE)</f>
        <v>OTO4</v>
      </c>
      <c r="I2257" s="5" t="s">
        <v>4223</v>
      </c>
      <c r="J2257" s="3">
        <v>2023.0</v>
      </c>
      <c r="K2257" s="4" t="str">
        <f>VLOOKUP($C2257,Userpass!$A$2:$R$3001,2,FALSE)</f>
        <v>oto20238131.siswa@smkn12malang.sch.id</v>
      </c>
    </row>
    <row r="2258">
      <c r="A2258" s="3" t="str">
        <f t="shared" si="1"/>
        <v>OK</v>
      </c>
      <c r="B2258" s="3" t="str">
        <f t="shared" si="2"/>
        <v>OK</v>
      </c>
      <c r="C2258" s="3">
        <v>8145.0</v>
      </c>
      <c r="D2258" s="4" t="s">
        <v>5129</v>
      </c>
      <c r="E2258" s="3" t="s">
        <v>5130</v>
      </c>
      <c r="F2258" s="3" t="s">
        <v>17</v>
      </c>
      <c r="G2258" s="3" t="str">
        <f t="shared" si="3"/>
        <v>XIIOTO4</v>
      </c>
      <c r="H2258" s="3" t="str">
        <f>VLOOKUP($C2258,Userpass!$A$2:$L$3001,12,FALSE)</f>
        <v>OTO4</v>
      </c>
      <c r="I2258" s="5" t="s">
        <v>4223</v>
      </c>
      <c r="J2258" s="3">
        <v>2023.0</v>
      </c>
      <c r="K2258" s="4" t="str">
        <f>VLOOKUP($C2258,Userpass!$A$2:$R$3001,2,FALSE)</f>
        <v>oto20238145.siswa@smkn12malang.sch.id</v>
      </c>
    </row>
    <row r="2259">
      <c r="A2259" s="3" t="str">
        <f t="shared" si="1"/>
        <v>OK</v>
      </c>
      <c r="B2259" s="3" t="str">
        <f t="shared" si="2"/>
        <v>OK</v>
      </c>
      <c r="C2259" s="3">
        <v>8173.0</v>
      </c>
      <c r="D2259" s="4" t="s">
        <v>5131</v>
      </c>
      <c r="E2259" s="3" t="s">
        <v>5132</v>
      </c>
      <c r="F2259" s="3" t="s">
        <v>17</v>
      </c>
      <c r="G2259" s="3" t="str">
        <f t="shared" si="3"/>
        <v>XIIOTO4</v>
      </c>
      <c r="H2259" s="3" t="str">
        <f>VLOOKUP($C2259,Userpass!$A$2:$L$3001,12,FALSE)</f>
        <v>OTO4</v>
      </c>
      <c r="I2259" s="5" t="s">
        <v>4223</v>
      </c>
      <c r="J2259" s="3">
        <v>2023.0</v>
      </c>
      <c r="K2259" s="4" t="str">
        <f>VLOOKUP($C2259,Userpass!$A$2:$R$3001,2,FALSE)</f>
        <v>oto20238173.siswa@smkn12malang.sch.id</v>
      </c>
    </row>
    <row r="2260">
      <c r="A2260" s="3" t="str">
        <f t="shared" si="1"/>
        <v>OK</v>
      </c>
      <c r="B2260" s="3" t="str">
        <f t="shared" si="2"/>
        <v>OK</v>
      </c>
      <c r="C2260" s="3">
        <v>8179.0</v>
      </c>
      <c r="D2260" s="4" t="s">
        <v>5133</v>
      </c>
      <c r="E2260" s="3" t="s">
        <v>5134</v>
      </c>
      <c r="F2260" s="3" t="s">
        <v>17</v>
      </c>
      <c r="G2260" s="3" t="str">
        <f t="shared" si="3"/>
        <v>XIIOTO4</v>
      </c>
      <c r="H2260" s="3" t="str">
        <f>VLOOKUP($C2260,Userpass!$A$2:$L$3001,12,FALSE)</f>
        <v>OTO4</v>
      </c>
      <c r="I2260" s="5" t="s">
        <v>4223</v>
      </c>
      <c r="J2260" s="3">
        <v>2023.0</v>
      </c>
      <c r="K2260" s="4" t="str">
        <f>VLOOKUP($C2260,Userpass!$A$2:$R$3001,2,FALSE)</f>
        <v>oto20238179.siswa@smkn12malang.sch.id</v>
      </c>
    </row>
    <row r="2261">
      <c r="A2261" s="3" t="str">
        <f t="shared" si="1"/>
        <v>OK</v>
      </c>
      <c r="B2261" s="3" t="str">
        <f t="shared" si="2"/>
        <v>OK</v>
      </c>
      <c r="C2261" s="3">
        <v>8201.0</v>
      </c>
      <c r="D2261" s="4" t="s">
        <v>5135</v>
      </c>
      <c r="E2261" s="3" t="s">
        <v>5136</v>
      </c>
      <c r="F2261" s="3" t="s">
        <v>17</v>
      </c>
      <c r="G2261" s="3" t="str">
        <f t="shared" si="3"/>
        <v>XIIOTO4</v>
      </c>
      <c r="H2261" s="3" t="str">
        <f>VLOOKUP($C2261,Userpass!$A$2:$L$3001,12,FALSE)</f>
        <v>OTO4</v>
      </c>
      <c r="I2261" s="5" t="s">
        <v>4223</v>
      </c>
      <c r="J2261" s="3">
        <v>2023.0</v>
      </c>
      <c r="K2261" s="4" t="str">
        <f>VLOOKUP($C2261,Userpass!$A$2:$R$3001,2,FALSE)</f>
        <v>oto20238201.siswa@smkn12malang.sch.id</v>
      </c>
    </row>
    <row r="2262">
      <c r="A2262" s="3" t="str">
        <f t="shared" si="1"/>
        <v>OK</v>
      </c>
      <c r="B2262" s="3" t="str">
        <f t="shared" si="2"/>
        <v>OK</v>
      </c>
      <c r="C2262" s="3">
        <v>7592.0</v>
      </c>
      <c r="D2262" s="4" t="s">
        <v>5137</v>
      </c>
      <c r="E2262" s="3" t="s">
        <v>5138</v>
      </c>
      <c r="F2262" s="3" t="s">
        <v>17</v>
      </c>
      <c r="G2262" s="3" t="str">
        <f t="shared" si="3"/>
        <v>XIIOTO4</v>
      </c>
      <c r="H2262" s="3" t="str">
        <f>VLOOKUP($C2262,Userpass!$A$2:$L$3001,12,FALSE)</f>
        <v>OTO4</v>
      </c>
      <c r="I2262" s="5" t="s">
        <v>4223</v>
      </c>
      <c r="J2262" s="3">
        <v>2022.0</v>
      </c>
      <c r="K2262" s="4" t="str">
        <f>VLOOKUP($C2262,Userpass!$A$2:$R$3001,2,FALSE)</f>
        <v>oto20227592.siswa@smkn12malang.sch.id</v>
      </c>
    </row>
    <row r="2263">
      <c r="A2263" s="3" t="str">
        <f t="shared" si="1"/>
        <v>OK</v>
      </c>
      <c r="B2263" s="3" t="str">
        <f t="shared" si="2"/>
        <v>OK</v>
      </c>
      <c r="C2263" s="3">
        <v>8222.0</v>
      </c>
      <c r="D2263" s="4" t="s">
        <v>5139</v>
      </c>
      <c r="E2263" s="3" t="s">
        <v>5140</v>
      </c>
      <c r="F2263" s="3" t="s">
        <v>17</v>
      </c>
      <c r="G2263" s="3" t="str">
        <f t="shared" si="3"/>
        <v>XIIOTO4</v>
      </c>
      <c r="H2263" s="3" t="str">
        <f>VLOOKUP($C2263,Userpass!$A$2:$L$3001,12,FALSE)</f>
        <v>OTO4</v>
      </c>
      <c r="I2263" s="5" t="s">
        <v>4223</v>
      </c>
      <c r="J2263" s="3">
        <v>2023.0</v>
      </c>
      <c r="K2263" s="4" t="str">
        <f>VLOOKUP($C2263,Userpass!$A$2:$R$3001,2,FALSE)</f>
        <v>oto20238222.siswa@smkn12malang.sch.id</v>
      </c>
    </row>
    <row r="2264">
      <c r="A2264" s="3" t="str">
        <f t="shared" si="1"/>
        <v>OK</v>
      </c>
      <c r="B2264" s="3" t="str">
        <f t="shared" si="2"/>
        <v>OK</v>
      </c>
      <c r="C2264" s="3">
        <v>8230.0</v>
      </c>
      <c r="D2264" s="4" t="s">
        <v>5141</v>
      </c>
      <c r="E2264" s="3" t="s">
        <v>5142</v>
      </c>
      <c r="F2264" s="3" t="s">
        <v>17</v>
      </c>
      <c r="G2264" s="3" t="str">
        <f t="shared" si="3"/>
        <v>XIIOTO4</v>
      </c>
      <c r="H2264" s="3" t="str">
        <f>VLOOKUP($C2264,Userpass!$A$2:$L$3001,12,FALSE)</f>
        <v>OTO4</v>
      </c>
      <c r="I2264" s="5" t="s">
        <v>4223</v>
      </c>
      <c r="J2264" s="3">
        <v>2023.0</v>
      </c>
      <c r="K2264" s="4" t="str">
        <f>VLOOKUP($C2264,Userpass!$A$2:$R$3001,2,FALSE)</f>
        <v>oto20238230.siswa@smkn12malang.sch.id</v>
      </c>
    </row>
    <row r="2265">
      <c r="A2265" s="3" t="str">
        <f t="shared" si="1"/>
        <v>OK</v>
      </c>
      <c r="B2265" s="3" t="str">
        <f t="shared" si="2"/>
        <v>OK</v>
      </c>
      <c r="C2265" s="3">
        <v>8246.0</v>
      </c>
      <c r="D2265" s="4" t="s">
        <v>5143</v>
      </c>
      <c r="E2265" s="3" t="s">
        <v>5144</v>
      </c>
      <c r="F2265" s="3" t="s">
        <v>17</v>
      </c>
      <c r="G2265" s="3" t="str">
        <f t="shared" si="3"/>
        <v>XIIOTO4</v>
      </c>
      <c r="H2265" s="3" t="str">
        <f>VLOOKUP($C2265,Userpass!$A$2:$L$3001,12,FALSE)</f>
        <v>OTO4</v>
      </c>
      <c r="I2265" s="5" t="s">
        <v>4223</v>
      </c>
      <c r="J2265" s="3">
        <v>2023.0</v>
      </c>
      <c r="K2265" s="4" t="str">
        <f>VLOOKUP($C2265,Userpass!$A$2:$R$3001,2,FALSE)</f>
        <v>oto20238246.siswa@smkn12malang.sch.id</v>
      </c>
    </row>
    <row r="2266">
      <c r="A2266" s="3" t="str">
        <f t="shared" si="1"/>
        <v>OK</v>
      </c>
      <c r="B2266" s="3" t="str">
        <f t="shared" si="2"/>
        <v>OK</v>
      </c>
      <c r="C2266" s="3">
        <v>8275.0</v>
      </c>
      <c r="D2266" s="4" t="s">
        <v>5145</v>
      </c>
      <c r="E2266" s="3" t="s">
        <v>5146</v>
      </c>
      <c r="F2266" s="3" t="s">
        <v>17</v>
      </c>
      <c r="G2266" s="3" t="str">
        <f t="shared" si="3"/>
        <v>XIIOTO4</v>
      </c>
      <c r="H2266" s="3" t="str">
        <f>VLOOKUP($C2266,Userpass!$A$2:$L$3001,12,FALSE)</f>
        <v>OTO4</v>
      </c>
      <c r="I2266" s="5" t="s">
        <v>4223</v>
      </c>
      <c r="J2266" s="3">
        <v>2023.0</v>
      </c>
      <c r="K2266" s="4" t="str">
        <f>VLOOKUP($C2266,Userpass!$A$2:$R$3001,2,FALSE)</f>
        <v>oto20238275.siswa@smkn12malang.sch.id</v>
      </c>
    </row>
    <row r="2267">
      <c r="A2267" s="3" t="str">
        <f t="shared" si="1"/>
        <v>OK</v>
      </c>
      <c r="B2267" s="3" t="str">
        <f t="shared" si="2"/>
        <v>OK</v>
      </c>
      <c r="C2267" s="3">
        <v>8325.0</v>
      </c>
      <c r="D2267" s="4" t="s">
        <v>5147</v>
      </c>
      <c r="E2267" s="3" t="s">
        <v>5148</v>
      </c>
      <c r="F2267" s="3" t="s">
        <v>17</v>
      </c>
      <c r="G2267" s="3" t="str">
        <f t="shared" si="3"/>
        <v>XIIOTO4</v>
      </c>
      <c r="H2267" s="3" t="str">
        <f>VLOOKUP($C2267,Userpass!$A$2:$L$3001,12,FALSE)</f>
        <v>OTO4</v>
      </c>
      <c r="I2267" s="5" t="s">
        <v>4223</v>
      </c>
      <c r="J2267" s="3">
        <v>2023.0</v>
      </c>
      <c r="K2267" s="4" t="str">
        <f>VLOOKUP($C2267,Userpass!$A$2:$R$3001,2,FALSE)</f>
        <v>oto20238325.siswa@smkn12malang.sch.id</v>
      </c>
    </row>
    <row r="2268">
      <c r="A2268" s="3" t="str">
        <f t="shared" si="1"/>
        <v>OK</v>
      </c>
      <c r="B2268" s="3" t="str">
        <f t="shared" si="2"/>
        <v>OK</v>
      </c>
      <c r="C2268" s="3">
        <v>8338.0</v>
      </c>
      <c r="D2268" s="4" t="s">
        <v>5149</v>
      </c>
      <c r="E2268" s="3" t="s">
        <v>5150</v>
      </c>
      <c r="F2268" s="3" t="s">
        <v>17</v>
      </c>
      <c r="G2268" s="3" t="str">
        <f t="shared" si="3"/>
        <v>XIIOTO4</v>
      </c>
      <c r="H2268" s="3" t="str">
        <f>VLOOKUP($C2268,Userpass!$A$2:$L$3001,12,FALSE)</f>
        <v>OTO4</v>
      </c>
      <c r="I2268" s="5" t="s">
        <v>4223</v>
      </c>
      <c r="J2268" s="3">
        <v>2023.0</v>
      </c>
      <c r="K2268" s="4" t="str">
        <f>VLOOKUP($C2268,Userpass!$A$2:$R$3001,2,FALSE)</f>
        <v>oto20238338.siswa@smkn12malang.sch.id</v>
      </c>
    </row>
    <row r="2269">
      <c r="A2269" s="3" t="str">
        <f t="shared" si="1"/>
        <v>OK</v>
      </c>
      <c r="B2269" s="3" t="str">
        <f t="shared" si="2"/>
        <v>OK</v>
      </c>
      <c r="C2269" s="3">
        <v>8366.0</v>
      </c>
      <c r="D2269" s="4" t="s">
        <v>5151</v>
      </c>
      <c r="E2269" s="3" t="s">
        <v>5152</v>
      </c>
      <c r="F2269" s="3" t="s">
        <v>17</v>
      </c>
      <c r="G2269" s="3" t="str">
        <f t="shared" si="3"/>
        <v>XIIOTO4</v>
      </c>
      <c r="H2269" s="3" t="str">
        <f>VLOOKUP($C2269,Userpass!$A$2:$L$3001,12,FALSE)</f>
        <v>OTO4</v>
      </c>
      <c r="I2269" s="5" t="s">
        <v>4223</v>
      </c>
      <c r="J2269" s="3">
        <v>2023.0</v>
      </c>
      <c r="K2269" s="4" t="str">
        <f>VLOOKUP($C2269,Userpass!$A$2:$R$3001,2,FALSE)</f>
        <v>oto20238366.siswa@smkn12malang.sch.id</v>
      </c>
    </row>
    <row r="2270">
      <c r="A2270" s="3" t="str">
        <f t="shared" si="1"/>
        <v>OK</v>
      </c>
      <c r="B2270" s="3" t="str">
        <f t="shared" si="2"/>
        <v>OK</v>
      </c>
      <c r="C2270" s="3">
        <v>8370.0</v>
      </c>
      <c r="D2270" s="4" t="s">
        <v>5153</v>
      </c>
      <c r="E2270" s="3" t="s">
        <v>5154</v>
      </c>
      <c r="F2270" s="3" t="s">
        <v>17</v>
      </c>
      <c r="G2270" s="3" t="str">
        <f t="shared" si="3"/>
        <v>XIIOTO4</v>
      </c>
      <c r="H2270" s="3" t="str">
        <f>VLOOKUP($C2270,Userpass!$A$2:$L$3001,12,FALSE)</f>
        <v>OTO4</v>
      </c>
      <c r="I2270" s="5" t="s">
        <v>4223</v>
      </c>
      <c r="J2270" s="3">
        <v>2023.0</v>
      </c>
      <c r="K2270" s="4" t="str">
        <f>VLOOKUP($C2270,Userpass!$A$2:$R$3001,2,FALSE)</f>
        <v>oto20238370.siswa@smkn12malang.sch.id</v>
      </c>
    </row>
    <row r="2271">
      <c r="A2271" s="3" t="str">
        <f t="shared" si="1"/>
        <v>OK</v>
      </c>
      <c r="B2271" s="3" t="str">
        <f t="shared" si="2"/>
        <v>OK</v>
      </c>
      <c r="C2271" s="3">
        <v>8377.0</v>
      </c>
      <c r="D2271" s="4" t="s">
        <v>5155</v>
      </c>
      <c r="E2271" s="3" t="s">
        <v>5156</v>
      </c>
      <c r="F2271" s="3" t="s">
        <v>17</v>
      </c>
      <c r="G2271" s="3" t="str">
        <f t="shared" si="3"/>
        <v>XIIOTO4</v>
      </c>
      <c r="H2271" s="3" t="str">
        <f>VLOOKUP($C2271,Userpass!$A$2:$L$3001,12,FALSE)</f>
        <v>OTO4</v>
      </c>
      <c r="I2271" s="5" t="s">
        <v>4223</v>
      </c>
      <c r="J2271" s="3">
        <v>2023.0</v>
      </c>
      <c r="K2271" s="4" t="str">
        <f>VLOOKUP($C2271,Userpass!$A$2:$R$3001,2,FALSE)</f>
        <v>oto20238377.siswa@smkn12malang.sch.id</v>
      </c>
    </row>
    <row r="2272">
      <c r="A2272" s="3" t="str">
        <f t="shared" si="1"/>
        <v>OK</v>
      </c>
      <c r="B2272" s="3" t="str">
        <f t="shared" si="2"/>
        <v>OK</v>
      </c>
      <c r="C2272" s="3">
        <v>8383.0</v>
      </c>
      <c r="D2272" s="4" t="s">
        <v>5157</v>
      </c>
      <c r="E2272" s="3" t="s">
        <v>5158</v>
      </c>
      <c r="F2272" s="3" t="s">
        <v>17</v>
      </c>
      <c r="G2272" s="3" t="str">
        <f t="shared" si="3"/>
        <v>XIIOTO4</v>
      </c>
      <c r="H2272" s="3" t="str">
        <f>VLOOKUP($C2272,Userpass!$A$2:$L$3001,12,FALSE)</f>
        <v>OTO4</v>
      </c>
      <c r="I2272" s="5" t="s">
        <v>4223</v>
      </c>
      <c r="J2272" s="3">
        <v>2023.0</v>
      </c>
      <c r="K2272" s="4" t="str">
        <f>VLOOKUP($C2272,Userpass!$A$2:$R$3001,2,FALSE)</f>
        <v>oto20238383.siswa@smkn12malang.sch.id</v>
      </c>
    </row>
    <row r="2273">
      <c r="A2273" s="3" t="str">
        <f t="shared" si="1"/>
        <v>OK</v>
      </c>
      <c r="B2273" s="3" t="str">
        <f t="shared" si="2"/>
        <v>OK</v>
      </c>
      <c r="C2273" s="3">
        <v>8389.0</v>
      </c>
      <c r="D2273" s="4" t="s">
        <v>5159</v>
      </c>
      <c r="E2273" s="3" t="s">
        <v>5160</v>
      </c>
      <c r="F2273" s="3" t="s">
        <v>17</v>
      </c>
      <c r="G2273" s="3" t="str">
        <f t="shared" si="3"/>
        <v>XIIOTO4</v>
      </c>
      <c r="H2273" s="3" t="str">
        <f>VLOOKUP($C2273,Userpass!$A$2:$L$3001,12,FALSE)</f>
        <v>OTO4</v>
      </c>
      <c r="I2273" s="5" t="s">
        <v>4223</v>
      </c>
      <c r="J2273" s="3">
        <v>2023.0</v>
      </c>
      <c r="K2273" s="4" t="str">
        <f>VLOOKUP($C2273,Userpass!$A$2:$R$3001,2,FALSE)</f>
        <v>oto20238389.siswa@smkn12malang.sch.id</v>
      </c>
    </row>
    <row r="2274">
      <c r="A2274" s="3" t="str">
        <f t="shared" si="1"/>
        <v>OK</v>
      </c>
      <c r="B2274" s="3" t="str">
        <f t="shared" si="2"/>
        <v>OK</v>
      </c>
      <c r="C2274" s="3">
        <v>8390.0</v>
      </c>
      <c r="D2274" s="4" t="s">
        <v>5161</v>
      </c>
      <c r="E2274" s="3" t="s">
        <v>5162</v>
      </c>
      <c r="F2274" s="3" t="s">
        <v>17</v>
      </c>
      <c r="G2274" s="3" t="str">
        <f t="shared" si="3"/>
        <v>XIIOTO4</v>
      </c>
      <c r="H2274" s="3" t="str">
        <f>VLOOKUP($C2274,Userpass!$A$2:$L$3001,12,FALSE)</f>
        <v>OTO4</v>
      </c>
      <c r="I2274" s="5" t="s">
        <v>4223</v>
      </c>
      <c r="J2274" s="3">
        <v>2023.0</v>
      </c>
      <c r="K2274" s="4" t="str">
        <f>VLOOKUP($C2274,Userpass!$A$2:$R$3001,2,FALSE)</f>
        <v>oto20238390.siswa@smkn12malang.sch.id</v>
      </c>
    </row>
    <row r="2275">
      <c r="A2275" s="3" t="str">
        <f t="shared" si="1"/>
        <v>OK</v>
      </c>
      <c r="B2275" s="3" t="str">
        <f t="shared" si="2"/>
        <v>OK</v>
      </c>
      <c r="C2275" s="3">
        <v>8415.0</v>
      </c>
      <c r="D2275" s="4" t="s">
        <v>5163</v>
      </c>
      <c r="E2275" s="3" t="s">
        <v>5164</v>
      </c>
      <c r="F2275" s="3" t="s">
        <v>17</v>
      </c>
      <c r="G2275" s="3" t="str">
        <f t="shared" si="3"/>
        <v>XIIOTO4</v>
      </c>
      <c r="H2275" s="3" t="str">
        <f>VLOOKUP($C2275,Userpass!$A$2:$L$3001,12,FALSE)</f>
        <v>OTO4</v>
      </c>
      <c r="I2275" s="5" t="s">
        <v>4223</v>
      </c>
      <c r="J2275" s="3">
        <v>2023.0</v>
      </c>
      <c r="K2275" s="4" t="str">
        <f>VLOOKUP($C2275,Userpass!$A$2:$R$3001,2,FALSE)</f>
        <v>oto20238415.siswa@smkn12malang.sch.id</v>
      </c>
    </row>
    <row r="2276">
      <c r="A2276" s="3" t="str">
        <f t="shared" si="1"/>
        <v>OK</v>
      </c>
      <c r="B2276" s="3" t="str">
        <f t="shared" si="2"/>
        <v>OK</v>
      </c>
      <c r="C2276" s="3">
        <v>8433.0</v>
      </c>
      <c r="D2276" s="4" t="s">
        <v>5165</v>
      </c>
      <c r="E2276" s="3" t="s">
        <v>5166</v>
      </c>
      <c r="F2276" s="3" t="s">
        <v>17</v>
      </c>
      <c r="G2276" s="3" t="str">
        <f t="shared" si="3"/>
        <v>XIIOTO4</v>
      </c>
      <c r="H2276" s="3" t="str">
        <f>VLOOKUP($C2276,Userpass!$A$2:$L$3001,12,FALSE)</f>
        <v>OTO4</v>
      </c>
      <c r="I2276" s="5" t="s">
        <v>4223</v>
      </c>
      <c r="J2276" s="3">
        <v>2023.0</v>
      </c>
      <c r="K2276" s="4" t="str">
        <f>VLOOKUP($C2276,Userpass!$A$2:$R$3001,2,FALSE)</f>
        <v>oto20238433.siswa@smkn12malang.sch.id</v>
      </c>
    </row>
    <row r="2277">
      <c r="A2277" s="3" t="str">
        <f t="shared" si="1"/>
        <v>OK</v>
      </c>
      <c r="B2277" s="3" t="str">
        <f t="shared" si="2"/>
        <v>OK</v>
      </c>
      <c r="C2277" s="3">
        <v>8489.0</v>
      </c>
      <c r="D2277" s="4" t="s">
        <v>5167</v>
      </c>
      <c r="E2277" s="3" t="s">
        <v>5168</v>
      </c>
      <c r="F2277" s="3" t="s">
        <v>17</v>
      </c>
      <c r="G2277" s="3" t="str">
        <f t="shared" si="3"/>
        <v>XIIOTO4</v>
      </c>
      <c r="H2277" s="3" t="str">
        <f>VLOOKUP($C2277,Userpass!$A$2:$L$3001,12,FALSE)</f>
        <v>OTO4</v>
      </c>
      <c r="I2277" s="5" t="s">
        <v>4223</v>
      </c>
      <c r="J2277" s="3">
        <v>2023.0</v>
      </c>
      <c r="K2277" s="4" t="str">
        <f>VLOOKUP($C2277,Userpass!$A$2:$R$3001,2,FALSE)</f>
        <v>oto20238489.siswa@smkn12malang.sch.id</v>
      </c>
    </row>
    <row r="2278">
      <c r="A2278" s="3" t="str">
        <f t="shared" si="1"/>
        <v>OK</v>
      </c>
      <c r="B2278" s="3" t="str">
        <f t="shared" si="2"/>
        <v>OK</v>
      </c>
      <c r="C2278" s="3">
        <v>8495.0</v>
      </c>
      <c r="D2278" s="4" t="s">
        <v>5169</v>
      </c>
      <c r="E2278" s="3" t="s">
        <v>5170</v>
      </c>
      <c r="F2278" s="3" t="s">
        <v>17</v>
      </c>
      <c r="G2278" s="3" t="str">
        <f t="shared" si="3"/>
        <v>XIIOTO4</v>
      </c>
      <c r="H2278" s="3" t="str">
        <f>VLOOKUP($C2278,Userpass!$A$2:$L$3001,12,FALSE)</f>
        <v>OTO4</v>
      </c>
      <c r="I2278" s="5" t="s">
        <v>4223</v>
      </c>
      <c r="J2278" s="3">
        <v>2023.0</v>
      </c>
      <c r="K2278" s="4" t="str">
        <f>VLOOKUP($C2278,Userpass!$A$2:$R$3001,2,FALSE)</f>
        <v>oto20238495.siswa@smkn12malang.sch.id</v>
      </c>
    </row>
    <row r="2279">
      <c r="A2279" s="3" t="str">
        <f t="shared" si="1"/>
        <v>OK</v>
      </c>
      <c r="B2279" s="3" t="str">
        <f t="shared" si="2"/>
        <v>OK</v>
      </c>
      <c r="C2279" s="3">
        <v>8509.0</v>
      </c>
      <c r="D2279" s="4" t="s">
        <v>5171</v>
      </c>
      <c r="E2279" s="3" t="s">
        <v>5172</v>
      </c>
      <c r="F2279" s="3" t="s">
        <v>17</v>
      </c>
      <c r="G2279" s="3" t="str">
        <f t="shared" si="3"/>
        <v>XIIOTO4</v>
      </c>
      <c r="H2279" s="3" t="str">
        <f>VLOOKUP($C2279,Userpass!$A$2:$L$3001,12,FALSE)</f>
        <v>OTO4</v>
      </c>
      <c r="I2279" s="5" t="s">
        <v>4223</v>
      </c>
      <c r="J2279" s="3">
        <v>2023.0</v>
      </c>
      <c r="K2279" s="4" t="str">
        <f>VLOOKUP($C2279,Userpass!$A$2:$R$3001,2,FALSE)</f>
        <v>oto20238509.siswa@smkn12malang.sch.id</v>
      </c>
    </row>
    <row r="2280">
      <c r="A2280" s="3" t="str">
        <f t="shared" si="1"/>
        <v>OK</v>
      </c>
      <c r="B2280" s="3" t="str">
        <f t="shared" si="2"/>
        <v>OK</v>
      </c>
      <c r="C2280" s="3">
        <v>8526.0</v>
      </c>
      <c r="D2280" s="4" t="s">
        <v>5173</v>
      </c>
      <c r="E2280" s="3" t="s">
        <v>5174</v>
      </c>
      <c r="F2280" s="3" t="s">
        <v>17</v>
      </c>
      <c r="G2280" s="3" t="str">
        <f t="shared" si="3"/>
        <v>XIIOTO4</v>
      </c>
      <c r="H2280" s="3" t="str">
        <f>VLOOKUP($C2280,Userpass!$A$2:$L$3001,12,FALSE)</f>
        <v>OTO4</v>
      </c>
      <c r="I2280" s="5" t="s">
        <v>4223</v>
      </c>
      <c r="J2280" s="3">
        <v>2023.0</v>
      </c>
      <c r="K2280" s="4" t="str">
        <f>VLOOKUP($C2280,Userpass!$A$2:$R$3001,2,FALSE)</f>
        <v>oto20238526.siswa@smkn12malang.sch.id</v>
      </c>
    </row>
    <row r="2281">
      <c r="A2281" s="3" t="str">
        <f t="shared" si="1"/>
        <v>OK</v>
      </c>
      <c r="B2281" s="3" t="str">
        <f t="shared" si="2"/>
        <v>OK</v>
      </c>
      <c r="C2281" s="3">
        <v>8534.0</v>
      </c>
      <c r="D2281" s="4" t="s">
        <v>5175</v>
      </c>
      <c r="E2281" s="3" t="s">
        <v>5176</v>
      </c>
      <c r="F2281" s="3" t="s">
        <v>17</v>
      </c>
      <c r="G2281" s="3" t="str">
        <f t="shared" si="3"/>
        <v>XIIOTO4</v>
      </c>
      <c r="H2281" s="3" t="str">
        <f>VLOOKUP($C2281,Userpass!$A$2:$L$3001,12,FALSE)</f>
        <v>OTO4</v>
      </c>
      <c r="I2281" s="5" t="s">
        <v>4223</v>
      </c>
      <c r="J2281" s="3">
        <v>2023.0</v>
      </c>
      <c r="K2281" s="4" t="str">
        <f>VLOOKUP($C2281,Userpass!$A$2:$R$3001,2,FALSE)</f>
        <v>oto20238534.siswa@smkn12malang.sch.id</v>
      </c>
    </row>
    <row r="2282">
      <c r="A2282" s="3" t="str">
        <f t="shared" si="1"/>
        <v>OK</v>
      </c>
      <c r="B2282" s="3" t="str">
        <f t="shared" si="2"/>
        <v>OK</v>
      </c>
      <c r="C2282" s="3">
        <v>8545.0</v>
      </c>
      <c r="D2282" s="4" t="s">
        <v>5177</v>
      </c>
      <c r="E2282" s="3" t="s">
        <v>5178</v>
      </c>
      <c r="F2282" s="3" t="s">
        <v>17</v>
      </c>
      <c r="G2282" s="3" t="str">
        <f t="shared" si="3"/>
        <v>XIIOTO4</v>
      </c>
      <c r="H2282" s="3" t="str">
        <f>VLOOKUP($C2282,Userpass!$A$2:$L$3001,12,FALSE)</f>
        <v>OTO4</v>
      </c>
      <c r="I2282" s="5" t="s">
        <v>4223</v>
      </c>
      <c r="J2282" s="3">
        <v>2023.0</v>
      </c>
      <c r="K2282" s="4" t="str">
        <f>VLOOKUP($C2282,Userpass!$A$2:$R$3001,2,FALSE)</f>
        <v>oto20238545.siswa@smkn12malang.sch.id</v>
      </c>
    </row>
    <row r="2283">
      <c r="A2283" s="3" t="str">
        <f t="shared" si="1"/>
        <v>OK</v>
      </c>
      <c r="B2283" s="3" t="str">
        <f t="shared" si="2"/>
        <v>OK</v>
      </c>
      <c r="C2283" s="3">
        <v>8585.0</v>
      </c>
      <c r="D2283" s="4" t="s">
        <v>5179</v>
      </c>
      <c r="E2283" s="3" t="s">
        <v>5180</v>
      </c>
      <c r="F2283" s="3" t="s">
        <v>17</v>
      </c>
      <c r="G2283" s="3" t="str">
        <f t="shared" si="3"/>
        <v>XIIOTO4</v>
      </c>
      <c r="H2283" s="3" t="str">
        <f>VLOOKUP($C2283,Userpass!$A$2:$L$3001,12,FALSE)</f>
        <v>OTO4</v>
      </c>
      <c r="I2283" s="5" t="s">
        <v>4223</v>
      </c>
      <c r="J2283" s="3">
        <v>2023.0</v>
      </c>
      <c r="K2283" s="4" t="str">
        <f>VLOOKUP($C2283,Userpass!$A$2:$R$3001,2,FALSE)</f>
        <v>oto20238585.siswa@smkn12malang.sch.id</v>
      </c>
    </row>
    <row r="2284">
      <c r="A2284" s="3" t="str">
        <f t="shared" si="1"/>
        <v>OK</v>
      </c>
      <c r="B2284" s="3" t="str">
        <f t="shared" si="2"/>
        <v>OK</v>
      </c>
      <c r="C2284" s="3">
        <v>8601.0</v>
      </c>
      <c r="D2284" s="4" t="s">
        <v>5181</v>
      </c>
      <c r="E2284" s="3" t="s">
        <v>5182</v>
      </c>
      <c r="F2284" s="3" t="s">
        <v>17</v>
      </c>
      <c r="G2284" s="3" t="str">
        <f t="shared" si="3"/>
        <v>XIIOTO4</v>
      </c>
      <c r="H2284" s="3" t="str">
        <f>VLOOKUP($C2284,Userpass!$A$2:$L$3001,12,FALSE)</f>
        <v>OTO4</v>
      </c>
      <c r="I2284" s="5" t="s">
        <v>4223</v>
      </c>
      <c r="J2284" s="3">
        <v>2023.0</v>
      </c>
      <c r="K2284" s="4" t="str">
        <f>VLOOKUP($C2284,Userpass!$A$2:$R$3001,2,FALSE)</f>
        <v>oto20238601.siswa@smkn12malang.sch.id</v>
      </c>
    </row>
    <row r="2285">
      <c r="A2285" s="3" t="str">
        <f t="shared" si="1"/>
        <v>OK</v>
      </c>
      <c r="B2285" s="3" t="str">
        <f t="shared" si="2"/>
        <v>OK</v>
      </c>
      <c r="C2285" s="3">
        <v>8049.0</v>
      </c>
      <c r="D2285" s="4" t="s">
        <v>5183</v>
      </c>
      <c r="E2285" s="3" t="s">
        <v>5184</v>
      </c>
      <c r="F2285" s="3" t="s">
        <v>17</v>
      </c>
      <c r="G2285" s="3" t="str">
        <f t="shared" si="3"/>
        <v>XIIOTO5</v>
      </c>
      <c r="H2285" s="3" t="str">
        <f>VLOOKUP($C2285,Userpass!$A$2:$L$3001,12,FALSE)</f>
        <v>OTO5</v>
      </c>
      <c r="I2285" s="5" t="s">
        <v>4223</v>
      </c>
      <c r="J2285" s="3">
        <v>2023.0</v>
      </c>
      <c r="K2285" s="4" t="str">
        <f>VLOOKUP($C2285,Userpass!$A$2:$R$3001,2,FALSE)</f>
        <v>oto20238049.siswa@smkn12malang.sch.id</v>
      </c>
    </row>
    <row r="2286">
      <c r="A2286" s="3" t="str">
        <f t="shared" si="1"/>
        <v>OK</v>
      </c>
      <c r="B2286" s="3" t="str">
        <f t="shared" si="2"/>
        <v>OK</v>
      </c>
      <c r="C2286" s="3">
        <v>8064.0</v>
      </c>
      <c r="D2286" s="4" t="s">
        <v>5185</v>
      </c>
      <c r="E2286" s="3" t="s">
        <v>5186</v>
      </c>
      <c r="F2286" s="3" t="s">
        <v>17</v>
      </c>
      <c r="G2286" s="3" t="str">
        <f t="shared" si="3"/>
        <v>XIIOTO5</v>
      </c>
      <c r="H2286" s="3" t="str">
        <f>VLOOKUP($C2286,Userpass!$A$2:$L$3001,12,FALSE)</f>
        <v>OTO5</v>
      </c>
      <c r="I2286" s="5" t="s">
        <v>4223</v>
      </c>
      <c r="J2286" s="3">
        <v>2023.0</v>
      </c>
      <c r="K2286" s="4" t="str">
        <f>VLOOKUP($C2286,Userpass!$A$2:$R$3001,2,FALSE)</f>
        <v>oto20238064.siswa@smkn12malang.sch.id</v>
      </c>
    </row>
    <row r="2287">
      <c r="A2287" s="3" t="str">
        <f t="shared" si="1"/>
        <v>OK</v>
      </c>
      <c r="B2287" s="3" t="str">
        <f t="shared" si="2"/>
        <v>OK</v>
      </c>
      <c r="C2287" s="3">
        <v>8078.0</v>
      </c>
      <c r="D2287" s="4" t="s">
        <v>5187</v>
      </c>
      <c r="E2287" s="3" t="s">
        <v>5188</v>
      </c>
      <c r="F2287" s="3" t="s">
        <v>17</v>
      </c>
      <c r="G2287" s="3" t="str">
        <f t="shared" si="3"/>
        <v>XIIOTO5</v>
      </c>
      <c r="H2287" s="3" t="str">
        <f>VLOOKUP($C2287,Userpass!$A$2:$L$3001,12,FALSE)</f>
        <v>OTO5</v>
      </c>
      <c r="I2287" s="5" t="s">
        <v>4223</v>
      </c>
      <c r="J2287" s="3">
        <v>2023.0</v>
      </c>
      <c r="K2287" s="4" t="str">
        <f>VLOOKUP($C2287,Userpass!$A$2:$R$3001,2,FALSE)</f>
        <v>oto20238078.siswa@smkn12malang.sch.id</v>
      </c>
    </row>
    <row r="2288">
      <c r="A2288" s="3" t="str">
        <f t="shared" si="1"/>
        <v>OK</v>
      </c>
      <c r="B2288" s="3" t="str">
        <f t="shared" si="2"/>
        <v>OK</v>
      </c>
      <c r="C2288" s="3">
        <v>8092.0</v>
      </c>
      <c r="D2288" s="4" t="s">
        <v>5189</v>
      </c>
      <c r="E2288" s="3" t="s">
        <v>5190</v>
      </c>
      <c r="F2288" s="3" t="s">
        <v>17</v>
      </c>
      <c r="G2288" s="3" t="str">
        <f t="shared" si="3"/>
        <v>XIIOTO5</v>
      </c>
      <c r="H2288" s="3" t="str">
        <f>VLOOKUP($C2288,Userpass!$A$2:$L$3001,12,FALSE)</f>
        <v>OTO5</v>
      </c>
      <c r="I2288" s="5" t="s">
        <v>4223</v>
      </c>
      <c r="J2288" s="3">
        <v>2023.0</v>
      </c>
      <c r="K2288" s="4" t="str">
        <f>VLOOKUP($C2288,Userpass!$A$2:$R$3001,2,FALSE)</f>
        <v>oto20238092.siswa@smkn12malang.sch.id</v>
      </c>
    </row>
    <row r="2289">
      <c r="A2289" s="3" t="str">
        <f t="shared" si="1"/>
        <v>OK</v>
      </c>
      <c r="B2289" s="3" t="str">
        <f t="shared" si="2"/>
        <v>OK</v>
      </c>
      <c r="C2289" s="3">
        <v>8106.0</v>
      </c>
      <c r="D2289" s="4" t="s">
        <v>5191</v>
      </c>
      <c r="E2289" s="3" t="s">
        <v>5192</v>
      </c>
      <c r="F2289" s="3" t="s">
        <v>17</v>
      </c>
      <c r="G2289" s="3" t="str">
        <f t="shared" si="3"/>
        <v>XIIOTO5</v>
      </c>
      <c r="H2289" s="3" t="str">
        <f>VLOOKUP($C2289,Userpass!$A$2:$L$3001,12,FALSE)</f>
        <v>OTO5</v>
      </c>
      <c r="I2289" s="5" t="s">
        <v>4223</v>
      </c>
      <c r="J2289" s="3">
        <v>2023.0</v>
      </c>
      <c r="K2289" s="4" t="str">
        <f>VLOOKUP($C2289,Userpass!$A$2:$R$3001,2,FALSE)</f>
        <v>oto20238106.siswa@smkn12malang.sch.id</v>
      </c>
    </row>
    <row r="2290">
      <c r="A2290" s="3" t="str">
        <f t="shared" si="1"/>
        <v>OK</v>
      </c>
      <c r="B2290" s="3" t="str">
        <f t="shared" si="2"/>
        <v>OK</v>
      </c>
      <c r="C2290" s="3">
        <v>8130.0</v>
      </c>
      <c r="D2290" s="4" t="s">
        <v>5193</v>
      </c>
      <c r="E2290" s="3" t="s">
        <v>5194</v>
      </c>
      <c r="F2290" s="3" t="s">
        <v>17</v>
      </c>
      <c r="G2290" s="3" t="str">
        <f t="shared" si="3"/>
        <v>XIIOTO5</v>
      </c>
      <c r="H2290" s="3" t="str">
        <f>VLOOKUP($C2290,Userpass!$A$2:$L$3001,12,FALSE)</f>
        <v>OTO5</v>
      </c>
      <c r="I2290" s="5" t="s">
        <v>4223</v>
      </c>
      <c r="J2290" s="3">
        <v>2023.0</v>
      </c>
      <c r="K2290" s="4" t="str">
        <f>VLOOKUP($C2290,Userpass!$A$2:$R$3001,2,FALSE)</f>
        <v>oto20238130.siswa@smkn12malang.sch.id</v>
      </c>
    </row>
    <row r="2291">
      <c r="A2291" s="3" t="str">
        <f t="shared" si="1"/>
        <v>OK</v>
      </c>
      <c r="B2291" s="3" t="str">
        <f t="shared" si="2"/>
        <v>OK</v>
      </c>
      <c r="C2291" s="3">
        <v>8140.0</v>
      </c>
      <c r="D2291" s="4" t="s">
        <v>5195</v>
      </c>
      <c r="E2291" s="3" t="s">
        <v>5196</v>
      </c>
      <c r="F2291" s="3" t="s">
        <v>17</v>
      </c>
      <c r="G2291" s="3" t="str">
        <f t="shared" si="3"/>
        <v>XIIOTO5</v>
      </c>
      <c r="H2291" s="3" t="str">
        <f>VLOOKUP($C2291,Userpass!$A$2:$L$3001,12,FALSE)</f>
        <v>OTO5</v>
      </c>
      <c r="I2291" s="5" t="s">
        <v>4223</v>
      </c>
      <c r="J2291" s="3">
        <v>2023.0</v>
      </c>
      <c r="K2291" s="4" t="str">
        <f>VLOOKUP($C2291,Userpass!$A$2:$R$3001,2,FALSE)</f>
        <v>oto20238140.siswa@smkn12malang.sch.id</v>
      </c>
    </row>
    <row r="2292">
      <c r="A2292" s="3" t="str">
        <f t="shared" si="1"/>
        <v>OK</v>
      </c>
      <c r="B2292" s="3" t="str">
        <f t="shared" si="2"/>
        <v>OK</v>
      </c>
      <c r="C2292" s="3">
        <v>8172.0</v>
      </c>
      <c r="D2292" s="4" t="s">
        <v>5197</v>
      </c>
      <c r="E2292" s="3" t="s">
        <v>5198</v>
      </c>
      <c r="F2292" s="3" t="s">
        <v>17</v>
      </c>
      <c r="G2292" s="3" t="str">
        <f t="shared" si="3"/>
        <v>XIIOTO5</v>
      </c>
      <c r="H2292" s="3" t="str">
        <f>VLOOKUP($C2292,Userpass!$A$2:$L$3001,12,FALSE)</f>
        <v>OTO5</v>
      </c>
      <c r="I2292" s="5" t="s">
        <v>4223</v>
      </c>
      <c r="J2292" s="3">
        <v>2023.0</v>
      </c>
      <c r="K2292" s="4" t="str">
        <f>VLOOKUP($C2292,Userpass!$A$2:$R$3001,2,FALSE)</f>
        <v>oto20238172.siswa@smkn12malang.sch.id</v>
      </c>
    </row>
    <row r="2293">
      <c r="A2293" s="3" t="str">
        <f t="shared" si="1"/>
        <v>OK</v>
      </c>
      <c r="B2293" s="3" t="str">
        <f t="shared" si="2"/>
        <v>OK</v>
      </c>
      <c r="C2293" s="3">
        <v>8195.0</v>
      </c>
      <c r="D2293" s="4" t="s">
        <v>5199</v>
      </c>
      <c r="E2293" s="3" t="s">
        <v>5200</v>
      </c>
      <c r="F2293" s="3" t="s">
        <v>17</v>
      </c>
      <c r="G2293" s="3" t="str">
        <f t="shared" si="3"/>
        <v>XIIOTO5</v>
      </c>
      <c r="H2293" s="3" t="str">
        <f>VLOOKUP($C2293,Userpass!$A$2:$L$3001,12,FALSE)</f>
        <v>OTO5</v>
      </c>
      <c r="I2293" s="5" t="s">
        <v>4223</v>
      </c>
      <c r="J2293" s="3">
        <v>2023.0</v>
      </c>
      <c r="K2293" s="4" t="str">
        <f>VLOOKUP($C2293,Userpass!$A$2:$R$3001,2,FALSE)</f>
        <v>oto20238195.siswa@smkn12malang.sch.id</v>
      </c>
    </row>
    <row r="2294">
      <c r="A2294" s="3" t="str">
        <f t="shared" si="1"/>
        <v>OK</v>
      </c>
      <c r="B2294" s="3" t="str">
        <f t="shared" si="2"/>
        <v>OK</v>
      </c>
      <c r="C2294" s="3">
        <v>8205.0</v>
      </c>
      <c r="D2294" s="4" t="s">
        <v>5201</v>
      </c>
      <c r="E2294" s="3" t="s">
        <v>5202</v>
      </c>
      <c r="F2294" s="3" t="s">
        <v>17</v>
      </c>
      <c r="G2294" s="3" t="str">
        <f t="shared" si="3"/>
        <v>XIIOTO5</v>
      </c>
      <c r="H2294" s="3" t="str">
        <f>VLOOKUP($C2294,Userpass!$A$2:$L$3001,12,FALSE)</f>
        <v>OTO5</v>
      </c>
      <c r="I2294" s="5" t="s">
        <v>4223</v>
      </c>
      <c r="J2294" s="3">
        <v>2023.0</v>
      </c>
      <c r="K2294" s="4" t="str">
        <f>VLOOKUP($C2294,Userpass!$A$2:$R$3001,2,FALSE)</f>
        <v>oto20238205.siswa@smkn12malang.sch.id</v>
      </c>
    </row>
    <row r="2295">
      <c r="A2295" s="3" t="str">
        <f t="shared" si="1"/>
        <v>OK</v>
      </c>
      <c r="B2295" s="3" t="str">
        <f t="shared" si="2"/>
        <v>OK</v>
      </c>
      <c r="C2295" s="3">
        <v>8241.0</v>
      </c>
      <c r="D2295" s="4" t="s">
        <v>5203</v>
      </c>
      <c r="E2295" s="3" t="s">
        <v>5204</v>
      </c>
      <c r="F2295" s="3" t="s">
        <v>17</v>
      </c>
      <c r="G2295" s="3" t="str">
        <f t="shared" si="3"/>
        <v>XIIOTO5</v>
      </c>
      <c r="H2295" s="3" t="str">
        <f>VLOOKUP($C2295,Userpass!$A$2:$L$3001,12,FALSE)</f>
        <v>OTO5</v>
      </c>
      <c r="I2295" s="5" t="s">
        <v>4223</v>
      </c>
      <c r="J2295" s="3">
        <v>2023.0</v>
      </c>
      <c r="K2295" s="4" t="str">
        <f>VLOOKUP($C2295,Userpass!$A$2:$R$3001,2,FALSE)</f>
        <v>oto20238241.siswa@smkn12malang.sch.id</v>
      </c>
    </row>
    <row r="2296">
      <c r="A2296" s="3" t="str">
        <f t="shared" si="1"/>
        <v>OK</v>
      </c>
      <c r="B2296" s="3" t="str">
        <f t="shared" si="2"/>
        <v>OK</v>
      </c>
      <c r="C2296" s="3">
        <v>8264.0</v>
      </c>
      <c r="D2296" s="4" t="s">
        <v>5205</v>
      </c>
      <c r="E2296" s="3" t="s">
        <v>5206</v>
      </c>
      <c r="F2296" s="3" t="s">
        <v>17</v>
      </c>
      <c r="G2296" s="3" t="str">
        <f t="shared" si="3"/>
        <v>XIIOTO5</v>
      </c>
      <c r="H2296" s="3" t="str">
        <f>VLOOKUP($C2296,Userpass!$A$2:$L$3001,12,FALSE)</f>
        <v>OTO5</v>
      </c>
      <c r="I2296" s="5" t="s">
        <v>4223</v>
      </c>
      <c r="J2296" s="3">
        <v>2023.0</v>
      </c>
      <c r="K2296" s="4" t="str">
        <f>VLOOKUP($C2296,Userpass!$A$2:$R$3001,2,FALSE)</f>
        <v>oto20238264.siswa@smkn12malang.sch.id</v>
      </c>
    </row>
    <row r="2297">
      <c r="A2297" s="3" t="str">
        <f t="shared" si="1"/>
        <v>OK</v>
      </c>
      <c r="B2297" s="3" t="str">
        <f t="shared" si="2"/>
        <v>OK</v>
      </c>
      <c r="C2297" s="3">
        <v>8321.0</v>
      </c>
      <c r="D2297" s="4" t="s">
        <v>5207</v>
      </c>
      <c r="E2297" s="3" t="s">
        <v>5208</v>
      </c>
      <c r="F2297" s="3" t="s">
        <v>17</v>
      </c>
      <c r="G2297" s="3" t="str">
        <f t="shared" si="3"/>
        <v>XIIOTO5</v>
      </c>
      <c r="H2297" s="3" t="str">
        <f>VLOOKUP($C2297,Userpass!$A$2:$L$3001,12,FALSE)</f>
        <v>OTO5</v>
      </c>
      <c r="I2297" s="5" t="s">
        <v>4223</v>
      </c>
      <c r="J2297" s="3">
        <v>2023.0</v>
      </c>
      <c r="K2297" s="4" t="str">
        <f>VLOOKUP($C2297,Userpass!$A$2:$R$3001,2,FALSE)</f>
        <v>oto20238321.siswa@smkn12malang.sch.id</v>
      </c>
    </row>
    <row r="2298">
      <c r="A2298" s="3" t="str">
        <f t="shared" si="1"/>
        <v>OK</v>
      </c>
      <c r="B2298" s="3" t="str">
        <f t="shared" si="2"/>
        <v>OK</v>
      </c>
      <c r="C2298" s="3">
        <v>8334.0</v>
      </c>
      <c r="D2298" s="4" t="s">
        <v>5209</v>
      </c>
      <c r="E2298" s="3" t="s">
        <v>5210</v>
      </c>
      <c r="F2298" s="3" t="s">
        <v>17</v>
      </c>
      <c r="G2298" s="3" t="str">
        <f t="shared" si="3"/>
        <v>XIIOTO5</v>
      </c>
      <c r="H2298" s="3" t="str">
        <f>VLOOKUP($C2298,Userpass!$A$2:$L$3001,12,FALSE)</f>
        <v>OTO5</v>
      </c>
      <c r="I2298" s="5" t="s">
        <v>4223</v>
      </c>
      <c r="J2298" s="3">
        <v>2023.0</v>
      </c>
      <c r="K2298" s="4" t="str">
        <f>VLOOKUP($C2298,Userpass!$A$2:$R$3001,2,FALSE)</f>
        <v>oto20238334.siswa@smkn12malang.sch.id</v>
      </c>
    </row>
    <row r="2299">
      <c r="A2299" s="3" t="str">
        <f t="shared" si="1"/>
        <v>OK</v>
      </c>
      <c r="B2299" s="3" t="str">
        <f t="shared" si="2"/>
        <v>OK</v>
      </c>
      <c r="C2299" s="3">
        <v>8368.0</v>
      </c>
      <c r="D2299" s="4" t="s">
        <v>5211</v>
      </c>
      <c r="E2299" s="3" t="s">
        <v>5212</v>
      </c>
      <c r="F2299" s="3" t="s">
        <v>17</v>
      </c>
      <c r="G2299" s="3" t="str">
        <f t="shared" si="3"/>
        <v>XIIOTO5</v>
      </c>
      <c r="H2299" s="3" t="str">
        <f>VLOOKUP($C2299,Userpass!$A$2:$L$3001,12,FALSE)</f>
        <v>OTO5</v>
      </c>
      <c r="I2299" s="5" t="s">
        <v>4223</v>
      </c>
      <c r="J2299" s="3">
        <v>2023.0</v>
      </c>
      <c r="K2299" s="4" t="str">
        <f>VLOOKUP($C2299,Userpass!$A$2:$R$3001,2,FALSE)</f>
        <v>oto20238368.siswa@smkn12malang.sch.id</v>
      </c>
    </row>
    <row r="2300">
      <c r="A2300" s="3" t="str">
        <f t="shared" si="1"/>
        <v>OK</v>
      </c>
      <c r="B2300" s="3" t="str">
        <f t="shared" si="2"/>
        <v>OK</v>
      </c>
      <c r="C2300" s="3">
        <v>8379.0</v>
      </c>
      <c r="D2300" s="4" t="s">
        <v>5213</v>
      </c>
      <c r="E2300" s="3" t="s">
        <v>5214</v>
      </c>
      <c r="F2300" s="3" t="s">
        <v>17</v>
      </c>
      <c r="G2300" s="3" t="str">
        <f t="shared" si="3"/>
        <v>XIIOTO5</v>
      </c>
      <c r="H2300" s="3" t="str">
        <f>VLOOKUP($C2300,Userpass!$A$2:$L$3001,12,FALSE)</f>
        <v>OTO5</v>
      </c>
      <c r="I2300" s="5" t="s">
        <v>4223</v>
      </c>
      <c r="J2300" s="3">
        <v>2023.0</v>
      </c>
      <c r="K2300" s="4" t="str">
        <f>VLOOKUP($C2300,Userpass!$A$2:$R$3001,2,FALSE)</f>
        <v>oto20238379.siswa@smkn12malang.sch.id</v>
      </c>
    </row>
    <row r="2301">
      <c r="A2301" s="3" t="str">
        <f t="shared" si="1"/>
        <v>OK</v>
      </c>
      <c r="B2301" s="3" t="str">
        <f t="shared" si="2"/>
        <v>OK</v>
      </c>
      <c r="C2301" s="3">
        <v>8384.0</v>
      </c>
      <c r="D2301" s="4" t="s">
        <v>5215</v>
      </c>
      <c r="E2301" s="3" t="s">
        <v>5216</v>
      </c>
      <c r="F2301" s="3" t="s">
        <v>17</v>
      </c>
      <c r="G2301" s="3" t="str">
        <f t="shared" si="3"/>
        <v>XIIOTO5</v>
      </c>
      <c r="H2301" s="3" t="str">
        <f>VLOOKUP($C2301,Userpass!$A$2:$L$3001,12,FALSE)</f>
        <v>OTO5</v>
      </c>
      <c r="I2301" s="5" t="s">
        <v>4223</v>
      </c>
      <c r="J2301" s="3">
        <v>2023.0</v>
      </c>
      <c r="K2301" s="4" t="str">
        <f>VLOOKUP($C2301,Userpass!$A$2:$R$3001,2,FALSE)</f>
        <v>oto20238384.siswa@smkn12malang.sch.id</v>
      </c>
    </row>
    <row r="2302">
      <c r="A2302" s="3" t="str">
        <f t="shared" si="1"/>
        <v>OK</v>
      </c>
      <c r="B2302" s="3" t="str">
        <f t="shared" si="2"/>
        <v>OK</v>
      </c>
      <c r="C2302" s="3">
        <v>8395.0</v>
      </c>
      <c r="D2302" s="4" t="s">
        <v>5217</v>
      </c>
      <c r="E2302" s="3" t="s">
        <v>5218</v>
      </c>
      <c r="F2302" s="3" t="s">
        <v>17</v>
      </c>
      <c r="G2302" s="3" t="str">
        <f t="shared" si="3"/>
        <v>XIIOTO5</v>
      </c>
      <c r="H2302" s="3" t="str">
        <f>VLOOKUP($C2302,Userpass!$A$2:$L$3001,12,FALSE)</f>
        <v>OTO5</v>
      </c>
      <c r="I2302" s="5" t="s">
        <v>4223</v>
      </c>
      <c r="J2302" s="3">
        <v>2023.0</v>
      </c>
      <c r="K2302" s="4" t="str">
        <f>VLOOKUP($C2302,Userpass!$A$2:$R$3001,2,FALSE)</f>
        <v>oto20238395.siswa@smkn12malang.sch.id</v>
      </c>
    </row>
    <row r="2303">
      <c r="A2303" s="3" t="str">
        <f t="shared" si="1"/>
        <v>OK</v>
      </c>
      <c r="B2303" s="3" t="str">
        <f t="shared" si="2"/>
        <v>OK</v>
      </c>
      <c r="C2303" s="3">
        <v>8410.0</v>
      </c>
      <c r="D2303" s="4" t="s">
        <v>5219</v>
      </c>
      <c r="E2303" s="3" t="s">
        <v>5220</v>
      </c>
      <c r="F2303" s="3" t="s">
        <v>17</v>
      </c>
      <c r="G2303" s="3" t="str">
        <f t="shared" si="3"/>
        <v>XIIOTO5</v>
      </c>
      <c r="H2303" s="3" t="str">
        <f>VLOOKUP($C2303,Userpass!$A$2:$L$3001,12,FALSE)</f>
        <v>OTO5</v>
      </c>
      <c r="I2303" s="5" t="s">
        <v>4223</v>
      </c>
      <c r="J2303" s="3">
        <v>2023.0</v>
      </c>
      <c r="K2303" s="4" t="str">
        <f>VLOOKUP($C2303,Userpass!$A$2:$R$3001,2,FALSE)</f>
        <v>oto20238410.siswa@smkn12malang.sch.id</v>
      </c>
    </row>
    <row r="2304">
      <c r="A2304" s="3" t="str">
        <f t="shared" si="1"/>
        <v>OK</v>
      </c>
      <c r="B2304" s="3" t="str">
        <f t="shared" si="2"/>
        <v>OK</v>
      </c>
      <c r="C2304" s="3">
        <v>8424.0</v>
      </c>
      <c r="D2304" s="4" t="s">
        <v>5221</v>
      </c>
      <c r="E2304" s="3" t="s">
        <v>5222</v>
      </c>
      <c r="F2304" s="3" t="s">
        <v>17</v>
      </c>
      <c r="G2304" s="3" t="str">
        <f t="shared" si="3"/>
        <v>XIIOTO5</v>
      </c>
      <c r="H2304" s="3" t="str">
        <f>VLOOKUP($C2304,Userpass!$A$2:$L$3001,12,FALSE)</f>
        <v>OTO5</v>
      </c>
      <c r="I2304" s="5" t="s">
        <v>4223</v>
      </c>
      <c r="J2304" s="3">
        <v>2023.0</v>
      </c>
      <c r="K2304" s="4" t="str">
        <f>VLOOKUP($C2304,Userpass!$A$2:$R$3001,2,FALSE)</f>
        <v>oto20238424.siswa@smkn12malang.sch.id</v>
      </c>
    </row>
    <row r="2305">
      <c r="A2305" s="3" t="str">
        <f t="shared" si="1"/>
        <v>OK</v>
      </c>
      <c r="B2305" s="3" t="str">
        <f t="shared" si="2"/>
        <v>OK</v>
      </c>
      <c r="C2305" s="3">
        <v>8432.0</v>
      </c>
      <c r="D2305" s="4" t="s">
        <v>5223</v>
      </c>
      <c r="E2305" s="3" t="s">
        <v>5224</v>
      </c>
      <c r="F2305" s="3" t="s">
        <v>17</v>
      </c>
      <c r="G2305" s="3" t="str">
        <f t="shared" si="3"/>
        <v>XIIOTO5</v>
      </c>
      <c r="H2305" s="3" t="str">
        <f>VLOOKUP($C2305,Userpass!$A$2:$L$3001,12,FALSE)</f>
        <v>OTO5</v>
      </c>
      <c r="I2305" s="5" t="s">
        <v>4223</v>
      </c>
      <c r="J2305" s="3">
        <v>2023.0</v>
      </c>
      <c r="K2305" s="4" t="str">
        <f>VLOOKUP($C2305,Userpass!$A$2:$R$3001,2,FALSE)</f>
        <v>oto20238432.siswa@smkn12malang.sch.id</v>
      </c>
    </row>
    <row r="2306">
      <c r="A2306" s="3" t="str">
        <f t="shared" si="1"/>
        <v>OK</v>
      </c>
      <c r="B2306" s="3" t="str">
        <f t="shared" si="2"/>
        <v>OK</v>
      </c>
      <c r="C2306" s="3">
        <v>8458.0</v>
      </c>
      <c r="D2306" s="4" t="s">
        <v>5225</v>
      </c>
      <c r="E2306" s="3" t="s">
        <v>5226</v>
      </c>
      <c r="F2306" s="3" t="s">
        <v>17</v>
      </c>
      <c r="G2306" s="3" t="str">
        <f t="shared" si="3"/>
        <v>XIIOTO5</v>
      </c>
      <c r="H2306" s="3" t="str">
        <f>VLOOKUP($C2306,Userpass!$A$2:$L$3001,12,FALSE)</f>
        <v>OTO5</v>
      </c>
      <c r="I2306" s="5" t="s">
        <v>4223</v>
      </c>
      <c r="J2306" s="3">
        <v>2023.0</v>
      </c>
      <c r="K2306" s="4" t="str">
        <f>VLOOKUP($C2306,Userpass!$A$2:$R$3001,2,FALSE)</f>
        <v>oto20238458.siswa@smkn12malang.sch.id</v>
      </c>
    </row>
    <row r="2307">
      <c r="A2307" s="3" t="str">
        <f t="shared" si="1"/>
        <v>OK</v>
      </c>
      <c r="B2307" s="3" t="str">
        <f t="shared" si="2"/>
        <v>OK</v>
      </c>
      <c r="C2307" s="3">
        <v>8490.0</v>
      </c>
      <c r="D2307" s="4" t="s">
        <v>5227</v>
      </c>
      <c r="E2307" s="3" t="s">
        <v>5228</v>
      </c>
      <c r="F2307" s="3" t="s">
        <v>17</v>
      </c>
      <c r="G2307" s="3" t="str">
        <f t="shared" si="3"/>
        <v>XIIOTO5</v>
      </c>
      <c r="H2307" s="3" t="str">
        <f>VLOOKUP($C2307,Userpass!$A$2:$L$3001,12,FALSE)</f>
        <v>OTO5</v>
      </c>
      <c r="I2307" s="5" t="s">
        <v>4223</v>
      </c>
      <c r="J2307" s="3">
        <v>2023.0</v>
      </c>
      <c r="K2307" s="4" t="str">
        <f>VLOOKUP($C2307,Userpass!$A$2:$R$3001,2,FALSE)</f>
        <v>oto20238490.siswa@smkn12malang.sch.id</v>
      </c>
    </row>
    <row r="2308">
      <c r="A2308" s="3" t="str">
        <f t="shared" si="1"/>
        <v>OK</v>
      </c>
      <c r="B2308" s="3" t="str">
        <f t="shared" si="2"/>
        <v>OK</v>
      </c>
      <c r="C2308" s="3">
        <v>8503.0</v>
      </c>
      <c r="D2308" s="4" t="s">
        <v>5229</v>
      </c>
      <c r="E2308" s="3" t="s">
        <v>5230</v>
      </c>
      <c r="F2308" s="3" t="s">
        <v>17</v>
      </c>
      <c r="G2308" s="3" t="str">
        <f t="shared" si="3"/>
        <v>XIIOTO5</v>
      </c>
      <c r="H2308" s="3" t="str">
        <f>VLOOKUP($C2308,Userpass!$A$2:$L$3001,12,FALSE)</f>
        <v>OTO5</v>
      </c>
      <c r="I2308" s="5" t="s">
        <v>4223</v>
      </c>
      <c r="J2308" s="3">
        <v>2023.0</v>
      </c>
      <c r="K2308" s="4" t="str">
        <f>VLOOKUP($C2308,Userpass!$A$2:$R$3001,2,FALSE)</f>
        <v>oto20238503.siswa@smkn12malang.sch.id</v>
      </c>
    </row>
    <row r="2309">
      <c r="A2309" s="3" t="str">
        <f t="shared" si="1"/>
        <v>OK</v>
      </c>
      <c r="B2309" s="3" t="str">
        <f t="shared" si="2"/>
        <v>OK</v>
      </c>
      <c r="C2309" s="3">
        <v>8518.0</v>
      </c>
      <c r="D2309" s="4" t="s">
        <v>5231</v>
      </c>
      <c r="E2309" s="3" t="s">
        <v>5232</v>
      </c>
      <c r="F2309" s="3" t="s">
        <v>17</v>
      </c>
      <c r="G2309" s="3" t="str">
        <f t="shared" si="3"/>
        <v>XIIOTO5</v>
      </c>
      <c r="H2309" s="3" t="str">
        <f>VLOOKUP($C2309,Userpass!$A$2:$L$3001,12,FALSE)</f>
        <v>OTO5</v>
      </c>
      <c r="I2309" s="5" t="s">
        <v>4223</v>
      </c>
      <c r="J2309" s="3">
        <v>2023.0</v>
      </c>
      <c r="K2309" s="4" t="str">
        <f>VLOOKUP($C2309,Userpass!$A$2:$R$3001,2,FALSE)</f>
        <v>oto20238518.siswa@smkn12malang.sch.id</v>
      </c>
    </row>
    <row r="2310">
      <c r="A2310" s="3" t="str">
        <f t="shared" si="1"/>
        <v>OK</v>
      </c>
      <c r="B2310" s="3" t="str">
        <f t="shared" si="2"/>
        <v>OK</v>
      </c>
      <c r="C2310" s="3">
        <v>8524.0</v>
      </c>
      <c r="D2310" s="4" t="s">
        <v>5233</v>
      </c>
      <c r="E2310" s="3" t="s">
        <v>5234</v>
      </c>
      <c r="F2310" s="3" t="s">
        <v>17</v>
      </c>
      <c r="G2310" s="3" t="str">
        <f t="shared" si="3"/>
        <v>XIIOTO5</v>
      </c>
      <c r="H2310" s="3" t="str">
        <f>VLOOKUP($C2310,Userpass!$A$2:$L$3001,12,FALSE)</f>
        <v>OTO5</v>
      </c>
      <c r="I2310" s="5" t="s">
        <v>4223</v>
      </c>
      <c r="J2310" s="3">
        <v>2023.0</v>
      </c>
      <c r="K2310" s="4" t="str">
        <f>VLOOKUP($C2310,Userpass!$A$2:$R$3001,2,FALSE)</f>
        <v>oto20238524.siswa@smkn12malang.sch.id</v>
      </c>
    </row>
    <row r="2311">
      <c r="A2311" s="3" t="str">
        <f t="shared" si="1"/>
        <v>OK</v>
      </c>
      <c r="B2311" s="3" t="str">
        <f t="shared" si="2"/>
        <v>OK</v>
      </c>
      <c r="C2311" s="3">
        <v>8529.0</v>
      </c>
      <c r="D2311" s="4" t="s">
        <v>5235</v>
      </c>
      <c r="E2311" s="3" t="s">
        <v>5236</v>
      </c>
      <c r="F2311" s="3" t="s">
        <v>17</v>
      </c>
      <c r="G2311" s="3" t="str">
        <f t="shared" si="3"/>
        <v>XIIOTO5</v>
      </c>
      <c r="H2311" s="3" t="str">
        <f>VLOOKUP($C2311,Userpass!$A$2:$L$3001,12,FALSE)</f>
        <v>OTO5</v>
      </c>
      <c r="I2311" s="5" t="s">
        <v>4223</v>
      </c>
      <c r="J2311" s="3">
        <v>2023.0</v>
      </c>
      <c r="K2311" s="4" t="str">
        <f>VLOOKUP($C2311,Userpass!$A$2:$R$3001,2,FALSE)</f>
        <v>oto20238529.siswa@smkn12malang.sch.id</v>
      </c>
    </row>
    <row r="2312">
      <c r="A2312" s="3" t="str">
        <f t="shared" si="1"/>
        <v>OK</v>
      </c>
      <c r="B2312" s="3" t="str">
        <f t="shared" si="2"/>
        <v>OK</v>
      </c>
      <c r="C2312" s="3">
        <v>8535.0</v>
      </c>
      <c r="D2312" s="4" t="s">
        <v>5237</v>
      </c>
      <c r="E2312" s="3" t="s">
        <v>5238</v>
      </c>
      <c r="F2312" s="3" t="s">
        <v>17</v>
      </c>
      <c r="G2312" s="3" t="str">
        <f t="shared" si="3"/>
        <v>XIIOTO5</v>
      </c>
      <c r="H2312" s="3" t="str">
        <f>VLOOKUP($C2312,Userpass!$A$2:$L$3001,12,FALSE)</f>
        <v>OTO5</v>
      </c>
      <c r="I2312" s="5" t="s">
        <v>4223</v>
      </c>
      <c r="J2312" s="3">
        <v>2023.0</v>
      </c>
      <c r="K2312" s="4" t="str">
        <f>VLOOKUP($C2312,Userpass!$A$2:$R$3001,2,FALSE)</f>
        <v>oto20238535.siswa@smkn12malang.sch.id</v>
      </c>
    </row>
    <row r="2313">
      <c r="A2313" s="3" t="str">
        <f t="shared" si="1"/>
        <v>OK</v>
      </c>
      <c r="B2313" s="3" t="str">
        <f t="shared" si="2"/>
        <v>OK</v>
      </c>
      <c r="C2313" s="3">
        <v>8581.0</v>
      </c>
      <c r="D2313" s="4" t="s">
        <v>5239</v>
      </c>
      <c r="E2313" s="3" t="s">
        <v>5240</v>
      </c>
      <c r="F2313" s="3" t="s">
        <v>17</v>
      </c>
      <c r="G2313" s="3" t="str">
        <f t="shared" si="3"/>
        <v>XIIOTO5</v>
      </c>
      <c r="H2313" s="3" t="str">
        <f>VLOOKUP($C2313,Userpass!$A$2:$L$3001,12,FALSE)</f>
        <v>OTO5</v>
      </c>
      <c r="I2313" s="5" t="s">
        <v>4223</v>
      </c>
      <c r="J2313" s="3">
        <v>2023.0</v>
      </c>
      <c r="K2313" s="4" t="str">
        <f>VLOOKUP($C2313,Userpass!$A$2:$R$3001,2,FALSE)</f>
        <v>oto20238581.siswa@smkn12malang.sch.id</v>
      </c>
    </row>
    <row r="2314">
      <c r="A2314" s="3" t="str">
        <f t="shared" si="1"/>
        <v>OK</v>
      </c>
      <c r="B2314" s="3" t="str">
        <f t="shared" si="2"/>
        <v>OK</v>
      </c>
      <c r="C2314" s="3">
        <v>8600.0</v>
      </c>
      <c r="D2314" s="4" t="s">
        <v>5241</v>
      </c>
      <c r="E2314" s="3" t="s">
        <v>5242</v>
      </c>
      <c r="F2314" s="3" t="s">
        <v>17</v>
      </c>
      <c r="G2314" s="3" t="str">
        <f t="shared" si="3"/>
        <v>XIIOTO5</v>
      </c>
      <c r="H2314" s="3" t="str">
        <f>VLOOKUP($C2314,Userpass!$A$2:$L$3001,12,FALSE)</f>
        <v>OTO5</v>
      </c>
      <c r="I2314" s="5" t="s">
        <v>4223</v>
      </c>
      <c r="J2314" s="3">
        <v>2023.0</v>
      </c>
      <c r="K2314" s="4" t="str">
        <f>VLOOKUP($C2314,Userpass!$A$2:$R$3001,2,FALSE)</f>
        <v>oto20238600.siswa@smkn12malang.sch.id</v>
      </c>
    </row>
    <row r="2315">
      <c r="A2315" s="3" t="str">
        <f t="shared" si="1"/>
        <v>OK</v>
      </c>
      <c r="B2315" s="3" t="str">
        <f t="shared" si="2"/>
        <v>OK</v>
      </c>
      <c r="C2315" s="3">
        <v>8606.0</v>
      </c>
      <c r="D2315" s="4" t="s">
        <v>5243</v>
      </c>
      <c r="E2315" s="3" t="s">
        <v>5244</v>
      </c>
      <c r="F2315" s="3" t="s">
        <v>17</v>
      </c>
      <c r="G2315" s="3" t="str">
        <f t="shared" si="3"/>
        <v>XIIOTO5</v>
      </c>
      <c r="H2315" s="3" t="str">
        <f>VLOOKUP($C2315,Userpass!$A$2:$L$3001,12,FALSE)</f>
        <v>OTO5</v>
      </c>
      <c r="I2315" s="5" t="s">
        <v>4223</v>
      </c>
      <c r="J2315" s="3">
        <v>2023.0</v>
      </c>
      <c r="K2315" s="4" t="str">
        <f>VLOOKUP($C2315,Userpass!$A$2:$R$3001,2,FALSE)</f>
        <v>oto20238606.siswa@smkn12malang.sch.id</v>
      </c>
    </row>
    <row r="2316">
      <c r="A2316" s="3" t="str">
        <f t="shared" si="1"/>
        <v>OK</v>
      </c>
      <c r="B2316" s="3" t="str">
        <f t="shared" si="2"/>
        <v>OK</v>
      </c>
      <c r="C2316" s="3">
        <v>8630.0</v>
      </c>
      <c r="D2316" s="4" t="s">
        <v>5245</v>
      </c>
      <c r="E2316" s="3" t="s">
        <v>5246</v>
      </c>
      <c r="F2316" s="3" t="s">
        <v>17</v>
      </c>
      <c r="G2316" s="3" t="str">
        <f t="shared" si="3"/>
        <v>XIIOTO5</v>
      </c>
      <c r="H2316" s="3" t="str">
        <f>VLOOKUP($C2316,Userpass!$A$2:$L$3001,12,FALSE)</f>
        <v>OTO5</v>
      </c>
      <c r="I2316" s="5" t="s">
        <v>4223</v>
      </c>
      <c r="J2316" s="3">
        <v>2023.0</v>
      </c>
      <c r="K2316" s="4" t="str">
        <f>VLOOKUP($C2316,Userpass!$A$2:$R$3001,2,FALSE)</f>
        <v>oto20238630.siswa@smkn12malang.sch.id</v>
      </c>
    </row>
    <row r="2317">
      <c r="A2317" s="3" t="str">
        <f t="shared" si="1"/>
        <v>OK</v>
      </c>
      <c r="B2317" s="3" t="str">
        <f t="shared" si="2"/>
        <v>OK</v>
      </c>
      <c r="C2317" s="3">
        <v>8021.0</v>
      </c>
      <c r="D2317" s="4" t="s">
        <v>5247</v>
      </c>
      <c r="E2317" s="3" t="s">
        <v>5248</v>
      </c>
      <c r="F2317" s="3" t="s">
        <v>17</v>
      </c>
      <c r="G2317" s="3" t="str">
        <f t="shared" si="3"/>
        <v>XIIPLG1</v>
      </c>
      <c r="H2317" s="3" t="str">
        <f>VLOOKUP($C2317,Userpass!$A$2:$L$3001,12,FALSE)</f>
        <v>PLG1</v>
      </c>
      <c r="I2317" s="5" t="s">
        <v>4223</v>
      </c>
      <c r="J2317" s="3">
        <v>2023.0</v>
      </c>
      <c r="K2317" s="4" t="str">
        <f>VLOOKUP($C2317,Userpass!$A$2:$R$3001,2,FALSE)</f>
        <v>plg20238021.siswa@smkn12malang.sch.id</v>
      </c>
    </row>
    <row r="2318">
      <c r="A2318" s="3" t="str">
        <f t="shared" si="1"/>
        <v>OK</v>
      </c>
      <c r="B2318" s="3" t="str">
        <f t="shared" si="2"/>
        <v>OK</v>
      </c>
      <c r="C2318" s="3">
        <v>8023.0</v>
      </c>
      <c r="D2318" s="4" t="s">
        <v>5249</v>
      </c>
      <c r="E2318" s="3" t="s">
        <v>5250</v>
      </c>
      <c r="F2318" s="3" t="s">
        <v>17</v>
      </c>
      <c r="G2318" s="3" t="str">
        <f t="shared" si="3"/>
        <v>XIIPLG1</v>
      </c>
      <c r="H2318" s="3" t="str">
        <f>VLOOKUP($C2318,Userpass!$A$2:$L$3001,12,FALSE)</f>
        <v>PLG1</v>
      </c>
      <c r="I2318" s="5" t="s">
        <v>4223</v>
      </c>
      <c r="J2318" s="3">
        <v>2023.0</v>
      </c>
      <c r="K2318" s="4" t="str">
        <f>VLOOKUP($C2318,Userpass!$A$2:$R$3001,2,FALSE)</f>
        <v>plg20238023.siswa@smkn12malang.sch.id</v>
      </c>
    </row>
    <row r="2319">
      <c r="A2319" s="3" t="str">
        <f t="shared" si="1"/>
        <v>OK</v>
      </c>
      <c r="B2319" s="3" t="str">
        <f t="shared" si="2"/>
        <v>OK</v>
      </c>
      <c r="C2319" s="3">
        <v>8038.0</v>
      </c>
      <c r="D2319" s="4" t="s">
        <v>5251</v>
      </c>
      <c r="E2319" s="3" t="s">
        <v>5252</v>
      </c>
      <c r="F2319" s="3" t="s">
        <v>17</v>
      </c>
      <c r="G2319" s="3" t="str">
        <f t="shared" si="3"/>
        <v>XIIPLG1</v>
      </c>
      <c r="H2319" s="3" t="str">
        <f>VLOOKUP($C2319,Userpass!$A$2:$L$3001,12,FALSE)</f>
        <v>PLG1</v>
      </c>
      <c r="I2319" s="5" t="s">
        <v>4223</v>
      </c>
      <c r="J2319" s="3">
        <v>2023.0</v>
      </c>
      <c r="K2319" s="4" t="str">
        <f>VLOOKUP($C2319,Userpass!$A$2:$R$3001,2,FALSE)</f>
        <v>plg20238038.siswa@smkn12malang.sch.id</v>
      </c>
    </row>
    <row r="2320">
      <c r="A2320" s="3" t="str">
        <f t="shared" si="1"/>
        <v>OK</v>
      </c>
      <c r="B2320" s="3" t="str">
        <f t="shared" si="2"/>
        <v>OK</v>
      </c>
      <c r="C2320" s="3">
        <v>8048.0</v>
      </c>
      <c r="D2320" s="4" t="s">
        <v>5253</v>
      </c>
      <c r="E2320" s="3" t="s">
        <v>5254</v>
      </c>
      <c r="F2320" s="3" t="s">
        <v>17</v>
      </c>
      <c r="G2320" s="3" t="str">
        <f t="shared" si="3"/>
        <v>XIIPLG1</v>
      </c>
      <c r="H2320" s="3" t="str">
        <f>VLOOKUP($C2320,Userpass!$A$2:$L$3001,12,FALSE)</f>
        <v>PLG1</v>
      </c>
      <c r="I2320" s="5" t="s">
        <v>4223</v>
      </c>
      <c r="J2320" s="3">
        <v>2023.0</v>
      </c>
      <c r="K2320" s="4" t="str">
        <f>VLOOKUP($C2320,Userpass!$A$2:$R$3001,2,FALSE)</f>
        <v>plg20238048.siswa@smkn12malang.sch.id</v>
      </c>
    </row>
    <row r="2321">
      <c r="A2321" s="3" t="str">
        <f t="shared" si="1"/>
        <v>OK</v>
      </c>
      <c r="B2321" s="3" t="str">
        <f t="shared" si="2"/>
        <v>OK</v>
      </c>
      <c r="C2321" s="3">
        <v>8060.0</v>
      </c>
      <c r="D2321" s="4" t="s">
        <v>5255</v>
      </c>
      <c r="E2321" s="3" t="s">
        <v>5256</v>
      </c>
      <c r="F2321" s="3" t="s">
        <v>17</v>
      </c>
      <c r="G2321" s="3" t="str">
        <f t="shared" si="3"/>
        <v>XIIPLG1</v>
      </c>
      <c r="H2321" s="3" t="str">
        <f>VLOOKUP($C2321,Userpass!$A$2:$L$3001,12,FALSE)</f>
        <v>PLG1</v>
      </c>
      <c r="I2321" s="5" t="s">
        <v>4223</v>
      </c>
      <c r="J2321" s="3">
        <v>2023.0</v>
      </c>
      <c r="K2321" s="4" t="str">
        <f>VLOOKUP($C2321,Userpass!$A$2:$R$3001,2,FALSE)</f>
        <v>plg20238060.siswa@smkn12malang.sch.id</v>
      </c>
    </row>
    <row r="2322">
      <c r="A2322" s="3" t="str">
        <f t="shared" si="1"/>
        <v>OK</v>
      </c>
      <c r="B2322" s="3" t="str">
        <f t="shared" si="2"/>
        <v>OK</v>
      </c>
      <c r="C2322" s="3">
        <v>8088.0</v>
      </c>
      <c r="D2322" s="4" t="s">
        <v>5257</v>
      </c>
      <c r="E2322" s="3" t="s">
        <v>5258</v>
      </c>
      <c r="F2322" s="3" t="s">
        <v>13</v>
      </c>
      <c r="G2322" s="3" t="str">
        <f t="shared" si="3"/>
        <v>XIIPLG1</v>
      </c>
      <c r="H2322" s="3" t="str">
        <f>VLOOKUP($C2322,Userpass!$A$2:$L$3001,12,FALSE)</f>
        <v>PLG1</v>
      </c>
      <c r="I2322" s="5" t="s">
        <v>4223</v>
      </c>
      <c r="J2322" s="3">
        <v>2023.0</v>
      </c>
      <c r="K2322" s="4" t="str">
        <f>VLOOKUP($C2322,Userpass!$A$2:$R$3001,2,FALSE)</f>
        <v>plg20238088.siswa@smkn12malang.sch.id</v>
      </c>
    </row>
    <row r="2323">
      <c r="A2323" s="3" t="str">
        <f t="shared" si="1"/>
        <v>OK</v>
      </c>
      <c r="B2323" s="3" t="str">
        <f t="shared" si="2"/>
        <v>OK</v>
      </c>
      <c r="C2323" s="3">
        <v>8093.0</v>
      </c>
      <c r="D2323" s="4" t="s">
        <v>5259</v>
      </c>
      <c r="E2323" s="3" t="s">
        <v>5260</v>
      </c>
      <c r="F2323" s="3" t="s">
        <v>17</v>
      </c>
      <c r="G2323" s="3" t="str">
        <f t="shared" si="3"/>
        <v>XIIPLG1</v>
      </c>
      <c r="H2323" s="3" t="str">
        <f>VLOOKUP($C2323,Userpass!$A$2:$L$3001,12,FALSE)</f>
        <v>PLG1</v>
      </c>
      <c r="I2323" s="5" t="s">
        <v>4223</v>
      </c>
      <c r="J2323" s="3">
        <v>2023.0</v>
      </c>
      <c r="K2323" s="4" t="str">
        <f>VLOOKUP($C2323,Userpass!$A$2:$R$3001,2,FALSE)</f>
        <v>plg20238093.siswa@smkn12malang.sch.id</v>
      </c>
    </row>
    <row r="2324">
      <c r="A2324" s="3" t="str">
        <f t="shared" si="1"/>
        <v>OK</v>
      </c>
      <c r="B2324" s="3" t="str">
        <f t="shared" si="2"/>
        <v>OK</v>
      </c>
      <c r="C2324" s="3">
        <v>8117.0</v>
      </c>
      <c r="D2324" s="4" t="s">
        <v>5261</v>
      </c>
      <c r="E2324" s="3" t="s">
        <v>5262</v>
      </c>
      <c r="F2324" s="3" t="s">
        <v>17</v>
      </c>
      <c r="G2324" s="3" t="str">
        <f t="shared" si="3"/>
        <v>XIIPLG1</v>
      </c>
      <c r="H2324" s="3" t="str">
        <f>VLOOKUP($C2324,Userpass!$A$2:$L$3001,12,FALSE)</f>
        <v>PLG1</v>
      </c>
      <c r="I2324" s="5" t="s">
        <v>4223</v>
      </c>
      <c r="J2324" s="3">
        <v>2023.0</v>
      </c>
      <c r="K2324" s="4" t="str">
        <f>VLOOKUP($C2324,Userpass!$A$2:$R$3001,2,FALSE)</f>
        <v>plg20238117.siswa@smkn12malang.sch.id</v>
      </c>
    </row>
    <row r="2325">
      <c r="A2325" s="3" t="str">
        <f t="shared" si="1"/>
        <v>OK</v>
      </c>
      <c r="B2325" s="3" t="str">
        <f t="shared" si="2"/>
        <v>OK</v>
      </c>
      <c r="C2325" s="3">
        <v>8119.0</v>
      </c>
      <c r="D2325" s="4" t="s">
        <v>5263</v>
      </c>
      <c r="E2325" s="3" t="s">
        <v>5264</v>
      </c>
      <c r="F2325" s="3" t="s">
        <v>13</v>
      </c>
      <c r="G2325" s="3" t="str">
        <f t="shared" si="3"/>
        <v>XIIPLG1</v>
      </c>
      <c r="H2325" s="3" t="str">
        <f>VLOOKUP($C2325,Userpass!$A$2:$L$3001,12,FALSE)</f>
        <v>PLG1</v>
      </c>
      <c r="I2325" s="5" t="s">
        <v>4223</v>
      </c>
      <c r="J2325" s="3">
        <v>2023.0</v>
      </c>
      <c r="K2325" s="4" t="str">
        <f>VLOOKUP($C2325,Userpass!$A$2:$R$3001,2,FALSE)</f>
        <v>plg20238119.siswa@smkn12malang.sch.id</v>
      </c>
    </row>
    <row r="2326">
      <c r="A2326" s="3" t="str">
        <f t="shared" si="1"/>
        <v>OK</v>
      </c>
      <c r="B2326" s="3" t="str">
        <f t="shared" si="2"/>
        <v>OK</v>
      </c>
      <c r="C2326" s="3">
        <v>8151.0</v>
      </c>
      <c r="D2326" s="4" t="s">
        <v>5265</v>
      </c>
      <c r="E2326" s="3" t="s">
        <v>5266</v>
      </c>
      <c r="F2326" s="3" t="s">
        <v>13</v>
      </c>
      <c r="G2326" s="3" t="str">
        <f t="shared" si="3"/>
        <v>XIIPLG1</v>
      </c>
      <c r="H2326" s="3" t="str">
        <f>VLOOKUP($C2326,Userpass!$A$2:$L$3001,12,FALSE)</f>
        <v>PLG1</v>
      </c>
      <c r="I2326" s="5" t="s">
        <v>4223</v>
      </c>
      <c r="J2326" s="3">
        <v>2023.0</v>
      </c>
      <c r="K2326" s="4" t="str">
        <f>VLOOKUP($C2326,Userpass!$A$2:$R$3001,2,FALSE)</f>
        <v>plg20238151.siswa@smkn12malang.sch.id</v>
      </c>
    </row>
    <row r="2327">
      <c r="A2327" s="3" t="str">
        <f t="shared" si="1"/>
        <v>OK</v>
      </c>
      <c r="B2327" s="3" t="str">
        <f t="shared" si="2"/>
        <v>OK</v>
      </c>
      <c r="C2327" s="3">
        <v>8186.0</v>
      </c>
      <c r="D2327" s="4" t="s">
        <v>5267</v>
      </c>
      <c r="E2327" s="3" t="s">
        <v>5268</v>
      </c>
      <c r="F2327" s="3" t="s">
        <v>17</v>
      </c>
      <c r="G2327" s="3" t="str">
        <f t="shared" si="3"/>
        <v>XIIPLG1</v>
      </c>
      <c r="H2327" s="3" t="str">
        <f>VLOOKUP($C2327,Userpass!$A$2:$L$3001,12,FALSE)</f>
        <v>PLG1</v>
      </c>
      <c r="I2327" s="5" t="s">
        <v>4223</v>
      </c>
      <c r="J2327" s="3">
        <v>2023.0</v>
      </c>
      <c r="K2327" s="4" t="str">
        <f>VLOOKUP($C2327,Userpass!$A$2:$R$3001,2,FALSE)</f>
        <v>plg20238186.siswa@smkn12malang.sch.id</v>
      </c>
    </row>
    <row r="2328">
      <c r="A2328" s="3" t="str">
        <f t="shared" si="1"/>
        <v>OK</v>
      </c>
      <c r="B2328" s="3" t="str">
        <f t="shared" si="2"/>
        <v>OK</v>
      </c>
      <c r="C2328" s="3">
        <v>8214.0</v>
      </c>
      <c r="D2328" s="4" t="s">
        <v>5269</v>
      </c>
      <c r="E2328" s="3" t="s">
        <v>5270</v>
      </c>
      <c r="F2328" s="3" t="s">
        <v>17</v>
      </c>
      <c r="G2328" s="3" t="str">
        <f t="shared" si="3"/>
        <v>XIIPLG1</v>
      </c>
      <c r="H2328" s="3" t="str">
        <f>VLOOKUP($C2328,Userpass!$A$2:$L$3001,12,FALSE)</f>
        <v>PLG1</v>
      </c>
      <c r="I2328" s="5" t="s">
        <v>4223</v>
      </c>
      <c r="J2328" s="3">
        <v>2023.0</v>
      </c>
      <c r="K2328" s="4" t="str">
        <f>VLOOKUP($C2328,Userpass!$A$2:$R$3001,2,FALSE)</f>
        <v>plg20238214.siswa@smkn12malang.sch.id</v>
      </c>
    </row>
    <row r="2329">
      <c r="A2329" s="3" t="str">
        <f t="shared" si="1"/>
        <v>OK</v>
      </c>
      <c r="B2329" s="3" t="str">
        <f t="shared" si="2"/>
        <v>OK</v>
      </c>
      <c r="C2329" s="3">
        <v>8250.0</v>
      </c>
      <c r="D2329" s="4" t="s">
        <v>5271</v>
      </c>
      <c r="E2329" s="3" t="s">
        <v>5272</v>
      </c>
      <c r="F2329" s="3" t="s">
        <v>13</v>
      </c>
      <c r="G2329" s="3" t="str">
        <f t="shared" si="3"/>
        <v>XIIPLG1</v>
      </c>
      <c r="H2329" s="3" t="str">
        <f>VLOOKUP($C2329,Userpass!$A$2:$L$3001,12,FALSE)</f>
        <v>PLG1</v>
      </c>
      <c r="I2329" s="5" t="s">
        <v>4223</v>
      </c>
      <c r="J2329" s="3">
        <v>2023.0</v>
      </c>
      <c r="K2329" s="4" t="str">
        <f>VLOOKUP($C2329,Userpass!$A$2:$R$3001,2,FALSE)</f>
        <v>plg20238250.siswa@smkn12malang.sch.id</v>
      </c>
    </row>
    <row r="2330">
      <c r="A2330" s="3" t="str">
        <f t="shared" si="1"/>
        <v>OK</v>
      </c>
      <c r="B2330" s="3" t="str">
        <f t="shared" si="2"/>
        <v>OK</v>
      </c>
      <c r="C2330" s="3">
        <v>8259.0</v>
      </c>
      <c r="D2330" s="4" t="s">
        <v>5273</v>
      </c>
      <c r="E2330" s="3" t="s">
        <v>5274</v>
      </c>
      <c r="F2330" s="3" t="s">
        <v>13</v>
      </c>
      <c r="G2330" s="3" t="str">
        <f t="shared" si="3"/>
        <v>XIIPLG1</v>
      </c>
      <c r="H2330" s="3" t="str">
        <f>VLOOKUP($C2330,Userpass!$A$2:$L$3001,12,FALSE)</f>
        <v>PLG1</v>
      </c>
      <c r="I2330" s="5" t="s">
        <v>4223</v>
      </c>
      <c r="J2330" s="3">
        <v>2023.0</v>
      </c>
      <c r="K2330" s="4" t="str">
        <f>VLOOKUP($C2330,Userpass!$A$2:$R$3001,2,FALSE)</f>
        <v>plg20238259.siswa@smkn12malang.sch.id</v>
      </c>
    </row>
    <row r="2331">
      <c r="A2331" s="3" t="str">
        <f t="shared" si="1"/>
        <v>OK</v>
      </c>
      <c r="B2331" s="3" t="str">
        <f t="shared" si="2"/>
        <v>OK</v>
      </c>
      <c r="C2331" s="3">
        <v>8262.0</v>
      </c>
      <c r="D2331" s="4" t="s">
        <v>5275</v>
      </c>
      <c r="E2331" s="3" t="s">
        <v>5276</v>
      </c>
      <c r="F2331" s="3" t="s">
        <v>17</v>
      </c>
      <c r="G2331" s="3" t="str">
        <f t="shared" si="3"/>
        <v>XIIPLG1</v>
      </c>
      <c r="H2331" s="3" t="str">
        <f>VLOOKUP($C2331,Userpass!$A$2:$L$3001,12,FALSE)</f>
        <v>PLG1</v>
      </c>
      <c r="I2331" s="5" t="s">
        <v>4223</v>
      </c>
      <c r="J2331" s="3">
        <v>2023.0</v>
      </c>
      <c r="K2331" s="4" t="str">
        <f>VLOOKUP($C2331,Userpass!$A$2:$R$3001,2,FALSE)</f>
        <v>plg20238262.siswa@smkn12malang.sch.id</v>
      </c>
    </row>
    <row r="2332">
      <c r="A2332" s="3" t="str">
        <f t="shared" si="1"/>
        <v>OK</v>
      </c>
      <c r="B2332" s="3" t="str">
        <f t="shared" si="2"/>
        <v>OK</v>
      </c>
      <c r="C2332" s="3">
        <v>8279.0</v>
      </c>
      <c r="D2332" s="4" t="s">
        <v>5277</v>
      </c>
      <c r="E2332" s="3" t="s">
        <v>5278</v>
      </c>
      <c r="F2332" s="3" t="s">
        <v>17</v>
      </c>
      <c r="G2332" s="3" t="str">
        <f t="shared" si="3"/>
        <v>XIIPLG1</v>
      </c>
      <c r="H2332" s="3" t="str">
        <f>VLOOKUP($C2332,Userpass!$A$2:$L$3001,12,FALSE)</f>
        <v>PLG1</v>
      </c>
      <c r="I2332" s="5" t="s">
        <v>4223</v>
      </c>
      <c r="J2332" s="3">
        <v>2023.0</v>
      </c>
      <c r="K2332" s="4" t="str">
        <f>VLOOKUP($C2332,Userpass!$A$2:$R$3001,2,FALSE)</f>
        <v>plg20238279.siswa@smkn12malang.sch.id</v>
      </c>
    </row>
    <row r="2333">
      <c r="A2333" s="3" t="str">
        <f t="shared" si="1"/>
        <v>OK</v>
      </c>
      <c r="B2333" s="3" t="str">
        <f t="shared" si="2"/>
        <v>OK</v>
      </c>
      <c r="C2333" s="3">
        <v>8295.0</v>
      </c>
      <c r="D2333" s="4" t="s">
        <v>5279</v>
      </c>
      <c r="E2333" s="3" t="s">
        <v>5280</v>
      </c>
      <c r="F2333" s="3" t="s">
        <v>17</v>
      </c>
      <c r="G2333" s="3" t="str">
        <f t="shared" si="3"/>
        <v>XIIPLG1</v>
      </c>
      <c r="H2333" s="3" t="str">
        <f>VLOOKUP($C2333,Userpass!$A$2:$L$3001,12,FALSE)</f>
        <v>PLG1</v>
      </c>
      <c r="I2333" s="5" t="s">
        <v>4223</v>
      </c>
      <c r="J2333" s="3">
        <v>2023.0</v>
      </c>
      <c r="K2333" s="4" t="str">
        <f>VLOOKUP($C2333,Userpass!$A$2:$R$3001,2,FALSE)</f>
        <v>plg20238295.siswa@smkn12malang.sch.id</v>
      </c>
    </row>
    <row r="2334">
      <c r="A2334" s="3" t="str">
        <f t="shared" si="1"/>
        <v>OK</v>
      </c>
      <c r="B2334" s="3" t="str">
        <f t="shared" si="2"/>
        <v>OK</v>
      </c>
      <c r="C2334" s="3">
        <v>8296.0</v>
      </c>
      <c r="D2334" s="4" t="s">
        <v>5281</v>
      </c>
      <c r="E2334" s="3" t="s">
        <v>5282</v>
      </c>
      <c r="F2334" s="3" t="s">
        <v>17</v>
      </c>
      <c r="G2334" s="3" t="str">
        <f t="shared" si="3"/>
        <v>XIIPLG1</v>
      </c>
      <c r="H2334" s="3" t="str">
        <f>VLOOKUP($C2334,Userpass!$A$2:$L$3001,12,FALSE)</f>
        <v>PLG1</v>
      </c>
      <c r="I2334" s="5" t="s">
        <v>4223</v>
      </c>
      <c r="J2334" s="3">
        <v>2023.0</v>
      </c>
      <c r="K2334" s="4" t="str">
        <f>VLOOKUP($C2334,Userpass!$A$2:$R$3001,2,FALSE)</f>
        <v>plg20238296.siswa@smkn12malang.sch.id</v>
      </c>
    </row>
    <row r="2335">
      <c r="A2335" s="3" t="str">
        <f t="shared" si="1"/>
        <v>OK</v>
      </c>
      <c r="B2335" s="3" t="str">
        <f t="shared" si="2"/>
        <v>OK</v>
      </c>
      <c r="C2335" s="3">
        <v>8305.0</v>
      </c>
      <c r="D2335" s="4" t="s">
        <v>5283</v>
      </c>
      <c r="E2335" s="3" t="s">
        <v>5284</v>
      </c>
      <c r="F2335" s="3" t="s">
        <v>17</v>
      </c>
      <c r="G2335" s="3" t="str">
        <f t="shared" si="3"/>
        <v>XIIPLG1</v>
      </c>
      <c r="H2335" s="3" t="str">
        <f>VLOOKUP($C2335,Userpass!$A$2:$L$3001,12,FALSE)</f>
        <v>PLG1</v>
      </c>
      <c r="I2335" s="5" t="s">
        <v>4223</v>
      </c>
      <c r="J2335" s="3">
        <v>2023.0</v>
      </c>
      <c r="K2335" s="4" t="str">
        <f>VLOOKUP($C2335,Userpass!$A$2:$R$3001,2,FALSE)</f>
        <v>plg20238305.siswa@smkn12malang.sch.id</v>
      </c>
    </row>
    <row r="2336">
      <c r="A2336" s="3" t="str">
        <f t="shared" si="1"/>
        <v>OK</v>
      </c>
      <c r="B2336" s="3" t="str">
        <f t="shared" si="2"/>
        <v>OK</v>
      </c>
      <c r="C2336" s="3">
        <v>8323.0</v>
      </c>
      <c r="D2336" s="4" t="s">
        <v>5285</v>
      </c>
      <c r="E2336" s="3" t="s">
        <v>5286</v>
      </c>
      <c r="F2336" s="3" t="s">
        <v>13</v>
      </c>
      <c r="G2336" s="3" t="str">
        <f t="shared" si="3"/>
        <v>XIIPLG1</v>
      </c>
      <c r="H2336" s="3" t="str">
        <f>VLOOKUP($C2336,Userpass!$A$2:$L$3001,12,FALSE)</f>
        <v>PLG1</v>
      </c>
      <c r="I2336" s="5" t="s">
        <v>4223</v>
      </c>
      <c r="J2336" s="3">
        <v>2023.0</v>
      </c>
      <c r="K2336" s="4" t="str">
        <f>VLOOKUP($C2336,Userpass!$A$2:$R$3001,2,FALSE)</f>
        <v>plg20238323.siswa@smkn12malang.sch.id</v>
      </c>
    </row>
    <row r="2337">
      <c r="A2337" s="3" t="str">
        <f t="shared" si="1"/>
        <v>OK</v>
      </c>
      <c r="B2337" s="3" t="str">
        <f t="shared" si="2"/>
        <v>OK</v>
      </c>
      <c r="C2337" s="3">
        <v>8335.0</v>
      </c>
      <c r="D2337" s="4" t="s">
        <v>5287</v>
      </c>
      <c r="E2337" s="3" t="s">
        <v>5288</v>
      </c>
      <c r="F2337" s="3" t="s">
        <v>17</v>
      </c>
      <c r="G2337" s="3" t="str">
        <f t="shared" si="3"/>
        <v>XIIPLG1</v>
      </c>
      <c r="H2337" s="3" t="str">
        <f>VLOOKUP($C2337,Userpass!$A$2:$L$3001,12,FALSE)</f>
        <v>PLG1</v>
      </c>
      <c r="I2337" s="5" t="s">
        <v>4223</v>
      </c>
      <c r="J2337" s="3">
        <v>2023.0</v>
      </c>
      <c r="K2337" s="4" t="str">
        <f>VLOOKUP($C2337,Userpass!$A$2:$R$3001,2,FALSE)</f>
        <v>plg20238335.siswa@smkn12malang.sch.id</v>
      </c>
    </row>
    <row r="2338">
      <c r="A2338" s="3" t="str">
        <f t="shared" si="1"/>
        <v>OK</v>
      </c>
      <c r="B2338" s="3" t="str">
        <f t="shared" si="2"/>
        <v>OK</v>
      </c>
      <c r="C2338" s="3">
        <v>8336.0</v>
      </c>
      <c r="D2338" s="4" t="s">
        <v>5289</v>
      </c>
      <c r="E2338" s="3" t="s">
        <v>5290</v>
      </c>
      <c r="F2338" s="3" t="s">
        <v>17</v>
      </c>
      <c r="G2338" s="3" t="str">
        <f t="shared" si="3"/>
        <v>XIIPLG1</v>
      </c>
      <c r="H2338" s="3" t="str">
        <f>VLOOKUP($C2338,Userpass!$A$2:$L$3001,12,FALSE)</f>
        <v>PLG1</v>
      </c>
      <c r="I2338" s="5" t="s">
        <v>4223</v>
      </c>
      <c r="J2338" s="3">
        <v>2023.0</v>
      </c>
      <c r="K2338" s="4" t="str">
        <f>VLOOKUP($C2338,Userpass!$A$2:$R$3001,2,FALSE)</f>
        <v>plg20238336.siswa@smkn12malang.sch.id</v>
      </c>
    </row>
    <row r="2339">
      <c r="A2339" s="3" t="str">
        <f t="shared" si="1"/>
        <v>OK</v>
      </c>
      <c r="B2339" s="3" t="str">
        <f t="shared" si="2"/>
        <v>OK</v>
      </c>
      <c r="C2339" s="3">
        <v>8358.0</v>
      </c>
      <c r="D2339" s="4" t="s">
        <v>5291</v>
      </c>
      <c r="E2339" s="3" t="s">
        <v>5292</v>
      </c>
      <c r="F2339" s="3" t="s">
        <v>17</v>
      </c>
      <c r="G2339" s="3" t="str">
        <f t="shared" si="3"/>
        <v>XIIPLG1</v>
      </c>
      <c r="H2339" s="3" t="str">
        <f>VLOOKUP($C2339,Userpass!$A$2:$L$3001,12,FALSE)</f>
        <v>PLG1</v>
      </c>
      <c r="I2339" s="5" t="s">
        <v>4223</v>
      </c>
      <c r="J2339" s="3">
        <v>2023.0</v>
      </c>
      <c r="K2339" s="4" t="str">
        <f>VLOOKUP($C2339,Userpass!$A$2:$R$3001,2,FALSE)</f>
        <v>plg20238358.siswa@smkn12malang.sch.id</v>
      </c>
    </row>
    <row r="2340">
      <c r="A2340" s="3" t="str">
        <f t="shared" si="1"/>
        <v>OK</v>
      </c>
      <c r="B2340" s="3" t="str">
        <f t="shared" si="2"/>
        <v>OK</v>
      </c>
      <c r="C2340" s="3">
        <v>8399.0</v>
      </c>
      <c r="D2340" s="4" t="s">
        <v>5293</v>
      </c>
      <c r="E2340" s="3" t="s">
        <v>5294</v>
      </c>
      <c r="F2340" s="3" t="s">
        <v>17</v>
      </c>
      <c r="G2340" s="3" t="str">
        <f t="shared" si="3"/>
        <v>XIIPLG1</v>
      </c>
      <c r="H2340" s="3" t="str">
        <f>VLOOKUP($C2340,Userpass!$A$2:$L$3001,12,FALSE)</f>
        <v>PLG1</v>
      </c>
      <c r="I2340" s="5" t="s">
        <v>4223</v>
      </c>
      <c r="J2340" s="3">
        <v>2023.0</v>
      </c>
      <c r="K2340" s="4" t="str">
        <f>VLOOKUP($C2340,Userpass!$A$2:$R$3001,2,FALSE)</f>
        <v>plg20238399.siswa@smkn12malang.sch.id</v>
      </c>
    </row>
    <row r="2341">
      <c r="A2341" s="3" t="str">
        <f t="shared" si="1"/>
        <v>OK</v>
      </c>
      <c r="B2341" s="3" t="str">
        <f t="shared" si="2"/>
        <v>OK</v>
      </c>
      <c r="C2341" s="3">
        <v>8400.0</v>
      </c>
      <c r="D2341" s="4" t="s">
        <v>5295</v>
      </c>
      <c r="E2341" s="3" t="s">
        <v>5296</v>
      </c>
      <c r="F2341" s="3" t="s">
        <v>17</v>
      </c>
      <c r="G2341" s="3" t="str">
        <f t="shared" si="3"/>
        <v>XIIPLG1</v>
      </c>
      <c r="H2341" s="3" t="str">
        <f>VLOOKUP($C2341,Userpass!$A$2:$L$3001,12,FALSE)</f>
        <v>PLG1</v>
      </c>
      <c r="I2341" s="5" t="s">
        <v>4223</v>
      </c>
      <c r="J2341" s="3">
        <v>2023.0</v>
      </c>
      <c r="K2341" s="4" t="str">
        <f>VLOOKUP($C2341,Userpass!$A$2:$R$3001,2,FALSE)</f>
        <v>plg20238400.siswa@smkn12malang.sch.id</v>
      </c>
    </row>
    <row r="2342">
      <c r="A2342" s="3" t="str">
        <f t="shared" si="1"/>
        <v>OK</v>
      </c>
      <c r="B2342" s="3" t="str">
        <f t="shared" si="2"/>
        <v>OK</v>
      </c>
      <c r="C2342" s="3">
        <v>8412.0</v>
      </c>
      <c r="D2342" s="4" t="s">
        <v>5297</v>
      </c>
      <c r="E2342" s="3" t="s">
        <v>5298</v>
      </c>
      <c r="F2342" s="3" t="s">
        <v>17</v>
      </c>
      <c r="G2342" s="3" t="str">
        <f t="shared" si="3"/>
        <v>XIIPLG1</v>
      </c>
      <c r="H2342" s="3" t="str">
        <f>VLOOKUP($C2342,Userpass!$A$2:$L$3001,12,FALSE)</f>
        <v>PLG1</v>
      </c>
      <c r="I2342" s="5" t="s">
        <v>4223</v>
      </c>
      <c r="J2342" s="3">
        <v>2023.0</v>
      </c>
      <c r="K2342" s="4" t="str">
        <f>VLOOKUP($C2342,Userpass!$A$2:$R$3001,2,FALSE)</f>
        <v>plg20238412.siswa@smkn12malang.sch.id</v>
      </c>
    </row>
    <row r="2343">
      <c r="A2343" s="3" t="str">
        <f t="shared" si="1"/>
        <v>OK</v>
      </c>
      <c r="B2343" s="3" t="str">
        <f t="shared" si="2"/>
        <v>OK</v>
      </c>
      <c r="C2343" s="3">
        <v>8431.0</v>
      </c>
      <c r="D2343" s="4" t="s">
        <v>5299</v>
      </c>
      <c r="E2343" s="3" t="s">
        <v>5300</v>
      </c>
      <c r="F2343" s="3" t="s">
        <v>17</v>
      </c>
      <c r="G2343" s="3" t="str">
        <f t="shared" si="3"/>
        <v>XIIPLG1</v>
      </c>
      <c r="H2343" s="3" t="str">
        <f>VLOOKUP($C2343,Userpass!$A$2:$L$3001,12,FALSE)</f>
        <v>PLG1</v>
      </c>
      <c r="I2343" s="5" t="s">
        <v>4223</v>
      </c>
      <c r="J2343" s="3">
        <v>2023.0</v>
      </c>
      <c r="K2343" s="4" t="str">
        <f>VLOOKUP($C2343,Userpass!$A$2:$R$3001,2,FALSE)</f>
        <v>plg20238431.siswa@smkn12malang.sch.id</v>
      </c>
    </row>
    <row r="2344">
      <c r="A2344" s="3" t="str">
        <f t="shared" si="1"/>
        <v>OK</v>
      </c>
      <c r="B2344" s="3" t="str">
        <f t="shared" si="2"/>
        <v>OK</v>
      </c>
      <c r="C2344" s="3">
        <v>8474.0</v>
      </c>
      <c r="D2344" s="4" t="s">
        <v>5301</v>
      </c>
      <c r="E2344" s="3" t="s">
        <v>5302</v>
      </c>
      <c r="F2344" s="3" t="s">
        <v>13</v>
      </c>
      <c r="G2344" s="3" t="str">
        <f t="shared" si="3"/>
        <v>XIIPLG1</v>
      </c>
      <c r="H2344" s="3" t="str">
        <f>VLOOKUP($C2344,Userpass!$A$2:$L$3001,12,FALSE)</f>
        <v>PLG1</v>
      </c>
      <c r="I2344" s="5" t="s">
        <v>4223</v>
      </c>
      <c r="J2344" s="3">
        <v>2023.0</v>
      </c>
      <c r="K2344" s="4" t="str">
        <f>VLOOKUP($C2344,Userpass!$A$2:$R$3001,2,FALSE)</f>
        <v>plg20238474.siswa@smkn12malang.sch.id</v>
      </c>
    </row>
    <row r="2345">
      <c r="A2345" s="3" t="str">
        <f t="shared" si="1"/>
        <v>OK</v>
      </c>
      <c r="B2345" s="3" t="str">
        <f t="shared" si="2"/>
        <v>OK</v>
      </c>
      <c r="C2345" s="3">
        <v>8492.0</v>
      </c>
      <c r="D2345" s="4" t="s">
        <v>5303</v>
      </c>
      <c r="E2345" s="3" t="s">
        <v>5304</v>
      </c>
      <c r="F2345" s="3" t="s">
        <v>17</v>
      </c>
      <c r="G2345" s="3" t="str">
        <f t="shared" si="3"/>
        <v>XIIPLG1</v>
      </c>
      <c r="H2345" s="3" t="str">
        <f>VLOOKUP($C2345,Userpass!$A$2:$L$3001,12,FALSE)</f>
        <v>PLG1</v>
      </c>
      <c r="I2345" s="5" t="s">
        <v>4223</v>
      </c>
      <c r="J2345" s="3">
        <v>2023.0</v>
      </c>
      <c r="K2345" s="4" t="str">
        <f>VLOOKUP($C2345,Userpass!$A$2:$R$3001,2,FALSE)</f>
        <v>plg20238492.siswa@smkn12malang.sch.id</v>
      </c>
    </row>
    <row r="2346">
      <c r="A2346" s="3" t="str">
        <f t="shared" si="1"/>
        <v>OK</v>
      </c>
      <c r="B2346" s="3" t="str">
        <f t="shared" si="2"/>
        <v>OK</v>
      </c>
      <c r="C2346" s="3">
        <v>8493.0</v>
      </c>
      <c r="D2346" s="4" t="s">
        <v>5305</v>
      </c>
      <c r="E2346" s="3" t="s">
        <v>5306</v>
      </c>
      <c r="F2346" s="3" t="s">
        <v>17</v>
      </c>
      <c r="G2346" s="3" t="str">
        <f t="shared" si="3"/>
        <v>XIIPLG1</v>
      </c>
      <c r="H2346" s="3" t="str">
        <f>VLOOKUP($C2346,Userpass!$A$2:$L$3001,12,FALSE)</f>
        <v>PLG1</v>
      </c>
      <c r="I2346" s="5" t="s">
        <v>4223</v>
      </c>
      <c r="J2346" s="3">
        <v>2023.0</v>
      </c>
      <c r="K2346" s="4" t="str">
        <f>VLOOKUP($C2346,Userpass!$A$2:$R$3001,2,FALSE)</f>
        <v>plg20238493.siswa@smkn12malang.sch.id</v>
      </c>
    </row>
    <row r="2347">
      <c r="A2347" s="3" t="str">
        <f t="shared" si="1"/>
        <v>OK</v>
      </c>
      <c r="B2347" s="3" t="str">
        <f t="shared" si="2"/>
        <v>OK</v>
      </c>
      <c r="C2347" s="3">
        <v>8551.0</v>
      </c>
      <c r="D2347" s="4" t="s">
        <v>5307</v>
      </c>
      <c r="E2347" s="3" t="s">
        <v>5308</v>
      </c>
      <c r="F2347" s="3" t="s">
        <v>17</v>
      </c>
      <c r="G2347" s="3" t="str">
        <f t="shared" si="3"/>
        <v>XIIPLG1</v>
      </c>
      <c r="H2347" s="3" t="str">
        <f>VLOOKUP($C2347,Userpass!$A$2:$L$3001,12,FALSE)</f>
        <v>PLG1</v>
      </c>
      <c r="I2347" s="5" t="s">
        <v>4223</v>
      </c>
      <c r="J2347" s="3">
        <v>2023.0</v>
      </c>
      <c r="K2347" s="4" t="str">
        <f>VLOOKUP($C2347,Userpass!$A$2:$R$3001,2,FALSE)</f>
        <v>plg20238551.siswa@smkn12malang.sch.id</v>
      </c>
    </row>
    <row r="2348">
      <c r="A2348" s="3" t="str">
        <f t="shared" si="1"/>
        <v>OK</v>
      </c>
      <c r="B2348" s="3" t="str">
        <f t="shared" si="2"/>
        <v>OK</v>
      </c>
      <c r="C2348" s="3">
        <v>8556.0</v>
      </c>
      <c r="D2348" s="4" t="s">
        <v>5309</v>
      </c>
      <c r="E2348" s="3" t="s">
        <v>5310</v>
      </c>
      <c r="F2348" s="3" t="s">
        <v>13</v>
      </c>
      <c r="G2348" s="3" t="str">
        <f t="shared" si="3"/>
        <v>XIIPLG1</v>
      </c>
      <c r="H2348" s="3" t="str">
        <f>VLOOKUP($C2348,Userpass!$A$2:$L$3001,12,FALSE)</f>
        <v>PLG1</v>
      </c>
      <c r="I2348" s="5" t="s">
        <v>4223</v>
      </c>
      <c r="J2348" s="3">
        <v>2023.0</v>
      </c>
      <c r="K2348" s="4" t="str">
        <f>VLOOKUP($C2348,Userpass!$A$2:$R$3001,2,FALSE)</f>
        <v>plg20238556.siswa@smkn12malang.sch.id</v>
      </c>
    </row>
    <row r="2349">
      <c r="A2349" s="3" t="str">
        <f t="shared" si="1"/>
        <v>OK</v>
      </c>
      <c r="B2349" s="3" t="str">
        <f t="shared" si="2"/>
        <v>OK</v>
      </c>
      <c r="C2349" s="3">
        <v>8618.0</v>
      </c>
      <c r="D2349" s="4" t="s">
        <v>5311</v>
      </c>
      <c r="E2349" s="3" t="s">
        <v>5312</v>
      </c>
      <c r="F2349" s="3" t="s">
        <v>17</v>
      </c>
      <c r="G2349" s="3" t="str">
        <f t="shared" si="3"/>
        <v>XIIPLG1</v>
      </c>
      <c r="H2349" s="3" t="str">
        <f>VLOOKUP($C2349,Userpass!$A$2:$L$3001,12,FALSE)</f>
        <v>PLG1</v>
      </c>
      <c r="I2349" s="5" t="s">
        <v>4223</v>
      </c>
      <c r="J2349" s="3">
        <v>2023.0</v>
      </c>
      <c r="K2349" s="4" t="str">
        <f>VLOOKUP($C2349,Userpass!$A$2:$R$3001,2,FALSE)</f>
        <v>plg20238618.siswa@smkn12malang.sch.id</v>
      </c>
    </row>
    <row r="2350">
      <c r="A2350" s="3" t="str">
        <f t="shared" si="1"/>
        <v>OK</v>
      </c>
      <c r="B2350" s="3" t="str">
        <f t="shared" si="2"/>
        <v>OK</v>
      </c>
      <c r="C2350" s="3">
        <v>8622.0</v>
      </c>
      <c r="D2350" s="4" t="s">
        <v>5313</v>
      </c>
      <c r="E2350" s="3" t="s">
        <v>5314</v>
      </c>
      <c r="F2350" s="3" t="s">
        <v>17</v>
      </c>
      <c r="G2350" s="3" t="str">
        <f t="shared" si="3"/>
        <v>XIIPLG1</v>
      </c>
      <c r="H2350" s="3" t="str">
        <f>VLOOKUP($C2350,Userpass!$A$2:$L$3001,12,FALSE)</f>
        <v>PLG1</v>
      </c>
      <c r="I2350" s="5" t="s">
        <v>4223</v>
      </c>
      <c r="J2350" s="3">
        <v>2023.0</v>
      </c>
      <c r="K2350" s="4" t="str">
        <f>VLOOKUP($C2350,Userpass!$A$2:$R$3001,2,FALSE)</f>
        <v>plg20238622.siswa@smkn12malang.sch.id</v>
      </c>
    </row>
    <row r="2351">
      <c r="A2351" s="3" t="str">
        <f t="shared" si="1"/>
        <v>OK</v>
      </c>
      <c r="B2351" s="3" t="str">
        <f t="shared" si="2"/>
        <v>OK</v>
      </c>
      <c r="C2351" s="3">
        <v>8628.0</v>
      </c>
      <c r="D2351" s="4" t="s">
        <v>5315</v>
      </c>
      <c r="E2351" s="3" t="s">
        <v>5316</v>
      </c>
      <c r="F2351" s="3" t="s">
        <v>17</v>
      </c>
      <c r="G2351" s="3" t="str">
        <f t="shared" si="3"/>
        <v>XIIPLG1</v>
      </c>
      <c r="H2351" s="3" t="str">
        <f>VLOOKUP($C2351,Userpass!$A$2:$L$3001,12,FALSE)</f>
        <v>PLG1</v>
      </c>
      <c r="I2351" s="5" t="s">
        <v>4223</v>
      </c>
      <c r="J2351" s="3">
        <v>2023.0</v>
      </c>
      <c r="K2351" s="4" t="str">
        <f>VLOOKUP($C2351,Userpass!$A$2:$R$3001,2,FALSE)</f>
        <v>plg20238628.siswa@smkn12malang.sch.id</v>
      </c>
    </row>
    <row r="2352">
      <c r="A2352" s="3" t="str">
        <f t="shared" si="1"/>
        <v>OK</v>
      </c>
      <c r="B2352" s="3" t="str">
        <f t="shared" si="2"/>
        <v>OK</v>
      </c>
      <c r="C2352" s="3">
        <v>8029.0</v>
      </c>
      <c r="D2352" s="4" t="s">
        <v>5317</v>
      </c>
      <c r="E2352" s="3" t="s">
        <v>5318</v>
      </c>
      <c r="F2352" s="3" t="s">
        <v>17</v>
      </c>
      <c r="G2352" s="3" t="str">
        <f t="shared" si="3"/>
        <v>XIIPLG2</v>
      </c>
      <c r="H2352" s="3" t="str">
        <f>VLOOKUP($C2352,Userpass!$A$2:$L$3001,12,FALSE)</f>
        <v>PLG2</v>
      </c>
      <c r="I2352" s="5" t="s">
        <v>4223</v>
      </c>
      <c r="J2352" s="3">
        <v>2023.0</v>
      </c>
      <c r="K2352" s="4" t="str">
        <f>VLOOKUP($C2352,Userpass!$A$2:$R$3001,2,FALSE)</f>
        <v>plg20238029.siswa@smkn12malang.sch.id</v>
      </c>
    </row>
    <row r="2353">
      <c r="A2353" s="3" t="str">
        <f t="shared" si="1"/>
        <v>OK</v>
      </c>
      <c r="B2353" s="3" t="str">
        <f t="shared" si="2"/>
        <v>OK</v>
      </c>
      <c r="C2353" s="3">
        <v>8034.0</v>
      </c>
      <c r="D2353" s="4" t="s">
        <v>5319</v>
      </c>
      <c r="E2353" s="3" t="s">
        <v>5320</v>
      </c>
      <c r="F2353" s="3" t="s">
        <v>17</v>
      </c>
      <c r="G2353" s="3" t="str">
        <f t="shared" si="3"/>
        <v>XIIPLG2</v>
      </c>
      <c r="H2353" s="3" t="str">
        <f>VLOOKUP($C2353,Userpass!$A$2:$L$3001,12,FALSE)</f>
        <v>PLG2</v>
      </c>
      <c r="I2353" s="5" t="s">
        <v>4223</v>
      </c>
      <c r="J2353" s="3">
        <v>2023.0</v>
      </c>
      <c r="K2353" s="4" t="str">
        <f>VLOOKUP($C2353,Userpass!$A$2:$R$3001,2,FALSE)</f>
        <v>plg20238034.siswa@smkn12malang.sch.id</v>
      </c>
    </row>
    <row r="2354">
      <c r="A2354" s="3" t="str">
        <f t="shared" si="1"/>
        <v>OK</v>
      </c>
      <c r="B2354" s="3" t="str">
        <f t="shared" si="2"/>
        <v>OK</v>
      </c>
      <c r="C2354" s="3">
        <v>8045.0</v>
      </c>
      <c r="D2354" s="4" t="s">
        <v>5321</v>
      </c>
      <c r="E2354" s="3" t="s">
        <v>5322</v>
      </c>
      <c r="F2354" s="3" t="s">
        <v>17</v>
      </c>
      <c r="G2354" s="3" t="str">
        <f t="shared" si="3"/>
        <v>XIIPLG2</v>
      </c>
      <c r="H2354" s="3" t="str">
        <f>VLOOKUP($C2354,Userpass!$A$2:$L$3001,12,FALSE)</f>
        <v>PLG2</v>
      </c>
      <c r="I2354" s="5" t="s">
        <v>4223</v>
      </c>
      <c r="J2354" s="3">
        <v>2023.0</v>
      </c>
      <c r="K2354" s="4" t="str">
        <f>VLOOKUP($C2354,Userpass!$A$2:$R$3001,2,FALSE)</f>
        <v>plg20238045.siswa@smkn12malang.sch.id</v>
      </c>
    </row>
    <row r="2355">
      <c r="A2355" s="3" t="str">
        <f t="shared" si="1"/>
        <v>OK</v>
      </c>
      <c r="B2355" s="3" t="str">
        <f t="shared" si="2"/>
        <v>OK</v>
      </c>
      <c r="C2355" s="3">
        <v>8067.0</v>
      </c>
      <c r="D2355" s="4" t="s">
        <v>5323</v>
      </c>
      <c r="E2355" s="3" t="s">
        <v>5324</v>
      </c>
      <c r="F2355" s="3" t="s">
        <v>17</v>
      </c>
      <c r="G2355" s="3" t="str">
        <f t="shared" si="3"/>
        <v>XIIPLG2</v>
      </c>
      <c r="H2355" s="3" t="str">
        <f>VLOOKUP($C2355,Userpass!$A$2:$L$3001,12,FALSE)</f>
        <v>PLG2</v>
      </c>
      <c r="I2355" s="5" t="s">
        <v>4223</v>
      </c>
      <c r="J2355" s="3">
        <v>2023.0</v>
      </c>
      <c r="K2355" s="4" t="str">
        <f>VLOOKUP($C2355,Userpass!$A$2:$R$3001,2,FALSE)</f>
        <v>plg20238067.siswa@smkn12malang.sch.id</v>
      </c>
    </row>
    <row r="2356">
      <c r="A2356" s="3" t="str">
        <f t="shared" si="1"/>
        <v>OK</v>
      </c>
      <c r="B2356" s="3" t="str">
        <f t="shared" si="2"/>
        <v>OK</v>
      </c>
      <c r="C2356" s="3">
        <v>8070.0</v>
      </c>
      <c r="D2356" s="4" t="s">
        <v>5325</v>
      </c>
      <c r="E2356" s="3" t="s">
        <v>5326</v>
      </c>
      <c r="F2356" s="3" t="s">
        <v>13</v>
      </c>
      <c r="G2356" s="3" t="str">
        <f t="shared" si="3"/>
        <v>XIIPLG2</v>
      </c>
      <c r="H2356" s="3" t="str">
        <f>VLOOKUP($C2356,Userpass!$A$2:$L$3001,12,FALSE)</f>
        <v>PLG2</v>
      </c>
      <c r="I2356" s="5" t="s">
        <v>4223</v>
      </c>
      <c r="J2356" s="3">
        <v>2023.0</v>
      </c>
      <c r="K2356" s="4" t="str">
        <f>VLOOKUP($C2356,Userpass!$A$2:$R$3001,2,FALSE)</f>
        <v>plg20238070.siswa@smkn12malang.sch.id</v>
      </c>
    </row>
    <row r="2357">
      <c r="A2357" s="3" t="str">
        <f t="shared" si="1"/>
        <v>OK</v>
      </c>
      <c r="B2357" s="3" t="str">
        <f t="shared" si="2"/>
        <v>OK</v>
      </c>
      <c r="C2357" s="3">
        <v>8072.0</v>
      </c>
      <c r="D2357" s="4" t="s">
        <v>5327</v>
      </c>
      <c r="E2357" s="3" t="s">
        <v>5328</v>
      </c>
      <c r="F2357" s="3" t="s">
        <v>13</v>
      </c>
      <c r="G2357" s="3" t="str">
        <f t="shared" si="3"/>
        <v>XIIPLG2</v>
      </c>
      <c r="H2357" s="3" t="str">
        <f>VLOOKUP($C2357,Userpass!$A$2:$L$3001,12,FALSE)</f>
        <v>PLG2</v>
      </c>
      <c r="I2357" s="5" t="s">
        <v>4223</v>
      </c>
      <c r="J2357" s="3">
        <v>2023.0</v>
      </c>
      <c r="K2357" s="4" t="str">
        <f>VLOOKUP($C2357,Userpass!$A$2:$R$3001,2,FALSE)</f>
        <v>plg20238072.siswa@smkn12malang.sch.id</v>
      </c>
    </row>
    <row r="2358">
      <c r="A2358" s="3" t="str">
        <f t="shared" si="1"/>
        <v>OK</v>
      </c>
      <c r="B2358" s="3" t="str">
        <f t="shared" si="2"/>
        <v>OK</v>
      </c>
      <c r="C2358" s="3">
        <v>8096.0</v>
      </c>
      <c r="D2358" s="4" t="s">
        <v>5329</v>
      </c>
      <c r="E2358" s="3" t="s">
        <v>5330</v>
      </c>
      <c r="F2358" s="3" t="s">
        <v>17</v>
      </c>
      <c r="G2358" s="3" t="str">
        <f t="shared" si="3"/>
        <v>XIIPLG2</v>
      </c>
      <c r="H2358" s="3" t="str">
        <f>VLOOKUP($C2358,Userpass!$A$2:$L$3001,12,FALSE)</f>
        <v>PLG2</v>
      </c>
      <c r="I2358" s="5" t="s">
        <v>4223</v>
      </c>
      <c r="J2358" s="3">
        <v>2023.0</v>
      </c>
      <c r="K2358" s="4" t="str">
        <f>VLOOKUP($C2358,Userpass!$A$2:$R$3001,2,FALSE)</f>
        <v>plg20238096.siswa@smkn12malang.sch.id</v>
      </c>
    </row>
    <row r="2359">
      <c r="A2359" s="3" t="str">
        <f t="shared" si="1"/>
        <v>OK</v>
      </c>
      <c r="B2359" s="3" t="str">
        <f t="shared" si="2"/>
        <v>OK</v>
      </c>
      <c r="C2359" s="3">
        <v>8100.0</v>
      </c>
      <c r="D2359" s="4" t="s">
        <v>5331</v>
      </c>
      <c r="E2359" s="3" t="s">
        <v>5332</v>
      </c>
      <c r="F2359" s="3" t="s">
        <v>17</v>
      </c>
      <c r="G2359" s="3" t="str">
        <f t="shared" si="3"/>
        <v>XIIPLG2</v>
      </c>
      <c r="H2359" s="3" t="str">
        <f>VLOOKUP($C2359,Userpass!$A$2:$L$3001,12,FALSE)</f>
        <v>PLG2</v>
      </c>
      <c r="I2359" s="5" t="s">
        <v>4223</v>
      </c>
      <c r="J2359" s="3">
        <v>2023.0</v>
      </c>
      <c r="K2359" s="4" t="str">
        <f>VLOOKUP($C2359,Userpass!$A$2:$R$3001,2,FALSE)</f>
        <v>plg20238100.siswa@smkn12malang.sch.id</v>
      </c>
    </row>
    <row r="2360">
      <c r="A2360" s="3" t="str">
        <f t="shared" si="1"/>
        <v>OK</v>
      </c>
      <c r="B2360" s="3" t="str">
        <f t="shared" si="2"/>
        <v>OK</v>
      </c>
      <c r="C2360" s="3">
        <v>8139.0</v>
      </c>
      <c r="D2360" s="4" t="s">
        <v>5333</v>
      </c>
      <c r="E2360" s="3" t="s">
        <v>5334</v>
      </c>
      <c r="F2360" s="3" t="s">
        <v>17</v>
      </c>
      <c r="G2360" s="3" t="str">
        <f t="shared" si="3"/>
        <v>XIIPLG2</v>
      </c>
      <c r="H2360" s="3" t="str">
        <f>VLOOKUP($C2360,Userpass!$A$2:$L$3001,12,FALSE)</f>
        <v>PLG2</v>
      </c>
      <c r="I2360" s="5" t="s">
        <v>4223</v>
      </c>
      <c r="J2360" s="3">
        <v>2023.0</v>
      </c>
      <c r="K2360" s="4" t="str">
        <f>VLOOKUP($C2360,Userpass!$A$2:$R$3001,2,FALSE)</f>
        <v>plg20238139.siswa@smkn12malang.sch.id</v>
      </c>
    </row>
    <row r="2361">
      <c r="A2361" s="3" t="str">
        <f t="shared" si="1"/>
        <v>OK</v>
      </c>
      <c r="B2361" s="3" t="str">
        <f t="shared" si="2"/>
        <v>OK</v>
      </c>
      <c r="C2361" s="3">
        <v>8147.0</v>
      </c>
      <c r="D2361" s="4" t="s">
        <v>5335</v>
      </c>
      <c r="E2361" s="3" t="s">
        <v>5336</v>
      </c>
      <c r="F2361" s="3" t="s">
        <v>13</v>
      </c>
      <c r="G2361" s="3" t="str">
        <f t="shared" si="3"/>
        <v>XIIPLG2</v>
      </c>
      <c r="H2361" s="3" t="str">
        <f>VLOOKUP($C2361,Userpass!$A$2:$L$3001,12,FALSE)</f>
        <v>PLG2</v>
      </c>
      <c r="I2361" s="5" t="s">
        <v>4223</v>
      </c>
      <c r="J2361" s="3">
        <v>2023.0</v>
      </c>
      <c r="K2361" s="4" t="str">
        <f>VLOOKUP($C2361,Userpass!$A$2:$R$3001,2,FALSE)</f>
        <v>plg20238147.siswa@smkn12malang.sch.id</v>
      </c>
    </row>
    <row r="2362">
      <c r="A2362" s="3" t="str">
        <f t="shared" si="1"/>
        <v>OK</v>
      </c>
      <c r="B2362" s="3" t="str">
        <f t="shared" si="2"/>
        <v>OK</v>
      </c>
      <c r="C2362" s="3">
        <v>8165.0</v>
      </c>
      <c r="D2362" s="4" t="s">
        <v>5337</v>
      </c>
      <c r="E2362" s="3" t="s">
        <v>5338</v>
      </c>
      <c r="F2362" s="3" t="s">
        <v>17</v>
      </c>
      <c r="G2362" s="3" t="str">
        <f t="shared" si="3"/>
        <v>XIIPLG2</v>
      </c>
      <c r="H2362" s="3" t="str">
        <f>VLOOKUP($C2362,Userpass!$A$2:$L$3001,12,FALSE)</f>
        <v>PLG2</v>
      </c>
      <c r="I2362" s="5" t="s">
        <v>4223</v>
      </c>
      <c r="J2362" s="3">
        <v>2023.0</v>
      </c>
      <c r="K2362" s="4" t="str">
        <f>VLOOKUP($C2362,Userpass!$A$2:$R$3001,2,FALSE)</f>
        <v>plg20238165.siswa@smkn12malang.sch.id</v>
      </c>
    </row>
    <row r="2363">
      <c r="A2363" s="3" t="str">
        <f t="shared" si="1"/>
        <v>OK</v>
      </c>
      <c r="B2363" s="3" t="str">
        <f t="shared" si="2"/>
        <v>OK</v>
      </c>
      <c r="C2363" s="3">
        <v>8183.0</v>
      </c>
      <c r="D2363" s="4" t="s">
        <v>5339</v>
      </c>
      <c r="E2363" s="3" t="s">
        <v>5340</v>
      </c>
      <c r="F2363" s="3" t="s">
        <v>13</v>
      </c>
      <c r="G2363" s="3" t="str">
        <f t="shared" si="3"/>
        <v>XIIPLG2</v>
      </c>
      <c r="H2363" s="3" t="str">
        <f>VLOOKUP($C2363,Userpass!$A$2:$L$3001,12,FALSE)</f>
        <v>PLG2</v>
      </c>
      <c r="I2363" s="5" t="s">
        <v>4223</v>
      </c>
      <c r="J2363" s="3">
        <v>2023.0</v>
      </c>
      <c r="K2363" s="4" t="str">
        <f>VLOOKUP($C2363,Userpass!$A$2:$R$3001,2,FALSE)</f>
        <v>plg20238183.siswa@smkn12malang.sch.id</v>
      </c>
    </row>
    <row r="2364">
      <c r="A2364" s="3" t="str">
        <f t="shared" si="1"/>
        <v>OK</v>
      </c>
      <c r="B2364" s="3" t="str">
        <f t="shared" si="2"/>
        <v>OK</v>
      </c>
      <c r="C2364" s="3">
        <v>8206.0</v>
      </c>
      <c r="D2364" s="4" t="s">
        <v>5341</v>
      </c>
      <c r="E2364" s="3" t="s">
        <v>5342</v>
      </c>
      <c r="F2364" s="3" t="s">
        <v>13</v>
      </c>
      <c r="G2364" s="3" t="str">
        <f t="shared" si="3"/>
        <v>XIIPLG2</v>
      </c>
      <c r="H2364" s="3" t="str">
        <f>VLOOKUP($C2364,Userpass!$A$2:$L$3001,12,FALSE)</f>
        <v>PLG2</v>
      </c>
      <c r="I2364" s="5" t="s">
        <v>4223</v>
      </c>
      <c r="J2364" s="3">
        <v>2023.0</v>
      </c>
      <c r="K2364" s="4" t="str">
        <f>VLOOKUP($C2364,Userpass!$A$2:$R$3001,2,FALSE)</f>
        <v>plg20238206.siswa@smkn12malang.sch.id</v>
      </c>
    </row>
    <row r="2365">
      <c r="A2365" s="3" t="str">
        <f t="shared" si="1"/>
        <v>OK</v>
      </c>
      <c r="B2365" s="3" t="str">
        <f t="shared" si="2"/>
        <v>OK</v>
      </c>
      <c r="C2365" s="3">
        <v>8225.0</v>
      </c>
      <c r="D2365" s="4" t="s">
        <v>5343</v>
      </c>
      <c r="E2365" s="3" t="s">
        <v>5344</v>
      </c>
      <c r="F2365" s="3" t="s">
        <v>17</v>
      </c>
      <c r="G2365" s="3" t="str">
        <f t="shared" si="3"/>
        <v>XIIPLG2</v>
      </c>
      <c r="H2365" s="3" t="str">
        <f>VLOOKUP($C2365,Userpass!$A$2:$L$3001,12,FALSE)</f>
        <v>PLG2</v>
      </c>
      <c r="I2365" s="5" t="s">
        <v>4223</v>
      </c>
      <c r="J2365" s="3">
        <v>2023.0</v>
      </c>
      <c r="K2365" s="4" t="str">
        <f>VLOOKUP($C2365,Userpass!$A$2:$R$3001,2,FALSE)</f>
        <v>plg20238225.siswa@smkn12malang.sch.id</v>
      </c>
    </row>
    <row r="2366">
      <c r="A2366" s="3" t="str">
        <f t="shared" si="1"/>
        <v>OK</v>
      </c>
      <c r="B2366" s="3" t="str">
        <f t="shared" si="2"/>
        <v>OK</v>
      </c>
      <c r="C2366" s="3">
        <v>8231.0</v>
      </c>
      <c r="D2366" s="4" t="s">
        <v>5345</v>
      </c>
      <c r="E2366" s="3" t="s">
        <v>5346</v>
      </c>
      <c r="F2366" s="3" t="s">
        <v>17</v>
      </c>
      <c r="G2366" s="3" t="str">
        <f t="shared" si="3"/>
        <v>XIIPLG2</v>
      </c>
      <c r="H2366" s="3" t="str">
        <f>VLOOKUP($C2366,Userpass!$A$2:$L$3001,12,FALSE)</f>
        <v>PLG2</v>
      </c>
      <c r="I2366" s="5" t="s">
        <v>4223</v>
      </c>
      <c r="J2366" s="3">
        <v>2023.0</v>
      </c>
      <c r="K2366" s="4" t="str">
        <f>VLOOKUP($C2366,Userpass!$A$2:$R$3001,2,FALSE)</f>
        <v>plg20238231.siswa@smkn12malang.sch.id</v>
      </c>
    </row>
    <row r="2367">
      <c r="A2367" s="3" t="str">
        <f t="shared" si="1"/>
        <v>OK</v>
      </c>
      <c r="B2367" s="3" t="str">
        <f t="shared" si="2"/>
        <v>OK</v>
      </c>
      <c r="C2367" s="3">
        <v>8240.0</v>
      </c>
      <c r="D2367" s="4" t="s">
        <v>5347</v>
      </c>
      <c r="E2367" s="3" t="s">
        <v>5348</v>
      </c>
      <c r="F2367" s="3" t="s">
        <v>17</v>
      </c>
      <c r="G2367" s="3" t="str">
        <f t="shared" si="3"/>
        <v>XIIPLG2</v>
      </c>
      <c r="H2367" s="3" t="str">
        <f>VLOOKUP($C2367,Userpass!$A$2:$L$3001,12,FALSE)</f>
        <v>PLG2</v>
      </c>
      <c r="I2367" s="5" t="s">
        <v>4223</v>
      </c>
      <c r="J2367" s="3">
        <v>2023.0</v>
      </c>
      <c r="K2367" s="4" t="str">
        <f>VLOOKUP($C2367,Userpass!$A$2:$R$3001,2,FALSE)</f>
        <v>plg20238240.siswa@smkn12malang.sch.id</v>
      </c>
    </row>
    <row r="2368">
      <c r="A2368" s="3" t="str">
        <f t="shared" si="1"/>
        <v>OK</v>
      </c>
      <c r="B2368" s="3" t="str">
        <f t="shared" si="2"/>
        <v>OK</v>
      </c>
      <c r="C2368" s="3">
        <v>8255.0</v>
      </c>
      <c r="D2368" s="4" t="s">
        <v>5349</v>
      </c>
      <c r="E2368" s="3" t="s">
        <v>5350</v>
      </c>
      <c r="F2368" s="3" t="s">
        <v>13</v>
      </c>
      <c r="G2368" s="3" t="str">
        <f t="shared" si="3"/>
        <v>XIIPLG2</v>
      </c>
      <c r="H2368" s="3" t="str">
        <f>VLOOKUP($C2368,Userpass!$A$2:$L$3001,12,FALSE)</f>
        <v>PLG2</v>
      </c>
      <c r="I2368" s="5" t="s">
        <v>4223</v>
      </c>
      <c r="J2368" s="3">
        <v>2023.0</v>
      </c>
      <c r="K2368" s="4" t="str">
        <f>VLOOKUP($C2368,Userpass!$A$2:$R$3001,2,FALSE)</f>
        <v>plg20238255.siswa@smkn12malang.sch.id</v>
      </c>
    </row>
    <row r="2369">
      <c r="A2369" s="3" t="str">
        <f t="shared" si="1"/>
        <v>OK</v>
      </c>
      <c r="B2369" s="3" t="str">
        <f t="shared" si="2"/>
        <v>OK</v>
      </c>
      <c r="C2369" s="3">
        <v>8273.0</v>
      </c>
      <c r="D2369" s="4" t="s">
        <v>5351</v>
      </c>
      <c r="E2369" s="3" t="s">
        <v>5352</v>
      </c>
      <c r="F2369" s="3" t="s">
        <v>17</v>
      </c>
      <c r="G2369" s="3" t="str">
        <f t="shared" si="3"/>
        <v>XIIPLG2</v>
      </c>
      <c r="H2369" s="3" t="str">
        <f>VLOOKUP($C2369,Userpass!$A$2:$L$3001,12,FALSE)</f>
        <v>PLG2</v>
      </c>
      <c r="I2369" s="5" t="s">
        <v>4223</v>
      </c>
      <c r="J2369" s="3">
        <v>2023.0</v>
      </c>
      <c r="K2369" s="4" t="str">
        <f>VLOOKUP($C2369,Userpass!$A$2:$R$3001,2,FALSE)</f>
        <v>plg20238273.siswa@smkn12malang.sch.id</v>
      </c>
    </row>
    <row r="2370">
      <c r="A2370" s="3" t="str">
        <f t="shared" si="1"/>
        <v>OK</v>
      </c>
      <c r="B2370" s="3" t="str">
        <f t="shared" si="2"/>
        <v>OK</v>
      </c>
      <c r="C2370" s="3">
        <v>8294.0</v>
      </c>
      <c r="D2370" s="4" t="s">
        <v>5353</v>
      </c>
      <c r="E2370" s="3" t="s">
        <v>5354</v>
      </c>
      <c r="F2370" s="3" t="s">
        <v>17</v>
      </c>
      <c r="G2370" s="3" t="str">
        <f t="shared" si="3"/>
        <v>XIIPLG2</v>
      </c>
      <c r="H2370" s="3" t="str">
        <f>VLOOKUP($C2370,Userpass!$A$2:$L$3001,12,FALSE)</f>
        <v>PLG2</v>
      </c>
      <c r="I2370" s="5" t="s">
        <v>4223</v>
      </c>
      <c r="J2370" s="3">
        <v>2023.0</v>
      </c>
      <c r="K2370" s="4" t="str">
        <f>VLOOKUP($C2370,Userpass!$A$2:$R$3001,2,FALSE)</f>
        <v>plg20238294.siswa@smkn12malang.sch.id</v>
      </c>
    </row>
    <row r="2371">
      <c r="A2371" s="3" t="str">
        <f t="shared" si="1"/>
        <v>OK</v>
      </c>
      <c r="B2371" s="3" t="str">
        <f t="shared" si="2"/>
        <v>OK</v>
      </c>
      <c r="C2371" s="3">
        <v>8312.0</v>
      </c>
      <c r="D2371" s="4" t="s">
        <v>5355</v>
      </c>
      <c r="E2371" s="3" t="s">
        <v>5356</v>
      </c>
      <c r="F2371" s="3" t="s">
        <v>17</v>
      </c>
      <c r="G2371" s="3" t="str">
        <f t="shared" si="3"/>
        <v>XIIPLG2</v>
      </c>
      <c r="H2371" s="3" t="str">
        <f>VLOOKUP($C2371,Userpass!$A$2:$L$3001,12,FALSE)</f>
        <v>PLG2</v>
      </c>
      <c r="I2371" s="5" t="s">
        <v>4223</v>
      </c>
      <c r="J2371" s="3">
        <v>2023.0</v>
      </c>
      <c r="K2371" s="4" t="str">
        <f>VLOOKUP($C2371,Userpass!$A$2:$R$3001,2,FALSE)</f>
        <v>plg20238312.siswa@smkn12malang.sch.id</v>
      </c>
    </row>
    <row r="2372">
      <c r="A2372" s="3" t="str">
        <f t="shared" si="1"/>
        <v>OK</v>
      </c>
      <c r="B2372" s="3" t="str">
        <f t="shared" si="2"/>
        <v>OK</v>
      </c>
      <c r="C2372" s="3">
        <v>8332.0</v>
      </c>
      <c r="D2372" s="4" t="s">
        <v>5357</v>
      </c>
      <c r="E2372" s="3" t="s">
        <v>5358</v>
      </c>
      <c r="F2372" s="3" t="s">
        <v>17</v>
      </c>
      <c r="G2372" s="3" t="str">
        <f t="shared" si="3"/>
        <v>XIIPLG2</v>
      </c>
      <c r="H2372" s="3" t="str">
        <f>VLOOKUP($C2372,Userpass!$A$2:$L$3001,12,FALSE)</f>
        <v>PLG2</v>
      </c>
      <c r="I2372" s="5" t="s">
        <v>4223</v>
      </c>
      <c r="J2372" s="3">
        <v>2023.0</v>
      </c>
      <c r="K2372" s="4" t="str">
        <f>VLOOKUP($C2372,Userpass!$A$2:$R$3001,2,FALSE)</f>
        <v>plg20238332.siswa@smkn12malang.sch.id</v>
      </c>
    </row>
    <row r="2373">
      <c r="A2373" s="3" t="str">
        <f t="shared" si="1"/>
        <v>OK</v>
      </c>
      <c r="B2373" s="3" t="str">
        <f t="shared" si="2"/>
        <v>OK</v>
      </c>
      <c r="C2373" s="3">
        <v>8346.0</v>
      </c>
      <c r="D2373" s="4" t="s">
        <v>5359</v>
      </c>
      <c r="E2373" s="3" t="s">
        <v>5360</v>
      </c>
      <c r="F2373" s="3" t="s">
        <v>17</v>
      </c>
      <c r="G2373" s="3" t="str">
        <f t="shared" si="3"/>
        <v>XIIPLG2</v>
      </c>
      <c r="H2373" s="3" t="str">
        <f>VLOOKUP($C2373,Userpass!$A$2:$L$3001,12,FALSE)</f>
        <v>PLG2</v>
      </c>
      <c r="I2373" s="5" t="s">
        <v>4223</v>
      </c>
      <c r="J2373" s="3">
        <v>2023.0</v>
      </c>
      <c r="K2373" s="4" t="str">
        <f>VLOOKUP($C2373,Userpass!$A$2:$R$3001,2,FALSE)</f>
        <v>plg20238346.siswa@smkn12malang.sch.id</v>
      </c>
    </row>
    <row r="2374">
      <c r="A2374" s="3" t="str">
        <f t="shared" si="1"/>
        <v>OK</v>
      </c>
      <c r="B2374" s="3" t="str">
        <f t="shared" si="2"/>
        <v>OK</v>
      </c>
      <c r="C2374" s="3">
        <v>8363.0</v>
      </c>
      <c r="D2374" s="4" t="s">
        <v>5361</v>
      </c>
      <c r="E2374" s="3" t="s">
        <v>5362</v>
      </c>
      <c r="F2374" s="3" t="s">
        <v>17</v>
      </c>
      <c r="G2374" s="3" t="str">
        <f t="shared" si="3"/>
        <v>XIIPLG2</v>
      </c>
      <c r="H2374" s="3" t="str">
        <f>VLOOKUP($C2374,Userpass!$A$2:$L$3001,12,FALSE)</f>
        <v>PLG2</v>
      </c>
      <c r="I2374" s="5" t="s">
        <v>4223</v>
      </c>
      <c r="J2374" s="3">
        <v>2023.0</v>
      </c>
      <c r="K2374" s="4" t="str">
        <f>VLOOKUP($C2374,Userpass!$A$2:$R$3001,2,FALSE)</f>
        <v>plg20238363.siswa@smkn12malang.sch.id</v>
      </c>
    </row>
    <row r="2375">
      <c r="A2375" s="3" t="str">
        <f t="shared" si="1"/>
        <v>OK</v>
      </c>
      <c r="B2375" s="3" t="str">
        <f t="shared" si="2"/>
        <v>OK</v>
      </c>
      <c r="C2375" s="3">
        <v>8372.0</v>
      </c>
      <c r="D2375" s="4" t="s">
        <v>5363</v>
      </c>
      <c r="E2375" s="3" t="s">
        <v>5364</v>
      </c>
      <c r="F2375" s="3" t="s">
        <v>17</v>
      </c>
      <c r="G2375" s="3" t="str">
        <f t="shared" si="3"/>
        <v>XIIPLG2</v>
      </c>
      <c r="H2375" s="3" t="str">
        <f>VLOOKUP($C2375,Userpass!$A$2:$L$3001,12,FALSE)</f>
        <v>PLG2</v>
      </c>
      <c r="I2375" s="5" t="s">
        <v>4223</v>
      </c>
      <c r="J2375" s="3">
        <v>2023.0</v>
      </c>
      <c r="K2375" s="4" t="str">
        <f>VLOOKUP($C2375,Userpass!$A$2:$R$3001,2,FALSE)</f>
        <v>plg20238372.siswa@smkn12malang.sch.id</v>
      </c>
    </row>
    <row r="2376">
      <c r="A2376" s="3" t="str">
        <f t="shared" si="1"/>
        <v>OK</v>
      </c>
      <c r="B2376" s="3" t="str">
        <f t="shared" si="2"/>
        <v>OK</v>
      </c>
      <c r="C2376" s="3">
        <v>8374.0</v>
      </c>
      <c r="D2376" s="4" t="s">
        <v>5365</v>
      </c>
      <c r="E2376" s="3" t="s">
        <v>5366</v>
      </c>
      <c r="F2376" s="3" t="s">
        <v>17</v>
      </c>
      <c r="G2376" s="3" t="str">
        <f t="shared" si="3"/>
        <v>XIIPLG2</v>
      </c>
      <c r="H2376" s="3" t="str">
        <f>VLOOKUP($C2376,Userpass!$A$2:$L$3001,12,FALSE)</f>
        <v>PLG2</v>
      </c>
      <c r="I2376" s="5" t="s">
        <v>4223</v>
      </c>
      <c r="J2376" s="3">
        <v>2023.0</v>
      </c>
      <c r="K2376" s="4" t="str">
        <f>VLOOKUP($C2376,Userpass!$A$2:$R$3001,2,FALSE)</f>
        <v>plg20238374.siswa@smkn12malang.sch.id</v>
      </c>
    </row>
    <row r="2377">
      <c r="A2377" s="3" t="str">
        <f t="shared" si="1"/>
        <v>OK</v>
      </c>
      <c r="B2377" s="3" t="str">
        <f t="shared" si="2"/>
        <v>OK</v>
      </c>
      <c r="C2377" s="3">
        <v>8462.0</v>
      </c>
      <c r="D2377" s="4" t="s">
        <v>5367</v>
      </c>
      <c r="E2377" s="3" t="s">
        <v>5368</v>
      </c>
      <c r="F2377" s="3" t="s">
        <v>13</v>
      </c>
      <c r="G2377" s="3" t="str">
        <f t="shared" si="3"/>
        <v>XIIPLG2</v>
      </c>
      <c r="H2377" s="3" t="str">
        <f>VLOOKUP($C2377,Userpass!$A$2:$L$3001,12,FALSE)</f>
        <v>PLG2</v>
      </c>
      <c r="I2377" s="5" t="s">
        <v>4223</v>
      </c>
      <c r="J2377" s="3">
        <v>2023.0</v>
      </c>
      <c r="K2377" s="4" t="str">
        <f>VLOOKUP($C2377,Userpass!$A$2:$R$3001,2,FALSE)</f>
        <v>plg20238462.siswa@smkn12malang.sch.id</v>
      </c>
    </row>
    <row r="2378">
      <c r="A2378" s="3" t="str">
        <f t="shared" si="1"/>
        <v>OK</v>
      </c>
      <c r="B2378" s="3" t="str">
        <f t="shared" si="2"/>
        <v>OK</v>
      </c>
      <c r="C2378" s="3">
        <v>8469.0</v>
      </c>
      <c r="D2378" s="4" t="s">
        <v>5369</v>
      </c>
      <c r="E2378" s="3" t="s">
        <v>5370</v>
      </c>
      <c r="F2378" s="3" t="s">
        <v>13</v>
      </c>
      <c r="G2378" s="3" t="str">
        <f t="shared" si="3"/>
        <v>XIIPLG2</v>
      </c>
      <c r="H2378" s="3" t="str">
        <f>VLOOKUP($C2378,Userpass!$A$2:$L$3001,12,FALSE)</f>
        <v>PLG2</v>
      </c>
      <c r="I2378" s="5" t="s">
        <v>4223</v>
      </c>
      <c r="J2378" s="3">
        <v>2023.0</v>
      </c>
      <c r="K2378" s="4" t="str">
        <f>VLOOKUP($C2378,Userpass!$A$2:$R$3001,2,FALSE)</f>
        <v>plg20238469.siswa@smkn12malang.sch.id</v>
      </c>
    </row>
    <row r="2379">
      <c r="A2379" s="3" t="str">
        <f t="shared" si="1"/>
        <v>OK</v>
      </c>
      <c r="B2379" s="3" t="str">
        <f t="shared" si="2"/>
        <v>OK</v>
      </c>
      <c r="C2379" s="3">
        <v>8477.0</v>
      </c>
      <c r="D2379" s="4" t="s">
        <v>5371</v>
      </c>
      <c r="E2379" s="3" t="s">
        <v>5372</v>
      </c>
      <c r="F2379" s="3" t="s">
        <v>17</v>
      </c>
      <c r="G2379" s="3" t="str">
        <f t="shared" si="3"/>
        <v>XIIPLG2</v>
      </c>
      <c r="H2379" s="3" t="str">
        <f>VLOOKUP($C2379,Userpass!$A$2:$L$3001,12,FALSE)</f>
        <v>PLG2</v>
      </c>
      <c r="I2379" s="5" t="s">
        <v>4223</v>
      </c>
      <c r="J2379" s="3">
        <v>2023.0</v>
      </c>
      <c r="K2379" s="4" t="str">
        <f>VLOOKUP($C2379,Userpass!$A$2:$R$3001,2,FALSE)</f>
        <v>plg20238477.siswa@smkn12malang.sch.id</v>
      </c>
    </row>
    <row r="2380">
      <c r="A2380" s="3" t="str">
        <f t="shared" si="1"/>
        <v>OK</v>
      </c>
      <c r="B2380" s="3" t="str">
        <f t="shared" si="2"/>
        <v>OK</v>
      </c>
      <c r="C2380" s="3">
        <v>8501.0</v>
      </c>
      <c r="D2380" s="4" t="s">
        <v>5373</v>
      </c>
      <c r="E2380" s="3" t="s">
        <v>5374</v>
      </c>
      <c r="F2380" s="3" t="s">
        <v>17</v>
      </c>
      <c r="G2380" s="3" t="str">
        <f t="shared" si="3"/>
        <v>XIIPLG2</v>
      </c>
      <c r="H2380" s="3" t="str">
        <f>VLOOKUP($C2380,Userpass!$A$2:$L$3001,12,FALSE)</f>
        <v>PLG2</v>
      </c>
      <c r="I2380" s="5" t="s">
        <v>4223</v>
      </c>
      <c r="J2380" s="3">
        <v>2023.0</v>
      </c>
      <c r="K2380" s="4" t="str">
        <f>VLOOKUP($C2380,Userpass!$A$2:$R$3001,2,FALSE)</f>
        <v>plg20238501.siswa@smkn12malang.sch.id</v>
      </c>
    </row>
    <row r="2381">
      <c r="A2381" s="3" t="str">
        <f t="shared" si="1"/>
        <v>OK</v>
      </c>
      <c r="B2381" s="3" t="str">
        <f t="shared" si="2"/>
        <v>OK</v>
      </c>
      <c r="C2381" s="3">
        <v>8522.0</v>
      </c>
      <c r="D2381" s="4" t="s">
        <v>5375</v>
      </c>
      <c r="E2381" s="3" t="s">
        <v>5376</v>
      </c>
      <c r="F2381" s="3" t="s">
        <v>13</v>
      </c>
      <c r="G2381" s="3" t="str">
        <f t="shared" si="3"/>
        <v>XIIPLG2</v>
      </c>
      <c r="H2381" s="3" t="str">
        <f>VLOOKUP($C2381,Userpass!$A$2:$L$3001,12,FALSE)</f>
        <v>PLG2</v>
      </c>
      <c r="I2381" s="5" t="s">
        <v>4223</v>
      </c>
      <c r="J2381" s="3">
        <v>2023.0</v>
      </c>
      <c r="K2381" s="4" t="str">
        <f>VLOOKUP($C2381,Userpass!$A$2:$R$3001,2,FALSE)</f>
        <v>plg20238522.siswa@smkn12malang.sch.id</v>
      </c>
    </row>
    <row r="2382">
      <c r="A2382" s="3" t="str">
        <f t="shared" si="1"/>
        <v>OK</v>
      </c>
      <c r="B2382" s="3" t="str">
        <f t="shared" si="2"/>
        <v>OK</v>
      </c>
      <c r="C2382" s="3">
        <v>8533.0</v>
      </c>
      <c r="D2382" s="4" t="s">
        <v>5377</v>
      </c>
      <c r="E2382" s="3" t="s">
        <v>5378</v>
      </c>
      <c r="F2382" s="3" t="s">
        <v>13</v>
      </c>
      <c r="G2382" s="3" t="str">
        <f t="shared" si="3"/>
        <v>XIIPLG2</v>
      </c>
      <c r="H2382" s="3" t="str">
        <f>VLOOKUP($C2382,Userpass!$A$2:$L$3001,12,FALSE)</f>
        <v>PLG2</v>
      </c>
      <c r="I2382" s="5" t="s">
        <v>4223</v>
      </c>
      <c r="J2382" s="3">
        <v>2023.0</v>
      </c>
      <c r="K2382" s="4" t="str">
        <f>VLOOKUP($C2382,Userpass!$A$2:$R$3001,2,FALSE)</f>
        <v>plg20238533.siswa@smkn12malang.sch.id</v>
      </c>
    </row>
    <row r="2383">
      <c r="A2383" s="3" t="str">
        <f t="shared" si="1"/>
        <v>OK</v>
      </c>
      <c r="B2383" s="3" t="str">
        <f t="shared" si="2"/>
        <v>OK</v>
      </c>
      <c r="C2383" s="3">
        <v>8567.0</v>
      </c>
      <c r="D2383" s="4" t="s">
        <v>5379</v>
      </c>
      <c r="E2383" s="3" t="s">
        <v>5380</v>
      </c>
      <c r="F2383" s="3" t="s">
        <v>17</v>
      </c>
      <c r="G2383" s="3" t="str">
        <f t="shared" si="3"/>
        <v>XIIPLG2</v>
      </c>
      <c r="H2383" s="3" t="str">
        <f>VLOOKUP($C2383,Userpass!$A$2:$L$3001,12,FALSE)</f>
        <v>PLG2</v>
      </c>
      <c r="I2383" s="5" t="s">
        <v>4223</v>
      </c>
      <c r="J2383" s="3">
        <v>2023.0</v>
      </c>
      <c r="K2383" s="4" t="str">
        <f>VLOOKUP($C2383,Userpass!$A$2:$R$3001,2,FALSE)</f>
        <v>plg20238567.siswa@smkn12malang.sch.id</v>
      </c>
    </row>
    <row r="2384">
      <c r="A2384" s="3" t="str">
        <f t="shared" si="1"/>
        <v>OK</v>
      </c>
      <c r="B2384" s="3" t="str">
        <f t="shared" si="2"/>
        <v>OK</v>
      </c>
      <c r="C2384" s="3">
        <v>8570.0</v>
      </c>
      <c r="D2384" s="4" t="s">
        <v>5381</v>
      </c>
      <c r="E2384" s="3" t="s">
        <v>5382</v>
      </c>
      <c r="F2384" s="3" t="s">
        <v>17</v>
      </c>
      <c r="G2384" s="3" t="str">
        <f t="shared" si="3"/>
        <v>XIIPLG2</v>
      </c>
      <c r="H2384" s="3" t="str">
        <f>VLOOKUP($C2384,Userpass!$A$2:$L$3001,12,FALSE)</f>
        <v>PLG2</v>
      </c>
      <c r="I2384" s="5" t="s">
        <v>4223</v>
      </c>
      <c r="J2384" s="3">
        <v>2023.0</v>
      </c>
      <c r="K2384" s="4" t="str">
        <f>VLOOKUP($C2384,Userpass!$A$2:$R$3001,2,FALSE)</f>
        <v>plg20238570.siswa@smkn12malang.sch.id</v>
      </c>
    </row>
    <row r="2385">
      <c r="A2385" s="3" t="str">
        <f t="shared" si="1"/>
        <v>OK</v>
      </c>
      <c r="B2385" s="3" t="str">
        <f t="shared" si="2"/>
        <v>OK</v>
      </c>
      <c r="C2385" s="3">
        <v>8583.0</v>
      </c>
      <c r="D2385" s="4" t="s">
        <v>5383</v>
      </c>
      <c r="E2385" s="3" t="s">
        <v>5384</v>
      </c>
      <c r="F2385" s="3" t="s">
        <v>13</v>
      </c>
      <c r="G2385" s="3" t="str">
        <f t="shared" si="3"/>
        <v>XIIPLG2</v>
      </c>
      <c r="H2385" s="3" t="str">
        <f>VLOOKUP($C2385,Userpass!$A$2:$L$3001,12,FALSE)</f>
        <v>PLG2</v>
      </c>
      <c r="I2385" s="5" t="s">
        <v>4223</v>
      </c>
      <c r="J2385" s="3">
        <v>2023.0</v>
      </c>
      <c r="K2385" s="4" t="str">
        <f>VLOOKUP($C2385,Userpass!$A$2:$R$3001,2,FALSE)</f>
        <v>plg20238583.siswa@smkn12malang.sch.id</v>
      </c>
    </row>
    <row r="2386">
      <c r="A2386" s="3" t="str">
        <f t="shared" si="1"/>
        <v>OK</v>
      </c>
      <c r="B2386" s="3" t="str">
        <f t="shared" si="2"/>
        <v>OK</v>
      </c>
      <c r="C2386" s="3">
        <v>8586.0</v>
      </c>
      <c r="D2386" s="4" t="s">
        <v>5385</v>
      </c>
      <c r="E2386" s="3" t="s">
        <v>5386</v>
      </c>
      <c r="F2386" s="3" t="s">
        <v>17</v>
      </c>
      <c r="G2386" s="3" t="str">
        <f t="shared" si="3"/>
        <v>XIIPLG2</v>
      </c>
      <c r="H2386" s="3" t="str">
        <f>VLOOKUP($C2386,Userpass!$A$2:$L$3001,12,FALSE)</f>
        <v>PLG2</v>
      </c>
      <c r="I2386" s="5" t="s">
        <v>4223</v>
      </c>
      <c r="J2386" s="3">
        <v>2023.0</v>
      </c>
      <c r="K2386" s="4" t="str">
        <f>VLOOKUP($C2386,Userpass!$A$2:$R$3001,2,FALSE)</f>
        <v>plg20238586.siswa@smkn12malang.sch.id</v>
      </c>
    </row>
    <row r="2387">
      <c r="A2387" s="3" t="str">
        <f t="shared" si="1"/>
        <v>OK</v>
      </c>
      <c r="B2387" s="3" t="str">
        <f t="shared" si="2"/>
        <v>OK</v>
      </c>
      <c r="C2387" s="3">
        <v>8591.0</v>
      </c>
      <c r="D2387" s="4" t="s">
        <v>5387</v>
      </c>
      <c r="E2387" s="3" t="s">
        <v>5388</v>
      </c>
      <c r="F2387" s="3" t="s">
        <v>13</v>
      </c>
      <c r="G2387" s="3" t="str">
        <f t="shared" si="3"/>
        <v>XIIPLG2</v>
      </c>
      <c r="H2387" s="3" t="str">
        <f>VLOOKUP($C2387,Userpass!$A$2:$L$3001,12,FALSE)</f>
        <v>PLG2</v>
      </c>
      <c r="I2387" s="5" t="s">
        <v>4223</v>
      </c>
      <c r="J2387" s="3">
        <v>2023.0</v>
      </c>
      <c r="K2387" s="4" t="str">
        <f>VLOOKUP($C2387,Userpass!$A$2:$R$3001,2,FALSE)</f>
        <v>plg20238591.siswa@smkn12malang.sch.id</v>
      </c>
    </row>
    <row r="2388">
      <c r="A2388" s="3"/>
      <c r="B2388" s="3"/>
      <c r="D2388" s="4"/>
      <c r="E2388" s="3"/>
      <c r="F2388" s="7"/>
      <c r="G2388" s="3"/>
      <c r="H2388" s="3"/>
      <c r="I2388" s="3"/>
      <c r="J2388" s="3"/>
    </row>
    <row r="2389">
      <c r="A2389" s="3"/>
      <c r="B2389" s="3"/>
      <c r="D2389" s="4"/>
      <c r="E2389" s="3"/>
      <c r="F2389" s="7"/>
      <c r="G2389" s="3"/>
      <c r="H2389" s="3"/>
      <c r="I2389" s="3"/>
      <c r="J2389" s="3"/>
    </row>
    <row r="2390">
      <c r="A2390" s="3"/>
      <c r="B2390" s="3"/>
      <c r="D2390" s="4"/>
      <c r="E2390" s="3"/>
      <c r="F2390" s="7"/>
      <c r="G2390" s="3"/>
      <c r="H2390" s="3"/>
      <c r="I2390" s="3"/>
      <c r="J2390" s="3"/>
    </row>
    <row r="2391">
      <c r="A2391" s="3"/>
      <c r="B2391" s="3"/>
      <c r="D2391" s="4"/>
      <c r="E2391" s="3"/>
      <c r="F2391" s="7"/>
      <c r="G2391" s="3"/>
      <c r="H2391" s="3"/>
      <c r="I2391" s="3"/>
      <c r="J2391" s="3"/>
    </row>
    <row r="2392">
      <c r="A2392" s="3"/>
      <c r="B2392" s="3"/>
      <c r="D2392" s="4"/>
      <c r="E2392" s="3"/>
      <c r="F2392" s="7"/>
      <c r="G2392" s="3"/>
      <c r="H2392" s="3"/>
      <c r="I2392" s="3"/>
      <c r="J2392" s="3"/>
    </row>
    <row r="2393">
      <c r="A2393" s="3"/>
      <c r="B2393" s="3"/>
      <c r="D2393" s="4"/>
      <c r="E2393" s="3"/>
      <c r="F2393" s="7"/>
      <c r="G2393" s="3"/>
      <c r="H2393" s="3"/>
      <c r="I2393" s="3"/>
      <c r="J2393" s="3"/>
    </row>
    <row r="2394">
      <c r="A2394" s="3"/>
      <c r="B2394" s="3"/>
      <c r="D2394" s="4"/>
      <c r="E2394" s="3"/>
      <c r="F2394" s="7"/>
      <c r="G2394" s="3"/>
      <c r="H2394" s="3"/>
      <c r="I2394" s="3"/>
      <c r="J2394" s="3"/>
    </row>
    <row r="2395">
      <c r="A2395" s="3"/>
      <c r="B2395" s="3"/>
      <c r="D2395" s="4"/>
      <c r="E2395" s="3"/>
      <c r="F2395" s="7"/>
      <c r="G2395" s="3"/>
      <c r="H2395" s="3"/>
      <c r="I2395" s="3"/>
      <c r="J2395" s="3"/>
    </row>
    <row r="2396">
      <c r="A2396" s="3"/>
      <c r="B2396" s="3"/>
      <c r="D2396" s="4"/>
      <c r="E2396" s="3"/>
      <c r="F2396" s="7"/>
      <c r="G2396" s="3"/>
      <c r="H2396" s="3"/>
      <c r="I2396" s="3"/>
      <c r="J2396" s="3"/>
    </row>
    <row r="2397">
      <c r="A2397" s="3"/>
      <c r="B2397" s="3"/>
      <c r="D2397" s="4"/>
      <c r="E2397" s="3"/>
      <c r="F2397" s="7"/>
      <c r="G2397" s="3"/>
      <c r="H2397" s="3"/>
      <c r="I2397" s="3"/>
      <c r="J2397" s="3"/>
    </row>
    <row r="2398">
      <c r="A2398" s="3"/>
      <c r="B2398" s="3"/>
      <c r="D2398" s="4"/>
      <c r="E2398" s="3"/>
      <c r="F2398" s="7"/>
      <c r="G2398" s="3"/>
      <c r="H2398" s="3"/>
      <c r="I2398" s="3"/>
      <c r="J2398" s="3"/>
    </row>
    <row r="2399">
      <c r="A2399" s="3"/>
      <c r="B2399" s="3"/>
      <c r="D2399" s="4"/>
      <c r="E2399" s="3"/>
      <c r="F2399" s="7"/>
      <c r="G2399" s="3"/>
      <c r="H2399" s="3"/>
      <c r="I2399" s="3"/>
      <c r="J2399" s="3"/>
    </row>
    <row r="2400">
      <c r="A2400" s="3"/>
      <c r="B2400" s="3"/>
      <c r="D2400" s="4"/>
      <c r="E2400" s="3"/>
      <c r="F2400" s="7"/>
      <c r="G2400" s="3"/>
      <c r="H2400" s="3"/>
      <c r="I2400" s="3"/>
      <c r="J2400" s="3"/>
    </row>
    <row r="2401">
      <c r="A2401" s="3"/>
      <c r="B2401" s="3"/>
      <c r="D2401" s="4"/>
      <c r="E2401" s="3"/>
      <c r="F2401" s="7"/>
      <c r="G2401" s="3"/>
      <c r="H2401" s="3"/>
      <c r="I2401" s="3"/>
      <c r="J2401" s="3"/>
    </row>
    <row r="2402">
      <c r="A2402" s="3"/>
      <c r="B2402" s="3"/>
      <c r="D2402" s="4"/>
      <c r="E2402" s="3"/>
      <c r="F2402" s="7"/>
      <c r="G2402" s="3"/>
      <c r="H2402" s="3"/>
      <c r="I2402" s="3"/>
      <c r="J2402" s="3"/>
    </row>
    <row r="2403">
      <c r="A2403" s="3"/>
      <c r="B2403" s="3"/>
      <c r="D2403" s="4"/>
      <c r="E2403" s="3"/>
      <c r="F2403" s="7"/>
      <c r="G2403" s="3"/>
      <c r="H2403" s="3"/>
      <c r="I2403" s="3"/>
      <c r="J2403" s="3"/>
    </row>
    <row r="2404">
      <c r="A2404" s="3"/>
      <c r="B2404" s="3"/>
      <c r="D2404" s="4"/>
      <c r="E2404" s="3"/>
      <c r="F2404" s="7"/>
      <c r="G2404" s="3"/>
      <c r="H2404" s="3"/>
      <c r="I2404" s="3"/>
      <c r="J2404" s="3"/>
    </row>
    <row r="2405">
      <c r="A2405" s="3"/>
      <c r="B2405" s="3"/>
      <c r="D2405" s="4"/>
      <c r="E2405" s="3"/>
      <c r="F2405" s="7"/>
      <c r="G2405" s="3"/>
      <c r="H2405" s="3"/>
      <c r="I2405" s="3"/>
      <c r="J2405" s="3"/>
    </row>
    <row r="2406">
      <c r="A2406" s="3"/>
      <c r="B2406" s="3"/>
      <c r="D2406" s="4"/>
      <c r="E2406" s="3"/>
      <c r="F2406" s="7"/>
      <c r="G2406" s="3"/>
      <c r="H2406" s="3"/>
      <c r="I2406" s="3"/>
      <c r="J2406" s="3"/>
    </row>
    <row r="2407">
      <c r="A2407" s="3"/>
      <c r="B2407" s="3"/>
      <c r="D2407" s="4"/>
      <c r="E2407" s="3"/>
      <c r="F2407" s="7"/>
      <c r="G2407" s="3"/>
      <c r="H2407" s="3"/>
      <c r="I2407" s="3"/>
      <c r="J2407" s="3"/>
    </row>
    <row r="2408">
      <c r="A2408" s="3"/>
      <c r="B2408" s="3"/>
      <c r="D2408" s="4"/>
      <c r="E2408" s="3"/>
      <c r="F2408" s="7"/>
      <c r="G2408" s="3"/>
      <c r="H2408" s="3"/>
      <c r="I2408" s="3"/>
      <c r="J2408" s="3"/>
    </row>
    <row r="2409">
      <c r="A2409" s="3"/>
      <c r="B2409" s="3"/>
      <c r="D2409" s="4"/>
      <c r="E2409" s="3"/>
      <c r="F2409" s="7"/>
      <c r="G2409" s="3"/>
      <c r="H2409" s="3"/>
      <c r="I2409" s="3"/>
      <c r="J2409" s="3"/>
    </row>
    <row r="2410">
      <c r="A2410" s="3"/>
      <c r="B2410" s="3"/>
      <c r="D2410" s="4"/>
      <c r="E2410" s="3"/>
      <c r="F2410" s="7"/>
      <c r="G2410" s="3"/>
      <c r="H2410" s="3"/>
      <c r="I2410" s="3"/>
      <c r="J2410" s="3"/>
    </row>
    <row r="2411">
      <c r="A2411" s="3"/>
      <c r="B2411" s="3"/>
      <c r="D2411" s="4"/>
      <c r="E2411" s="3"/>
      <c r="F2411" s="7"/>
      <c r="G2411" s="3"/>
      <c r="H2411" s="3"/>
      <c r="I2411" s="3"/>
      <c r="J2411" s="3"/>
    </row>
    <row r="2412">
      <c r="A2412" s="3"/>
      <c r="B2412" s="3"/>
      <c r="D2412" s="4"/>
      <c r="E2412" s="3"/>
      <c r="F2412" s="7"/>
      <c r="G2412" s="3"/>
      <c r="H2412" s="3"/>
      <c r="I2412" s="3"/>
      <c r="J2412" s="3"/>
    </row>
    <row r="2413">
      <c r="A2413" s="3"/>
      <c r="B2413" s="3"/>
      <c r="D2413" s="4"/>
      <c r="E2413" s="3"/>
      <c r="F2413" s="7"/>
      <c r="G2413" s="3"/>
      <c r="H2413" s="3"/>
      <c r="I2413" s="3"/>
      <c r="J2413" s="3"/>
    </row>
    <row r="2414">
      <c r="A2414" s="3"/>
      <c r="B2414" s="3"/>
      <c r="D2414" s="4"/>
      <c r="E2414" s="3"/>
      <c r="F2414" s="7"/>
      <c r="G2414" s="3"/>
      <c r="H2414" s="3"/>
      <c r="I2414" s="3"/>
      <c r="J2414" s="3"/>
    </row>
    <row r="2415">
      <c r="A2415" s="3"/>
      <c r="B2415" s="3"/>
      <c r="D2415" s="4"/>
      <c r="E2415" s="3"/>
      <c r="F2415" s="7"/>
      <c r="G2415" s="3"/>
      <c r="H2415" s="3"/>
      <c r="I2415" s="3"/>
      <c r="J2415" s="3"/>
    </row>
    <row r="2416">
      <c r="A2416" s="3"/>
      <c r="B2416" s="3"/>
      <c r="D2416" s="4"/>
      <c r="E2416" s="3"/>
      <c r="F2416" s="7"/>
      <c r="G2416" s="3"/>
      <c r="H2416" s="3"/>
      <c r="I2416" s="3"/>
      <c r="J2416" s="3"/>
    </row>
    <row r="2417">
      <c r="A2417" s="3"/>
      <c r="B2417" s="3"/>
      <c r="D2417" s="4"/>
      <c r="E2417" s="3"/>
      <c r="F2417" s="7"/>
      <c r="G2417" s="3"/>
      <c r="H2417" s="3"/>
      <c r="I2417" s="3"/>
      <c r="J2417" s="3"/>
    </row>
    <row r="2418">
      <c r="A2418" s="3"/>
      <c r="B2418" s="3"/>
      <c r="D2418" s="4"/>
      <c r="E2418" s="3"/>
      <c r="F2418" s="7"/>
      <c r="G2418" s="3"/>
      <c r="H2418" s="3"/>
      <c r="I2418" s="3"/>
      <c r="J2418" s="3"/>
    </row>
    <row r="2419">
      <c r="A2419" s="3"/>
      <c r="B2419" s="3"/>
      <c r="D2419" s="4"/>
      <c r="E2419" s="3"/>
      <c r="F2419" s="7"/>
      <c r="G2419" s="3"/>
      <c r="H2419" s="3"/>
      <c r="I2419" s="3"/>
      <c r="J2419" s="3"/>
    </row>
    <row r="2420">
      <c r="A2420" s="3"/>
      <c r="B2420" s="3"/>
      <c r="D2420" s="4"/>
      <c r="E2420" s="3"/>
      <c r="F2420" s="7"/>
      <c r="G2420" s="3"/>
      <c r="H2420" s="3"/>
      <c r="I2420" s="3"/>
      <c r="J2420" s="3"/>
    </row>
    <row r="2421">
      <c r="A2421" s="3"/>
      <c r="B2421" s="3"/>
      <c r="D2421" s="4"/>
      <c r="E2421" s="3"/>
      <c r="F2421" s="7"/>
      <c r="G2421" s="3"/>
      <c r="H2421" s="3"/>
      <c r="I2421" s="3"/>
      <c r="J2421" s="3"/>
    </row>
    <row r="2422">
      <c r="A2422" s="3"/>
      <c r="B2422" s="3"/>
      <c r="D2422" s="4"/>
      <c r="E2422" s="3"/>
      <c r="F2422" s="7"/>
      <c r="G2422" s="3"/>
      <c r="H2422" s="3"/>
      <c r="I2422" s="3"/>
      <c r="J2422" s="3"/>
    </row>
    <row r="2423">
      <c r="A2423" s="3"/>
      <c r="B2423" s="3"/>
      <c r="D2423" s="4"/>
      <c r="E2423" s="3"/>
      <c r="F2423" s="7"/>
      <c r="G2423" s="3"/>
      <c r="H2423" s="3"/>
      <c r="I2423" s="3"/>
      <c r="J2423" s="3"/>
    </row>
    <row r="2424">
      <c r="A2424" s="3"/>
      <c r="B2424" s="3"/>
      <c r="D2424" s="4"/>
      <c r="E2424" s="3"/>
      <c r="F2424" s="7"/>
      <c r="G2424" s="3"/>
      <c r="H2424" s="3"/>
      <c r="I2424" s="3"/>
      <c r="J2424" s="3"/>
    </row>
    <row r="2425">
      <c r="A2425" s="3"/>
      <c r="B2425" s="3"/>
      <c r="D2425" s="4"/>
      <c r="E2425" s="3"/>
      <c r="F2425" s="7"/>
      <c r="G2425" s="3"/>
      <c r="H2425" s="3"/>
      <c r="I2425" s="3"/>
      <c r="J2425" s="3"/>
    </row>
    <row r="2426">
      <c r="A2426" s="3"/>
      <c r="B2426" s="3"/>
      <c r="D2426" s="4"/>
      <c r="E2426" s="3"/>
      <c r="F2426" s="7"/>
      <c r="G2426" s="3"/>
      <c r="H2426" s="3"/>
      <c r="I2426" s="3"/>
      <c r="J2426" s="3"/>
    </row>
    <row r="2427">
      <c r="A2427" s="3"/>
      <c r="B2427" s="3"/>
      <c r="D2427" s="4"/>
      <c r="E2427" s="3"/>
      <c r="F2427" s="7"/>
      <c r="G2427" s="3"/>
      <c r="H2427" s="3"/>
      <c r="I2427" s="3"/>
      <c r="J2427" s="3"/>
    </row>
    <row r="2428">
      <c r="A2428" s="3"/>
      <c r="B2428" s="3"/>
      <c r="D2428" s="4"/>
      <c r="E2428" s="3"/>
      <c r="F2428" s="7"/>
      <c r="G2428" s="3"/>
      <c r="H2428" s="3"/>
      <c r="I2428" s="3"/>
      <c r="J2428" s="3"/>
    </row>
    <row r="2429">
      <c r="A2429" s="3"/>
      <c r="B2429" s="3"/>
      <c r="D2429" s="4"/>
      <c r="E2429" s="3"/>
      <c r="F2429" s="7"/>
      <c r="G2429" s="3"/>
      <c r="H2429" s="3"/>
      <c r="I2429" s="3"/>
      <c r="J2429" s="3"/>
    </row>
    <row r="2430">
      <c r="A2430" s="3"/>
      <c r="B2430" s="3"/>
      <c r="D2430" s="4"/>
      <c r="E2430" s="3"/>
      <c r="F2430" s="7"/>
      <c r="G2430" s="3"/>
      <c r="H2430" s="3"/>
      <c r="I2430" s="3"/>
      <c r="J2430" s="3"/>
    </row>
    <row r="2431">
      <c r="A2431" s="3"/>
      <c r="B2431" s="3"/>
      <c r="D2431" s="4"/>
      <c r="E2431" s="3"/>
      <c r="F2431" s="7"/>
      <c r="G2431" s="3"/>
      <c r="H2431" s="3"/>
      <c r="I2431" s="3"/>
      <c r="J2431" s="3"/>
    </row>
    <row r="2432">
      <c r="A2432" s="3"/>
      <c r="B2432" s="3"/>
      <c r="D2432" s="4"/>
      <c r="E2432" s="3"/>
      <c r="F2432" s="7"/>
      <c r="G2432" s="3"/>
      <c r="H2432" s="3"/>
      <c r="I2432" s="3"/>
      <c r="J2432" s="3"/>
    </row>
    <row r="2433">
      <c r="A2433" s="3"/>
      <c r="B2433" s="3"/>
      <c r="D2433" s="4"/>
      <c r="E2433" s="3"/>
      <c r="F2433" s="7"/>
      <c r="G2433" s="3"/>
      <c r="H2433" s="3"/>
      <c r="I2433" s="3"/>
      <c r="J2433" s="3"/>
    </row>
    <row r="2434">
      <c r="A2434" s="3"/>
      <c r="B2434" s="3"/>
      <c r="D2434" s="4"/>
      <c r="E2434" s="3"/>
      <c r="F2434" s="7"/>
      <c r="G2434" s="3"/>
      <c r="H2434" s="3"/>
      <c r="I2434" s="3"/>
      <c r="J2434" s="3"/>
    </row>
    <row r="2435">
      <c r="A2435" s="3"/>
      <c r="B2435" s="3"/>
      <c r="D2435" s="4"/>
      <c r="E2435" s="3"/>
      <c r="F2435" s="7"/>
      <c r="G2435" s="3"/>
      <c r="H2435" s="3"/>
      <c r="I2435" s="3"/>
      <c r="J2435" s="3"/>
    </row>
    <row r="2436">
      <c r="A2436" s="3"/>
      <c r="B2436" s="3"/>
      <c r="D2436" s="4"/>
      <c r="E2436" s="3"/>
      <c r="F2436" s="7"/>
      <c r="G2436" s="3"/>
      <c r="H2436" s="3"/>
      <c r="I2436" s="3"/>
      <c r="J2436" s="3"/>
    </row>
    <row r="2437">
      <c r="A2437" s="3"/>
      <c r="B2437" s="3"/>
      <c r="D2437" s="4"/>
      <c r="E2437" s="3"/>
      <c r="F2437" s="7"/>
      <c r="G2437" s="3"/>
      <c r="H2437" s="3"/>
      <c r="I2437" s="3"/>
      <c r="J2437" s="3"/>
    </row>
    <row r="2438">
      <c r="A2438" s="3"/>
      <c r="B2438" s="3"/>
      <c r="D2438" s="4"/>
      <c r="E2438" s="3"/>
      <c r="F2438" s="7"/>
      <c r="G2438" s="3"/>
      <c r="H2438" s="3"/>
      <c r="I2438" s="3"/>
      <c r="J2438" s="3"/>
    </row>
    <row r="2439">
      <c r="A2439" s="3"/>
      <c r="B2439" s="3"/>
      <c r="D2439" s="4"/>
      <c r="E2439" s="3"/>
      <c r="F2439" s="7"/>
      <c r="G2439" s="3"/>
      <c r="H2439" s="3"/>
      <c r="I2439" s="3"/>
      <c r="J2439" s="3"/>
    </row>
    <row r="2440">
      <c r="A2440" s="3"/>
      <c r="B2440" s="3"/>
      <c r="D2440" s="4"/>
      <c r="E2440" s="3"/>
      <c r="F2440" s="7"/>
      <c r="G2440" s="3"/>
      <c r="H2440" s="3"/>
      <c r="I2440" s="3"/>
      <c r="J2440" s="3"/>
    </row>
    <row r="2441">
      <c r="A2441" s="3"/>
      <c r="B2441" s="3"/>
      <c r="D2441" s="4"/>
      <c r="E2441" s="3"/>
      <c r="F2441" s="7"/>
      <c r="G2441" s="3"/>
      <c r="H2441" s="3"/>
      <c r="I2441" s="3"/>
      <c r="J2441" s="3"/>
    </row>
    <row r="2442">
      <c r="A2442" s="3"/>
      <c r="B2442" s="3"/>
      <c r="D2442" s="4"/>
      <c r="E2442" s="3"/>
      <c r="F2442" s="7"/>
      <c r="G2442" s="3"/>
      <c r="H2442" s="3"/>
      <c r="I2442" s="3"/>
      <c r="J2442" s="3"/>
    </row>
    <row r="2443">
      <c r="A2443" s="3"/>
      <c r="B2443" s="3"/>
      <c r="D2443" s="4"/>
      <c r="E2443" s="3"/>
      <c r="F2443" s="7"/>
      <c r="G2443" s="3"/>
      <c r="H2443" s="3"/>
      <c r="I2443" s="3"/>
      <c r="J2443" s="3"/>
    </row>
    <row r="2444">
      <c r="A2444" s="3"/>
      <c r="B2444" s="3"/>
      <c r="D2444" s="4"/>
      <c r="E2444" s="3"/>
      <c r="F2444" s="7"/>
      <c r="G2444" s="3"/>
      <c r="H2444" s="3"/>
      <c r="I2444" s="3"/>
      <c r="J2444" s="3"/>
    </row>
    <row r="2445">
      <c r="A2445" s="3"/>
      <c r="B2445" s="3"/>
      <c r="D2445" s="4"/>
      <c r="E2445" s="3"/>
      <c r="F2445" s="7"/>
      <c r="G2445" s="3"/>
      <c r="H2445" s="3"/>
      <c r="I2445" s="3"/>
      <c r="J2445" s="3"/>
    </row>
    <row r="2446">
      <c r="A2446" s="3"/>
      <c r="B2446" s="3"/>
      <c r="D2446" s="4"/>
      <c r="E2446" s="3"/>
      <c r="F2446" s="7"/>
      <c r="G2446" s="3"/>
      <c r="H2446" s="3"/>
      <c r="I2446" s="3"/>
      <c r="J2446" s="3"/>
    </row>
    <row r="2447">
      <c r="A2447" s="3"/>
      <c r="B2447" s="3"/>
      <c r="D2447" s="4"/>
      <c r="E2447" s="3"/>
      <c r="F2447" s="7"/>
      <c r="G2447" s="3"/>
      <c r="H2447" s="3"/>
      <c r="I2447" s="3"/>
      <c r="J2447" s="3"/>
    </row>
    <row r="2448">
      <c r="A2448" s="3"/>
      <c r="B2448" s="3"/>
      <c r="D2448" s="4"/>
      <c r="E2448" s="3"/>
      <c r="F2448" s="7"/>
      <c r="G2448" s="3"/>
      <c r="H2448" s="3"/>
      <c r="I2448" s="3"/>
      <c r="J2448" s="3"/>
    </row>
    <row r="2449">
      <c r="A2449" s="3"/>
      <c r="B2449" s="3"/>
      <c r="D2449" s="4"/>
      <c r="E2449" s="3"/>
      <c r="F2449" s="7"/>
      <c r="G2449" s="3"/>
      <c r="H2449" s="3"/>
      <c r="I2449" s="3"/>
      <c r="J2449" s="3"/>
    </row>
    <row r="2450">
      <c r="A2450" s="3"/>
      <c r="B2450" s="3"/>
      <c r="D2450" s="4"/>
      <c r="E2450" s="3"/>
      <c r="F2450" s="7"/>
      <c r="G2450" s="3"/>
      <c r="H2450" s="3"/>
      <c r="I2450" s="3"/>
      <c r="J2450" s="3"/>
    </row>
    <row r="2451">
      <c r="A2451" s="3"/>
      <c r="B2451" s="3"/>
      <c r="D2451" s="4"/>
      <c r="E2451" s="3"/>
      <c r="F2451" s="7"/>
      <c r="G2451" s="3"/>
      <c r="H2451" s="3"/>
      <c r="I2451" s="3"/>
      <c r="J2451" s="3"/>
    </row>
    <row r="2452">
      <c r="A2452" s="3"/>
      <c r="B2452" s="3"/>
      <c r="D2452" s="4"/>
      <c r="E2452" s="3"/>
      <c r="F2452" s="7"/>
      <c r="G2452" s="3"/>
      <c r="H2452" s="3"/>
      <c r="I2452" s="3"/>
      <c r="J2452" s="3"/>
    </row>
    <row r="2453">
      <c r="A2453" s="3"/>
      <c r="B2453" s="3"/>
      <c r="D2453" s="4"/>
      <c r="E2453" s="3"/>
      <c r="F2453" s="7"/>
      <c r="G2453" s="3"/>
      <c r="H2453" s="3"/>
      <c r="I2453" s="3"/>
      <c r="J2453" s="3"/>
    </row>
    <row r="2454">
      <c r="A2454" s="3"/>
      <c r="B2454" s="3"/>
      <c r="D2454" s="4"/>
      <c r="E2454" s="3"/>
      <c r="F2454" s="7"/>
      <c r="G2454" s="3"/>
      <c r="H2454" s="3"/>
      <c r="I2454" s="3"/>
      <c r="J2454" s="3"/>
    </row>
    <row r="2455">
      <c r="A2455" s="3"/>
      <c r="B2455" s="3"/>
      <c r="D2455" s="4"/>
      <c r="E2455" s="3"/>
      <c r="F2455" s="7"/>
      <c r="G2455" s="3"/>
      <c r="H2455" s="3"/>
      <c r="I2455" s="3"/>
      <c r="J2455" s="3"/>
    </row>
    <row r="2456">
      <c r="A2456" s="3"/>
      <c r="B2456" s="3"/>
      <c r="D2456" s="4"/>
      <c r="E2456" s="3"/>
      <c r="F2456" s="7"/>
      <c r="G2456" s="3"/>
      <c r="H2456" s="3"/>
      <c r="I2456" s="3"/>
      <c r="J2456" s="3"/>
    </row>
    <row r="2457">
      <c r="A2457" s="3"/>
      <c r="B2457" s="3"/>
      <c r="D2457" s="4"/>
      <c r="E2457" s="3"/>
      <c r="F2457" s="7"/>
      <c r="G2457" s="3"/>
      <c r="H2457" s="3"/>
      <c r="I2457" s="3"/>
      <c r="J2457" s="3"/>
    </row>
    <row r="2458">
      <c r="A2458" s="3"/>
      <c r="B2458" s="3"/>
      <c r="D2458" s="4"/>
      <c r="E2458" s="3"/>
      <c r="F2458" s="7"/>
      <c r="G2458" s="3"/>
      <c r="H2458" s="3"/>
      <c r="I2458" s="3"/>
      <c r="J2458" s="3"/>
    </row>
    <row r="2459">
      <c r="A2459" s="3"/>
      <c r="B2459" s="3"/>
      <c r="D2459" s="4"/>
      <c r="E2459" s="3"/>
      <c r="F2459" s="7"/>
      <c r="G2459" s="3"/>
      <c r="H2459" s="3"/>
      <c r="I2459" s="3"/>
      <c r="J2459" s="3"/>
    </row>
    <row r="2460">
      <c r="A2460" s="3"/>
      <c r="B2460" s="3"/>
      <c r="D2460" s="4"/>
      <c r="E2460" s="3"/>
      <c r="F2460" s="7"/>
      <c r="G2460" s="3"/>
      <c r="H2460" s="3"/>
      <c r="I2460" s="3"/>
      <c r="J2460" s="3"/>
    </row>
    <row r="2461">
      <c r="A2461" s="3"/>
      <c r="B2461" s="3"/>
      <c r="D2461" s="4"/>
      <c r="E2461" s="3"/>
      <c r="F2461" s="7"/>
      <c r="G2461" s="3"/>
      <c r="H2461" s="3"/>
      <c r="I2461" s="3"/>
      <c r="J2461" s="3"/>
    </row>
    <row r="2462">
      <c r="A2462" s="3"/>
      <c r="B2462" s="3"/>
      <c r="D2462" s="4"/>
      <c r="E2462" s="3"/>
      <c r="F2462" s="7"/>
      <c r="G2462" s="3"/>
      <c r="H2462" s="3"/>
      <c r="I2462" s="3"/>
      <c r="J2462" s="3"/>
    </row>
    <row r="2463">
      <c r="A2463" s="3"/>
      <c r="B2463" s="3"/>
      <c r="D2463" s="4"/>
      <c r="E2463" s="3"/>
      <c r="F2463" s="7"/>
      <c r="G2463" s="3"/>
      <c r="H2463" s="3"/>
      <c r="I2463" s="3"/>
      <c r="J2463" s="3"/>
    </row>
    <row r="2464">
      <c r="A2464" s="3"/>
      <c r="B2464" s="3"/>
      <c r="D2464" s="4"/>
      <c r="E2464" s="3"/>
      <c r="F2464" s="7"/>
      <c r="G2464" s="3"/>
      <c r="H2464" s="3"/>
      <c r="I2464" s="3"/>
      <c r="J2464" s="3"/>
    </row>
    <row r="2465">
      <c r="A2465" s="3"/>
      <c r="B2465" s="3"/>
      <c r="D2465" s="4"/>
      <c r="E2465" s="3"/>
      <c r="F2465" s="7"/>
      <c r="G2465" s="3"/>
      <c r="H2465" s="3"/>
      <c r="I2465" s="3"/>
      <c r="J2465" s="3"/>
    </row>
    <row r="2466">
      <c r="A2466" s="3"/>
      <c r="B2466" s="3"/>
      <c r="D2466" s="4"/>
      <c r="E2466" s="3"/>
      <c r="F2466" s="7"/>
      <c r="G2466" s="3"/>
      <c r="H2466" s="3"/>
      <c r="I2466" s="3"/>
      <c r="J2466" s="3"/>
    </row>
    <row r="2467">
      <c r="A2467" s="3"/>
      <c r="B2467" s="3"/>
      <c r="D2467" s="4"/>
      <c r="E2467" s="3"/>
      <c r="F2467" s="7"/>
      <c r="G2467" s="3"/>
      <c r="H2467" s="3"/>
      <c r="I2467" s="3"/>
      <c r="J2467" s="3"/>
    </row>
    <row r="2468">
      <c r="A2468" s="3"/>
      <c r="B2468" s="3"/>
      <c r="D2468" s="4"/>
      <c r="E2468" s="3"/>
      <c r="F2468" s="7"/>
      <c r="G2468" s="3"/>
      <c r="H2468" s="3"/>
      <c r="I2468" s="3"/>
      <c r="J2468" s="3"/>
    </row>
    <row r="2469">
      <c r="A2469" s="3"/>
      <c r="B2469" s="3"/>
      <c r="D2469" s="4"/>
      <c r="E2469" s="3"/>
      <c r="F2469" s="7"/>
      <c r="G2469" s="3"/>
      <c r="H2469" s="3"/>
      <c r="I2469" s="3"/>
      <c r="J2469" s="3"/>
    </row>
    <row r="2470">
      <c r="A2470" s="3"/>
      <c r="B2470" s="3"/>
      <c r="D2470" s="4"/>
      <c r="E2470" s="3"/>
      <c r="F2470" s="7"/>
      <c r="G2470" s="3"/>
      <c r="H2470" s="3"/>
      <c r="I2470" s="3"/>
      <c r="J2470" s="3"/>
    </row>
    <row r="2471">
      <c r="A2471" s="3"/>
      <c r="B2471" s="3"/>
      <c r="D2471" s="4"/>
      <c r="E2471" s="3"/>
      <c r="F2471" s="7"/>
      <c r="G2471" s="3"/>
      <c r="H2471" s="3"/>
      <c r="I2471" s="3"/>
      <c r="J2471" s="3"/>
    </row>
    <row r="2472">
      <c r="A2472" s="3"/>
      <c r="B2472" s="3"/>
      <c r="D2472" s="4"/>
      <c r="E2472" s="3"/>
      <c r="F2472" s="7"/>
      <c r="G2472" s="3"/>
      <c r="H2472" s="3"/>
      <c r="I2472" s="3"/>
      <c r="J2472" s="3"/>
    </row>
    <row r="2473">
      <c r="A2473" s="3"/>
      <c r="B2473" s="3"/>
      <c r="D2473" s="4"/>
      <c r="E2473" s="3"/>
      <c r="F2473" s="7"/>
      <c r="G2473" s="3"/>
      <c r="H2473" s="3"/>
      <c r="I2473" s="3"/>
      <c r="J2473" s="3"/>
    </row>
    <row r="2474">
      <c r="A2474" s="3"/>
      <c r="B2474" s="3"/>
      <c r="D2474" s="4"/>
      <c r="E2474" s="3"/>
      <c r="F2474" s="7"/>
      <c r="G2474" s="3"/>
      <c r="H2474" s="3"/>
      <c r="I2474" s="3"/>
      <c r="J2474" s="3"/>
    </row>
    <row r="2475">
      <c r="A2475" s="3"/>
      <c r="B2475" s="3"/>
      <c r="D2475" s="4"/>
      <c r="E2475" s="3"/>
      <c r="F2475" s="7"/>
      <c r="G2475" s="3"/>
      <c r="H2475" s="3"/>
      <c r="I2475" s="3"/>
      <c r="J2475" s="3"/>
    </row>
    <row r="2476">
      <c r="A2476" s="3"/>
      <c r="B2476" s="3"/>
      <c r="D2476" s="4"/>
      <c r="E2476" s="3"/>
      <c r="F2476" s="7"/>
      <c r="G2476" s="3"/>
      <c r="H2476" s="3"/>
      <c r="I2476" s="3"/>
      <c r="J2476" s="3"/>
    </row>
    <row r="2477">
      <c r="A2477" s="3"/>
      <c r="B2477" s="3"/>
      <c r="D2477" s="4"/>
      <c r="E2477" s="3"/>
      <c r="F2477" s="7"/>
      <c r="G2477" s="3"/>
      <c r="H2477" s="3"/>
      <c r="I2477" s="3"/>
      <c r="J2477" s="3"/>
    </row>
    <row r="2478">
      <c r="A2478" s="3"/>
      <c r="B2478" s="3"/>
      <c r="D2478" s="4"/>
      <c r="E2478" s="3"/>
      <c r="F2478" s="7"/>
      <c r="G2478" s="3"/>
      <c r="H2478" s="3"/>
      <c r="I2478" s="3"/>
      <c r="J2478" s="3"/>
    </row>
    <row r="2479">
      <c r="A2479" s="3"/>
      <c r="B2479" s="3"/>
      <c r="D2479" s="4"/>
      <c r="E2479" s="3"/>
      <c r="F2479" s="7"/>
      <c r="G2479" s="3"/>
      <c r="H2479" s="3"/>
      <c r="I2479" s="3"/>
      <c r="J2479" s="3"/>
    </row>
    <row r="2480">
      <c r="A2480" s="3"/>
      <c r="B2480" s="3"/>
      <c r="D2480" s="4"/>
      <c r="E2480" s="3"/>
      <c r="F2480" s="7"/>
      <c r="G2480" s="3"/>
      <c r="H2480" s="3"/>
      <c r="I2480" s="3"/>
      <c r="J2480" s="3"/>
    </row>
    <row r="2481">
      <c r="A2481" s="3"/>
      <c r="B2481" s="3"/>
      <c r="D2481" s="4"/>
      <c r="E2481" s="3"/>
      <c r="F2481" s="7"/>
      <c r="G2481" s="3"/>
      <c r="H2481" s="3"/>
      <c r="I2481" s="3"/>
      <c r="J2481" s="3"/>
    </row>
    <row r="2482">
      <c r="A2482" s="3"/>
      <c r="B2482" s="3"/>
      <c r="D2482" s="4"/>
      <c r="E2482" s="3"/>
      <c r="F2482" s="7"/>
      <c r="G2482" s="3"/>
      <c r="H2482" s="3"/>
      <c r="I2482" s="3"/>
      <c r="J2482" s="3"/>
    </row>
    <row r="2483">
      <c r="A2483" s="3"/>
      <c r="B2483" s="3"/>
      <c r="D2483" s="4"/>
      <c r="E2483" s="3"/>
      <c r="F2483" s="7"/>
      <c r="G2483" s="3"/>
      <c r="H2483" s="3"/>
      <c r="I2483" s="3"/>
      <c r="J2483" s="3"/>
    </row>
    <row r="2484">
      <c r="A2484" s="3"/>
      <c r="B2484" s="3"/>
      <c r="D2484" s="4"/>
      <c r="E2484" s="3"/>
      <c r="F2484" s="7"/>
      <c r="G2484" s="3"/>
      <c r="H2484" s="3"/>
      <c r="I2484" s="3"/>
      <c r="J2484" s="3"/>
    </row>
    <row r="2485">
      <c r="A2485" s="3"/>
      <c r="B2485" s="3"/>
      <c r="D2485" s="4"/>
      <c r="E2485" s="3"/>
      <c r="F2485" s="7"/>
      <c r="G2485" s="3"/>
      <c r="H2485" s="3"/>
      <c r="I2485" s="3"/>
      <c r="J2485" s="3"/>
    </row>
    <row r="2486">
      <c r="A2486" s="3"/>
      <c r="B2486" s="3"/>
      <c r="D2486" s="4"/>
      <c r="E2486" s="3"/>
      <c r="F2486" s="7"/>
      <c r="G2486" s="3"/>
      <c r="H2486" s="3"/>
      <c r="I2486" s="3"/>
      <c r="J2486" s="3"/>
    </row>
    <row r="2487">
      <c r="A2487" s="3"/>
      <c r="B2487" s="3"/>
      <c r="D2487" s="4"/>
      <c r="E2487" s="3"/>
      <c r="F2487" s="7"/>
      <c r="G2487" s="3"/>
      <c r="H2487" s="3"/>
      <c r="I2487" s="3"/>
      <c r="J2487" s="3"/>
    </row>
    <row r="2488">
      <c r="A2488" s="3"/>
      <c r="B2488" s="3"/>
      <c r="D2488" s="4"/>
      <c r="E2488" s="3"/>
      <c r="F2488" s="7"/>
      <c r="G2488" s="3"/>
      <c r="H2488" s="3"/>
      <c r="I2488" s="3"/>
      <c r="J2488" s="3"/>
    </row>
    <row r="2489">
      <c r="A2489" s="3"/>
      <c r="B2489" s="3"/>
      <c r="D2489" s="4"/>
      <c r="E2489" s="3"/>
      <c r="F2489" s="7"/>
      <c r="G2489" s="3"/>
      <c r="H2489" s="3"/>
      <c r="I2489" s="3"/>
      <c r="J2489" s="3"/>
    </row>
    <row r="2490">
      <c r="A2490" s="3"/>
      <c r="B2490" s="3"/>
      <c r="D2490" s="4"/>
      <c r="E2490" s="3"/>
      <c r="F2490" s="7"/>
      <c r="G2490" s="3"/>
      <c r="H2490" s="3"/>
      <c r="I2490" s="3"/>
      <c r="J2490" s="3"/>
    </row>
    <row r="2491">
      <c r="A2491" s="3"/>
      <c r="B2491" s="3"/>
      <c r="D2491" s="4"/>
      <c r="E2491" s="3"/>
      <c r="F2491" s="7"/>
      <c r="G2491" s="3"/>
      <c r="H2491" s="3"/>
      <c r="I2491" s="3"/>
      <c r="J2491" s="3"/>
    </row>
    <row r="2492">
      <c r="A2492" s="3"/>
      <c r="B2492" s="3"/>
      <c r="D2492" s="4"/>
      <c r="E2492" s="3"/>
      <c r="F2492" s="7"/>
      <c r="G2492" s="3"/>
      <c r="H2492" s="3"/>
      <c r="I2492" s="3"/>
      <c r="J2492" s="3"/>
    </row>
    <row r="2493">
      <c r="A2493" s="3"/>
      <c r="B2493" s="3"/>
      <c r="D2493" s="4"/>
      <c r="E2493" s="3"/>
      <c r="F2493" s="7"/>
      <c r="G2493" s="3"/>
      <c r="H2493" s="3"/>
      <c r="I2493" s="3"/>
      <c r="J2493" s="3"/>
    </row>
    <row r="2494">
      <c r="A2494" s="3"/>
      <c r="B2494" s="3"/>
      <c r="D2494" s="4"/>
      <c r="E2494" s="3"/>
      <c r="F2494" s="7"/>
      <c r="G2494" s="3"/>
      <c r="H2494" s="3"/>
      <c r="I2494" s="3"/>
      <c r="J2494" s="3"/>
    </row>
    <row r="2495">
      <c r="A2495" s="3"/>
      <c r="B2495" s="3"/>
      <c r="D2495" s="4"/>
      <c r="E2495" s="3"/>
      <c r="F2495" s="7"/>
      <c r="G2495" s="3"/>
      <c r="H2495" s="3"/>
      <c r="I2495" s="3"/>
      <c r="J2495" s="3"/>
    </row>
    <row r="2496">
      <c r="A2496" s="3"/>
      <c r="B2496" s="3"/>
      <c r="D2496" s="4"/>
      <c r="E2496" s="3"/>
      <c r="F2496" s="7"/>
      <c r="G2496" s="3"/>
      <c r="H2496" s="3"/>
      <c r="I2496" s="3"/>
      <c r="J2496" s="3"/>
    </row>
    <row r="2497">
      <c r="A2497" s="3"/>
      <c r="B2497" s="3"/>
      <c r="D2497" s="4"/>
      <c r="E2497" s="3"/>
      <c r="F2497" s="7"/>
      <c r="G2497" s="3"/>
      <c r="H2497" s="3"/>
      <c r="I2497" s="3"/>
      <c r="J2497" s="3"/>
    </row>
    <row r="2498">
      <c r="A2498" s="3"/>
      <c r="B2498" s="3"/>
      <c r="D2498" s="4"/>
      <c r="E2498" s="3"/>
      <c r="F2498" s="7"/>
      <c r="G2498" s="3"/>
      <c r="H2498" s="3"/>
      <c r="I2498" s="3"/>
      <c r="J2498" s="3"/>
    </row>
    <row r="2499">
      <c r="A2499" s="3"/>
      <c r="B2499" s="3"/>
      <c r="D2499" s="4"/>
      <c r="E2499" s="3"/>
      <c r="F2499" s="7"/>
      <c r="G2499" s="3"/>
      <c r="H2499" s="3"/>
      <c r="I2499" s="3"/>
      <c r="J2499" s="3"/>
    </row>
    <row r="2500">
      <c r="A2500" s="3"/>
      <c r="B2500" s="3"/>
      <c r="D2500" s="4"/>
      <c r="E2500" s="3"/>
      <c r="F2500" s="7"/>
      <c r="G2500" s="3"/>
      <c r="H2500" s="3"/>
      <c r="I2500" s="3"/>
      <c r="J2500" s="3"/>
    </row>
    <row r="2501">
      <c r="A2501" s="3"/>
      <c r="B2501" s="3"/>
      <c r="D2501" s="4"/>
      <c r="E2501" s="3"/>
      <c r="F2501" s="7"/>
      <c r="G2501" s="3"/>
      <c r="H2501" s="3"/>
      <c r="I2501" s="3"/>
      <c r="J2501" s="3"/>
    </row>
    <row r="2502">
      <c r="A2502" s="3"/>
      <c r="B2502" s="3"/>
      <c r="D2502" s="4"/>
      <c r="E2502" s="3"/>
      <c r="F2502" s="7"/>
      <c r="G2502" s="3"/>
      <c r="H2502" s="3"/>
      <c r="I2502" s="3"/>
      <c r="J2502" s="3"/>
    </row>
    <row r="2503">
      <c r="A2503" s="3"/>
      <c r="B2503" s="3"/>
      <c r="D2503" s="4"/>
      <c r="E2503" s="3"/>
      <c r="F2503" s="7"/>
      <c r="G2503" s="3"/>
      <c r="H2503" s="3"/>
      <c r="I2503" s="3"/>
      <c r="J2503" s="3"/>
    </row>
    <row r="2504">
      <c r="A2504" s="3"/>
      <c r="B2504" s="3"/>
      <c r="D2504" s="4"/>
      <c r="E2504" s="3"/>
      <c r="F2504" s="7"/>
      <c r="G2504" s="3"/>
      <c r="H2504" s="3"/>
      <c r="I2504" s="3"/>
      <c r="J2504" s="3"/>
    </row>
    <row r="2505">
      <c r="A2505" s="3"/>
      <c r="B2505" s="3"/>
      <c r="D2505" s="4"/>
      <c r="E2505" s="3"/>
      <c r="F2505" s="7"/>
      <c r="G2505" s="3"/>
      <c r="H2505" s="3"/>
      <c r="I2505" s="3"/>
      <c r="J2505" s="3"/>
    </row>
    <row r="2506">
      <c r="A2506" s="3"/>
      <c r="B2506" s="3"/>
      <c r="D2506" s="4"/>
      <c r="E2506" s="3"/>
      <c r="F2506" s="7"/>
      <c r="G2506" s="3"/>
      <c r="H2506" s="3"/>
      <c r="I2506" s="3"/>
      <c r="J2506" s="3"/>
    </row>
    <row r="2507">
      <c r="A2507" s="3"/>
      <c r="B2507" s="3"/>
      <c r="D2507" s="4"/>
      <c r="E2507" s="3"/>
      <c r="F2507" s="7"/>
      <c r="G2507" s="3"/>
      <c r="H2507" s="3"/>
      <c r="I2507" s="3"/>
      <c r="J2507" s="3"/>
    </row>
    <row r="2508">
      <c r="A2508" s="3"/>
      <c r="B2508" s="3"/>
      <c r="D2508" s="4"/>
      <c r="E2508" s="3"/>
      <c r="F2508" s="7"/>
      <c r="G2508" s="3"/>
      <c r="H2508" s="3"/>
      <c r="I2508" s="3"/>
      <c r="J2508" s="3"/>
    </row>
    <row r="2509">
      <c r="A2509" s="3"/>
      <c r="B2509" s="3"/>
      <c r="D2509" s="4"/>
      <c r="E2509" s="3"/>
      <c r="F2509" s="7"/>
      <c r="G2509" s="3"/>
      <c r="H2509" s="3"/>
      <c r="I2509" s="3"/>
      <c r="J2509" s="3"/>
    </row>
    <row r="2510">
      <c r="A2510" s="3"/>
      <c r="B2510" s="3"/>
      <c r="D2510" s="4"/>
      <c r="E2510" s="3"/>
      <c r="F2510" s="7"/>
      <c r="G2510" s="3"/>
      <c r="H2510" s="3"/>
      <c r="I2510" s="3"/>
      <c r="J2510" s="3"/>
    </row>
    <row r="2511">
      <c r="A2511" s="3"/>
      <c r="B2511" s="3"/>
      <c r="D2511" s="4"/>
      <c r="E2511" s="3"/>
      <c r="F2511" s="7"/>
      <c r="G2511" s="3"/>
      <c r="H2511" s="3"/>
      <c r="I2511" s="3"/>
      <c r="J2511" s="3"/>
    </row>
    <row r="2512">
      <c r="A2512" s="3"/>
      <c r="B2512" s="3"/>
      <c r="D2512" s="4"/>
      <c r="E2512" s="3"/>
      <c r="F2512" s="7"/>
      <c r="G2512" s="3"/>
      <c r="H2512" s="3"/>
      <c r="I2512" s="3"/>
      <c r="J2512" s="3"/>
    </row>
    <row r="2513">
      <c r="A2513" s="3"/>
      <c r="B2513" s="3"/>
      <c r="D2513" s="4"/>
      <c r="E2513" s="3"/>
      <c r="F2513" s="7"/>
      <c r="G2513" s="3"/>
      <c r="H2513" s="3"/>
      <c r="I2513" s="3"/>
      <c r="J2513" s="3"/>
    </row>
    <row r="2514">
      <c r="A2514" s="3"/>
      <c r="B2514" s="3"/>
      <c r="D2514" s="4"/>
      <c r="E2514" s="3"/>
      <c r="F2514" s="7"/>
      <c r="G2514" s="3"/>
      <c r="H2514" s="3"/>
      <c r="I2514" s="3"/>
      <c r="J2514" s="3"/>
    </row>
    <row r="2515">
      <c r="A2515" s="3"/>
      <c r="B2515" s="3"/>
      <c r="D2515" s="4"/>
      <c r="E2515" s="3"/>
      <c r="F2515" s="7"/>
      <c r="G2515" s="3"/>
      <c r="H2515" s="3"/>
      <c r="I2515" s="3"/>
      <c r="J2515" s="3"/>
    </row>
    <row r="2516">
      <c r="A2516" s="3"/>
      <c r="B2516" s="3"/>
      <c r="D2516" s="4"/>
      <c r="E2516" s="3"/>
      <c r="F2516" s="7"/>
      <c r="G2516" s="3"/>
      <c r="H2516" s="3"/>
      <c r="I2516" s="3"/>
      <c r="J2516" s="3"/>
    </row>
    <row r="2517">
      <c r="A2517" s="3"/>
      <c r="B2517" s="3"/>
      <c r="D2517" s="4"/>
      <c r="E2517" s="3"/>
      <c r="F2517" s="7"/>
      <c r="G2517" s="3"/>
      <c r="H2517" s="3"/>
      <c r="I2517" s="3"/>
      <c r="J2517" s="3"/>
    </row>
    <row r="2518">
      <c r="A2518" s="3"/>
      <c r="B2518" s="3"/>
      <c r="D2518" s="4"/>
      <c r="E2518" s="3"/>
      <c r="F2518" s="7"/>
      <c r="G2518" s="3"/>
      <c r="H2518" s="3"/>
      <c r="I2518" s="3"/>
      <c r="J2518" s="3"/>
    </row>
    <row r="2519">
      <c r="A2519" s="3"/>
      <c r="B2519" s="3"/>
      <c r="D2519" s="4"/>
      <c r="E2519" s="3"/>
      <c r="F2519" s="7"/>
      <c r="G2519" s="3"/>
      <c r="H2519" s="3"/>
      <c r="I2519" s="3"/>
      <c r="J2519" s="3"/>
    </row>
    <row r="2520">
      <c r="A2520" s="3"/>
      <c r="B2520" s="3"/>
      <c r="D2520" s="4"/>
      <c r="E2520" s="3"/>
      <c r="F2520" s="7"/>
      <c r="G2520" s="3"/>
      <c r="H2520" s="3"/>
      <c r="I2520" s="3"/>
      <c r="J2520" s="3"/>
    </row>
    <row r="2521">
      <c r="A2521" s="3"/>
      <c r="B2521" s="3"/>
      <c r="D2521" s="4"/>
      <c r="E2521" s="3"/>
      <c r="F2521" s="7"/>
      <c r="G2521" s="3"/>
      <c r="H2521" s="3"/>
      <c r="I2521" s="3"/>
      <c r="J2521" s="3"/>
    </row>
    <row r="2522">
      <c r="A2522" s="3"/>
      <c r="B2522" s="3"/>
      <c r="D2522" s="4"/>
      <c r="E2522" s="3"/>
      <c r="F2522" s="7"/>
      <c r="G2522" s="3"/>
      <c r="H2522" s="3"/>
      <c r="I2522" s="3"/>
      <c r="J2522" s="3"/>
    </row>
    <row r="2523">
      <c r="A2523" s="3"/>
      <c r="B2523" s="3"/>
      <c r="D2523" s="4"/>
      <c r="E2523" s="3"/>
      <c r="F2523" s="7"/>
      <c r="G2523" s="3"/>
      <c r="H2523" s="3"/>
      <c r="I2523" s="3"/>
      <c r="J2523" s="3"/>
    </row>
    <row r="2524">
      <c r="A2524" s="3"/>
      <c r="B2524" s="3"/>
      <c r="D2524" s="4"/>
      <c r="E2524" s="3"/>
      <c r="F2524" s="7"/>
      <c r="G2524" s="3"/>
      <c r="H2524" s="3"/>
      <c r="I2524" s="3"/>
      <c r="J2524" s="3"/>
    </row>
    <row r="2525">
      <c r="A2525" s="3"/>
      <c r="B2525" s="3"/>
      <c r="D2525" s="4"/>
      <c r="E2525" s="3"/>
      <c r="F2525" s="7"/>
      <c r="G2525" s="3"/>
      <c r="H2525" s="3"/>
      <c r="I2525" s="3"/>
      <c r="J2525" s="3"/>
    </row>
    <row r="2526">
      <c r="A2526" s="3"/>
      <c r="B2526" s="3"/>
      <c r="D2526" s="4"/>
      <c r="E2526" s="3"/>
      <c r="F2526" s="7"/>
      <c r="G2526" s="3"/>
      <c r="H2526" s="3"/>
      <c r="I2526" s="3"/>
      <c r="J2526" s="3"/>
    </row>
    <row r="2527">
      <c r="A2527" s="3"/>
      <c r="B2527" s="3"/>
      <c r="D2527" s="4"/>
      <c r="E2527" s="3"/>
      <c r="F2527" s="7"/>
      <c r="G2527" s="3"/>
      <c r="H2527" s="3"/>
      <c r="I2527" s="3"/>
      <c r="J2527" s="3"/>
    </row>
    <row r="2528">
      <c r="A2528" s="3"/>
      <c r="B2528" s="3"/>
      <c r="D2528" s="4"/>
      <c r="E2528" s="3"/>
      <c r="F2528" s="7"/>
      <c r="G2528" s="3"/>
      <c r="H2528" s="3"/>
      <c r="I2528" s="3"/>
      <c r="J2528" s="3"/>
    </row>
    <row r="2529">
      <c r="A2529" s="3"/>
      <c r="B2529" s="3"/>
      <c r="D2529" s="4"/>
      <c r="E2529" s="3"/>
      <c r="F2529" s="7"/>
      <c r="G2529" s="3"/>
      <c r="H2529" s="3"/>
      <c r="I2529" s="3"/>
      <c r="J2529" s="3"/>
    </row>
    <row r="2530">
      <c r="A2530" s="3"/>
      <c r="B2530" s="3"/>
      <c r="D2530" s="4"/>
      <c r="E2530" s="3"/>
      <c r="F2530" s="7"/>
      <c r="G2530" s="3"/>
      <c r="H2530" s="3"/>
      <c r="I2530" s="3"/>
      <c r="J2530" s="3"/>
    </row>
    <row r="2531">
      <c r="A2531" s="3"/>
      <c r="B2531" s="3"/>
      <c r="D2531" s="4"/>
      <c r="E2531" s="3"/>
      <c r="F2531" s="7"/>
      <c r="G2531" s="3"/>
      <c r="H2531" s="3"/>
      <c r="I2531" s="3"/>
      <c r="J2531" s="3"/>
    </row>
    <row r="2532">
      <c r="A2532" s="3"/>
      <c r="B2532" s="3"/>
      <c r="D2532" s="4"/>
      <c r="E2532" s="3"/>
      <c r="F2532" s="7"/>
      <c r="G2532" s="3"/>
      <c r="H2532" s="3"/>
      <c r="I2532" s="3"/>
      <c r="J2532" s="3"/>
    </row>
    <row r="2533">
      <c r="A2533" s="3"/>
      <c r="B2533" s="3"/>
      <c r="D2533" s="4"/>
      <c r="E2533" s="3"/>
      <c r="F2533" s="7"/>
      <c r="G2533" s="3"/>
      <c r="H2533" s="3"/>
      <c r="I2533" s="3"/>
      <c r="J2533" s="3"/>
    </row>
    <row r="2534">
      <c r="A2534" s="3"/>
      <c r="B2534" s="3"/>
      <c r="D2534" s="4"/>
      <c r="E2534" s="3"/>
      <c r="F2534" s="7"/>
      <c r="G2534" s="3"/>
      <c r="H2534" s="3"/>
      <c r="I2534" s="3"/>
      <c r="J2534" s="3"/>
    </row>
    <row r="2535">
      <c r="A2535" s="3"/>
      <c r="B2535" s="3"/>
      <c r="D2535" s="4"/>
      <c r="E2535" s="3"/>
      <c r="F2535" s="7"/>
      <c r="G2535" s="3"/>
      <c r="H2535" s="3"/>
      <c r="I2535" s="3"/>
      <c r="J2535" s="3"/>
    </row>
    <row r="2536">
      <c r="A2536" s="3"/>
      <c r="B2536" s="3"/>
      <c r="D2536" s="4"/>
      <c r="E2536" s="3"/>
      <c r="F2536" s="7"/>
      <c r="G2536" s="3"/>
      <c r="H2536" s="3"/>
      <c r="I2536" s="3"/>
      <c r="J2536" s="3"/>
    </row>
    <row r="2537">
      <c r="A2537" s="3"/>
      <c r="B2537" s="3"/>
      <c r="D2537" s="4"/>
      <c r="E2537" s="3"/>
      <c r="F2537" s="7"/>
      <c r="G2537" s="3"/>
      <c r="H2537" s="3"/>
      <c r="I2537" s="3"/>
      <c r="J2537" s="3"/>
    </row>
    <row r="2538">
      <c r="A2538" s="3"/>
      <c r="B2538" s="3"/>
      <c r="D2538" s="4"/>
      <c r="E2538" s="3"/>
      <c r="F2538" s="7"/>
      <c r="G2538" s="3"/>
      <c r="H2538" s="3"/>
      <c r="I2538" s="3"/>
      <c r="J2538" s="3"/>
    </row>
    <row r="2539">
      <c r="A2539" s="3"/>
      <c r="B2539" s="3"/>
      <c r="D2539" s="4"/>
      <c r="E2539" s="3"/>
      <c r="F2539" s="7"/>
      <c r="G2539" s="3"/>
      <c r="H2539" s="3"/>
      <c r="I2539" s="3"/>
      <c r="J2539" s="3"/>
    </row>
    <row r="2540">
      <c r="A2540" s="3"/>
      <c r="B2540" s="3"/>
      <c r="D2540" s="4"/>
      <c r="E2540" s="3"/>
      <c r="F2540" s="7"/>
      <c r="G2540" s="3"/>
      <c r="H2540" s="3"/>
      <c r="I2540" s="3"/>
      <c r="J2540" s="3"/>
    </row>
    <row r="2541">
      <c r="A2541" s="3"/>
      <c r="B2541" s="3"/>
      <c r="D2541" s="4"/>
      <c r="E2541" s="3"/>
      <c r="F2541" s="7"/>
      <c r="G2541" s="3"/>
      <c r="H2541" s="3"/>
      <c r="I2541" s="3"/>
      <c r="J2541" s="3"/>
    </row>
    <row r="2542">
      <c r="A2542" s="3"/>
      <c r="B2542" s="3"/>
      <c r="D2542" s="4"/>
      <c r="E2542" s="3"/>
      <c r="F2542" s="7"/>
      <c r="G2542" s="3"/>
      <c r="H2542" s="3"/>
      <c r="I2542" s="3"/>
      <c r="J2542" s="3"/>
    </row>
    <row r="2543">
      <c r="A2543" s="3"/>
      <c r="B2543" s="3"/>
      <c r="D2543" s="4"/>
      <c r="E2543" s="3"/>
      <c r="F2543" s="7"/>
      <c r="G2543" s="3"/>
      <c r="H2543" s="3"/>
      <c r="I2543" s="3"/>
      <c r="J2543" s="3"/>
    </row>
    <row r="2544">
      <c r="A2544" s="3"/>
      <c r="B2544" s="3"/>
      <c r="D2544" s="4"/>
      <c r="E2544" s="3"/>
      <c r="F2544" s="7"/>
      <c r="G2544" s="3"/>
      <c r="H2544" s="3"/>
      <c r="I2544" s="3"/>
      <c r="J2544" s="3"/>
    </row>
    <row r="2545">
      <c r="A2545" s="3"/>
      <c r="B2545" s="3"/>
      <c r="D2545" s="4"/>
      <c r="E2545" s="3"/>
      <c r="F2545" s="7"/>
      <c r="G2545" s="3"/>
      <c r="H2545" s="3"/>
      <c r="I2545" s="3"/>
      <c r="J2545" s="3"/>
    </row>
    <row r="2546">
      <c r="A2546" s="3"/>
      <c r="B2546" s="3"/>
      <c r="D2546" s="4"/>
      <c r="E2546" s="3"/>
      <c r="F2546" s="7"/>
      <c r="G2546" s="3"/>
      <c r="H2546" s="3"/>
      <c r="I2546" s="3"/>
      <c r="J2546" s="3"/>
    </row>
    <row r="2547">
      <c r="A2547" s="3"/>
      <c r="B2547" s="3"/>
      <c r="D2547" s="4"/>
      <c r="E2547" s="3"/>
      <c r="F2547" s="7"/>
      <c r="G2547" s="3"/>
      <c r="H2547" s="3"/>
      <c r="I2547" s="3"/>
      <c r="J2547" s="3"/>
    </row>
    <row r="2548">
      <c r="A2548" s="3"/>
      <c r="B2548" s="3"/>
      <c r="D2548" s="4"/>
      <c r="E2548" s="3"/>
      <c r="F2548" s="7"/>
      <c r="G2548" s="3"/>
      <c r="H2548" s="3"/>
      <c r="I2548" s="3"/>
      <c r="J2548" s="3"/>
    </row>
    <row r="2549">
      <c r="A2549" s="3"/>
      <c r="B2549" s="3"/>
      <c r="D2549" s="4"/>
      <c r="E2549" s="3"/>
      <c r="F2549" s="7"/>
      <c r="G2549" s="3"/>
      <c r="H2549" s="3"/>
      <c r="I2549" s="3"/>
      <c r="J2549" s="3"/>
    </row>
    <row r="2550">
      <c r="A2550" s="3"/>
      <c r="B2550" s="3"/>
      <c r="D2550" s="4"/>
      <c r="E2550" s="3"/>
      <c r="F2550" s="7"/>
      <c r="G2550" s="3"/>
      <c r="H2550" s="3"/>
      <c r="I2550" s="3"/>
      <c r="J2550" s="3"/>
    </row>
    <row r="2551">
      <c r="A2551" s="3"/>
      <c r="B2551" s="3"/>
      <c r="D2551" s="4"/>
      <c r="E2551" s="3"/>
      <c r="F2551" s="7"/>
      <c r="G2551" s="3"/>
      <c r="H2551" s="3"/>
      <c r="I2551" s="3"/>
      <c r="J2551" s="3"/>
    </row>
    <row r="2552">
      <c r="A2552" s="3"/>
      <c r="B2552" s="3"/>
      <c r="D2552" s="4"/>
      <c r="E2552" s="3"/>
      <c r="F2552" s="7"/>
      <c r="G2552" s="3"/>
      <c r="H2552" s="3"/>
      <c r="I2552" s="3"/>
      <c r="J2552" s="3"/>
    </row>
    <row r="2553">
      <c r="A2553" s="3"/>
      <c r="B2553" s="3"/>
      <c r="D2553" s="4"/>
      <c r="E2553" s="3"/>
      <c r="F2553" s="7"/>
      <c r="G2553" s="3"/>
      <c r="H2553" s="3"/>
      <c r="I2553" s="3"/>
      <c r="J2553" s="3"/>
    </row>
    <row r="2554">
      <c r="A2554" s="3"/>
      <c r="B2554" s="3"/>
      <c r="D2554" s="4"/>
      <c r="E2554" s="3"/>
      <c r="F2554" s="7"/>
      <c r="G2554" s="3"/>
      <c r="H2554" s="3"/>
      <c r="I2554" s="3"/>
      <c r="J2554" s="3"/>
    </row>
    <row r="2555">
      <c r="A2555" s="3"/>
      <c r="B2555" s="3"/>
      <c r="D2555" s="4"/>
      <c r="E2555" s="3"/>
      <c r="F2555" s="7"/>
      <c r="G2555" s="3"/>
      <c r="H2555" s="3"/>
      <c r="I2555" s="3"/>
      <c r="J2555" s="3"/>
    </row>
    <row r="2556">
      <c r="A2556" s="3"/>
      <c r="B2556" s="3"/>
      <c r="D2556" s="4"/>
      <c r="E2556" s="3"/>
      <c r="F2556" s="7"/>
      <c r="G2556" s="3"/>
      <c r="H2556" s="3"/>
      <c r="I2556" s="3"/>
      <c r="J2556" s="3"/>
    </row>
    <row r="2557">
      <c r="A2557" s="3"/>
      <c r="B2557" s="3"/>
      <c r="D2557" s="4"/>
      <c r="E2557" s="3"/>
      <c r="F2557" s="7"/>
      <c r="G2557" s="3"/>
      <c r="H2557" s="3"/>
      <c r="I2557" s="3"/>
      <c r="J2557" s="3"/>
    </row>
    <row r="2558">
      <c r="A2558" s="3"/>
      <c r="B2558" s="3"/>
      <c r="D2558" s="4"/>
      <c r="E2558" s="3"/>
      <c r="F2558" s="7"/>
      <c r="G2558" s="3"/>
      <c r="H2558" s="3"/>
      <c r="I2558" s="3"/>
      <c r="J2558" s="3"/>
    </row>
    <row r="2559">
      <c r="A2559" s="3"/>
      <c r="B2559" s="3"/>
      <c r="D2559" s="4"/>
      <c r="E2559" s="3"/>
      <c r="F2559" s="7"/>
      <c r="G2559" s="3"/>
      <c r="H2559" s="3"/>
      <c r="I2559" s="3"/>
      <c r="J2559" s="3"/>
    </row>
    <row r="2560">
      <c r="A2560" s="3"/>
      <c r="B2560" s="3"/>
      <c r="D2560" s="4"/>
      <c r="E2560" s="3"/>
      <c r="F2560" s="7"/>
      <c r="G2560" s="3"/>
      <c r="H2560" s="3"/>
      <c r="I2560" s="3"/>
      <c r="J2560" s="3"/>
    </row>
    <row r="2561">
      <c r="A2561" s="3"/>
      <c r="B2561" s="3"/>
      <c r="D2561" s="4"/>
      <c r="E2561" s="3"/>
      <c r="F2561" s="7"/>
      <c r="G2561" s="3"/>
      <c r="H2561" s="3"/>
      <c r="I2561" s="3"/>
      <c r="J2561" s="3"/>
    </row>
    <row r="2562">
      <c r="A2562" s="3"/>
      <c r="B2562" s="3"/>
      <c r="D2562" s="4"/>
      <c r="E2562" s="3"/>
      <c r="F2562" s="7"/>
      <c r="G2562" s="3"/>
      <c r="H2562" s="3"/>
      <c r="I2562" s="3"/>
      <c r="J2562" s="3"/>
    </row>
    <row r="2563">
      <c r="A2563" s="3"/>
      <c r="B2563" s="3"/>
      <c r="D2563" s="4"/>
      <c r="E2563" s="3"/>
      <c r="F2563" s="7"/>
      <c r="G2563" s="3"/>
      <c r="H2563" s="3"/>
      <c r="I2563" s="3"/>
      <c r="J2563" s="3"/>
    </row>
    <row r="2564">
      <c r="A2564" s="3"/>
      <c r="B2564" s="3"/>
      <c r="D2564" s="4"/>
      <c r="E2564" s="3"/>
      <c r="F2564" s="7"/>
      <c r="G2564" s="3"/>
      <c r="H2564" s="3"/>
      <c r="I2564" s="3"/>
      <c r="J2564" s="3"/>
    </row>
    <row r="2565">
      <c r="A2565" s="3"/>
      <c r="B2565" s="3"/>
      <c r="D2565" s="4"/>
      <c r="E2565" s="3"/>
      <c r="F2565" s="7"/>
      <c r="G2565" s="3"/>
      <c r="H2565" s="3"/>
      <c r="I2565" s="3"/>
      <c r="J2565" s="3"/>
    </row>
    <row r="2566">
      <c r="A2566" s="3"/>
      <c r="B2566" s="3"/>
      <c r="D2566" s="4"/>
      <c r="E2566" s="3"/>
      <c r="F2566" s="7"/>
      <c r="G2566" s="3"/>
      <c r="H2566" s="3"/>
      <c r="I2566" s="3"/>
      <c r="J2566" s="3"/>
    </row>
    <row r="2567">
      <c r="A2567" s="3"/>
      <c r="B2567" s="3"/>
      <c r="D2567" s="4"/>
      <c r="E2567" s="3"/>
      <c r="F2567" s="7"/>
      <c r="G2567" s="3"/>
      <c r="H2567" s="3"/>
      <c r="I2567" s="3"/>
      <c r="J2567" s="3"/>
    </row>
    <row r="2568">
      <c r="A2568" s="3"/>
      <c r="B2568" s="3"/>
      <c r="D2568" s="4"/>
      <c r="E2568" s="3"/>
      <c r="F2568" s="7"/>
      <c r="G2568" s="3"/>
      <c r="H2568" s="3"/>
      <c r="I2568" s="3"/>
      <c r="J2568" s="3"/>
    </row>
    <row r="2569">
      <c r="A2569" s="3"/>
      <c r="B2569" s="3"/>
      <c r="D2569" s="4"/>
      <c r="E2569" s="3"/>
      <c r="F2569" s="7"/>
      <c r="G2569" s="3"/>
      <c r="H2569" s="3"/>
      <c r="I2569" s="3"/>
      <c r="J2569" s="3"/>
    </row>
    <row r="2570">
      <c r="A2570" s="3"/>
      <c r="B2570" s="3"/>
      <c r="D2570" s="4"/>
      <c r="E2570" s="3"/>
      <c r="F2570" s="7"/>
      <c r="G2570" s="3"/>
      <c r="H2570" s="3"/>
      <c r="I2570" s="3"/>
      <c r="J2570" s="3"/>
    </row>
    <row r="2571">
      <c r="A2571" s="3"/>
      <c r="B2571" s="3"/>
      <c r="D2571" s="4"/>
      <c r="E2571" s="3"/>
      <c r="F2571" s="7"/>
      <c r="G2571" s="3"/>
      <c r="H2571" s="3"/>
      <c r="I2571" s="3"/>
      <c r="J2571" s="3"/>
    </row>
    <row r="2572">
      <c r="A2572" s="3"/>
      <c r="B2572" s="3"/>
      <c r="D2572" s="4"/>
      <c r="E2572" s="3"/>
      <c r="F2572" s="7"/>
      <c r="G2572" s="3"/>
      <c r="H2572" s="3"/>
      <c r="I2572" s="3"/>
      <c r="J2572" s="3"/>
    </row>
    <row r="2573">
      <c r="A2573" s="3"/>
      <c r="B2573" s="3"/>
      <c r="D2573" s="4"/>
      <c r="E2573" s="3"/>
      <c r="F2573" s="7"/>
      <c r="G2573" s="3"/>
      <c r="H2573" s="3"/>
      <c r="I2573" s="3"/>
      <c r="J2573" s="3"/>
    </row>
    <row r="2574">
      <c r="A2574" s="3"/>
      <c r="B2574" s="3"/>
      <c r="D2574" s="4"/>
      <c r="E2574" s="3"/>
      <c r="F2574" s="7"/>
      <c r="G2574" s="3"/>
      <c r="H2574" s="3"/>
      <c r="I2574" s="3"/>
      <c r="J2574" s="3"/>
    </row>
    <row r="2575">
      <c r="A2575" s="3"/>
      <c r="B2575" s="3"/>
      <c r="D2575" s="4"/>
      <c r="E2575" s="3"/>
      <c r="F2575" s="7"/>
      <c r="G2575" s="3"/>
      <c r="H2575" s="3"/>
      <c r="I2575" s="3"/>
      <c r="J2575" s="3"/>
    </row>
    <row r="2576">
      <c r="A2576" s="3"/>
      <c r="B2576" s="3"/>
      <c r="D2576" s="4"/>
      <c r="E2576" s="3"/>
      <c r="F2576" s="7"/>
      <c r="G2576" s="3"/>
      <c r="H2576" s="3"/>
      <c r="I2576" s="3"/>
      <c r="J2576" s="3"/>
    </row>
    <row r="2577">
      <c r="A2577" s="3"/>
      <c r="B2577" s="3"/>
      <c r="D2577" s="4"/>
      <c r="E2577" s="3"/>
      <c r="F2577" s="7"/>
      <c r="G2577" s="3"/>
      <c r="H2577" s="3"/>
      <c r="I2577" s="3"/>
      <c r="J2577" s="3"/>
    </row>
    <row r="2578">
      <c r="A2578" s="3"/>
      <c r="B2578" s="3"/>
      <c r="D2578" s="4"/>
      <c r="E2578" s="3"/>
      <c r="F2578" s="7"/>
      <c r="G2578" s="3"/>
      <c r="H2578" s="3"/>
      <c r="I2578" s="3"/>
      <c r="J2578" s="3"/>
    </row>
    <row r="2579">
      <c r="A2579" s="3"/>
      <c r="B2579" s="3"/>
      <c r="D2579" s="4"/>
      <c r="E2579" s="3"/>
      <c r="F2579" s="7"/>
      <c r="G2579" s="3"/>
      <c r="H2579" s="3"/>
      <c r="I2579" s="3"/>
      <c r="J2579" s="3"/>
    </row>
    <row r="2580">
      <c r="A2580" s="3"/>
      <c r="B2580" s="3"/>
      <c r="D2580" s="4"/>
      <c r="E2580" s="3"/>
      <c r="F2580" s="7"/>
      <c r="G2580" s="3"/>
      <c r="H2580" s="3"/>
      <c r="I2580" s="3"/>
      <c r="J2580" s="3"/>
    </row>
    <row r="2581">
      <c r="A2581" s="3"/>
      <c r="B2581" s="3"/>
      <c r="D2581" s="4"/>
      <c r="E2581" s="3"/>
      <c r="F2581" s="7"/>
      <c r="G2581" s="3"/>
      <c r="H2581" s="3"/>
      <c r="I2581" s="3"/>
      <c r="J2581" s="3"/>
    </row>
    <row r="2582">
      <c r="A2582" s="3"/>
      <c r="B2582" s="3"/>
      <c r="D2582" s="4"/>
      <c r="E2582" s="3"/>
      <c r="F2582" s="7"/>
      <c r="G2582" s="3"/>
      <c r="H2582" s="3"/>
      <c r="I2582" s="3"/>
      <c r="J2582" s="3"/>
    </row>
    <row r="2583">
      <c r="A2583" s="3"/>
      <c r="B2583" s="3"/>
      <c r="D2583" s="4"/>
      <c r="E2583" s="3"/>
      <c r="F2583" s="7"/>
      <c r="G2583" s="3"/>
      <c r="H2583" s="3"/>
      <c r="I2583" s="3"/>
      <c r="J2583" s="3"/>
    </row>
    <row r="2584">
      <c r="A2584" s="3"/>
      <c r="B2584" s="3"/>
      <c r="D2584" s="4"/>
      <c r="E2584" s="3"/>
      <c r="F2584" s="7"/>
      <c r="G2584" s="3"/>
      <c r="H2584" s="3"/>
      <c r="I2584" s="3"/>
      <c r="J2584" s="3"/>
    </row>
    <row r="2585">
      <c r="A2585" s="3"/>
      <c r="B2585" s="3"/>
      <c r="D2585" s="4"/>
      <c r="E2585" s="3"/>
      <c r="F2585" s="7"/>
      <c r="G2585" s="3"/>
      <c r="H2585" s="3"/>
      <c r="I2585" s="3"/>
      <c r="J2585" s="3"/>
    </row>
    <row r="2586">
      <c r="A2586" s="3"/>
      <c r="B2586" s="3"/>
      <c r="D2586" s="4"/>
      <c r="E2586" s="3"/>
      <c r="F2586" s="7"/>
      <c r="G2586" s="3"/>
      <c r="H2586" s="3"/>
      <c r="I2586" s="3"/>
      <c r="J2586" s="3"/>
    </row>
    <row r="2587">
      <c r="A2587" s="3"/>
      <c r="B2587" s="3"/>
      <c r="D2587" s="4"/>
      <c r="E2587" s="3"/>
      <c r="F2587" s="7"/>
      <c r="G2587" s="3"/>
      <c r="H2587" s="3"/>
      <c r="I2587" s="3"/>
      <c r="J2587" s="3"/>
    </row>
    <row r="2588">
      <c r="A2588" s="3"/>
      <c r="B2588" s="3"/>
      <c r="D2588" s="4"/>
      <c r="E2588" s="3"/>
      <c r="F2588" s="7"/>
      <c r="G2588" s="3"/>
      <c r="H2588" s="3"/>
      <c r="I2588" s="3"/>
      <c r="J2588" s="3"/>
    </row>
    <row r="2589">
      <c r="A2589" s="3"/>
      <c r="B2589" s="3"/>
      <c r="D2589" s="4"/>
      <c r="E2589" s="3"/>
      <c r="F2589" s="7"/>
      <c r="G2589" s="3"/>
      <c r="H2589" s="3"/>
      <c r="I2589" s="3"/>
      <c r="J2589" s="3"/>
    </row>
    <row r="2590">
      <c r="A2590" s="3"/>
      <c r="B2590" s="3"/>
      <c r="D2590" s="4"/>
      <c r="E2590" s="3"/>
      <c r="F2590" s="7"/>
      <c r="G2590" s="3"/>
      <c r="H2590" s="3"/>
      <c r="I2590" s="3"/>
      <c r="J2590" s="3"/>
    </row>
    <row r="2591">
      <c r="A2591" s="3"/>
      <c r="B2591" s="3"/>
      <c r="D2591" s="4"/>
      <c r="E2591" s="3"/>
      <c r="F2591" s="7"/>
      <c r="G2591" s="3"/>
      <c r="H2591" s="3"/>
      <c r="I2591" s="3"/>
      <c r="J2591" s="3"/>
    </row>
    <row r="2592">
      <c r="A2592" s="3"/>
      <c r="B2592" s="3"/>
      <c r="D2592" s="4"/>
      <c r="E2592" s="3"/>
      <c r="F2592" s="7"/>
      <c r="G2592" s="3"/>
      <c r="H2592" s="3"/>
      <c r="I2592" s="3"/>
      <c r="J2592" s="3"/>
    </row>
    <row r="2593">
      <c r="A2593" s="3"/>
      <c r="B2593" s="3"/>
      <c r="D2593" s="4"/>
      <c r="E2593" s="3"/>
      <c r="F2593" s="7"/>
      <c r="G2593" s="3"/>
      <c r="H2593" s="3"/>
      <c r="I2593" s="3"/>
      <c r="J2593" s="3"/>
    </row>
    <row r="2594">
      <c r="A2594" s="3"/>
      <c r="B2594" s="3"/>
      <c r="D2594" s="4"/>
      <c r="E2594" s="3"/>
      <c r="F2594" s="7"/>
      <c r="G2594" s="3"/>
      <c r="H2594" s="3"/>
      <c r="I2594" s="3"/>
      <c r="J2594" s="3"/>
    </row>
    <row r="2595">
      <c r="A2595" s="3"/>
      <c r="B2595" s="3"/>
      <c r="D2595" s="4"/>
      <c r="E2595" s="3"/>
      <c r="F2595" s="7"/>
      <c r="G2595" s="3"/>
      <c r="H2595" s="3"/>
      <c r="I2595" s="3"/>
      <c r="J2595" s="3"/>
    </row>
    <row r="2596">
      <c r="A2596" s="3"/>
      <c r="B2596" s="3"/>
      <c r="D2596" s="4"/>
      <c r="E2596" s="3"/>
      <c r="F2596" s="7"/>
      <c r="G2596" s="3"/>
      <c r="H2596" s="3"/>
      <c r="I2596" s="3"/>
      <c r="J2596" s="3"/>
    </row>
    <row r="2597">
      <c r="A2597" s="3"/>
      <c r="B2597" s="3"/>
      <c r="D2597" s="4"/>
      <c r="E2597" s="3"/>
      <c r="F2597" s="7"/>
      <c r="G2597" s="3"/>
      <c r="H2597" s="3"/>
      <c r="I2597" s="3"/>
      <c r="J2597" s="3"/>
    </row>
    <row r="2598">
      <c r="A2598" s="3"/>
      <c r="B2598" s="3"/>
      <c r="D2598" s="4"/>
      <c r="E2598" s="3"/>
      <c r="F2598" s="7"/>
      <c r="G2598" s="3"/>
      <c r="H2598" s="3"/>
      <c r="I2598" s="3"/>
      <c r="J2598" s="3"/>
    </row>
    <row r="2599">
      <c r="A2599" s="3"/>
      <c r="B2599" s="3"/>
      <c r="D2599" s="4"/>
      <c r="E2599" s="3"/>
      <c r="F2599" s="7"/>
      <c r="G2599" s="3"/>
      <c r="H2599" s="3"/>
      <c r="I2599" s="3"/>
      <c r="J2599" s="3"/>
    </row>
    <row r="2600">
      <c r="A2600" s="3"/>
      <c r="B2600" s="3"/>
      <c r="D2600" s="4"/>
      <c r="E2600" s="3"/>
      <c r="F2600" s="7"/>
      <c r="G2600" s="3"/>
      <c r="H2600" s="3"/>
      <c r="I2600" s="3"/>
      <c r="J2600" s="3"/>
    </row>
    <row r="2601">
      <c r="A2601" s="3"/>
      <c r="B2601" s="3"/>
      <c r="D2601" s="4"/>
      <c r="E2601" s="3"/>
      <c r="F2601" s="7"/>
      <c r="G2601" s="3"/>
      <c r="H2601" s="3"/>
      <c r="I2601" s="3"/>
      <c r="J2601" s="3"/>
    </row>
    <row r="2602">
      <c r="A2602" s="3"/>
      <c r="B2602" s="3"/>
      <c r="D2602" s="4"/>
      <c r="E2602" s="3"/>
      <c r="F2602" s="7"/>
      <c r="G2602" s="3"/>
      <c r="H2602" s="3"/>
      <c r="I2602" s="3"/>
      <c r="J2602" s="3"/>
    </row>
    <row r="2603">
      <c r="A2603" s="3"/>
      <c r="B2603" s="3"/>
      <c r="D2603" s="4"/>
      <c r="E2603" s="3"/>
      <c r="F2603" s="7"/>
      <c r="G2603" s="3"/>
      <c r="H2603" s="3"/>
      <c r="I2603" s="3"/>
      <c r="J2603" s="3"/>
    </row>
    <row r="2604">
      <c r="A2604" s="3"/>
      <c r="B2604" s="3"/>
      <c r="D2604" s="4"/>
      <c r="E2604" s="3"/>
      <c r="F2604" s="7"/>
      <c r="G2604" s="3"/>
      <c r="H2604" s="3"/>
      <c r="I2604" s="3"/>
      <c r="J2604" s="3"/>
    </row>
    <row r="2605">
      <c r="A2605" s="3"/>
      <c r="B2605" s="3"/>
      <c r="D2605" s="4"/>
      <c r="E2605" s="3"/>
      <c r="F2605" s="7"/>
      <c r="G2605" s="3"/>
      <c r="H2605" s="3"/>
      <c r="I2605" s="3"/>
      <c r="J2605" s="3"/>
    </row>
    <row r="2606">
      <c r="A2606" s="3"/>
      <c r="B2606" s="3"/>
      <c r="D2606" s="4"/>
      <c r="E2606" s="3"/>
      <c r="F2606" s="7"/>
      <c r="G2606" s="3"/>
      <c r="H2606" s="3"/>
      <c r="I2606" s="3"/>
      <c r="J2606" s="3"/>
    </row>
    <row r="2607">
      <c r="A2607" s="3"/>
      <c r="B2607" s="3"/>
      <c r="D2607" s="4"/>
      <c r="E2607" s="3"/>
      <c r="F2607" s="7"/>
      <c r="G2607" s="3"/>
      <c r="H2607" s="3"/>
      <c r="I2607" s="3"/>
      <c r="J2607" s="3"/>
    </row>
    <row r="2608">
      <c r="A2608" s="3"/>
      <c r="B2608" s="3"/>
      <c r="D2608" s="4"/>
      <c r="E2608" s="3"/>
      <c r="F2608" s="7"/>
      <c r="G2608" s="3"/>
      <c r="H2608" s="3"/>
      <c r="I2608" s="3"/>
      <c r="J2608" s="3"/>
    </row>
    <row r="2609">
      <c r="A2609" s="3"/>
      <c r="B2609" s="3"/>
      <c r="D2609" s="4"/>
      <c r="E2609" s="3"/>
      <c r="F2609" s="7"/>
      <c r="G2609" s="3"/>
      <c r="H2609" s="3"/>
      <c r="I2609" s="3"/>
      <c r="J2609" s="3"/>
    </row>
    <row r="2610">
      <c r="A2610" s="3"/>
      <c r="B2610" s="3"/>
      <c r="D2610" s="4"/>
      <c r="E2610" s="3"/>
      <c r="F2610" s="7"/>
      <c r="G2610" s="3"/>
      <c r="H2610" s="3"/>
      <c r="I2610" s="3"/>
      <c r="J2610" s="3"/>
    </row>
    <row r="2611">
      <c r="A2611" s="3"/>
      <c r="B2611" s="3"/>
      <c r="D2611" s="4"/>
      <c r="E2611" s="3"/>
      <c r="F2611" s="7"/>
      <c r="G2611" s="3"/>
      <c r="H2611" s="3"/>
      <c r="I2611" s="3"/>
      <c r="J2611" s="3"/>
    </row>
    <row r="2612">
      <c r="A2612" s="3"/>
      <c r="B2612" s="3"/>
      <c r="D2612" s="4"/>
      <c r="E2612" s="3"/>
      <c r="F2612" s="7"/>
      <c r="G2612" s="3"/>
      <c r="H2612" s="3"/>
      <c r="I2612" s="3"/>
      <c r="J2612" s="3"/>
    </row>
    <row r="2613">
      <c r="A2613" s="3"/>
      <c r="B2613" s="3"/>
      <c r="D2613" s="4"/>
      <c r="E2613" s="3"/>
      <c r="F2613" s="7"/>
      <c r="G2613" s="3"/>
      <c r="H2613" s="3"/>
      <c r="I2613" s="3"/>
      <c r="J2613" s="3"/>
    </row>
    <row r="2614">
      <c r="A2614" s="3"/>
      <c r="B2614" s="3"/>
      <c r="D2614" s="4"/>
      <c r="E2614" s="3"/>
      <c r="F2614" s="7"/>
      <c r="G2614" s="3"/>
      <c r="H2614" s="3"/>
      <c r="I2614" s="3"/>
      <c r="J2614" s="3"/>
    </row>
    <row r="2615">
      <c r="A2615" s="3"/>
      <c r="B2615" s="3"/>
      <c r="D2615" s="4"/>
      <c r="E2615" s="3"/>
      <c r="F2615" s="7"/>
      <c r="G2615" s="3"/>
      <c r="H2615" s="3"/>
      <c r="I2615" s="3"/>
      <c r="J2615" s="3"/>
    </row>
    <row r="2616">
      <c r="A2616" s="3"/>
      <c r="B2616" s="3"/>
      <c r="D2616" s="4"/>
      <c r="E2616" s="3"/>
      <c r="F2616" s="7"/>
      <c r="G2616" s="3"/>
      <c r="H2616" s="3"/>
      <c r="I2616" s="3"/>
      <c r="J2616" s="3"/>
    </row>
    <row r="2617">
      <c r="A2617" s="3"/>
      <c r="B2617" s="3"/>
      <c r="D2617" s="4"/>
      <c r="E2617" s="3"/>
      <c r="F2617" s="7"/>
      <c r="G2617" s="3"/>
      <c r="H2617" s="3"/>
      <c r="I2617" s="3"/>
      <c r="J2617" s="3"/>
    </row>
    <row r="2618">
      <c r="A2618" s="3"/>
      <c r="B2618" s="3"/>
      <c r="D2618" s="4"/>
      <c r="E2618" s="3"/>
      <c r="F2618" s="7"/>
      <c r="G2618" s="3"/>
      <c r="H2618" s="3"/>
      <c r="I2618" s="3"/>
      <c r="J2618" s="3"/>
    </row>
    <row r="2619">
      <c r="A2619" s="3"/>
      <c r="B2619" s="3"/>
      <c r="D2619" s="4"/>
      <c r="E2619" s="3"/>
      <c r="F2619" s="7"/>
      <c r="G2619" s="3"/>
      <c r="H2619" s="3"/>
      <c r="I2619" s="3"/>
      <c r="J2619" s="3"/>
    </row>
    <row r="2620">
      <c r="A2620" s="3"/>
      <c r="B2620" s="3"/>
      <c r="D2620" s="4"/>
      <c r="E2620" s="3"/>
      <c r="F2620" s="7"/>
      <c r="G2620" s="3"/>
      <c r="H2620" s="3"/>
      <c r="I2620" s="3"/>
      <c r="J2620" s="3"/>
    </row>
    <row r="2621">
      <c r="A2621" s="3"/>
      <c r="B2621" s="3"/>
      <c r="D2621" s="4"/>
      <c r="E2621" s="3"/>
      <c r="F2621" s="7"/>
      <c r="G2621" s="3"/>
      <c r="H2621" s="3"/>
      <c r="I2621" s="3"/>
      <c r="J2621" s="3"/>
    </row>
    <row r="2622">
      <c r="A2622" s="3"/>
      <c r="B2622" s="3"/>
      <c r="D2622" s="4"/>
      <c r="E2622" s="3"/>
      <c r="F2622" s="7"/>
      <c r="G2622" s="3"/>
      <c r="H2622" s="3"/>
      <c r="I2622" s="3"/>
      <c r="J2622" s="3"/>
    </row>
    <row r="2623">
      <c r="A2623" s="3"/>
      <c r="B2623" s="3"/>
      <c r="D2623" s="4"/>
      <c r="E2623" s="3"/>
      <c r="F2623" s="7"/>
      <c r="G2623" s="3"/>
      <c r="H2623" s="3"/>
      <c r="I2623" s="3"/>
      <c r="J2623" s="3"/>
    </row>
    <row r="2624">
      <c r="A2624" s="3"/>
      <c r="B2624" s="3"/>
      <c r="D2624" s="4"/>
      <c r="E2624" s="3"/>
      <c r="F2624" s="7"/>
      <c r="G2624" s="3"/>
      <c r="H2624" s="3"/>
      <c r="I2624" s="3"/>
      <c r="J2624" s="3"/>
    </row>
    <row r="2625">
      <c r="A2625" s="3"/>
      <c r="B2625" s="3"/>
      <c r="D2625" s="4"/>
      <c r="E2625" s="3"/>
      <c r="F2625" s="7"/>
      <c r="G2625" s="3"/>
      <c r="H2625" s="3"/>
      <c r="I2625" s="3"/>
      <c r="J2625" s="3"/>
    </row>
    <row r="2626">
      <c r="A2626" s="3"/>
      <c r="B2626" s="3"/>
      <c r="D2626" s="4"/>
      <c r="E2626" s="3"/>
      <c r="F2626" s="7"/>
      <c r="G2626" s="3"/>
      <c r="H2626" s="3"/>
      <c r="I2626" s="3"/>
      <c r="J2626" s="3"/>
    </row>
    <row r="2627">
      <c r="A2627" s="3"/>
      <c r="B2627" s="3"/>
      <c r="D2627" s="4"/>
      <c r="E2627" s="3"/>
      <c r="F2627" s="7"/>
      <c r="G2627" s="3"/>
      <c r="H2627" s="3"/>
      <c r="I2627" s="3"/>
      <c r="J2627" s="3"/>
    </row>
    <row r="2628">
      <c r="A2628" s="3"/>
      <c r="B2628" s="3"/>
      <c r="D2628" s="4"/>
      <c r="E2628" s="3"/>
      <c r="F2628" s="7"/>
      <c r="G2628" s="3"/>
      <c r="H2628" s="3"/>
      <c r="I2628" s="3"/>
      <c r="J2628" s="3"/>
    </row>
    <row r="2629">
      <c r="A2629" s="3"/>
      <c r="B2629" s="3"/>
      <c r="D2629" s="4"/>
      <c r="E2629" s="3"/>
      <c r="F2629" s="7"/>
      <c r="G2629" s="3"/>
      <c r="H2629" s="3"/>
      <c r="I2629" s="3"/>
      <c r="J2629" s="3"/>
    </row>
    <row r="2630">
      <c r="A2630" s="3"/>
      <c r="B2630" s="3"/>
      <c r="D2630" s="4"/>
      <c r="E2630" s="3"/>
      <c r="F2630" s="7"/>
      <c r="G2630" s="3"/>
      <c r="H2630" s="3"/>
      <c r="I2630" s="3"/>
      <c r="J2630" s="3"/>
    </row>
    <row r="2631">
      <c r="A2631" s="3"/>
      <c r="B2631" s="3"/>
      <c r="D2631" s="4"/>
      <c r="E2631" s="3"/>
      <c r="F2631" s="7"/>
      <c r="G2631" s="3"/>
      <c r="H2631" s="3"/>
      <c r="I2631" s="3"/>
      <c r="J2631" s="3"/>
    </row>
    <row r="2632">
      <c r="A2632" s="3"/>
      <c r="B2632" s="3"/>
      <c r="D2632" s="4"/>
      <c r="E2632" s="3"/>
      <c r="F2632" s="7"/>
      <c r="G2632" s="3"/>
      <c r="H2632" s="3"/>
      <c r="I2632" s="3"/>
      <c r="J2632" s="3"/>
    </row>
    <row r="2633">
      <c r="A2633" s="3"/>
      <c r="B2633" s="3"/>
      <c r="D2633" s="4"/>
      <c r="E2633" s="3"/>
      <c r="F2633" s="7"/>
      <c r="G2633" s="3"/>
      <c r="H2633" s="3"/>
      <c r="I2633" s="3"/>
      <c r="J2633" s="3"/>
    </row>
    <row r="2634">
      <c r="A2634" s="3"/>
      <c r="B2634" s="3"/>
      <c r="D2634" s="4"/>
      <c r="E2634" s="3"/>
      <c r="F2634" s="7"/>
      <c r="G2634" s="3"/>
      <c r="H2634" s="3"/>
      <c r="I2634" s="3"/>
      <c r="J2634" s="3"/>
    </row>
    <row r="2635">
      <c r="A2635" s="3"/>
      <c r="B2635" s="3"/>
      <c r="D2635" s="4"/>
      <c r="E2635" s="3"/>
      <c r="F2635" s="7"/>
      <c r="G2635" s="3"/>
      <c r="H2635" s="3"/>
      <c r="I2635" s="3"/>
      <c r="J2635" s="3"/>
    </row>
    <row r="2636">
      <c r="A2636" s="3"/>
      <c r="B2636" s="3"/>
      <c r="D2636" s="4"/>
      <c r="E2636" s="3"/>
      <c r="F2636" s="7"/>
      <c r="G2636" s="3"/>
      <c r="H2636" s="3"/>
      <c r="I2636" s="3"/>
      <c r="J2636" s="3"/>
    </row>
    <row r="2637">
      <c r="A2637" s="3"/>
      <c r="B2637" s="3"/>
      <c r="D2637" s="4"/>
      <c r="E2637" s="3"/>
      <c r="F2637" s="7"/>
      <c r="G2637" s="3"/>
      <c r="H2637" s="3"/>
      <c r="I2637" s="3"/>
      <c r="J2637" s="3"/>
    </row>
    <row r="2638">
      <c r="A2638" s="3"/>
      <c r="B2638" s="3"/>
      <c r="D2638" s="4"/>
      <c r="E2638" s="3"/>
      <c r="F2638" s="7"/>
      <c r="G2638" s="3"/>
      <c r="H2638" s="3"/>
      <c r="I2638" s="3"/>
      <c r="J2638" s="3"/>
    </row>
    <row r="2639">
      <c r="A2639" s="3"/>
      <c r="B2639" s="3"/>
      <c r="D2639" s="4"/>
      <c r="E2639" s="3"/>
      <c r="F2639" s="7"/>
      <c r="G2639" s="3"/>
      <c r="H2639" s="3"/>
      <c r="I2639" s="3"/>
      <c r="J2639" s="3"/>
    </row>
    <row r="2640">
      <c r="A2640" s="3"/>
      <c r="B2640" s="3"/>
      <c r="D2640" s="4"/>
      <c r="E2640" s="3"/>
      <c r="F2640" s="7"/>
      <c r="G2640" s="3"/>
      <c r="H2640" s="3"/>
      <c r="I2640" s="3"/>
      <c r="J2640" s="3"/>
    </row>
    <row r="2641">
      <c r="A2641" s="3"/>
      <c r="B2641" s="3"/>
      <c r="D2641" s="4"/>
      <c r="E2641" s="3"/>
      <c r="F2641" s="7"/>
      <c r="G2641" s="3"/>
      <c r="H2641" s="3"/>
      <c r="I2641" s="3"/>
      <c r="J2641" s="3"/>
    </row>
    <row r="2642">
      <c r="A2642" s="3"/>
      <c r="B2642" s="3"/>
      <c r="D2642" s="4"/>
      <c r="E2642" s="3"/>
      <c r="F2642" s="7"/>
      <c r="G2642" s="3"/>
      <c r="H2642" s="3"/>
      <c r="I2642" s="3"/>
      <c r="J2642" s="3"/>
    </row>
    <row r="2643">
      <c r="A2643" s="3"/>
      <c r="B2643" s="3"/>
      <c r="D2643" s="4"/>
      <c r="E2643" s="3"/>
      <c r="F2643" s="7"/>
      <c r="G2643" s="3"/>
      <c r="H2643" s="3"/>
      <c r="I2643" s="3"/>
      <c r="J2643" s="3"/>
    </row>
    <row r="2644">
      <c r="A2644" s="3"/>
      <c r="B2644" s="3"/>
      <c r="D2644" s="4"/>
      <c r="E2644" s="3"/>
      <c r="F2644" s="7"/>
      <c r="G2644" s="3"/>
      <c r="H2644" s="3"/>
      <c r="I2644" s="3"/>
      <c r="J2644" s="3"/>
    </row>
    <row r="2645">
      <c r="A2645" s="3"/>
      <c r="B2645" s="3"/>
      <c r="D2645" s="4"/>
      <c r="E2645" s="3"/>
      <c r="F2645" s="7"/>
      <c r="G2645" s="3"/>
      <c r="H2645" s="3"/>
      <c r="I2645" s="3"/>
      <c r="J2645" s="3"/>
    </row>
    <row r="2646">
      <c r="A2646" s="3"/>
      <c r="B2646" s="3"/>
      <c r="D2646" s="4"/>
      <c r="E2646" s="3"/>
      <c r="F2646" s="7"/>
      <c r="G2646" s="3"/>
      <c r="H2646" s="3"/>
      <c r="I2646" s="3"/>
      <c r="J2646" s="3"/>
    </row>
    <row r="2647">
      <c r="A2647" s="3"/>
      <c r="B2647" s="3"/>
      <c r="D2647" s="4"/>
      <c r="E2647" s="3"/>
      <c r="F2647" s="7"/>
      <c r="G2647" s="3"/>
      <c r="H2647" s="3"/>
      <c r="I2647" s="3"/>
      <c r="J2647" s="3"/>
    </row>
    <row r="2648">
      <c r="A2648" s="3"/>
      <c r="B2648" s="3"/>
      <c r="D2648" s="4"/>
      <c r="E2648" s="3"/>
      <c r="F2648" s="7"/>
      <c r="G2648" s="3"/>
      <c r="H2648" s="3"/>
      <c r="I2648" s="3"/>
      <c r="J2648" s="3"/>
    </row>
    <row r="2649">
      <c r="A2649" s="3"/>
      <c r="B2649" s="3"/>
      <c r="D2649" s="4"/>
      <c r="E2649" s="3"/>
      <c r="F2649" s="7"/>
      <c r="G2649" s="3"/>
      <c r="H2649" s="3"/>
      <c r="I2649" s="3"/>
      <c r="J2649" s="3"/>
    </row>
    <row r="2650">
      <c r="A2650" s="3"/>
      <c r="B2650" s="3"/>
      <c r="D2650" s="4"/>
      <c r="E2650" s="3"/>
      <c r="F2650" s="7"/>
      <c r="G2650" s="3"/>
      <c r="H2650" s="3"/>
      <c r="I2650" s="3"/>
      <c r="J2650" s="3"/>
    </row>
    <row r="2651">
      <c r="A2651" s="3"/>
      <c r="B2651" s="3"/>
      <c r="D2651" s="4"/>
      <c r="E2651" s="3"/>
      <c r="F2651" s="7"/>
      <c r="G2651" s="3"/>
      <c r="H2651" s="3"/>
      <c r="I2651" s="3"/>
      <c r="J2651" s="3"/>
    </row>
    <row r="2652">
      <c r="A2652" s="3"/>
      <c r="B2652" s="3"/>
      <c r="D2652" s="4"/>
      <c r="E2652" s="3"/>
      <c r="F2652" s="7"/>
      <c r="G2652" s="3"/>
      <c r="H2652" s="3"/>
      <c r="I2652" s="3"/>
      <c r="J2652" s="3"/>
    </row>
    <row r="2653">
      <c r="A2653" s="3"/>
      <c r="B2653" s="3"/>
      <c r="D2653" s="4"/>
      <c r="E2653" s="3"/>
      <c r="F2653" s="7"/>
      <c r="G2653" s="3"/>
      <c r="H2653" s="3"/>
      <c r="I2653" s="3"/>
      <c r="J2653" s="3"/>
    </row>
    <row r="2654">
      <c r="A2654" s="3"/>
      <c r="B2654" s="3"/>
      <c r="D2654" s="4"/>
      <c r="E2654" s="3"/>
      <c r="F2654" s="7"/>
      <c r="G2654" s="3"/>
      <c r="H2654" s="3"/>
      <c r="I2654" s="3"/>
      <c r="J2654" s="3"/>
    </row>
    <row r="2655">
      <c r="A2655" s="3"/>
      <c r="B2655" s="3"/>
      <c r="D2655" s="4"/>
      <c r="E2655" s="3"/>
      <c r="F2655" s="7"/>
      <c r="G2655" s="3"/>
      <c r="H2655" s="3"/>
      <c r="I2655" s="3"/>
      <c r="J2655" s="3"/>
    </row>
    <row r="2656">
      <c r="A2656" s="3"/>
      <c r="B2656" s="3"/>
      <c r="D2656" s="4"/>
      <c r="E2656" s="3"/>
      <c r="F2656" s="7"/>
      <c r="G2656" s="3"/>
      <c r="H2656" s="3"/>
      <c r="I2656" s="3"/>
      <c r="J2656" s="3"/>
    </row>
    <row r="2657">
      <c r="A2657" s="3"/>
      <c r="B2657" s="3"/>
      <c r="D2657" s="4"/>
      <c r="E2657" s="3"/>
      <c r="F2657" s="7"/>
      <c r="G2657" s="3"/>
      <c r="H2657" s="3"/>
      <c r="I2657" s="3"/>
      <c r="J2657" s="3"/>
    </row>
    <row r="2658">
      <c r="A2658" s="3"/>
      <c r="B2658" s="3"/>
      <c r="D2658" s="4"/>
      <c r="E2658" s="3"/>
      <c r="F2658" s="7"/>
      <c r="G2658" s="3"/>
      <c r="H2658" s="3"/>
      <c r="I2658" s="3"/>
      <c r="J2658" s="3"/>
    </row>
    <row r="2659">
      <c r="A2659" s="3"/>
      <c r="B2659" s="3"/>
      <c r="D2659" s="4"/>
      <c r="E2659" s="3"/>
      <c r="F2659" s="7"/>
      <c r="G2659" s="3"/>
      <c r="H2659" s="3"/>
      <c r="I2659" s="3"/>
      <c r="J2659" s="3"/>
    </row>
    <row r="2660">
      <c r="A2660" s="3"/>
      <c r="B2660" s="3"/>
      <c r="D2660" s="4"/>
      <c r="E2660" s="3"/>
      <c r="F2660" s="7"/>
      <c r="G2660" s="3"/>
      <c r="H2660" s="3"/>
      <c r="I2660" s="3"/>
      <c r="J2660" s="3"/>
    </row>
    <row r="2661">
      <c r="A2661" s="3"/>
      <c r="B2661" s="3"/>
      <c r="D2661" s="4"/>
      <c r="E2661" s="3"/>
      <c r="F2661" s="7"/>
      <c r="G2661" s="3"/>
      <c r="H2661" s="3"/>
      <c r="I2661" s="3"/>
      <c r="J2661" s="3"/>
    </row>
    <row r="2662">
      <c r="A2662" s="3"/>
      <c r="B2662" s="3"/>
      <c r="D2662" s="4"/>
      <c r="E2662" s="3"/>
      <c r="F2662" s="7"/>
      <c r="G2662" s="3"/>
      <c r="H2662" s="3"/>
      <c r="I2662" s="3"/>
      <c r="J2662" s="3"/>
    </row>
    <row r="2663">
      <c r="A2663" s="3"/>
      <c r="B2663" s="3"/>
      <c r="D2663" s="4"/>
      <c r="E2663" s="3"/>
      <c r="F2663" s="7"/>
      <c r="G2663" s="3"/>
      <c r="H2663" s="3"/>
      <c r="I2663" s="3"/>
      <c r="J2663" s="3"/>
    </row>
    <row r="2664">
      <c r="A2664" s="3"/>
      <c r="B2664" s="3"/>
      <c r="D2664" s="4"/>
      <c r="E2664" s="3"/>
      <c r="F2664" s="7"/>
      <c r="G2664" s="3"/>
      <c r="H2664" s="3"/>
      <c r="I2664" s="3"/>
      <c r="J2664" s="3"/>
    </row>
    <row r="2665">
      <c r="A2665" s="3"/>
      <c r="B2665" s="3"/>
      <c r="D2665" s="4"/>
      <c r="E2665" s="3"/>
      <c r="F2665" s="7"/>
      <c r="G2665" s="3"/>
      <c r="H2665" s="3"/>
      <c r="I2665" s="3"/>
      <c r="J2665" s="3"/>
    </row>
    <row r="2666">
      <c r="A2666" s="3"/>
      <c r="B2666" s="3"/>
      <c r="D2666" s="4"/>
      <c r="E2666" s="3"/>
      <c r="F2666" s="7"/>
      <c r="G2666" s="3"/>
      <c r="H2666" s="3"/>
      <c r="I2666" s="3"/>
      <c r="J2666" s="3"/>
    </row>
    <row r="2667">
      <c r="A2667" s="3"/>
      <c r="B2667" s="3"/>
      <c r="D2667" s="4"/>
      <c r="E2667" s="3"/>
      <c r="F2667" s="7"/>
      <c r="G2667" s="3"/>
      <c r="H2667" s="3"/>
      <c r="I2667" s="3"/>
      <c r="J2667" s="3"/>
    </row>
    <row r="2668">
      <c r="A2668" s="3"/>
      <c r="B2668" s="3"/>
      <c r="D2668" s="4"/>
      <c r="E2668" s="3"/>
      <c r="F2668" s="7"/>
      <c r="G2668" s="3"/>
      <c r="H2668" s="3"/>
      <c r="I2668" s="3"/>
      <c r="J2668" s="3"/>
    </row>
    <row r="2669">
      <c r="A2669" s="3"/>
      <c r="B2669" s="3"/>
      <c r="D2669" s="4"/>
      <c r="E2669" s="3"/>
      <c r="F2669" s="7"/>
      <c r="G2669" s="3"/>
      <c r="H2669" s="3"/>
      <c r="I2669" s="3"/>
      <c r="J2669" s="3"/>
    </row>
    <row r="2670">
      <c r="A2670" s="3"/>
      <c r="B2670" s="3"/>
      <c r="D2670" s="4"/>
      <c r="E2670" s="3"/>
      <c r="F2670" s="7"/>
      <c r="G2670" s="3"/>
      <c r="H2670" s="3"/>
      <c r="I2670" s="3"/>
      <c r="J2670" s="3"/>
    </row>
    <row r="2671">
      <c r="A2671" s="3"/>
      <c r="B2671" s="3"/>
      <c r="D2671" s="4"/>
      <c r="E2671" s="3"/>
      <c r="F2671" s="7"/>
      <c r="G2671" s="3"/>
      <c r="H2671" s="3"/>
      <c r="I2671" s="3"/>
      <c r="J2671" s="3"/>
    </row>
    <row r="2672">
      <c r="A2672" s="3"/>
      <c r="B2672" s="3"/>
      <c r="D2672" s="4"/>
      <c r="E2672" s="3"/>
      <c r="F2672" s="7"/>
      <c r="G2672" s="3"/>
      <c r="H2672" s="3"/>
      <c r="I2672" s="3"/>
      <c r="J2672" s="3"/>
    </row>
    <row r="2673">
      <c r="A2673" s="3"/>
      <c r="B2673" s="3"/>
      <c r="D2673" s="4"/>
      <c r="E2673" s="3"/>
      <c r="F2673" s="7"/>
      <c r="G2673" s="3"/>
      <c r="H2673" s="3"/>
      <c r="I2673" s="3"/>
      <c r="J2673" s="3"/>
    </row>
    <row r="2674">
      <c r="A2674" s="3"/>
      <c r="B2674" s="3"/>
      <c r="D2674" s="4"/>
      <c r="E2674" s="3"/>
      <c r="F2674" s="7"/>
      <c r="G2674" s="3"/>
      <c r="H2674" s="3"/>
      <c r="I2674" s="3"/>
      <c r="J2674" s="3"/>
    </row>
    <row r="2675">
      <c r="A2675" s="3"/>
      <c r="B2675" s="3"/>
      <c r="D2675" s="4"/>
      <c r="E2675" s="3"/>
      <c r="F2675" s="7"/>
      <c r="G2675" s="3"/>
      <c r="H2675" s="3"/>
      <c r="I2675" s="3"/>
      <c r="J2675" s="3"/>
    </row>
    <row r="2676">
      <c r="A2676" s="3"/>
      <c r="B2676" s="3"/>
      <c r="D2676" s="4"/>
      <c r="E2676" s="3"/>
      <c r="F2676" s="7"/>
      <c r="G2676" s="3"/>
      <c r="H2676" s="3"/>
      <c r="I2676" s="3"/>
      <c r="J2676" s="3"/>
    </row>
    <row r="2677">
      <c r="A2677" s="3"/>
      <c r="B2677" s="3"/>
      <c r="D2677" s="4"/>
      <c r="E2677" s="3"/>
      <c r="F2677" s="7"/>
      <c r="G2677" s="3"/>
      <c r="H2677" s="3"/>
      <c r="I2677" s="3"/>
      <c r="J2677" s="3"/>
    </row>
    <row r="2678">
      <c r="A2678" s="3"/>
      <c r="B2678" s="3"/>
      <c r="D2678" s="4"/>
      <c r="E2678" s="3"/>
      <c r="F2678" s="7"/>
      <c r="G2678" s="3"/>
      <c r="H2678" s="3"/>
      <c r="I2678" s="3"/>
      <c r="J2678" s="3"/>
    </row>
    <row r="2679">
      <c r="A2679" s="3"/>
      <c r="B2679" s="3"/>
      <c r="D2679" s="4"/>
      <c r="E2679" s="3"/>
      <c r="F2679" s="7"/>
      <c r="G2679" s="3"/>
      <c r="H2679" s="3"/>
      <c r="I2679" s="3"/>
      <c r="J2679" s="3"/>
    </row>
    <row r="2680">
      <c r="A2680" s="3"/>
      <c r="B2680" s="3"/>
      <c r="D2680" s="4"/>
      <c r="E2680" s="3"/>
      <c r="F2680" s="7"/>
      <c r="G2680" s="3"/>
      <c r="H2680" s="3"/>
      <c r="I2680" s="3"/>
      <c r="J2680" s="3"/>
    </row>
    <row r="2681">
      <c r="A2681" s="3"/>
      <c r="B2681" s="3"/>
      <c r="D2681" s="4"/>
      <c r="E2681" s="3"/>
      <c r="F2681" s="7"/>
      <c r="G2681" s="3"/>
      <c r="H2681" s="3"/>
      <c r="I2681" s="3"/>
      <c r="J2681" s="3"/>
    </row>
    <row r="2682">
      <c r="A2682" s="3"/>
      <c r="B2682" s="3"/>
      <c r="D2682" s="4"/>
      <c r="E2682" s="3"/>
      <c r="F2682" s="7"/>
      <c r="G2682" s="3"/>
      <c r="H2682" s="3"/>
      <c r="I2682" s="3"/>
      <c r="J2682" s="3"/>
    </row>
    <row r="2683">
      <c r="A2683" s="3"/>
      <c r="B2683" s="3"/>
      <c r="D2683" s="4"/>
      <c r="E2683" s="3"/>
      <c r="F2683" s="7"/>
      <c r="G2683" s="3"/>
      <c r="H2683" s="3"/>
      <c r="I2683" s="3"/>
      <c r="J2683" s="3"/>
    </row>
    <row r="2684">
      <c r="A2684" s="3"/>
      <c r="B2684" s="3"/>
      <c r="D2684" s="4"/>
      <c r="E2684" s="3"/>
      <c r="F2684" s="7"/>
      <c r="G2684" s="3"/>
      <c r="H2684" s="3"/>
      <c r="I2684" s="3"/>
      <c r="J2684" s="3"/>
    </row>
    <row r="2685">
      <c r="A2685" s="3"/>
      <c r="B2685" s="3"/>
      <c r="D2685" s="4"/>
      <c r="E2685" s="3"/>
      <c r="F2685" s="7"/>
      <c r="G2685" s="3"/>
      <c r="H2685" s="3"/>
      <c r="I2685" s="3"/>
      <c r="J2685" s="3"/>
    </row>
    <row r="2686">
      <c r="A2686" s="3"/>
      <c r="B2686" s="3"/>
      <c r="D2686" s="4"/>
      <c r="E2686" s="3"/>
      <c r="F2686" s="7"/>
      <c r="G2686" s="3"/>
      <c r="H2686" s="3"/>
      <c r="I2686" s="3"/>
      <c r="J2686" s="3"/>
    </row>
    <row r="2687">
      <c r="A2687" s="3"/>
      <c r="B2687" s="3"/>
      <c r="D2687" s="4"/>
      <c r="E2687" s="3"/>
      <c r="F2687" s="7"/>
      <c r="G2687" s="3"/>
      <c r="H2687" s="3"/>
      <c r="I2687" s="3"/>
      <c r="J2687" s="3"/>
    </row>
    <row r="2688">
      <c r="A2688" s="3"/>
      <c r="B2688" s="3"/>
      <c r="D2688" s="4"/>
      <c r="E2688" s="3"/>
      <c r="F2688" s="7"/>
      <c r="G2688" s="3"/>
      <c r="H2688" s="3"/>
      <c r="I2688" s="3"/>
      <c r="J2688" s="3"/>
    </row>
    <row r="2689">
      <c r="A2689" s="3"/>
      <c r="B2689" s="3"/>
      <c r="D2689" s="4"/>
      <c r="E2689" s="3"/>
      <c r="F2689" s="7"/>
      <c r="G2689" s="3"/>
      <c r="H2689" s="3"/>
      <c r="I2689" s="3"/>
      <c r="J2689" s="3"/>
    </row>
    <row r="2690">
      <c r="A2690" s="3"/>
      <c r="B2690" s="3"/>
      <c r="D2690" s="4"/>
      <c r="E2690" s="3"/>
      <c r="F2690" s="7"/>
      <c r="G2690" s="3"/>
      <c r="H2690" s="3"/>
      <c r="I2690" s="3"/>
      <c r="J2690" s="3"/>
    </row>
    <row r="2691">
      <c r="A2691" s="3"/>
      <c r="B2691" s="3"/>
      <c r="D2691" s="4"/>
      <c r="E2691" s="3"/>
      <c r="F2691" s="7"/>
      <c r="G2691" s="3"/>
      <c r="H2691" s="3"/>
      <c r="I2691" s="3"/>
      <c r="J2691" s="3"/>
    </row>
    <row r="2692">
      <c r="A2692" s="3"/>
      <c r="B2692" s="3"/>
      <c r="D2692" s="4"/>
      <c r="E2692" s="3"/>
      <c r="F2692" s="7"/>
      <c r="G2692" s="3"/>
      <c r="H2692" s="3"/>
      <c r="I2692" s="3"/>
      <c r="J2692" s="3"/>
    </row>
    <row r="2693">
      <c r="A2693" s="3"/>
      <c r="B2693" s="3"/>
      <c r="D2693" s="4"/>
      <c r="E2693" s="3"/>
      <c r="F2693" s="7"/>
      <c r="G2693" s="3"/>
      <c r="H2693" s="3"/>
      <c r="I2693" s="3"/>
      <c r="J2693" s="3"/>
    </row>
    <row r="2694">
      <c r="A2694" s="3"/>
      <c r="B2694" s="3"/>
      <c r="D2694" s="4"/>
      <c r="E2694" s="3"/>
      <c r="F2694" s="7"/>
      <c r="G2694" s="3"/>
      <c r="H2694" s="3"/>
      <c r="I2694" s="3"/>
      <c r="J2694" s="3"/>
    </row>
    <row r="2695">
      <c r="A2695" s="3"/>
      <c r="B2695" s="3"/>
      <c r="D2695" s="4"/>
      <c r="E2695" s="3"/>
      <c r="F2695" s="7"/>
      <c r="G2695" s="3"/>
      <c r="H2695" s="3"/>
      <c r="I2695" s="3"/>
      <c r="J2695" s="3"/>
    </row>
    <row r="2696">
      <c r="A2696" s="3"/>
      <c r="B2696" s="3"/>
      <c r="D2696" s="4"/>
      <c r="E2696" s="3"/>
      <c r="F2696" s="7"/>
      <c r="G2696" s="3"/>
      <c r="H2696" s="3"/>
      <c r="I2696" s="3"/>
      <c r="J2696" s="3"/>
    </row>
    <row r="2697">
      <c r="A2697" s="3"/>
      <c r="B2697" s="3"/>
      <c r="D2697" s="4"/>
      <c r="E2697" s="3"/>
      <c r="F2697" s="7"/>
      <c r="G2697" s="3"/>
      <c r="H2697" s="3"/>
      <c r="I2697" s="3"/>
      <c r="J2697" s="3"/>
    </row>
    <row r="2698">
      <c r="A2698" s="3"/>
      <c r="B2698" s="3"/>
      <c r="D2698" s="4"/>
      <c r="E2698" s="3"/>
      <c r="F2698" s="7"/>
      <c r="G2698" s="3"/>
      <c r="H2698" s="3"/>
      <c r="I2698" s="3"/>
      <c r="J2698" s="3"/>
    </row>
    <row r="2699">
      <c r="A2699" s="3"/>
      <c r="B2699" s="3"/>
      <c r="D2699" s="4"/>
      <c r="E2699" s="3"/>
      <c r="F2699" s="7"/>
      <c r="G2699" s="3"/>
      <c r="H2699" s="3"/>
      <c r="I2699" s="3"/>
      <c r="J2699" s="3"/>
    </row>
    <row r="2700">
      <c r="A2700" s="3"/>
      <c r="B2700" s="3"/>
      <c r="D2700" s="4"/>
      <c r="E2700" s="3"/>
      <c r="F2700" s="7"/>
      <c r="G2700" s="3"/>
      <c r="H2700" s="3"/>
      <c r="I2700" s="3"/>
      <c r="J2700" s="3"/>
    </row>
    <row r="2701">
      <c r="A2701" s="3"/>
      <c r="B2701" s="3"/>
      <c r="D2701" s="4"/>
      <c r="E2701" s="3"/>
      <c r="F2701" s="7"/>
      <c r="G2701" s="3"/>
      <c r="H2701" s="3"/>
      <c r="I2701" s="3"/>
      <c r="J2701" s="3"/>
    </row>
    <row r="2702">
      <c r="A2702" s="3"/>
      <c r="B2702" s="3"/>
      <c r="D2702" s="4"/>
      <c r="E2702" s="3"/>
      <c r="F2702" s="7"/>
      <c r="G2702" s="3"/>
      <c r="H2702" s="3"/>
      <c r="I2702" s="3"/>
      <c r="J2702" s="3"/>
    </row>
    <row r="2703">
      <c r="A2703" s="3"/>
      <c r="B2703" s="3"/>
      <c r="D2703" s="4"/>
      <c r="E2703" s="3"/>
      <c r="F2703" s="7"/>
      <c r="G2703" s="3"/>
      <c r="H2703" s="3"/>
      <c r="I2703" s="3"/>
      <c r="J2703" s="3"/>
    </row>
    <row r="2704">
      <c r="A2704" s="3"/>
      <c r="B2704" s="3"/>
      <c r="D2704" s="4"/>
      <c r="E2704" s="3"/>
      <c r="F2704" s="7"/>
      <c r="G2704" s="3"/>
      <c r="H2704" s="3"/>
      <c r="I2704" s="3"/>
      <c r="J2704" s="3"/>
    </row>
    <row r="2705">
      <c r="A2705" s="3"/>
      <c r="B2705" s="3"/>
      <c r="D2705" s="4"/>
      <c r="E2705" s="3"/>
      <c r="F2705" s="7"/>
      <c r="G2705" s="3"/>
      <c r="H2705" s="3"/>
      <c r="I2705" s="3"/>
      <c r="J2705" s="3"/>
    </row>
    <row r="2706">
      <c r="A2706" s="3"/>
      <c r="B2706" s="3"/>
      <c r="D2706" s="4"/>
      <c r="E2706" s="3"/>
      <c r="F2706" s="7"/>
      <c r="G2706" s="3"/>
      <c r="H2706" s="3"/>
      <c r="I2706" s="3"/>
      <c r="J2706" s="3"/>
    </row>
    <row r="2707">
      <c r="A2707" s="3"/>
      <c r="B2707" s="3"/>
      <c r="D2707" s="4"/>
      <c r="E2707" s="3"/>
      <c r="F2707" s="7"/>
      <c r="G2707" s="3"/>
      <c r="H2707" s="3"/>
      <c r="I2707" s="3"/>
      <c r="J2707" s="3"/>
    </row>
    <row r="2708">
      <c r="A2708" s="3"/>
      <c r="B2708" s="3"/>
      <c r="D2708" s="4"/>
      <c r="E2708" s="3"/>
      <c r="F2708" s="7"/>
      <c r="G2708" s="3"/>
      <c r="H2708" s="3"/>
      <c r="I2708" s="3"/>
      <c r="J2708" s="3"/>
    </row>
    <row r="2709">
      <c r="A2709" s="3"/>
      <c r="B2709" s="3"/>
      <c r="D2709" s="4"/>
      <c r="E2709" s="3"/>
      <c r="F2709" s="7"/>
      <c r="G2709" s="3"/>
      <c r="H2709" s="3"/>
      <c r="I2709" s="3"/>
      <c r="J2709" s="3"/>
    </row>
    <row r="2710">
      <c r="A2710" s="3"/>
      <c r="B2710" s="3"/>
      <c r="D2710" s="4"/>
      <c r="E2710" s="3"/>
      <c r="F2710" s="7"/>
      <c r="G2710" s="3"/>
      <c r="H2710" s="3"/>
      <c r="I2710" s="3"/>
      <c r="J2710" s="3"/>
    </row>
    <row r="2711">
      <c r="A2711" s="3"/>
      <c r="B2711" s="3"/>
      <c r="D2711" s="4"/>
      <c r="E2711" s="3"/>
      <c r="F2711" s="7"/>
      <c r="G2711" s="3"/>
      <c r="H2711" s="3"/>
      <c r="I2711" s="3"/>
      <c r="J2711" s="3"/>
    </row>
    <row r="2712">
      <c r="A2712" s="3"/>
      <c r="B2712" s="3"/>
      <c r="D2712" s="4"/>
      <c r="E2712" s="3"/>
      <c r="F2712" s="7"/>
      <c r="G2712" s="3"/>
      <c r="H2712" s="3"/>
      <c r="I2712" s="3"/>
      <c r="J2712" s="3"/>
    </row>
    <row r="2713">
      <c r="A2713" s="3"/>
      <c r="B2713" s="3"/>
      <c r="D2713" s="4"/>
      <c r="E2713" s="3"/>
      <c r="F2713" s="7"/>
      <c r="G2713" s="3"/>
      <c r="H2713" s="3"/>
      <c r="I2713" s="3"/>
      <c r="J2713" s="3"/>
    </row>
    <row r="2714">
      <c r="A2714" s="3"/>
      <c r="B2714" s="3"/>
      <c r="D2714" s="4"/>
      <c r="E2714" s="3"/>
      <c r="F2714" s="7"/>
      <c r="G2714" s="3"/>
      <c r="H2714" s="3"/>
      <c r="I2714" s="3"/>
      <c r="J2714" s="3"/>
    </row>
    <row r="2715">
      <c r="A2715" s="3"/>
      <c r="B2715" s="3"/>
      <c r="D2715" s="4"/>
      <c r="E2715" s="3"/>
      <c r="F2715" s="7"/>
      <c r="G2715" s="3"/>
      <c r="H2715" s="3"/>
      <c r="I2715" s="3"/>
      <c r="J2715" s="3"/>
    </row>
    <row r="2716">
      <c r="A2716" s="3"/>
      <c r="B2716" s="3"/>
      <c r="D2716" s="4"/>
      <c r="E2716" s="3"/>
      <c r="F2716" s="7"/>
      <c r="G2716" s="3"/>
      <c r="H2716" s="3"/>
      <c r="I2716" s="3"/>
      <c r="J2716" s="3"/>
    </row>
    <row r="2717">
      <c r="A2717" s="3"/>
      <c r="B2717" s="3"/>
      <c r="D2717" s="4"/>
      <c r="E2717" s="3"/>
      <c r="F2717" s="7"/>
      <c r="G2717" s="3"/>
      <c r="H2717" s="3"/>
      <c r="I2717" s="3"/>
      <c r="J2717" s="3"/>
    </row>
    <row r="2718">
      <c r="A2718" s="3"/>
      <c r="B2718" s="3"/>
      <c r="D2718" s="4"/>
      <c r="E2718" s="3"/>
      <c r="F2718" s="7"/>
      <c r="G2718" s="3"/>
      <c r="H2718" s="3"/>
      <c r="I2718" s="3"/>
      <c r="J2718" s="3"/>
    </row>
    <row r="2719">
      <c r="A2719" s="3"/>
      <c r="B2719" s="3"/>
      <c r="D2719" s="4"/>
      <c r="E2719" s="3"/>
      <c r="F2719" s="7"/>
      <c r="G2719" s="3"/>
      <c r="H2719" s="3"/>
      <c r="I2719" s="3"/>
      <c r="J2719" s="3"/>
    </row>
    <row r="2720">
      <c r="A2720" s="3"/>
      <c r="B2720" s="3"/>
      <c r="D2720" s="4"/>
      <c r="E2720" s="3"/>
      <c r="F2720" s="7"/>
      <c r="G2720" s="3"/>
      <c r="H2720" s="3"/>
      <c r="I2720" s="3"/>
      <c r="J2720" s="3"/>
    </row>
    <row r="2721">
      <c r="A2721" s="3"/>
      <c r="B2721" s="3"/>
      <c r="D2721" s="4"/>
      <c r="E2721" s="3"/>
      <c r="F2721" s="7"/>
      <c r="G2721" s="3"/>
      <c r="H2721" s="3"/>
      <c r="I2721" s="3"/>
      <c r="J2721" s="3"/>
    </row>
    <row r="2722">
      <c r="A2722" s="3"/>
      <c r="B2722" s="3"/>
      <c r="D2722" s="4"/>
      <c r="E2722" s="3"/>
      <c r="F2722" s="7"/>
      <c r="G2722" s="3"/>
      <c r="H2722" s="3"/>
      <c r="I2722" s="3"/>
      <c r="J2722" s="3"/>
    </row>
    <row r="2723">
      <c r="A2723" s="3"/>
      <c r="B2723" s="3"/>
      <c r="D2723" s="4"/>
      <c r="E2723" s="3"/>
      <c r="F2723" s="7"/>
      <c r="G2723" s="3"/>
      <c r="H2723" s="3"/>
      <c r="I2723" s="3"/>
      <c r="J2723" s="3"/>
    </row>
    <row r="2724">
      <c r="A2724" s="3"/>
      <c r="B2724" s="3"/>
      <c r="D2724" s="4"/>
      <c r="E2724" s="3"/>
      <c r="F2724" s="7"/>
      <c r="G2724" s="3"/>
      <c r="H2724" s="3"/>
      <c r="I2724" s="3"/>
      <c r="J2724" s="3"/>
    </row>
    <row r="2725">
      <c r="A2725" s="3"/>
      <c r="B2725" s="3"/>
      <c r="D2725" s="4"/>
      <c r="E2725" s="3"/>
      <c r="F2725" s="7"/>
      <c r="G2725" s="3"/>
      <c r="H2725" s="3"/>
      <c r="I2725" s="3"/>
      <c r="J2725" s="3"/>
    </row>
    <row r="2726">
      <c r="A2726" s="3"/>
      <c r="B2726" s="3"/>
      <c r="D2726" s="4"/>
      <c r="E2726" s="3"/>
      <c r="F2726" s="7"/>
      <c r="G2726" s="3"/>
      <c r="H2726" s="3"/>
      <c r="I2726" s="3"/>
      <c r="J2726" s="3"/>
    </row>
    <row r="2727">
      <c r="A2727" s="3"/>
      <c r="B2727" s="3"/>
      <c r="D2727" s="4"/>
      <c r="E2727" s="3"/>
      <c r="F2727" s="7"/>
      <c r="G2727" s="3"/>
      <c r="H2727" s="3"/>
      <c r="I2727" s="3"/>
      <c r="J2727" s="3"/>
    </row>
    <row r="2728">
      <c r="A2728" s="3"/>
      <c r="B2728" s="3"/>
      <c r="D2728" s="4"/>
      <c r="E2728" s="3"/>
      <c r="F2728" s="7"/>
      <c r="G2728" s="3"/>
      <c r="H2728" s="3"/>
      <c r="I2728" s="3"/>
      <c r="J2728" s="3"/>
    </row>
    <row r="2729">
      <c r="A2729" s="3"/>
      <c r="B2729" s="3"/>
      <c r="D2729" s="4"/>
      <c r="E2729" s="3"/>
      <c r="F2729" s="7"/>
      <c r="G2729" s="3"/>
      <c r="H2729" s="3"/>
      <c r="I2729" s="3"/>
      <c r="J2729" s="3"/>
    </row>
    <row r="2730">
      <c r="A2730" s="3"/>
      <c r="B2730" s="3"/>
      <c r="D2730" s="4"/>
      <c r="E2730" s="3"/>
      <c r="F2730" s="7"/>
      <c r="G2730" s="3"/>
      <c r="H2730" s="3"/>
      <c r="I2730" s="3"/>
      <c r="J2730" s="3"/>
    </row>
    <row r="2731">
      <c r="A2731" s="3"/>
      <c r="B2731" s="3"/>
      <c r="D2731" s="4"/>
      <c r="E2731" s="3"/>
      <c r="F2731" s="7"/>
      <c r="G2731" s="3"/>
      <c r="H2731" s="3"/>
      <c r="I2731" s="3"/>
      <c r="J2731" s="3"/>
    </row>
    <row r="2732">
      <c r="A2732" s="3"/>
      <c r="B2732" s="3"/>
      <c r="D2732" s="4"/>
      <c r="E2732" s="3"/>
      <c r="F2732" s="7"/>
      <c r="G2732" s="3"/>
      <c r="H2732" s="3"/>
      <c r="I2732" s="3"/>
      <c r="J2732" s="3"/>
    </row>
    <row r="2733">
      <c r="A2733" s="3"/>
      <c r="B2733" s="3"/>
      <c r="D2733" s="4"/>
      <c r="E2733" s="3"/>
      <c r="F2733" s="7"/>
      <c r="G2733" s="3"/>
      <c r="H2733" s="3"/>
      <c r="I2733" s="3"/>
      <c r="J2733" s="3"/>
    </row>
    <row r="2734">
      <c r="A2734" s="3"/>
      <c r="B2734" s="3"/>
      <c r="D2734" s="4"/>
      <c r="E2734" s="3"/>
      <c r="F2734" s="7"/>
      <c r="G2734" s="3"/>
      <c r="H2734" s="3"/>
      <c r="I2734" s="3"/>
      <c r="J2734" s="3"/>
    </row>
    <row r="2735">
      <c r="A2735" s="3"/>
      <c r="B2735" s="3"/>
      <c r="D2735" s="4"/>
      <c r="E2735" s="3"/>
      <c r="F2735" s="7"/>
      <c r="G2735" s="3"/>
      <c r="H2735" s="3"/>
      <c r="I2735" s="3"/>
      <c r="J2735" s="3"/>
    </row>
    <row r="2736">
      <c r="A2736" s="3"/>
      <c r="B2736" s="3"/>
      <c r="D2736" s="4"/>
      <c r="E2736" s="3"/>
      <c r="F2736" s="7"/>
      <c r="G2736" s="3"/>
      <c r="H2736" s="3"/>
      <c r="I2736" s="3"/>
      <c r="J2736" s="3"/>
    </row>
    <row r="2737">
      <c r="A2737" s="3"/>
      <c r="B2737" s="3"/>
      <c r="D2737" s="4"/>
      <c r="E2737" s="3"/>
      <c r="F2737" s="7"/>
      <c r="G2737" s="3"/>
      <c r="H2737" s="3"/>
      <c r="I2737" s="3"/>
      <c r="J2737" s="3"/>
    </row>
    <row r="2738">
      <c r="A2738" s="3"/>
      <c r="B2738" s="3"/>
      <c r="D2738" s="4"/>
      <c r="E2738" s="3"/>
      <c r="F2738" s="7"/>
      <c r="G2738" s="3"/>
      <c r="H2738" s="3"/>
      <c r="I2738" s="3"/>
      <c r="J2738" s="3"/>
    </row>
    <row r="2739">
      <c r="A2739" s="3"/>
      <c r="B2739" s="3"/>
      <c r="D2739" s="4"/>
      <c r="E2739" s="3"/>
      <c r="F2739" s="7"/>
      <c r="G2739" s="3"/>
      <c r="H2739" s="3"/>
      <c r="I2739" s="3"/>
      <c r="J2739" s="3"/>
    </row>
    <row r="2740">
      <c r="A2740" s="3"/>
      <c r="B2740" s="3"/>
      <c r="D2740" s="4"/>
      <c r="E2740" s="3"/>
      <c r="F2740" s="7"/>
      <c r="G2740" s="3"/>
      <c r="H2740" s="3"/>
      <c r="I2740" s="3"/>
      <c r="J2740" s="3"/>
    </row>
    <row r="2741">
      <c r="A2741" s="3"/>
      <c r="B2741" s="3"/>
      <c r="D2741" s="4"/>
      <c r="E2741" s="3"/>
      <c r="F2741" s="7"/>
      <c r="G2741" s="3"/>
      <c r="H2741" s="3"/>
      <c r="I2741" s="3"/>
      <c r="J2741" s="3"/>
    </row>
    <row r="2742">
      <c r="A2742" s="3"/>
      <c r="B2742" s="3"/>
      <c r="D2742" s="4"/>
      <c r="E2742" s="3"/>
      <c r="F2742" s="7"/>
      <c r="G2742" s="3"/>
      <c r="H2742" s="3"/>
      <c r="I2742" s="3"/>
      <c r="J2742" s="3"/>
    </row>
    <row r="2743">
      <c r="A2743" s="3"/>
      <c r="B2743" s="3"/>
      <c r="D2743" s="4"/>
      <c r="E2743" s="3"/>
      <c r="F2743" s="7"/>
      <c r="G2743" s="3"/>
      <c r="H2743" s="3"/>
      <c r="I2743" s="3"/>
      <c r="J2743" s="3"/>
    </row>
    <row r="2744">
      <c r="A2744" s="3"/>
      <c r="B2744" s="3"/>
      <c r="D2744" s="4"/>
      <c r="E2744" s="3"/>
      <c r="F2744" s="7"/>
      <c r="G2744" s="3"/>
      <c r="H2744" s="3"/>
      <c r="I2744" s="3"/>
      <c r="J2744" s="3"/>
    </row>
    <row r="2745">
      <c r="A2745" s="3"/>
      <c r="B2745" s="3"/>
      <c r="D2745" s="4"/>
      <c r="E2745" s="3"/>
      <c r="F2745" s="7"/>
      <c r="G2745" s="3"/>
      <c r="H2745" s="3"/>
      <c r="I2745" s="3"/>
      <c r="J2745" s="3"/>
    </row>
    <row r="2746">
      <c r="A2746" s="3"/>
      <c r="B2746" s="3"/>
      <c r="D2746" s="4"/>
      <c r="E2746" s="3"/>
      <c r="F2746" s="7"/>
      <c r="G2746" s="3"/>
      <c r="H2746" s="3"/>
      <c r="I2746" s="3"/>
      <c r="J2746" s="3"/>
    </row>
    <row r="2747">
      <c r="A2747" s="3"/>
      <c r="B2747" s="3"/>
      <c r="D2747" s="4"/>
      <c r="E2747" s="3"/>
      <c r="F2747" s="7"/>
      <c r="G2747" s="3"/>
      <c r="H2747" s="3"/>
      <c r="I2747" s="3"/>
      <c r="J2747" s="3"/>
    </row>
    <row r="2748">
      <c r="A2748" s="3"/>
      <c r="B2748" s="3"/>
      <c r="D2748" s="4"/>
      <c r="E2748" s="3"/>
      <c r="F2748" s="7"/>
      <c r="G2748" s="3"/>
      <c r="H2748" s="3"/>
      <c r="I2748" s="3"/>
      <c r="J2748" s="3"/>
    </row>
    <row r="2749">
      <c r="A2749" s="3"/>
      <c r="B2749" s="3"/>
      <c r="D2749" s="4"/>
      <c r="E2749" s="3"/>
      <c r="F2749" s="7"/>
      <c r="G2749" s="3"/>
      <c r="H2749" s="3"/>
      <c r="I2749" s="3"/>
      <c r="J2749" s="3"/>
    </row>
    <row r="2750">
      <c r="A2750" s="3"/>
      <c r="B2750" s="3"/>
      <c r="D2750" s="4"/>
      <c r="E2750" s="3"/>
      <c r="F2750" s="7"/>
      <c r="G2750" s="3"/>
      <c r="H2750" s="3"/>
      <c r="I2750" s="3"/>
      <c r="J2750" s="3"/>
    </row>
    <row r="2751">
      <c r="A2751" s="3"/>
      <c r="B2751" s="3"/>
      <c r="D2751" s="4"/>
      <c r="E2751" s="3"/>
      <c r="F2751" s="7"/>
      <c r="G2751" s="3"/>
      <c r="H2751" s="3"/>
      <c r="I2751" s="3"/>
      <c r="J2751" s="3"/>
    </row>
    <row r="2752">
      <c r="A2752" s="3"/>
      <c r="B2752" s="3"/>
      <c r="D2752" s="4"/>
      <c r="E2752" s="3"/>
      <c r="F2752" s="7"/>
      <c r="G2752" s="3"/>
      <c r="H2752" s="3"/>
      <c r="I2752" s="3"/>
      <c r="J2752" s="3"/>
    </row>
    <row r="2753">
      <c r="A2753" s="3"/>
      <c r="B2753" s="3"/>
      <c r="D2753" s="4"/>
      <c r="E2753" s="3"/>
      <c r="F2753" s="7"/>
      <c r="G2753" s="3"/>
      <c r="H2753" s="3"/>
      <c r="I2753" s="3"/>
      <c r="J2753" s="3"/>
    </row>
    <row r="2754">
      <c r="A2754" s="3"/>
      <c r="B2754" s="3"/>
      <c r="D2754" s="4"/>
      <c r="E2754" s="3"/>
      <c r="F2754" s="7"/>
      <c r="G2754" s="3"/>
      <c r="H2754" s="3"/>
      <c r="I2754" s="3"/>
      <c r="J2754" s="3"/>
    </row>
    <row r="2755">
      <c r="A2755" s="3"/>
      <c r="B2755" s="3"/>
      <c r="D2755" s="4"/>
      <c r="E2755" s="3"/>
      <c r="F2755" s="7"/>
      <c r="G2755" s="3"/>
      <c r="H2755" s="3"/>
      <c r="I2755" s="3"/>
      <c r="J2755" s="3"/>
    </row>
    <row r="2756">
      <c r="A2756" s="3"/>
      <c r="B2756" s="3"/>
      <c r="D2756" s="4"/>
      <c r="E2756" s="3"/>
      <c r="F2756" s="7"/>
      <c r="G2756" s="3"/>
      <c r="H2756" s="3"/>
      <c r="I2756" s="3"/>
      <c r="J2756" s="3"/>
    </row>
    <row r="2757">
      <c r="A2757" s="3"/>
      <c r="B2757" s="3"/>
      <c r="D2757" s="4"/>
      <c r="E2757" s="3"/>
      <c r="F2757" s="7"/>
      <c r="G2757" s="3"/>
      <c r="H2757" s="3"/>
      <c r="I2757" s="3"/>
      <c r="J2757" s="3"/>
    </row>
    <row r="2758">
      <c r="A2758" s="3"/>
      <c r="B2758" s="3"/>
      <c r="D2758" s="4"/>
      <c r="E2758" s="3"/>
      <c r="F2758" s="7"/>
      <c r="G2758" s="3"/>
      <c r="H2758" s="3"/>
      <c r="I2758" s="3"/>
      <c r="J2758" s="3"/>
    </row>
    <row r="2759">
      <c r="A2759" s="3"/>
      <c r="B2759" s="3"/>
      <c r="D2759" s="4"/>
      <c r="E2759" s="3"/>
      <c r="F2759" s="7"/>
      <c r="G2759" s="3"/>
      <c r="H2759" s="3"/>
      <c r="I2759" s="3"/>
      <c r="J2759" s="3"/>
    </row>
    <row r="2760">
      <c r="A2760" s="3"/>
      <c r="B2760" s="3"/>
      <c r="D2760" s="4"/>
      <c r="E2760" s="3"/>
      <c r="F2760" s="7"/>
      <c r="G2760" s="3"/>
      <c r="H2760" s="3"/>
      <c r="I2760" s="3"/>
      <c r="J2760" s="3"/>
    </row>
    <row r="2761">
      <c r="A2761" s="3"/>
      <c r="B2761" s="3"/>
      <c r="D2761" s="4"/>
      <c r="E2761" s="3"/>
      <c r="F2761" s="7"/>
      <c r="G2761" s="3"/>
      <c r="H2761" s="3"/>
      <c r="I2761" s="3"/>
      <c r="J2761" s="3"/>
    </row>
    <row r="2762">
      <c r="A2762" s="3"/>
      <c r="B2762" s="3"/>
      <c r="D2762" s="4"/>
      <c r="E2762" s="3"/>
      <c r="F2762" s="7"/>
      <c r="G2762" s="3"/>
      <c r="H2762" s="3"/>
      <c r="I2762" s="3"/>
      <c r="J2762" s="3"/>
    </row>
    <row r="2763">
      <c r="A2763" s="3"/>
      <c r="B2763" s="3"/>
      <c r="D2763" s="4"/>
      <c r="E2763" s="3"/>
      <c r="F2763" s="7"/>
      <c r="G2763" s="3"/>
      <c r="H2763" s="3"/>
      <c r="I2763" s="3"/>
      <c r="J2763" s="3"/>
    </row>
    <row r="2764">
      <c r="A2764" s="3"/>
      <c r="B2764" s="3"/>
      <c r="D2764" s="4"/>
      <c r="E2764" s="3"/>
      <c r="F2764" s="7"/>
      <c r="G2764" s="3"/>
      <c r="H2764" s="3"/>
      <c r="I2764" s="3"/>
      <c r="J2764" s="3"/>
    </row>
    <row r="2765">
      <c r="A2765" s="3"/>
      <c r="B2765" s="3"/>
      <c r="D2765" s="4"/>
      <c r="E2765" s="3"/>
      <c r="F2765" s="7"/>
      <c r="G2765" s="3"/>
      <c r="H2765" s="3"/>
      <c r="I2765" s="3"/>
      <c r="J2765" s="3"/>
    </row>
    <row r="2766">
      <c r="A2766" s="3"/>
      <c r="B2766" s="3"/>
      <c r="D2766" s="4"/>
      <c r="E2766" s="3"/>
      <c r="F2766" s="7"/>
      <c r="G2766" s="3"/>
      <c r="H2766" s="3"/>
      <c r="I2766" s="3"/>
      <c r="J2766" s="3"/>
    </row>
    <row r="2767">
      <c r="A2767" s="3"/>
      <c r="B2767" s="3"/>
      <c r="D2767" s="4"/>
      <c r="E2767" s="3"/>
      <c r="F2767" s="7"/>
      <c r="G2767" s="3"/>
      <c r="H2767" s="3"/>
      <c r="I2767" s="3"/>
      <c r="J2767" s="3"/>
    </row>
    <row r="2768">
      <c r="A2768" s="3"/>
      <c r="B2768" s="3"/>
      <c r="D2768" s="4"/>
      <c r="E2768" s="3"/>
      <c r="F2768" s="7"/>
      <c r="G2768" s="3"/>
      <c r="H2768" s="3"/>
      <c r="I2768" s="3"/>
      <c r="J2768" s="3"/>
    </row>
    <row r="2769">
      <c r="A2769" s="3"/>
      <c r="B2769" s="3"/>
      <c r="D2769" s="4"/>
      <c r="E2769" s="3"/>
      <c r="F2769" s="7"/>
      <c r="G2769" s="3"/>
      <c r="H2769" s="3"/>
      <c r="I2769" s="3"/>
      <c r="J2769" s="3"/>
    </row>
    <row r="2770">
      <c r="A2770" s="3"/>
      <c r="B2770" s="3"/>
      <c r="D2770" s="4"/>
      <c r="E2770" s="3"/>
      <c r="F2770" s="7"/>
      <c r="G2770" s="3"/>
      <c r="H2770" s="3"/>
      <c r="I2770" s="3"/>
      <c r="J2770" s="3"/>
    </row>
    <row r="2771">
      <c r="A2771" s="3"/>
      <c r="B2771" s="3"/>
      <c r="D2771" s="4"/>
      <c r="E2771" s="3"/>
      <c r="F2771" s="7"/>
      <c r="G2771" s="3"/>
      <c r="H2771" s="3"/>
      <c r="I2771" s="3"/>
      <c r="J2771" s="3"/>
    </row>
    <row r="2772">
      <c r="A2772" s="3"/>
      <c r="B2772" s="3"/>
      <c r="D2772" s="4"/>
      <c r="E2772" s="3"/>
      <c r="F2772" s="7"/>
      <c r="G2772" s="3"/>
      <c r="H2772" s="3"/>
      <c r="I2772" s="3"/>
      <c r="J2772" s="3"/>
    </row>
    <row r="2773">
      <c r="A2773" s="3"/>
      <c r="B2773" s="3"/>
      <c r="D2773" s="4"/>
      <c r="E2773" s="3"/>
      <c r="F2773" s="7"/>
      <c r="G2773" s="3"/>
      <c r="H2773" s="3"/>
      <c r="I2773" s="3"/>
      <c r="J2773" s="3"/>
    </row>
    <row r="2774">
      <c r="A2774" s="3"/>
      <c r="B2774" s="3"/>
      <c r="D2774" s="4"/>
      <c r="E2774" s="3"/>
      <c r="F2774" s="7"/>
      <c r="G2774" s="3"/>
      <c r="H2774" s="3"/>
      <c r="I2774" s="3"/>
      <c r="J2774" s="3"/>
    </row>
    <row r="2775">
      <c r="A2775" s="3"/>
      <c r="B2775" s="3"/>
      <c r="D2775" s="4"/>
      <c r="E2775" s="3"/>
      <c r="F2775" s="7"/>
      <c r="G2775" s="3"/>
      <c r="H2775" s="3"/>
      <c r="I2775" s="3"/>
      <c r="J2775" s="3"/>
    </row>
    <row r="2776">
      <c r="A2776" s="3"/>
      <c r="B2776" s="3"/>
      <c r="D2776" s="4"/>
      <c r="E2776" s="3"/>
      <c r="F2776" s="7"/>
      <c r="G2776" s="3"/>
      <c r="H2776" s="3"/>
      <c r="I2776" s="3"/>
      <c r="J2776" s="3"/>
    </row>
    <row r="2777">
      <c r="A2777" s="3"/>
      <c r="B2777" s="3"/>
      <c r="D2777" s="4"/>
      <c r="E2777" s="3"/>
      <c r="F2777" s="7"/>
      <c r="G2777" s="3"/>
      <c r="H2777" s="3"/>
      <c r="I2777" s="3"/>
      <c r="J2777" s="3"/>
    </row>
    <row r="2778">
      <c r="A2778" s="3"/>
      <c r="B2778" s="3"/>
      <c r="D2778" s="4"/>
      <c r="E2778" s="3"/>
      <c r="F2778" s="7"/>
      <c r="G2778" s="3"/>
      <c r="H2778" s="3"/>
      <c r="I2778" s="3"/>
      <c r="J2778" s="3"/>
    </row>
    <row r="2779">
      <c r="A2779" s="3"/>
      <c r="B2779" s="3"/>
      <c r="D2779" s="4"/>
      <c r="E2779" s="3"/>
      <c r="F2779" s="7"/>
      <c r="G2779" s="3"/>
      <c r="H2779" s="3"/>
      <c r="I2779" s="3"/>
      <c r="J2779" s="3"/>
    </row>
    <row r="2780">
      <c r="A2780" s="3"/>
      <c r="B2780" s="3"/>
      <c r="D2780" s="4"/>
      <c r="E2780" s="3"/>
      <c r="F2780" s="7"/>
      <c r="G2780" s="3"/>
      <c r="H2780" s="3"/>
      <c r="I2780" s="3"/>
      <c r="J2780" s="3"/>
    </row>
    <row r="2781">
      <c r="A2781" s="3"/>
      <c r="B2781" s="3"/>
      <c r="D2781" s="4"/>
      <c r="E2781" s="3"/>
      <c r="F2781" s="7"/>
      <c r="G2781" s="3"/>
      <c r="H2781" s="3"/>
      <c r="I2781" s="3"/>
      <c r="J2781" s="3"/>
    </row>
    <row r="2782">
      <c r="A2782" s="3"/>
      <c r="B2782" s="3"/>
      <c r="D2782" s="4"/>
      <c r="E2782" s="3"/>
      <c r="F2782" s="7"/>
      <c r="G2782" s="3"/>
      <c r="H2782" s="3"/>
      <c r="I2782" s="3"/>
      <c r="J2782" s="3"/>
    </row>
    <row r="2783">
      <c r="A2783" s="3"/>
      <c r="B2783" s="3"/>
      <c r="D2783" s="4"/>
      <c r="E2783" s="3"/>
      <c r="F2783" s="7"/>
      <c r="G2783" s="3"/>
      <c r="H2783" s="3"/>
      <c r="I2783" s="3"/>
      <c r="J2783" s="3"/>
    </row>
    <row r="2784">
      <c r="A2784" s="3"/>
      <c r="B2784" s="3"/>
      <c r="D2784" s="4"/>
      <c r="E2784" s="3"/>
      <c r="F2784" s="7"/>
      <c r="G2784" s="3"/>
      <c r="H2784" s="3"/>
      <c r="I2784" s="3"/>
      <c r="J2784" s="3"/>
    </row>
    <row r="2785">
      <c r="A2785" s="3"/>
      <c r="B2785" s="3"/>
      <c r="D2785" s="4"/>
      <c r="E2785" s="3"/>
      <c r="F2785" s="7"/>
      <c r="G2785" s="3"/>
      <c r="H2785" s="3"/>
      <c r="I2785" s="3"/>
      <c r="J2785" s="3"/>
    </row>
    <row r="2786">
      <c r="A2786" s="3"/>
      <c r="B2786" s="3"/>
      <c r="D2786" s="4"/>
      <c r="E2786" s="3"/>
      <c r="F2786" s="7"/>
      <c r="G2786" s="3"/>
      <c r="H2786" s="3"/>
      <c r="I2786" s="3"/>
      <c r="J2786" s="3"/>
    </row>
    <row r="2787">
      <c r="A2787" s="3"/>
      <c r="B2787" s="3"/>
      <c r="D2787" s="4"/>
      <c r="E2787" s="3"/>
      <c r="F2787" s="7"/>
      <c r="G2787" s="3"/>
      <c r="H2787" s="3"/>
      <c r="I2787" s="3"/>
      <c r="J2787" s="3"/>
    </row>
    <row r="2788">
      <c r="A2788" s="3"/>
      <c r="B2788" s="3"/>
      <c r="D2788" s="4"/>
      <c r="E2788" s="3"/>
      <c r="F2788" s="7"/>
      <c r="G2788" s="3"/>
      <c r="H2788" s="3"/>
      <c r="I2788" s="3"/>
      <c r="J2788" s="3"/>
    </row>
    <row r="2789">
      <c r="A2789" s="3"/>
      <c r="B2789" s="3"/>
      <c r="D2789" s="4"/>
      <c r="E2789" s="3"/>
      <c r="F2789" s="7"/>
      <c r="G2789" s="3"/>
      <c r="H2789" s="3"/>
      <c r="I2789" s="3"/>
      <c r="J2789" s="3"/>
    </row>
    <row r="2790">
      <c r="A2790" s="3"/>
      <c r="B2790" s="3"/>
      <c r="D2790" s="4"/>
      <c r="E2790" s="3"/>
      <c r="F2790" s="7"/>
      <c r="G2790" s="3"/>
      <c r="H2790" s="3"/>
      <c r="I2790" s="3"/>
      <c r="J2790" s="3"/>
    </row>
    <row r="2791">
      <c r="A2791" s="3"/>
      <c r="B2791" s="3"/>
      <c r="D2791" s="4"/>
      <c r="E2791" s="3"/>
      <c r="F2791" s="7"/>
      <c r="G2791" s="3"/>
      <c r="H2791" s="3"/>
      <c r="I2791" s="3"/>
      <c r="J2791" s="3"/>
    </row>
    <row r="2792">
      <c r="A2792" s="3"/>
      <c r="B2792" s="3"/>
      <c r="D2792" s="4"/>
      <c r="E2792" s="3"/>
      <c r="F2792" s="7"/>
      <c r="G2792" s="3"/>
      <c r="H2792" s="3"/>
      <c r="I2792" s="3"/>
      <c r="J2792" s="3"/>
    </row>
    <row r="2793">
      <c r="A2793" s="3"/>
      <c r="B2793" s="3"/>
      <c r="D2793" s="4"/>
      <c r="E2793" s="3"/>
      <c r="F2793" s="7"/>
      <c r="G2793" s="3"/>
      <c r="H2793" s="3"/>
      <c r="I2793" s="3"/>
      <c r="J2793" s="3"/>
    </row>
    <row r="2794">
      <c r="A2794" s="3"/>
      <c r="B2794" s="3"/>
      <c r="D2794" s="4"/>
      <c r="E2794" s="3"/>
      <c r="F2794" s="7"/>
      <c r="G2794" s="3"/>
      <c r="H2794" s="3"/>
      <c r="I2794" s="3"/>
      <c r="J2794" s="3"/>
    </row>
    <row r="2795">
      <c r="A2795" s="3"/>
      <c r="B2795" s="3"/>
      <c r="D2795" s="4"/>
      <c r="E2795" s="3"/>
      <c r="F2795" s="7"/>
      <c r="G2795" s="3"/>
      <c r="H2795" s="3"/>
      <c r="I2795" s="3"/>
      <c r="J2795" s="3"/>
    </row>
    <row r="2796">
      <c r="A2796" s="3"/>
      <c r="B2796" s="3"/>
      <c r="D2796" s="4"/>
      <c r="E2796" s="3"/>
      <c r="F2796" s="7"/>
      <c r="G2796" s="3"/>
      <c r="H2796" s="3"/>
      <c r="I2796" s="3"/>
      <c r="J2796" s="3"/>
    </row>
    <row r="2797">
      <c r="A2797" s="3"/>
      <c r="B2797" s="3"/>
      <c r="D2797" s="4"/>
      <c r="E2797" s="3"/>
      <c r="F2797" s="7"/>
      <c r="G2797" s="3"/>
      <c r="H2797" s="3"/>
      <c r="I2797" s="3"/>
      <c r="J2797" s="3"/>
    </row>
    <row r="2798">
      <c r="A2798" s="3"/>
      <c r="B2798" s="3"/>
      <c r="D2798" s="4"/>
      <c r="E2798" s="3"/>
      <c r="F2798" s="7"/>
      <c r="G2798" s="3"/>
      <c r="H2798" s="3"/>
      <c r="I2798" s="3"/>
      <c r="J2798" s="3"/>
    </row>
    <row r="2799">
      <c r="A2799" s="3"/>
      <c r="B2799" s="3"/>
      <c r="D2799" s="4"/>
      <c r="E2799" s="3"/>
      <c r="F2799" s="7"/>
      <c r="G2799" s="3"/>
      <c r="H2799" s="3"/>
      <c r="I2799" s="3"/>
      <c r="J2799" s="3"/>
    </row>
    <row r="2800">
      <c r="A2800" s="3"/>
      <c r="B2800" s="3"/>
      <c r="D2800" s="4"/>
      <c r="E2800" s="3"/>
      <c r="F2800" s="7"/>
      <c r="G2800" s="3"/>
      <c r="H2800" s="3"/>
      <c r="I2800" s="3"/>
      <c r="J2800" s="3"/>
    </row>
    <row r="2801">
      <c r="A2801" s="3"/>
      <c r="B2801" s="3"/>
      <c r="D2801" s="4"/>
      <c r="E2801" s="3"/>
      <c r="F2801" s="7"/>
      <c r="G2801" s="3"/>
      <c r="H2801" s="3"/>
      <c r="I2801" s="3"/>
      <c r="J2801" s="3"/>
    </row>
    <row r="2802">
      <c r="A2802" s="3"/>
      <c r="B2802" s="3"/>
      <c r="D2802" s="4"/>
      <c r="E2802" s="3"/>
      <c r="F2802" s="7"/>
      <c r="G2802" s="3"/>
      <c r="H2802" s="3"/>
      <c r="I2802" s="3"/>
      <c r="J2802" s="3"/>
    </row>
    <row r="2803">
      <c r="A2803" s="3"/>
      <c r="B2803" s="3"/>
      <c r="D2803" s="4"/>
      <c r="E2803" s="3"/>
      <c r="F2803" s="7"/>
      <c r="G2803" s="3"/>
      <c r="H2803" s="3"/>
      <c r="I2803" s="3"/>
      <c r="J2803" s="3"/>
    </row>
    <row r="2804">
      <c r="A2804" s="3"/>
      <c r="B2804" s="3"/>
      <c r="D2804" s="4"/>
      <c r="E2804" s="3"/>
      <c r="F2804" s="7"/>
      <c r="G2804" s="3"/>
      <c r="H2804" s="3"/>
      <c r="I2804" s="3"/>
      <c r="J2804" s="3"/>
    </row>
    <row r="2805">
      <c r="A2805" s="3"/>
      <c r="B2805" s="3"/>
      <c r="D2805" s="4"/>
      <c r="E2805" s="3"/>
      <c r="F2805" s="7"/>
      <c r="G2805" s="3"/>
      <c r="H2805" s="3"/>
      <c r="I2805" s="3"/>
      <c r="J2805" s="3"/>
    </row>
    <row r="2806">
      <c r="A2806" s="3"/>
      <c r="B2806" s="3"/>
      <c r="D2806" s="4"/>
      <c r="E2806" s="3"/>
      <c r="F2806" s="7"/>
      <c r="G2806" s="3"/>
      <c r="H2806" s="3"/>
      <c r="I2806" s="3"/>
      <c r="J2806" s="3"/>
    </row>
    <row r="2807">
      <c r="A2807" s="3"/>
      <c r="B2807" s="3"/>
      <c r="D2807" s="4"/>
      <c r="E2807" s="3"/>
      <c r="F2807" s="7"/>
      <c r="G2807" s="3"/>
      <c r="H2807" s="3"/>
      <c r="I2807" s="3"/>
      <c r="J2807" s="3"/>
    </row>
    <row r="2808">
      <c r="A2808" s="3"/>
      <c r="B2808" s="3"/>
      <c r="D2808" s="4"/>
      <c r="E2808" s="3"/>
      <c r="F2808" s="7"/>
      <c r="G2808" s="3"/>
      <c r="H2808" s="3"/>
      <c r="I2808" s="3"/>
      <c r="J2808" s="3"/>
    </row>
    <row r="2809">
      <c r="A2809" s="3"/>
      <c r="B2809" s="3"/>
      <c r="D2809" s="4"/>
      <c r="E2809" s="3"/>
      <c r="F2809" s="7"/>
      <c r="G2809" s="3"/>
      <c r="H2809" s="3"/>
      <c r="I2809" s="3"/>
      <c r="J2809" s="3"/>
    </row>
    <row r="2810">
      <c r="A2810" s="3"/>
      <c r="B2810" s="3"/>
      <c r="D2810" s="4"/>
      <c r="E2810" s="3"/>
      <c r="F2810" s="7"/>
      <c r="G2810" s="3"/>
      <c r="H2810" s="3"/>
      <c r="I2810" s="3"/>
      <c r="J2810" s="3"/>
    </row>
    <row r="2811">
      <c r="A2811" s="3"/>
      <c r="B2811" s="3"/>
      <c r="D2811" s="4"/>
      <c r="E2811" s="3"/>
      <c r="F2811" s="7"/>
      <c r="G2811" s="3"/>
      <c r="H2811" s="3"/>
      <c r="I2811" s="3"/>
      <c r="J2811" s="3"/>
    </row>
    <row r="2812">
      <c r="A2812" s="3"/>
      <c r="B2812" s="3"/>
      <c r="D2812" s="4"/>
      <c r="E2812" s="3"/>
      <c r="F2812" s="7"/>
      <c r="G2812" s="3"/>
      <c r="H2812" s="3"/>
      <c r="I2812" s="3"/>
      <c r="J2812" s="3"/>
    </row>
    <row r="2813">
      <c r="A2813" s="3"/>
      <c r="B2813" s="3"/>
      <c r="D2813" s="4"/>
      <c r="E2813" s="3"/>
      <c r="F2813" s="7"/>
      <c r="G2813" s="3"/>
      <c r="H2813" s="3"/>
      <c r="I2813" s="3"/>
      <c r="J2813" s="3"/>
    </row>
    <row r="2814">
      <c r="A2814" s="3"/>
      <c r="B2814" s="3"/>
      <c r="D2814" s="4"/>
      <c r="E2814" s="3"/>
      <c r="F2814" s="7"/>
      <c r="G2814" s="3"/>
      <c r="H2814" s="3"/>
      <c r="I2814" s="3"/>
      <c r="J2814" s="3"/>
    </row>
    <row r="2815">
      <c r="A2815" s="3"/>
      <c r="B2815" s="3"/>
      <c r="D2815" s="4"/>
      <c r="E2815" s="3"/>
      <c r="F2815" s="7"/>
      <c r="G2815" s="3"/>
      <c r="H2815" s="3"/>
      <c r="I2815" s="3"/>
      <c r="J2815" s="3"/>
    </row>
    <row r="2816">
      <c r="A2816" s="3"/>
      <c r="B2816" s="3"/>
      <c r="D2816" s="4"/>
      <c r="E2816" s="3"/>
      <c r="F2816" s="7"/>
      <c r="G2816" s="3"/>
      <c r="H2816" s="3"/>
      <c r="I2816" s="3"/>
      <c r="J2816" s="3"/>
    </row>
    <row r="2817">
      <c r="A2817" s="3"/>
      <c r="B2817" s="3"/>
      <c r="D2817" s="4"/>
      <c r="E2817" s="3"/>
      <c r="F2817" s="7"/>
      <c r="G2817" s="3"/>
      <c r="H2817" s="3"/>
      <c r="I2817" s="3"/>
      <c r="J2817" s="3"/>
    </row>
    <row r="2818">
      <c r="A2818" s="3"/>
      <c r="B2818" s="3"/>
      <c r="D2818" s="4"/>
      <c r="E2818" s="3"/>
      <c r="F2818" s="7"/>
      <c r="G2818" s="3"/>
      <c r="H2818" s="3"/>
      <c r="I2818" s="3"/>
      <c r="J2818" s="3"/>
    </row>
    <row r="2819">
      <c r="A2819" s="3"/>
      <c r="B2819" s="3"/>
      <c r="D2819" s="4"/>
      <c r="E2819" s="3"/>
      <c r="F2819" s="7"/>
      <c r="G2819" s="3"/>
      <c r="H2819" s="3"/>
      <c r="I2819" s="3"/>
      <c r="J2819" s="3"/>
    </row>
    <row r="2820">
      <c r="A2820" s="3"/>
      <c r="B2820" s="3"/>
      <c r="D2820" s="4"/>
      <c r="E2820" s="3"/>
      <c r="F2820" s="7"/>
      <c r="G2820" s="3"/>
      <c r="H2820" s="3"/>
      <c r="I2820" s="3"/>
      <c r="J2820" s="3"/>
    </row>
    <row r="2821">
      <c r="A2821" s="3"/>
      <c r="B2821" s="3"/>
      <c r="D2821" s="4"/>
      <c r="E2821" s="3"/>
      <c r="F2821" s="7"/>
      <c r="G2821" s="3"/>
      <c r="H2821" s="3"/>
      <c r="I2821" s="3"/>
      <c r="J2821" s="3"/>
    </row>
    <row r="2822">
      <c r="A2822" s="3"/>
      <c r="B2822" s="3"/>
      <c r="D2822" s="4"/>
      <c r="E2822" s="3"/>
      <c r="F2822" s="7"/>
      <c r="G2822" s="3"/>
      <c r="H2822" s="3"/>
      <c r="I2822" s="3"/>
      <c r="J2822" s="3"/>
    </row>
    <row r="2823">
      <c r="A2823" s="3"/>
      <c r="B2823" s="3"/>
      <c r="D2823" s="4"/>
      <c r="E2823" s="3"/>
      <c r="F2823" s="7"/>
      <c r="G2823" s="3"/>
      <c r="H2823" s="3"/>
      <c r="I2823" s="3"/>
      <c r="J2823" s="3"/>
    </row>
    <row r="2824">
      <c r="A2824" s="3"/>
      <c r="B2824" s="3"/>
      <c r="D2824" s="4"/>
      <c r="E2824" s="3"/>
      <c r="F2824" s="7"/>
      <c r="G2824" s="3"/>
      <c r="H2824" s="3"/>
      <c r="I2824" s="3"/>
      <c r="J2824" s="3"/>
    </row>
    <row r="2825">
      <c r="A2825" s="3"/>
      <c r="B2825" s="3"/>
      <c r="D2825" s="4"/>
      <c r="E2825" s="3"/>
      <c r="F2825" s="7"/>
      <c r="G2825" s="3"/>
      <c r="H2825" s="3"/>
      <c r="I2825" s="3"/>
      <c r="J2825" s="3"/>
    </row>
    <row r="2826">
      <c r="A2826" s="3"/>
      <c r="B2826" s="3"/>
      <c r="D2826" s="4"/>
      <c r="E2826" s="3"/>
      <c r="F2826" s="7"/>
      <c r="G2826" s="3"/>
      <c r="H2826" s="3"/>
      <c r="I2826" s="3"/>
      <c r="J2826" s="3"/>
    </row>
    <row r="2827">
      <c r="A2827" s="3"/>
      <c r="B2827" s="3"/>
      <c r="D2827" s="4"/>
      <c r="E2827" s="3"/>
      <c r="F2827" s="7"/>
      <c r="G2827" s="3"/>
      <c r="H2827" s="3"/>
      <c r="I2827" s="3"/>
      <c r="J2827" s="3"/>
    </row>
    <row r="2828">
      <c r="A2828" s="3"/>
      <c r="B2828" s="3"/>
      <c r="D2828" s="4"/>
      <c r="E2828" s="3"/>
      <c r="F2828" s="7"/>
      <c r="G2828" s="3"/>
      <c r="H2828" s="3"/>
      <c r="I2828" s="3"/>
      <c r="J2828" s="3"/>
    </row>
    <row r="2829">
      <c r="A2829" s="3"/>
      <c r="B2829" s="3"/>
      <c r="D2829" s="4"/>
      <c r="E2829" s="3"/>
      <c r="F2829" s="7"/>
      <c r="G2829" s="3"/>
      <c r="H2829" s="3"/>
      <c r="I2829" s="3"/>
      <c r="J2829" s="3"/>
    </row>
    <row r="2830">
      <c r="A2830" s="3"/>
      <c r="B2830" s="3"/>
      <c r="D2830" s="4"/>
      <c r="E2830" s="3"/>
      <c r="F2830" s="7"/>
      <c r="G2830" s="3"/>
      <c r="H2830" s="3"/>
      <c r="I2830" s="3"/>
      <c r="J2830" s="3"/>
    </row>
    <row r="2831">
      <c r="A2831" s="3"/>
      <c r="B2831" s="3"/>
      <c r="D2831" s="4"/>
      <c r="E2831" s="3"/>
      <c r="F2831" s="7"/>
      <c r="G2831" s="3"/>
      <c r="H2831" s="3"/>
      <c r="I2831" s="3"/>
      <c r="J2831" s="3"/>
    </row>
    <row r="2832">
      <c r="A2832" s="3"/>
      <c r="B2832" s="3"/>
      <c r="D2832" s="4"/>
      <c r="E2832" s="3"/>
      <c r="F2832" s="7"/>
      <c r="G2832" s="3"/>
      <c r="H2832" s="3"/>
      <c r="I2832" s="3"/>
      <c r="J2832" s="3"/>
    </row>
    <row r="2833">
      <c r="A2833" s="3"/>
      <c r="B2833" s="3"/>
      <c r="D2833" s="4"/>
      <c r="E2833" s="3"/>
      <c r="F2833" s="7"/>
      <c r="G2833" s="3"/>
      <c r="H2833" s="3"/>
      <c r="I2833" s="3"/>
      <c r="J2833" s="3"/>
    </row>
    <row r="2834">
      <c r="A2834" s="3"/>
      <c r="B2834" s="3"/>
      <c r="D2834" s="4"/>
      <c r="E2834" s="3"/>
      <c r="F2834" s="7"/>
      <c r="G2834" s="3"/>
      <c r="H2834" s="3"/>
      <c r="I2834" s="3"/>
      <c r="J2834" s="3"/>
    </row>
    <row r="2835">
      <c r="A2835" s="3"/>
      <c r="B2835" s="3"/>
      <c r="D2835" s="4"/>
      <c r="E2835" s="3"/>
      <c r="F2835" s="7"/>
      <c r="G2835" s="3"/>
      <c r="H2835" s="3"/>
      <c r="I2835" s="3"/>
      <c r="J2835" s="3"/>
    </row>
    <row r="2836">
      <c r="A2836" s="3"/>
      <c r="B2836" s="3"/>
      <c r="D2836" s="4"/>
      <c r="E2836" s="3"/>
      <c r="F2836" s="7"/>
      <c r="G2836" s="3"/>
      <c r="H2836" s="3"/>
      <c r="I2836" s="3"/>
      <c r="J2836" s="3"/>
    </row>
    <row r="2837">
      <c r="A2837" s="3"/>
      <c r="B2837" s="3"/>
      <c r="D2837" s="4"/>
      <c r="E2837" s="3"/>
      <c r="F2837" s="7"/>
      <c r="G2837" s="3"/>
      <c r="H2837" s="3"/>
      <c r="I2837" s="3"/>
      <c r="J2837" s="3"/>
    </row>
    <row r="2838">
      <c r="A2838" s="3"/>
      <c r="B2838" s="3"/>
      <c r="D2838" s="4"/>
      <c r="E2838" s="3"/>
      <c r="F2838" s="7"/>
      <c r="G2838" s="3"/>
      <c r="H2838" s="3"/>
      <c r="I2838" s="3"/>
      <c r="J2838" s="3"/>
    </row>
    <row r="2839">
      <c r="A2839" s="3"/>
      <c r="B2839" s="3"/>
      <c r="D2839" s="4"/>
      <c r="E2839" s="3"/>
      <c r="F2839" s="7"/>
      <c r="G2839" s="3"/>
      <c r="H2839" s="3"/>
      <c r="I2839" s="3"/>
      <c r="J2839" s="3"/>
    </row>
    <row r="2840">
      <c r="A2840" s="3"/>
      <c r="B2840" s="3"/>
      <c r="D2840" s="4"/>
      <c r="E2840" s="3"/>
      <c r="F2840" s="7"/>
      <c r="G2840" s="3"/>
      <c r="H2840" s="3"/>
      <c r="I2840" s="3"/>
      <c r="J2840" s="3"/>
    </row>
    <row r="2841">
      <c r="A2841" s="3"/>
      <c r="B2841" s="3"/>
      <c r="D2841" s="4"/>
      <c r="E2841" s="3"/>
      <c r="F2841" s="7"/>
      <c r="G2841" s="3"/>
      <c r="H2841" s="3"/>
      <c r="I2841" s="3"/>
      <c r="J2841" s="3"/>
    </row>
    <row r="2842">
      <c r="A2842" s="3"/>
      <c r="B2842" s="3"/>
      <c r="D2842" s="4"/>
      <c r="E2842" s="3"/>
      <c r="F2842" s="7"/>
      <c r="G2842" s="3"/>
      <c r="H2842" s="3"/>
      <c r="I2842" s="3"/>
      <c r="J2842" s="3"/>
    </row>
    <row r="2843">
      <c r="A2843" s="3"/>
      <c r="B2843" s="3"/>
      <c r="D2843" s="4"/>
      <c r="E2843" s="3"/>
      <c r="F2843" s="7"/>
      <c r="G2843" s="3"/>
      <c r="H2843" s="3"/>
      <c r="I2843" s="3"/>
      <c r="J2843" s="3"/>
    </row>
    <row r="2844">
      <c r="A2844" s="3"/>
      <c r="B2844" s="3"/>
      <c r="D2844" s="4"/>
      <c r="E2844" s="3"/>
      <c r="F2844" s="7"/>
      <c r="G2844" s="3"/>
      <c r="H2844" s="3"/>
      <c r="I2844" s="3"/>
      <c r="J2844" s="3"/>
    </row>
    <row r="2845">
      <c r="A2845" s="3"/>
      <c r="B2845" s="3"/>
      <c r="D2845" s="4"/>
      <c r="E2845" s="3"/>
      <c r="F2845" s="7"/>
      <c r="G2845" s="3"/>
      <c r="H2845" s="3"/>
      <c r="I2845" s="3"/>
      <c r="J2845" s="3"/>
    </row>
    <row r="2846">
      <c r="A2846" s="3"/>
      <c r="B2846" s="3"/>
      <c r="D2846" s="4"/>
      <c r="E2846" s="3"/>
      <c r="F2846" s="7"/>
      <c r="G2846" s="3"/>
      <c r="H2846" s="3"/>
      <c r="I2846" s="3"/>
      <c r="J2846" s="3"/>
    </row>
    <row r="2847">
      <c r="A2847" s="3"/>
      <c r="B2847" s="3"/>
      <c r="D2847" s="4"/>
      <c r="E2847" s="3"/>
      <c r="F2847" s="7"/>
      <c r="G2847" s="3"/>
      <c r="H2847" s="3"/>
      <c r="I2847" s="3"/>
      <c r="J2847" s="3"/>
    </row>
    <row r="2848">
      <c r="A2848" s="3"/>
      <c r="B2848" s="3"/>
      <c r="D2848" s="4"/>
      <c r="E2848" s="3"/>
      <c r="F2848" s="7"/>
      <c r="G2848" s="3"/>
      <c r="H2848" s="3"/>
      <c r="I2848" s="3"/>
      <c r="J2848" s="3"/>
    </row>
    <row r="2849">
      <c r="A2849" s="3"/>
      <c r="B2849" s="3"/>
      <c r="D2849" s="4"/>
      <c r="E2849" s="3"/>
      <c r="F2849" s="7"/>
      <c r="G2849" s="3"/>
      <c r="H2849" s="3"/>
      <c r="I2849" s="3"/>
      <c r="J2849" s="3"/>
    </row>
    <row r="2850">
      <c r="A2850" s="3"/>
      <c r="B2850" s="3"/>
      <c r="D2850" s="4"/>
      <c r="E2850" s="3"/>
      <c r="F2850" s="7"/>
      <c r="G2850" s="3"/>
      <c r="H2850" s="3"/>
      <c r="I2850" s="3"/>
      <c r="J2850" s="3"/>
    </row>
    <row r="2851">
      <c r="A2851" s="3"/>
      <c r="B2851" s="3"/>
      <c r="D2851" s="4"/>
      <c r="E2851" s="3"/>
      <c r="F2851" s="7"/>
      <c r="G2851" s="3"/>
      <c r="H2851" s="3"/>
      <c r="I2851" s="3"/>
      <c r="J2851" s="3"/>
    </row>
    <row r="2852">
      <c r="A2852" s="3"/>
      <c r="B2852" s="3"/>
      <c r="D2852" s="4"/>
      <c r="E2852" s="3"/>
      <c r="F2852" s="7"/>
      <c r="G2852" s="3"/>
      <c r="H2852" s="3"/>
      <c r="I2852" s="3"/>
      <c r="J2852" s="3"/>
    </row>
    <row r="2853">
      <c r="A2853" s="3"/>
      <c r="B2853" s="3"/>
      <c r="D2853" s="4"/>
      <c r="E2853" s="3"/>
      <c r="F2853" s="7"/>
      <c r="G2853" s="3"/>
      <c r="H2853" s="3"/>
      <c r="I2853" s="3"/>
      <c r="J2853" s="3"/>
    </row>
    <row r="2854">
      <c r="A2854" s="3"/>
      <c r="B2854" s="3"/>
      <c r="D2854" s="4"/>
      <c r="E2854" s="3"/>
      <c r="F2854" s="7"/>
      <c r="G2854" s="3"/>
      <c r="H2854" s="3"/>
      <c r="I2854" s="3"/>
      <c r="J2854" s="3"/>
    </row>
    <row r="2855">
      <c r="A2855" s="3"/>
      <c r="B2855" s="3"/>
      <c r="D2855" s="4"/>
      <c r="E2855" s="3"/>
      <c r="F2855" s="7"/>
      <c r="G2855" s="3"/>
      <c r="H2855" s="3"/>
      <c r="I2855" s="3"/>
      <c r="J2855" s="3"/>
    </row>
    <row r="2856">
      <c r="A2856" s="3"/>
      <c r="B2856" s="3"/>
      <c r="D2856" s="4"/>
      <c r="E2856" s="3"/>
      <c r="F2856" s="7"/>
      <c r="G2856" s="3"/>
      <c r="H2856" s="3"/>
      <c r="I2856" s="3"/>
      <c r="J2856" s="3"/>
    </row>
    <row r="2857">
      <c r="A2857" s="3"/>
      <c r="B2857" s="3"/>
      <c r="D2857" s="4"/>
      <c r="E2857" s="3"/>
      <c r="F2857" s="7"/>
      <c r="G2857" s="3"/>
      <c r="H2857" s="3"/>
      <c r="I2857" s="3"/>
      <c r="J2857" s="3"/>
    </row>
    <row r="2858">
      <c r="A2858" s="3"/>
      <c r="B2858" s="3"/>
      <c r="D2858" s="4"/>
      <c r="E2858" s="3"/>
      <c r="F2858" s="7"/>
      <c r="G2858" s="3"/>
      <c r="H2858" s="3"/>
      <c r="I2858" s="3"/>
      <c r="J2858" s="3"/>
    </row>
    <row r="2859">
      <c r="A2859" s="3"/>
      <c r="B2859" s="3"/>
      <c r="D2859" s="4"/>
      <c r="E2859" s="3"/>
      <c r="F2859" s="7"/>
      <c r="G2859" s="3"/>
      <c r="H2859" s="3"/>
      <c r="I2859" s="3"/>
      <c r="J2859" s="3"/>
    </row>
    <row r="2860">
      <c r="A2860" s="3"/>
      <c r="B2860" s="3"/>
      <c r="D2860" s="4"/>
      <c r="E2860" s="3"/>
      <c r="F2860" s="7"/>
      <c r="G2860" s="3"/>
      <c r="H2860" s="3"/>
      <c r="I2860" s="3"/>
      <c r="J2860" s="3"/>
    </row>
    <row r="2861">
      <c r="A2861" s="3"/>
      <c r="B2861" s="3"/>
      <c r="D2861" s="4"/>
      <c r="E2861" s="3"/>
      <c r="F2861" s="7"/>
      <c r="G2861" s="3"/>
      <c r="H2861" s="3"/>
      <c r="I2861" s="3"/>
      <c r="J2861" s="3"/>
    </row>
    <row r="2862">
      <c r="A2862" s="3"/>
      <c r="B2862" s="3"/>
      <c r="D2862" s="4"/>
      <c r="E2862" s="3"/>
      <c r="F2862" s="7"/>
      <c r="G2862" s="3"/>
      <c r="H2862" s="3"/>
      <c r="I2862" s="3"/>
      <c r="J2862" s="3"/>
    </row>
    <row r="2863">
      <c r="A2863" s="3"/>
      <c r="B2863" s="3"/>
      <c r="D2863" s="4"/>
      <c r="E2863" s="3"/>
      <c r="F2863" s="7"/>
      <c r="G2863" s="3"/>
      <c r="H2863" s="3"/>
      <c r="I2863" s="3"/>
      <c r="J2863" s="3"/>
    </row>
    <row r="2864">
      <c r="A2864" s="3"/>
      <c r="B2864" s="3"/>
      <c r="D2864" s="4"/>
      <c r="E2864" s="3"/>
      <c r="F2864" s="7"/>
      <c r="G2864" s="3"/>
      <c r="H2864" s="3"/>
      <c r="I2864" s="3"/>
      <c r="J2864" s="3"/>
    </row>
    <row r="2865">
      <c r="A2865" s="3"/>
      <c r="B2865" s="3"/>
      <c r="D2865" s="4"/>
      <c r="E2865" s="3"/>
      <c r="F2865" s="7"/>
      <c r="G2865" s="3"/>
      <c r="H2865" s="3"/>
      <c r="I2865" s="3"/>
      <c r="J2865" s="3"/>
    </row>
    <row r="2866">
      <c r="A2866" s="3"/>
      <c r="B2866" s="3"/>
      <c r="D2866" s="4"/>
      <c r="E2866" s="3"/>
      <c r="F2866" s="7"/>
      <c r="G2866" s="3"/>
      <c r="H2866" s="3"/>
      <c r="I2866" s="3"/>
      <c r="J2866" s="3"/>
    </row>
    <row r="2867">
      <c r="A2867" s="3"/>
      <c r="B2867" s="3"/>
      <c r="D2867" s="4"/>
      <c r="E2867" s="3"/>
      <c r="F2867" s="7"/>
      <c r="G2867" s="3"/>
      <c r="H2867" s="3"/>
      <c r="I2867" s="3"/>
      <c r="J2867" s="3"/>
    </row>
    <row r="2868">
      <c r="A2868" s="3"/>
      <c r="B2868" s="3"/>
      <c r="D2868" s="4"/>
      <c r="E2868" s="3"/>
      <c r="F2868" s="7"/>
      <c r="G2868" s="3"/>
      <c r="H2868" s="3"/>
      <c r="I2868" s="3"/>
      <c r="J2868" s="3"/>
    </row>
    <row r="2869">
      <c r="A2869" s="3"/>
      <c r="B2869" s="3"/>
      <c r="D2869" s="4"/>
      <c r="E2869" s="3"/>
      <c r="F2869" s="7"/>
      <c r="G2869" s="3"/>
      <c r="H2869" s="3"/>
      <c r="I2869" s="3"/>
      <c r="J2869" s="3"/>
    </row>
    <row r="2870">
      <c r="A2870" s="3"/>
      <c r="B2870" s="3"/>
      <c r="D2870" s="4"/>
      <c r="E2870" s="3"/>
      <c r="F2870" s="7"/>
      <c r="G2870" s="3"/>
      <c r="H2870" s="3"/>
      <c r="I2870" s="3"/>
      <c r="J2870" s="3"/>
    </row>
    <row r="2871">
      <c r="A2871" s="3"/>
      <c r="B2871" s="3"/>
      <c r="D2871" s="4"/>
      <c r="E2871" s="3"/>
      <c r="F2871" s="7"/>
      <c r="G2871" s="3"/>
      <c r="H2871" s="3"/>
      <c r="I2871" s="3"/>
      <c r="J2871" s="3"/>
    </row>
    <row r="2872">
      <c r="A2872" s="3"/>
      <c r="B2872" s="3"/>
      <c r="D2872" s="4"/>
      <c r="E2872" s="3"/>
      <c r="F2872" s="7"/>
      <c r="G2872" s="3"/>
      <c r="H2872" s="3"/>
      <c r="I2872" s="3"/>
      <c r="J2872" s="3"/>
    </row>
    <row r="2873">
      <c r="A2873" s="3"/>
      <c r="B2873" s="3"/>
      <c r="D2873" s="4"/>
      <c r="E2873" s="3"/>
      <c r="F2873" s="7"/>
      <c r="G2873" s="3"/>
      <c r="H2873" s="3"/>
      <c r="I2873" s="3"/>
      <c r="J2873" s="3"/>
    </row>
    <row r="2874">
      <c r="A2874" s="3"/>
      <c r="B2874" s="3"/>
      <c r="D2874" s="4"/>
      <c r="E2874" s="3"/>
      <c r="F2874" s="7"/>
      <c r="G2874" s="3"/>
      <c r="H2874" s="3"/>
      <c r="I2874" s="3"/>
      <c r="J2874" s="3"/>
    </row>
    <row r="2875">
      <c r="A2875" s="3"/>
      <c r="B2875" s="3"/>
      <c r="D2875" s="4"/>
      <c r="E2875" s="3"/>
      <c r="F2875" s="7"/>
      <c r="G2875" s="3"/>
      <c r="H2875" s="3"/>
      <c r="I2875" s="3"/>
      <c r="J2875" s="3"/>
    </row>
    <row r="2876">
      <c r="A2876" s="3"/>
      <c r="B2876" s="3"/>
      <c r="D2876" s="4"/>
      <c r="E2876" s="3"/>
      <c r="F2876" s="7"/>
      <c r="G2876" s="3"/>
      <c r="H2876" s="3"/>
      <c r="I2876" s="3"/>
      <c r="J2876" s="3"/>
    </row>
    <row r="2877">
      <c r="A2877" s="3"/>
      <c r="B2877" s="3"/>
      <c r="D2877" s="4"/>
      <c r="E2877" s="3"/>
      <c r="F2877" s="7"/>
      <c r="G2877" s="3"/>
      <c r="H2877" s="3"/>
      <c r="I2877" s="3"/>
      <c r="J2877" s="3"/>
    </row>
    <row r="2878">
      <c r="A2878" s="3"/>
      <c r="B2878" s="3"/>
      <c r="D2878" s="4"/>
      <c r="E2878" s="3"/>
      <c r="F2878" s="7"/>
      <c r="G2878" s="3"/>
      <c r="H2878" s="3"/>
      <c r="I2878" s="3"/>
      <c r="J2878" s="3"/>
    </row>
    <row r="2879">
      <c r="A2879" s="3"/>
      <c r="B2879" s="3"/>
      <c r="D2879" s="4"/>
      <c r="E2879" s="3"/>
      <c r="F2879" s="7"/>
      <c r="G2879" s="3"/>
      <c r="H2879" s="3"/>
      <c r="I2879" s="3"/>
      <c r="J2879" s="3"/>
    </row>
    <row r="2880">
      <c r="A2880" s="3"/>
      <c r="B2880" s="3"/>
      <c r="D2880" s="4"/>
      <c r="E2880" s="3"/>
      <c r="F2880" s="7"/>
      <c r="G2880" s="3"/>
      <c r="H2880" s="3"/>
      <c r="I2880" s="3"/>
      <c r="J2880" s="3"/>
    </row>
    <row r="2881">
      <c r="A2881" s="3"/>
      <c r="B2881" s="3"/>
      <c r="D2881" s="4"/>
      <c r="E2881" s="3"/>
      <c r="F2881" s="7"/>
      <c r="G2881" s="3"/>
      <c r="H2881" s="3"/>
      <c r="I2881" s="3"/>
      <c r="J2881" s="3"/>
    </row>
    <row r="2882">
      <c r="A2882" s="3"/>
      <c r="B2882" s="3"/>
      <c r="D2882" s="4"/>
      <c r="E2882" s="3"/>
      <c r="F2882" s="7"/>
      <c r="G2882" s="3"/>
      <c r="H2882" s="3"/>
      <c r="I2882" s="3"/>
      <c r="J2882" s="3"/>
    </row>
    <row r="2883">
      <c r="A2883" s="3"/>
      <c r="B2883" s="3"/>
      <c r="D2883" s="4"/>
      <c r="E2883" s="3"/>
      <c r="F2883" s="7"/>
      <c r="G2883" s="3"/>
      <c r="H2883" s="3"/>
      <c r="I2883" s="3"/>
      <c r="J2883" s="3"/>
    </row>
    <row r="2884">
      <c r="A2884" s="3"/>
      <c r="B2884" s="3"/>
      <c r="D2884" s="4"/>
      <c r="E2884" s="3"/>
      <c r="F2884" s="7"/>
      <c r="G2884" s="3"/>
      <c r="H2884" s="3"/>
      <c r="I2884" s="3"/>
      <c r="J2884" s="3"/>
    </row>
    <row r="2885">
      <c r="A2885" s="3"/>
      <c r="B2885" s="3"/>
      <c r="D2885" s="4"/>
      <c r="E2885" s="3"/>
      <c r="F2885" s="7"/>
      <c r="G2885" s="3"/>
      <c r="H2885" s="3"/>
      <c r="I2885" s="3"/>
      <c r="J2885" s="3"/>
    </row>
    <row r="2886">
      <c r="A2886" s="3"/>
      <c r="B2886" s="3"/>
      <c r="D2886" s="4"/>
      <c r="E2886" s="3"/>
      <c r="F2886" s="7"/>
      <c r="G2886" s="3"/>
      <c r="H2886" s="3"/>
      <c r="I2886" s="3"/>
      <c r="J2886" s="3"/>
    </row>
    <row r="2887">
      <c r="A2887" s="3"/>
      <c r="B2887" s="3"/>
      <c r="D2887" s="4"/>
      <c r="E2887" s="3"/>
      <c r="F2887" s="7"/>
      <c r="G2887" s="3"/>
      <c r="H2887" s="3"/>
      <c r="I2887" s="3"/>
      <c r="J2887" s="3"/>
    </row>
    <row r="2888">
      <c r="A2888" s="3"/>
      <c r="B2888" s="3"/>
      <c r="D2888" s="4"/>
      <c r="E2888" s="3"/>
      <c r="F2888" s="7"/>
      <c r="G2888" s="3"/>
      <c r="H2888" s="3"/>
      <c r="I2888" s="3"/>
      <c r="J2888" s="3"/>
    </row>
    <row r="2889">
      <c r="A2889" s="3"/>
      <c r="B2889" s="3"/>
      <c r="D2889" s="4"/>
      <c r="E2889" s="3"/>
      <c r="F2889" s="7"/>
      <c r="G2889" s="3"/>
      <c r="H2889" s="3"/>
      <c r="I2889" s="3"/>
      <c r="J2889" s="3"/>
    </row>
    <row r="2890">
      <c r="A2890" s="3"/>
      <c r="B2890" s="3"/>
      <c r="D2890" s="4"/>
      <c r="E2890" s="3"/>
      <c r="F2890" s="7"/>
      <c r="G2890" s="3"/>
      <c r="H2890" s="3"/>
      <c r="I2890" s="3"/>
      <c r="J2890" s="3"/>
    </row>
    <row r="2891">
      <c r="A2891" s="3"/>
      <c r="B2891" s="3"/>
      <c r="D2891" s="4"/>
      <c r="E2891" s="3"/>
      <c r="F2891" s="7"/>
      <c r="G2891" s="3"/>
      <c r="H2891" s="3"/>
      <c r="I2891" s="3"/>
      <c r="J2891" s="3"/>
    </row>
    <row r="2892">
      <c r="A2892" s="3"/>
      <c r="B2892" s="3"/>
      <c r="D2892" s="4"/>
      <c r="E2892" s="3"/>
      <c r="F2892" s="7"/>
      <c r="G2892" s="3"/>
      <c r="H2892" s="3"/>
      <c r="I2892" s="3"/>
      <c r="J2892" s="3"/>
    </row>
    <row r="2893">
      <c r="A2893" s="3"/>
      <c r="B2893" s="3"/>
      <c r="D2893" s="4"/>
      <c r="E2893" s="3"/>
      <c r="F2893" s="7"/>
      <c r="G2893" s="3"/>
      <c r="H2893" s="3"/>
      <c r="I2893" s="3"/>
      <c r="J2893" s="3"/>
    </row>
    <row r="2894">
      <c r="A2894" s="3"/>
      <c r="B2894" s="3"/>
      <c r="D2894" s="4"/>
      <c r="E2894" s="3"/>
      <c r="F2894" s="7"/>
      <c r="G2894" s="3"/>
      <c r="H2894" s="3"/>
      <c r="I2894" s="3"/>
      <c r="J2894" s="3"/>
    </row>
    <row r="2895">
      <c r="A2895" s="3"/>
      <c r="B2895" s="3"/>
      <c r="D2895" s="4"/>
      <c r="E2895" s="3"/>
      <c r="F2895" s="7"/>
      <c r="G2895" s="3"/>
      <c r="H2895" s="3"/>
      <c r="I2895" s="3"/>
      <c r="J2895" s="3"/>
    </row>
    <row r="2896">
      <c r="A2896" s="3"/>
      <c r="B2896" s="3"/>
      <c r="D2896" s="4"/>
      <c r="E2896" s="3"/>
      <c r="F2896" s="7"/>
      <c r="G2896" s="3"/>
      <c r="H2896" s="3"/>
      <c r="I2896" s="3"/>
      <c r="J2896" s="3"/>
    </row>
    <row r="2897">
      <c r="A2897" s="3"/>
      <c r="B2897" s="3"/>
      <c r="D2897" s="4"/>
      <c r="E2897" s="3"/>
      <c r="F2897" s="7"/>
      <c r="G2897" s="3"/>
      <c r="H2897" s="3"/>
      <c r="I2897" s="3"/>
      <c r="J2897" s="3"/>
    </row>
    <row r="2898">
      <c r="A2898" s="3"/>
      <c r="B2898" s="3"/>
      <c r="D2898" s="4"/>
      <c r="E2898" s="3"/>
      <c r="F2898" s="7"/>
      <c r="G2898" s="3"/>
      <c r="H2898" s="3"/>
      <c r="I2898" s="3"/>
      <c r="J2898" s="3"/>
    </row>
    <row r="2899">
      <c r="A2899" s="3"/>
      <c r="B2899" s="3"/>
      <c r="D2899" s="4"/>
      <c r="E2899" s="3"/>
      <c r="F2899" s="7"/>
      <c r="G2899" s="3"/>
      <c r="H2899" s="3"/>
      <c r="I2899" s="3"/>
      <c r="J2899" s="3"/>
    </row>
    <row r="2900">
      <c r="A2900" s="3"/>
      <c r="B2900" s="3"/>
      <c r="D2900" s="4"/>
      <c r="E2900" s="3"/>
      <c r="F2900" s="7"/>
      <c r="G2900" s="3"/>
      <c r="H2900" s="3"/>
      <c r="I2900" s="3"/>
      <c r="J2900" s="3"/>
    </row>
    <row r="2901">
      <c r="A2901" s="3"/>
      <c r="B2901" s="3"/>
      <c r="D2901" s="4"/>
      <c r="E2901" s="3"/>
      <c r="F2901" s="7"/>
      <c r="G2901" s="3"/>
      <c r="H2901" s="3"/>
      <c r="I2901" s="3"/>
      <c r="J2901" s="3"/>
    </row>
    <row r="2902">
      <c r="A2902" s="3"/>
      <c r="B2902" s="3"/>
      <c r="D2902" s="4"/>
      <c r="E2902" s="3"/>
      <c r="F2902" s="7"/>
      <c r="G2902" s="3"/>
      <c r="H2902" s="3"/>
      <c r="I2902" s="3"/>
      <c r="J2902" s="3"/>
    </row>
    <row r="2903">
      <c r="A2903" s="3"/>
      <c r="B2903" s="3"/>
      <c r="D2903" s="4"/>
      <c r="E2903" s="3"/>
      <c r="F2903" s="7"/>
      <c r="G2903" s="3"/>
      <c r="H2903" s="3"/>
      <c r="I2903" s="3"/>
      <c r="J2903" s="3"/>
    </row>
    <row r="2904">
      <c r="A2904" s="3"/>
      <c r="B2904" s="3"/>
      <c r="D2904" s="4"/>
      <c r="E2904" s="3"/>
      <c r="F2904" s="7"/>
      <c r="G2904" s="3"/>
      <c r="H2904" s="3"/>
      <c r="I2904" s="3"/>
      <c r="J2904" s="3"/>
    </row>
    <row r="2905">
      <c r="A2905" s="3"/>
      <c r="B2905" s="3"/>
      <c r="D2905" s="4"/>
      <c r="E2905" s="3"/>
      <c r="F2905" s="7"/>
      <c r="G2905" s="3"/>
      <c r="H2905" s="3"/>
      <c r="I2905" s="3"/>
      <c r="J2905" s="3"/>
    </row>
    <row r="2906">
      <c r="A2906" s="3"/>
      <c r="B2906" s="3"/>
      <c r="D2906" s="4"/>
      <c r="E2906" s="3"/>
      <c r="F2906" s="7"/>
      <c r="G2906" s="3"/>
      <c r="H2906" s="3"/>
      <c r="I2906" s="3"/>
      <c r="J2906" s="3"/>
    </row>
    <row r="2907">
      <c r="A2907" s="3"/>
      <c r="B2907" s="3"/>
      <c r="D2907" s="4"/>
      <c r="E2907" s="3"/>
      <c r="F2907" s="7"/>
      <c r="G2907" s="3"/>
      <c r="H2907" s="3"/>
      <c r="I2907" s="3"/>
      <c r="J2907" s="3"/>
    </row>
    <row r="2908">
      <c r="A2908" s="3"/>
      <c r="B2908" s="3"/>
      <c r="D2908" s="4"/>
      <c r="E2908" s="3"/>
      <c r="F2908" s="7"/>
      <c r="G2908" s="3"/>
      <c r="H2908" s="3"/>
      <c r="I2908" s="3"/>
      <c r="J2908" s="3"/>
    </row>
    <row r="2909">
      <c r="A2909" s="3"/>
      <c r="B2909" s="3"/>
      <c r="D2909" s="4"/>
      <c r="E2909" s="3"/>
      <c r="F2909" s="7"/>
      <c r="G2909" s="3"/>
      <c r="H2909" s="3"/>
      <c r="I2909" s="3"/>
      <c r="J2909" s="3"/>
    </row>
    <row r="2910">
      <c r="A2910" s="3"/>
      <c r="B2910" s="3"/>
      <c r="D2910" s="4"/>
      <c r="E2910" s="3"/>
      <c r="F2910" s="7"/>
      <c r="G2910" s="3"/>
      <c r="H2910" s="3"/>
      <c r="I2910" s="3"/>
      <c r="J2910" s="3"/>
    </row>
    <row r="2911">
      <c r="A2911" s="3"/>
      <c r="B2911" s="3"/>
      <c r="D2911" s="4"/>
      <c r="E2911" s="3"/>
      <c r="F2911" s="7"/>
      <c r="G2911" s="3"/>
      <c r="H2911" s="3"/>
      <c r="I2911" s="3"/>
      <c r="J2911" s="3"/>
    </row>
    <row r="2912">
      <c r="A2912" s="3"/>
      <c r="B2912" s="3"/>
      <c r="D2912" s="4"/>
      <c r="E2912" s="3"/>
      <c r="F2912" s="7"/>
      <c r="G2912" s="3"/>
      <c r="H2912" s="3"/>
      <c r="I2912" s="3"/>
      <c r="J2912" s="3"/>
    </row>
    <row r="2913">
      <c r="A2913" s="3"/>
      <c r="B2913" s="3"/>
      <c r="D2913" s="4"/>
      <c r="E2913" s="3"/>
      <c r="F2913" s="7"/>
      <c r="G2913" s="3"/>
      <c r="H2913" s="3"/>
      <c r="I2913" s="3"/>
      <c r="J2913" s="3"/>
    </row>
    <row r="2914">
      <c r="A2914" s="3"/>
      <c r="B2914" s="3"/>
      <c r="D2914" s="4"/>
      <c r="E2914" s="3"/>
      <c r="F2914" s="7"/>
      <c r="G2914" s="3"/>
      <c r="H2914" s="3"/>
      <c r="I2914" s="3"/>
      <c r="J2914" s="3"/>
    </row>
    <row r="2915">
      <c r="A2915" s="3"/>
      <c r="B2915" s="3"/>
      <c r="D2915" s="4"/>
      <c r="E2915" s="3"/>
      <c r="F2915" s="7"/>
      <c r="G2915" s="3"/>
      <c r="H2915" s="3"/>
      <c r="I2915" s="3"/>
      <c r="J2915" s="3"/>
    </row>
    <row r="2916">
      <c r="A2916" s="3"/>
      <c r="B2916" s="3"/>
      <c r="D2916" s="4"/>
      <c r="E2916" s="3"/>
      <c r="F2916" s="7"/>
      <c r="G2916" s="3"/>
      <c r="H2916" s="3"/>
      <c r="I2916" s="3"/>
      <c r="J2916" s="3"/>
    </row>
    <row r="2917">
      <c r="A2917" s="3"/>
      <c r="B2917" s="3"/>
      <c r="D2917" s="4"/>
      <c r="E2917" s="3"/>
      <c r="F2917" s="7"/>
      <c r="G2917" s="3"/>
      <c r="H2917" s="3"/>
      <c r="I2917" s="3"/>
      <c r="J2917" s="3"/>
    </row>
    <row r="2918">
      <c r="A2918" s="3"/>
      <c r="B2918" s="3"/>
      <c r="D2918" s="4"/>
      <c r="E2918" s="3"/>
      <c r="F2918" s="7"/>
      <c r="G2918" s="3"/>
      <c r="H2918" s="3"/>
      <c r="I2918" s="3"/>
      <c r="J2918" s="3"/>
    </row>
    <row r="2919">
      <c r="A2919" s="3"/>
      <c r="B2919" s="3"/>
      <c r="D2919" s="4"/>
      <c r="E2919" s="3"/>
      <c r="F2919" s="7"/>
      <c r="G2919" s="3"/>
      <c r="H2919" s="3"/>
      <c r="I2919" s="3"/>
      <c r="J2919" s="3"/>
    </row>
    <row r="2920">
      <c r="A2920" s="3"/>
      <c r="B2920" s="3"/>
      <c r="D2920" s="4"/>
      <c r="E2920" s="3"/>
      <c r="F2920" s="7"/>
      <c r="G2920" s="3"/>
      <c r="H2920" s="3"/>
      <c r="I2920" s="3"/>
      <c r="J2920" s="3"/>
    </row>
    <row r="2921">
      <c r="A2921" s="3"/>
      <c r="B2921" s="3"/>
      <c r="D2921" s="4"/>
      <c r="E2921" s="3"/>
      <c r="F2921" s="7"/>
      <c r="G2921" s="3"/>
      <c r="H2921" s="3"/>
      <c r="I2921" s="3"/>
      <c r="J2921" s="3"/>
    </row>
    <row r="2922">
      <c r="A2922" s="3"/>
      <c r="B2922" s="3"/>
      <c r="D2922" s="4"/>
      <c r="E2922" s="3"/>
      <c r="F2922" s="7"/>
      <c r="G2922" s="3"/>
      <c r="H2922" s="3"/>
      <c r="I2922" s="3"/>
      <c r="J2922" s="3"/>
    </row>
    <row r="2923">
      <c r="A2923" s="3"/>
      <c r="B2923" s="3"/>
      <c r="D2923" s="4"/>
      <c r="E2923" s="3"/>
      <c r="F2923" s="7"/>
      <c r="G2923" s="3"/>
      <c r="H2923" s="3"/>
      <c r="I2923" s="3"/>
      <c r="J2923" s="3"/>
    </row>
    <row r="2924">
      <c r="A2924" s="3"/>
      <c r="B2924" s="3"/>
      <c r="D2924" s="4"/>
      <c r="E2924" s="3"/>
      <c r="F2924" s="7"/>
      <c r="G2924" s="3"/>
      <c r="H2924" s="3"/>
      <c r="I2924" s="3"/>
      <c r="J2924" s="3"/>
    </row>
    <row r="2925">
      <c r="A2925" s="3"/>
      <c r="B2925" s="3"/>
      <c r="D2925" s="4"/>
      <c r="E2925" s="3"/>
      <c r="F2925" s="7"/>
      <c r="G2925" s="3"/>
      <c r="H2925" s="3"/>
      <c r="I2925" s="3"/>
      <c r="J2925" s="3"/>
    </row>
    <row r="2926">
      <c r="A2926" s="3"/>
      <c r="B2926" s="3"/>
      <c r="D2926" s="4"/>
      <c r="E2926" s="3"/>
      <c r="F2926" s="7"/>
      <c r="G2926" s="3"/>
      <c r="H2926" s="3"/>
      <c r="I2926" s="3"/>
      <c r="J2926" s="3"/>
    </row>
    <row r="2927">
      <c r="A2927" s="3"/>
      <c r="B2927" s="3"/>
      <c r="D2927" s="4"/>
      <c r="E2927" s="3"/>
      <c r="F2927" s="7"/>
      <c r="G2927" s="3"/>
      <c r="H2927" s="3"/>
      <c r="I2927" s="3"/>
      <c r="J2927" s="3"/>
    </row>
    <row r="2928">
      <c r="A2928" s="3"/>
      <c r="B2928" s="3"/>
      <c r="D2928" s="4"/>
      <c r="E2928" s="3"/>
      <c r="F2928" s="7"/>
      <c r="G2928" s="3"/>
      <c r="H2928" s="3"/>
      <c r="I2928" s="3"/>
      <c r="J2928" s="3"/>
    </row>
    <row r="2929">
      <c r="A2929" s="3"/>
      <c r="B2929" s="3"/>
      <c r="D2929" s="4"/>
      <c r="E2929" s="3"/>
      <c r="F2929" s="7"/>
      <c r="G2929" s="3"/>
      <c r="H2929" s="3"/>
      <c r="I2929" s="3"/>
      <c r="J2929" s="3"/>
    </row>
    <row r="2930">
      <c r="A2930" s="3"/>
      <c r="B2930" s="3"/>
      <c r="D2930" s="4"/>
      <c r="E2930" s="3"/>
      <c r="F2930" s="7"/>
      <c r="G2930" s="3"/>
      <c r="H2930" s="3"/>
      <c r="I2930" s="3"/>
      <c r="J2930" s="3"/>
    </row>
    <row r="2931">
      <c r="A2931" s="3"/>
      <c r="B2931" s="3"/>
      <c r="D2931" s="4"/>
      <c r="E2931" s="3"/>
      <c r="F2931" s="7"/>
      <c r="G2931" s="3"/>
      <c r="H2931" s="3"/>
      <c r="I2931" s="3"/>
      <c r="J2931" s="3"/>
    </row>
    <row r="2932">
      <c r="A2932" s="3"/>
      <c r="B2932" s="3"/>
      <c r="D2932" s="4"/>
      <c r="E2932" s="3"/>
      <c r="F2932" s="7"/>
      <c r="G2932" s="3"/>
      <c r="H2932" s="3"/>
      <c r="I2932" s="3"/>
      <c r="J2932" s="3"/>
    </row>
    <row r="2933">
      <c r="A2933" s="3"/>
      <c r="B2933" s="3"/>
      <c r="D2933" s="4"/>
      <c r="E2933" s="3"/>
      <c r="F2933" s="7"/>
      <c r="G2933" s="3"/>
      <c r="H2933" s="3"/>
      <c r="I2933" s="3"/>
      <c r="J2933" s="3"/>
    </row>
    <row r="2934">
      <c r="A2934" s="3"/>
      <c r="B2934" s="3"/>
      <c r="D2934" s="4"/>
      <c r="E2934" s="3"/>
      <c r="F2934" s="7"/>
      <c r="G2934" s="3"/>
      <c r="H2934" s="3"/>
      <c r="I2934" s="3"/>
      <c r="J2934" s="3"/>
    </row>
    <row r="2935">
      <c r="A2935" s="3"/>
      <c r="B2935" s="3"/>
      <c r="D2935" s="4"/>
      <c r="E2935" s="3"/>
      <c r="F2935" s="7"/>
      <c r="G2935" s="3"/>
      <c r="H2935" s="3"/>
      <c r="I2935" s="3"/>
      <c r="J2935" s="3"/>
    </row>
    <row r="2936">
      <c r="A2936" s="3"/>
      <c r="B2936" s="3"/>
      <c r="D2936" s="4"/>
      <c r="E2936" s="3"/>
      <c r="F2936" s="7"/>
      <c r="G2936" s="3"/>
      <c r="H2936" s="3"/>
      <c r="I2936" s="3"/>
      <c r="J2936" s="3"/>
    </row>
    <row r="2937">
      <c r="A2937" s="3"/>
      <c r="B2937" s="3"/>
      <c r="D2937" s="4"/>
      <c r="E2937" s="3"/>
      <c r="F2937" s="7"/>
      <c r="G2937" s="3"/>
      <c r="H2937" s="3"/>
      <c r="I2937" s="3"/>
      <c r="J2937" s="3"/>
    </row>
    <row r="2938">
      <c r="A2938" s="3"/>
      <c r="B2938" s="3"/>
      <c r="D2938" s="4"/>
      <c r="E2938" s="3"/>
      <c r="F2938" s="7"/>
      <c r="G2938" s="3"/>
      <c r="H2938" s="3"/>
      <c r="I2938" s="3"/>
      <c r="J2938" s="3"/>
    </row>
    <row r="2939">
      <c r="A2939" s="3"/>
      <c r="B2939" s="3"/>
      <c r="D2939" s="4"/>
      <c r="E2939" s="3"/>
      <c r="F2939" s="7"/>
      <c r="G2939" s="3"/>
      <c r="H2939" s="3"/>
      <c r="I2939" s="3"/>
      <c r="J2939" s="3"/>
    </row>
    <row r="2940">
      <c r="A2940" s="3"/>
      <c r="B2940" s="3"/>
      <c r="D2940" s="4"/>
      <c r="E2940" s="3"/>
      <c r="F2940" s="7"/>
      <c r="G2940" s="3"/>
      <c r="H2940" s="3"/>
      <c r="I2940" s="3"/>
      <c r="J2940" s="3"/>
    </row>
    <row r="2941">
      <c r="A2941" s="3"/>
      <c r="B2941" s="3"/>
      <c r="D2941" s="4"/>
      <c r="E2941" s="3"/>
      <c r="F2941" s="7"/>
      <c r="G2941" s="3"/>
      <c r="H2941" s="3"/>
      <c r="I2941" s="3"/>
      <c r="J2941" s="3"/>
    </row>
    <row r="2942">
      <c r="A2942" s="3"/>
      <c r="B2942" s="3"/>
      <c r="D2942" s="4"/>
      <c r="E2942" s="3"/>
      <c r="F2942" s="7"/>
      <c r="G2942" s="3"/>
      <c r="H2942" s="3"/>
      <c r="I2942" s="3"/>
      <c r="J2942" s="3"/>
    </row>
    <row r="2943">
      <c r="A2943" s="3"/>
      <c r="B2943" s="3"/>
      <c r="D2943" s="4"/>
      <c r="E2943" s="3"/>
      <c r="F2943" s="7"/>
      <c r="G2943" s="3"/>
      <c r="H2943" s="3"/>
      <c r="I2943" s="3"/>
      <c r="J2943" s="3"/>
    </row>
    <row r="2944">
      <c r="A2944" s="3"/>
      <c r="B2944" s="3"/>
      <c r="D2944" s="4"/>
      <c r="E2944" s="3"/>
      <c r="F2944" s="7"/>
      <c r="G2944" s="3"/>
      <c r="H2944" s="3"/>
      <c r="I2944" s="3"/>
      <c r="J2944" s="3"/>
    </row>
    <row r="2945">
      <c r="A2945" s="3"/>
      <c r="B2945" s="3"/>
      <c r="D2945" s="4"/>
      <c r="E2945" s="3"/>
      <c r="F2945" s="7"/>
      <c r="G2945" s="3"/>
      <c r="H2945" s="3"/>
      <c r="I2945" s="3"/>
      <c r="J2945" s="3"/>
    </row>
    <row r="2946">
      <c r="A2946" s="3"/>
      <c r="B2946" s="3"/>
      <c r="D2946" s="4"/>
      <c r="E2946" s="3"/>
      <c r="F2946" s="7"/>
      <c r="G2946" s="3"/>
      <c r="H2946" s="3"/>
      <c r="I2946" s="3"/>
      <c r="J2946" s="3"/>
    </row>
    <row r="2947">
      <c r="A2947" s="3"/>
      <c r="B2947" s="3"/>
      <c r="D2947" s="4"/>
      <c r="E2947" s="3"/>
      <c r="F2947" s="7"/>
      <c r="G2947" s="3"/>
      <c r="H2947" s="3"/>
      <c r="I2947" s="3"/>
      <c r="J2947" s="3"/>
    </row>
    <row r="2948">
      <c r="A2948" s="3"/>
      <c r="B2948" s="3"/>
      <c r="D2948" s="4"/>
      <c r="E2948" s="3"/>
      <c r="F2948" s="7"/>
      <c r="G2948" s="3"/>
      <c r="H2948" s="3"/>
      <c r="I2948" s="3"/>
      <c r="J2948" s="3"/>
    </row>
    <row r="2949">
      <c r="A2949" s="3"/>
      <c r="B2949" s="3"/>
      <c r="D2949" s="4"/>
      <c r="E2949" s="3"/>
      <c r="F2949" s="7"/>
      <c r="G2949" s="3"/>
      <c r="H2949" s="3"/>
      <c r="I2949" s="3"/>
      <c r="J2949" s="3"/>
    </row>
    <row r="2950">
      <c r="A2950" s="3"/>
      <c r="B2950" s="3"/>
      <c r="D2950" s="4"/>
      <c r="E2950" s="3"/>
      <c r="F2950" s="7"/>
      <c r="G2950" s="3"/>
      <c r="H2950" s="3"/>
      <c r="I2950" s="3"/>
      <c r="J2950" s="3"/>
    </row>
    <row r="2951">
      <c r="A2951" s="3"/>
      <c r="B2951" s="3"/>
      <c r="D2951" s="4"/>
      <c r="E2951" s="3"/>
      <c r="F2951" s="7"/>
      <c r="G2951" s="3"/>
      <c r="H2951" s="3"/>
      <c r="I2951" s="3"/>
      <c r="J2951" s="3"/>
    </row>
    <row r="2952">
      <c r="A2952" s="3"/>
      <c r="B2952" s="3"/>
      <c r="D2952" s="4"/>
      <c r="E2952" s="3"/>
      <c r="F2952" s="7"/>
      <c r="G2952" s="3"/>
      <c r="H2952" s="3"/>
      <c r="I2952" s="3"/>
      <c r="J2952" s="3"/>
    </row>
    <row r="2953">
      <c r="A2953" s="3"/>
      <c r="B2953" s="3"/>
      <c r="D2953" s="4"/>
      <c r="E2953" s="3"/>
      <c r="F2953" s="7"/>
      <c r="G2953" s="3"/>
      <c r="H2953" s="3"/>
      <c r="I2953" s="3"/>
      <c r="J2953" s="3"/>
    </row>
    <row r="2954">
      <c r="A2954" s="3"/>
      <c r="B2954" s="3"/>
      <c r="D2954" s="4"/>
      <c r="E2954" s="3"/>
      <c r="F2954" s="7"/>
      <c r="G2954" s="3"/>
      <c r="H2954" s="3"/>
      <c r="I2954" s="3"/>
      <c r="J2954" s="3"/>
    </row>
    <row r="2955">
      <c r="A2955" s="3"/>
      <c r="B2955" s="3"/>
      <c r="D2955" s="4"/>
      <c r="E2955" s="3"/>
      <c r="F2955" s="7"/>
      <c r="G2955" s="3"/>
      <c r="H2955" s="3"/>
      <c r="I2955" s="3"/>
      <c r="J2955" s="3"/>
    </row>
    <row r="2956">
      <c r="A2956" s="3"/>
      <c r="B2956" s="3"/>
      <c r="D2956" s="4"/>
      <c r="E2956" s="3"/>
      <c r="F2956" s="7"/>
      <c r="G2956" s="3"/>
      <c r="H2956" s="3"/>
      <c r="I2956" s="3"/>
      <c r="J2956" s="3"/>
    </row>
    <row r="2957">
      <c r="A2957" s="3"/>
      <c r="B2957" s="3"/>
      <c r="D2957" s="4"/>
      <c r="E2957" s="3"/>
      <c r="F2957" s="7"/>
      <c r="G2957" s="3"/>
      <c r="H2957" s="3"/>
      <c r="I2957" s="3"/>
      <c r="J2957" s="3"/>
    </row>
    <row r="2958">
      <c r="A2958" s="3"/>
      <c r="B2958" s="3"/>
      <c r="D2958" s="4"/>
      <c r="E2958" s="3"/>
      <c r="F2958" s="7"/>
      <c r="G2958" s="3"/>
      <c r="H2958" s="3"/>
      <c r="I2958" s="3"/>
      <c r="J2958" s="3"/>
    </row>
    <row r="2959">
      <c r="A2959" s="3"/>
      <c r="B2959" s="3"/>
      <c r="D2959" s="4"/>
      <c r="E2959" s="3"/>
      <c r="F2959" s="7"/>
      <c r="G2959" s="3"/>
      <c r="H2959" s="3"/>
      <c r="I2959" s="3"/>
      <c r="J2959" s="3"/>
    </row>
    <row r="2960">
      <c r="A2960" s="3"/>
      <c r="B2960" s="3"/>
      <c r="D2960" s="4"/>
      <c r="E2960" s="3"/>
      <c r="F2960" s="7"/>
      <c r="G2960" s="3"/>
      <c r="H2960" s="3"/>
      <c r="I2960" s="3"/>
      <c r="J2960" s="3"/>
    </row>
    <row r="2961">
      <c r="A2961" s="3"/>
      <c r="B2961" s="3"/>
      <c r="D2961" s="4"/>
      <c r="E2961" s="3"/>
      <c r="F2961" s="7"/>
      <c r="G2961" s="3"/>
      <c r="H2961" s="3"/>
      <c r="I2961" s="3"/>
      <c r="J2961" s="3"/>
    </row>
    <row r="2962">
      <c r="A2962" s="3"/>
      <c r="B2962" s="3"/>
      <c r="D2962" s="4"/>
      <c r="E2962" s="3"/>
      <c r="F2962" s="7"/>
      <c r="G2962" s="3"/>
      <c r="H2962" s="3"/>
      <c r="I2962" s="3"/>
      <c r="J2962" s="3"/>
    </row>
    <row r="2963">
      <c r="A2963" s="3"/>
      <c r="B2963" s="3"/>
      <c r="D2963" s="4"/>
      <c r="E2963" s="3"/>
      <c r="F2963" s="7"/>
      <c r="G2963" s="3"/>
      <c r="H2963" s="3"/>
      <c r="I2963" s="3"/>
      <c r="J2963" s="3"/>
    </row>
    <row r="2964">
      <c r="A2964" s="3"/>
      <c r="B2964" s="3"/>
      <c r="D2964" s="4"/>
      <c r="E2964" s="3"/>
      <c r="F2964" s="7"/>
      <c r="G2964" s="3"/>
      <c r="H2964" s="3"/>
      <c r="I2964" s="3"/>
      <c r="J2964" s="3"/>
    </row>
    <row r="2965">
      <c r="A2965" s="3"/>
      <c r="B2965" s="3"/>
      <c r="D2965" s="4"/>
      <c r="E2965" s="3"/>
      <c r="F2965" s="7"/>
      <c r="G2965" s="3"/>
      <c r="H2965" s="3"/>
      <c r="I2965" s="3"/>
      <c r="J2965" s="3"/>
    </row>
    <row r="2966">
      <c r="A2966" s="3"/>
      <c r="B2966" s="3"/>
      <c r="D2966" s="4"/>
      <c r="E2966" s="3"/>
      <c r="F2966" s="7"/>
      <c r="G2966" s="3"/>
      <c r="H2966" s="3"/>
      <c r="I2966" s="3"/>
      <c r="J2966" s="3"/>
    </row>
    <row r="2967">
      <c r="A2967" s="3"/>
      <c r="B2967" s="3"/>
      <c r="D2967" s="4"/>
      <c r="E2967" s="3"/>
      <c r="F2967" s="7"/>
      <c r="G2967" s="3"/>
      <c r="H2967" s="3"/>
      <c r="I2967" s="3"/>
      <c r="J2967" s="3"/>
    </row>
    <row r="2968">
      <c r="A2968" s="3"/>
      <c r="B2968" s="3"/>
      <c r="D2968" s="4"/>
      <c r="E2968" s="3"/>
      <c r="F2968" s="7"/>
      <c r="G2968" s="3"/>
      <c r="H2968" s="3"/>
      <c r="I2968" s="3"/>
      <c r="J2968" s="3"/>
    </row>
    <row r="2969">
      <c r="A2969" s="3"/>
      <c r="B2969" s="3"/>
      <c r="D2969" s="4"/>
      <c r="E2969" s="3"/>
      <c r="F2969" s="7"/>
      <c r="G2969" s="3"/>
      <c r="H2969" s="3"/>
      <c r="I2969" s="3"/>
      <c r="J2969" s="3"/>
    </row>
    <row r="2970">
      <c r="A2970" s="3"/>
      <c r="B2970" s="3"/>
      <c r="D2970" s="4"/>
      <c r="E2970" s="3"/>
      <c r="F2970" s="7"/>
      <c r="G2970" s="3"/>
      <c r="H2970" s="3"/>
      <c r="I2970" s="3"/>
      <c r="J2970" s="3"/>
    </row>
    <row r="2971">
      <c r="A2971" s="3"/>
      <c r="B2971" s="3"/>
      <c r="D2971" s="4"/>
      <c r="E2971" s="3"/>
      <c r="F2971" s="7"/>
      <c r="G2971" s="3"/>
      <c r="H2971" s="3"/>
      <c r="I2971" s="3"/>
      <c r="J2971" s="3"/>
    </row>
    <row r="2972">
      <c r="A2972" s="3"/>
      <c r="B2972" s="3"/>
      <c r="D2972" s="4"/>
      <c r="E2972" s="3"/>
      <c r="F2972" s="7"/>
      <c r="G2972" s="3"/>
      <c r="H2972" s="3"/>
      <c r="I2972" s="3"/>
      <c r="J2972" s="3"/>
    </row>
    <row r="2973">
      <c r="A2973" s="3"/>
      <c r="B2973" s="3"/>
      <c r="D2973" s="4"/>
      <c r="E2973" s="3"/>
      <c r="F2973" s="7"/>
      <c r="G2973" s="3"/>
      <c r="H2973" s="3"/>
      <c r="I2973" s="3"/>
      <c r="J2973" s="3"/>
    </row>
    <row r="2974">
      <c r="A2974" s="3"/>
      <c r="B2974" s="3"/>
      <c r="D2974" s="4"/>
      <c r="E2974" s="3"/>
      <c r="F2974" s="7"/>
      <c r="G2974" s="3"/>
      <c r="H2974" s="3"/>
      <c r="I2974" s="3"/>
      <c r="J2974" s="3"/>
    </row>
    <row r="2975">
      <c r="A2975" s="3"/>
      <c r="B2975" s="3"/>
      <c r="D2975" s="4"/>
      <c r="E2975" s="3"/>
      <c r="F2975" s="7"/>
      <c r="G2975" s="3"/>
      <c r="H2975" s="3"/>
      <c r="I2975" s="3"/>
      <c r="J2975" s="3"/>
    </row>
    <row r="2976">
      <c r="A2976" s="3"/>
      <c r="B2976" s="3"/>
      <c r="D2976" s="4"/>
      <c r="E2976" s="3"/>
      <c r="F2976" s="7"/>
      <c r="G2976" s="3"/>
      <c r="H2976" s="3"/>
      <c r="I2976" s="3"/>
      <c r="J2976" s="3"/>
    </row>
    <row r="2977">
      <c r="A2977" s="3"/>
      <c r="B2977" s="3"/>
      <c r="D2977" s="4"/>
      <c r="E2977" s="3"/>
      <c r="F2977" s="7"/>
      <c r="G2977" s="3"/>
      <c r="H2977" s="3"/>
      <c r="I2977" s="3"/>
      <c r="J2977" s="3"/>
    </row>
    <row r="2978">
      <c r="A2978" s="3"/>
      <c r="B2978" s="3"/>
      <c r="D2978" s="4"/>
      <c r="E2978" s="3"/>
      <c r="F2978" s="7"/>
      <c r="G2978" s="3"/>
      <c r="H2978" s="3"/>
      <c r="I2978" s="3"/>
      <c r="J2978" s="3"/>
    </row>
    <row r="2979">
      <c r="A2979" s="3"/>
      <c r="B2979" s="3"/>
      <c r="D2979" s="4"/>
      <c r="E2979" s="3"/>
      <c r="F2979" s="7"/>
      <c r="G2979" s="3"/>
      <c r="H2979" s="3"/>
      <c r="I2979" s="3"/>
      <c r="J2979" s="3"/>
    </row>
    <row r="2980">
      <c r="A2980" s="3"/>
      <c r="B2980" s="3"/>
      <c r="D2980" s="4"/>
      <c r="E2980" s="3"/>
      <c r="F2980" s="7"/>
      <c r="G2980" s="3"/>
      <c r="H2980" s="3"/>
      <c r="I2980" s="3"/>
      <c r="J2980" s="3"/>
    </row>
    <row r="2981">
      <c r="A2981" s="3"/>
      <c r="B2981" s="3"/>
      <c r="D2981" s="4"/>
      <c r="E2981" s="3"/>
      <c r="F2981" s="7"/>
      <c r="G2981" s="3"/>
      <c r="H2981" s="3"/>
      <c r="I2981" s="3"/>
      <c r="J2981" s="3"/>
    </row>
    <row r="2982">
      <c r="A2982" s="3"/>
      <c r="B2982" s="3"/>
      <c r="D2982" s="4"/>
      <c r="E2982" s="3"/>
      <c r="F2982" s="7"/>
      <c r="G2982" s="3"/>
      <c r="H2982" s="3"/>
      <c r="I2982" s="3"/>
      <c r="J2982" s="3"/>
    </row>
    <row r="2983">
      <c r="A2983" s="3"/>
      <c r="B2983" s="3"/>
      <c r="D2983" s="4"/>
      <c r="E2983" s="3"/>
      <c r="F2983" s="7"/>
      <c r="G2983" s="3"/>
      <c r="H2983" s="3"/>
      <c r="I2983" s="3"/>
      <c r="J2983" s="3"/>
    </row>
    <row r="2984">
      <c r="A2984" s="3"/>
      <c r="B2984" s="3"/>
      <c r="D2984" s="4"/>
      <c r="E2984" s="3"/>
      <c r="F2984" s="7"/>
      <c r="G2984" s="3"/>
      <c r="H2984" s="3"/>
      <c r="I2984" s="3"/>
      <c r="J2984" s="3"/>
    </row>
    <row r="2985">
      <c r="A2985" s="3"/>
      <c r="B2985" s="3"/>
      <c r="D2985" s="4"/>
      <c r="E2985" s="3"/>
      <c r="F2985" s="7"/>
      <c r="G2985" s="3"/>
      <c r="H2985" s="3"/>
      <c r="I2985" s="3"/>
      <c r="J2985" s="3"/>
    </row>
    <row r="2986">
      <c r="A2986" s="3"/>
      <c r="B2986" s="3"/>
      <c r="D2986" s="4"/>
      <c r="E2986" s="3"/>
      <c r="F2986" s="7"/>
      <c r="G2986" s="3"/>
      <c r="H2986" s="3"/>
      <c r="I2986" s="3"/>
      <c r="J2986" s="3"/>
    </row>
    <row r="2987">
      <c r="A2987" s="3"/>
      <c r="B2987" s="3"/>
      <c r="D2987" s="4"/>
      <c r="E2987" s="3"/>
      <c r="F2987" s="7"/>
      <c r="G2987" s="3"/>
      <c r="H2987" s="3"/>
      <c r="I2987" s="3"/>
      <c r="J2987" s="3"/>
    </row>
    <row r="2988">
      <c r="A2988" s="3"/>
      <c r="B2988" s="3"/>
      <c r="D2988" s="4"/>
      <c r="E2988" s="3"/>
      <c r="F2988" s="7"/>
      <c r="G2988" s="3"/>
      <c r="H2988" s="3"/>
      <c r="I2988" s="3"/>
      <c r="J2988" s="3"/>
    </row>
    <row r="2989">
      <c r="A2989" s="3"/>
      <c r="B2989" s="3"/>
      <c r="D2989" s="4"/>
      <c r="E2989" s="3"/>
      <c r="F2989" s="7"/>
      <c r="G2989" s="3"/>
      <c r="H2989" s="3"/>
      <c r="I2989" s="3"/>
      <c r="J2989" s="3"/>
    </row>
    <row r="2990">
      <c r="A2990" s="3"/>
      <c r="B2990" s="3"/>
      <c r="D2990" s="4"/>
      <c r="E2990" s="3"/>
      <c r="F2990" s="7"/>
      <c r="G2990" s="3"/>
      <c r="H2990" s="3"/>
      <c r="I2990" s="3"/>
      <c r="J2990" s="3"/>
    </row>
    <row r="2991">
      <c r="A2991" s="3"/>
      <c r="B2991" s="3"/>
      <c r="D2991" s="4"/>
      <c r="E2991" s="3"/>
      <c r="F2991" s="7"/>
      <c r="G2991" s="3"/>
      <c r="H2991" s="3"/>
      <c r="I2991" s="3"/>
      <c r="J2991" s="3"/>
    </row>
    <row r="2992">
      <c r="A2992" s="3"/>
      <c r="B2992" s="3"/>
      <c r="D2992" s="4"/>
      <c r="E2992" s="3"/>
      <c r="F2992" s="7"/>
      <c r="G2992" s="3"/>
      <c r="H2992" s="3"/>
      <c r="I2992" s="3"/>
      <c r="J2992" s="3"/>
    </row>
    <row r="2993">
      <c r="A2993" s="3"/>
      <c r="B2993" s="3"/>
      <c r="D2993" s="4"/>
      <c r="E2993" s="3"/>
      <c r="F2993" s="7"/>
      <c r="G2993" s="3"/>
      <c r="H2993" s="3"/>
      <c r="I2993" s="3"/>
      <c r="J2993" s="3"/>
    </row>
    <row r="2994">
      <c r="A2994" s="3"/>
      <c r="B2994" s="3"/>
      <c r="D2994" s="4"/>
      <c r="E2994" s="3"/>
      <c r="F2994" s="7"/>
      <c r="G2994" s="3"/>
      <c r="H2994" s="3"/>
      <c r="I2994" s="3"/>
      <c r="J2994" s="3"/>
    </row>
    <row r="2995">
      <c r="A2995" s="3"/>
      <c r="B2995" s="3"/>
      <c r="D2995" s="4"/>
      <c r="E2995" s="3"/>
      <c r="F2995" s="7"/>
      <c r="G2995" s="3"/>
      <c r="H2995" s="3"/>
      <c r="I2995" s="3"/>
      <c r="J2995" s="3"/>
    </row>
    <row r="2996">
      <c r="A2996" s="3"/>
      <c r="B2996" s="3"/>
      <c r="D2996" s="4"/>
      <c r="E2996" s="3"/>
      <c r="F2996" s="7"/>
      <c r="G2996" s="3"/>
      <c r="H2996" s="3"/>
      <c r="I2996" s="3"/>
      <c r="J2996" s="3"/>
    </row>
    <row r="2997">
      <c r="A2997" s="3"/>
      <c r="B2997" s="3"/>
      <c r="D2997" s="4"/>
      <c r="E2997" s="3"/>
      <c r="F2997" s="7"/>
      <c r="G2997" s="3"/>
      <c r="H2997" s="3"/>
      <c r="I2997" s="3"/>
      <c r="J2997" s="3"/>
    </row>
    <row r="2998">
      <c r="A2998" s="3"/>
      <c r="B2998" s="3"/>
      <c r="D2998" s="4"/>
      <c r="E2998" s="3"/>
      <c r="F2998" s="7"/>
      <c r="G2998" s="3"/>
      <c r="H2998" s="3"/>
      <c r="I2998" s="3"/>
      <c r="J2998" s="3"/>
    </row>
    <row r="2999">
      <c r="A2999" s="3"/>
      <c r="B2999" s="3"/>
      <c r="D2999" s="4"/>
      <c r="E2999" s="3"/>
      <c r="F2999" s="7"/>
      <c r="G2999" s="3"/>
      <c r="H2999" s="3"/>
      <c r="I2999" s="3"/>
      <c r="J2999" s="3"/>
    </row>
    <row r="3000">
      <c r="A3000" s="3"/>
      <c r="B3000" s="3"/>
      <c r="D3000" s="4"/>
      <c r="E3000" s="3"/>
      <c r="F3000" s="7"/>
      <c r="G3000" s="3"/>
      <c r="H3000" s="3"/>
      <c r="I3000" s="3"/>
      <c r="J3000" s="3"/>
    </row>
  </sheetData>
  <autoFilter ref="$A$1:$AA$2387">
    <filterColumn colId="8">
      <filters>
        <filter val="XII"/>
      </filters>
    </filterColumn>
    <sortState ref="A1:AA2387">
      <sortCondition ref="I1:I2387"/>
      <sortCondition ref="H1:H2387"/>
      <sortCondition ref="E1:E2387"/>
      <sortCondition ref="C1:C2387"/>
      <sortCondition ref="J1:J2387"/>
      <sortCondition ref="G1:G2387"/>
    </sortState>
  </autoFilter>
  <dataValidations>
    <dataValidation type="list" allowBlank="1" showErrorMessage="1" sqref="J2:J3000">
      <formula1>"2021,2022,2023,2024,2025"</formula1>
    </dataValidation>
    <dataValidation type="list" allowBlank="1" showErrorMessage="1" sqref="I2:I3000">
      <formula1>"X,XI,XII,PURNA2025-,DROP"</formula1>
    </dataValidation>
    <dataValidation type="list" allowBlank="1" showErrorMessage="1" sqref="F2:F3000">
      <formula1>"L,P"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11"/>
    <col customWidth="1" min="2" max="2" width="33.22"/>
    <col customWidth="1" min="3" max="3" width="14.89"/>
    <col customWidth="1" min="4" max="4" width="32.11"/>
    <col customWidth="1" min="5" max="5" width="36.11"/>
    <col customWidth="1" min="6" max="6" width="14.22"/>
    <col customWidth="1" min="7" max="7" width="19.11"/>
    <col customWidth="1" min="8" max="8" width="14.78"/>
    <col customWidth="1" min="9" max="9" width="7.44"/>
    <col customWidth="1" min="10" max="10" width="8.78"/>
    <col customWidth="1" min="11" max="11" width="15.78"/>
    <col customWidth="1" min="12" max="12" width="16.44"/>
    <col customWidth="1" min="13" max="13" width="16.0"/>
    <col customWidth="1" hidden="1" min="14" max="14" width="16.33"/>
    <col customWidth="1" hidden="1" min="15" max="15" width="15.33"/>
    <col customWidth="1" min="16" max="16" width="9.22"/>
    <col customWidth="1" min="17" max="17" width="14.22"/>
  </cols>
  <sheetData>
    <row r="1">
      <c r="A1" s="9" t="s">
        <v>5389</v>
      </c>
      <c r="B1" s="10" t="s">
        <v>5390</v>
      </c>
      <c r="C1" s="11" t="s">
        <v>5391</v>
      </c>
      <c r="D1" s="10" t="s">
        <v>5392</v>
      </c>
      <c r="E1" s="10" t="s">
        <v>5393</v>
      </c>
      <c r="F1" s="12" t="s">
        <v>5394</v>
      </c>
      <c r="G1" s="12" t="s">
        <v>5395</v>
      </c>
      <c r="H1" s="12" t="s">
        <v>5396</v>
      </c>
      <c r="I1" s="12" t="s">
        <v>5397</v>
      </c>
      <c r="J1" s="12" t="s">
        <v>5398</v>
      </c>
      <c r="K1" s="13" t="s">
        <v>5399</v>
      </c>
      <c r="L1" s="12" t="s">
        <v>5400</v>
      </c>
      <c r="M1" s="11" t="s">
        <v>5401</v>
      </c>
      <c r="N1" s="10" t="s">
        <v>5402</v>
      </c>
      <c r="O1" s="10" t="s">
        <v>5403</v>
      </c>
      <c r="P1" s="14" t="s">
        <v>5404</v>
      </c>
      <c r="Q1" s="14" t="s">
        <v>5405</v>
      </c>
    </row>
    <row r="2" hidden="1">
      <c r="A2" s="15">
        <v>8669.0</v>
      </c>
      <c r="B2" s="16" t="s">
        <v>5406</v>
      </c>
      <c r="C2" s="17" t="s">
        <v>5407</v>
      </c>
      <c r="D2" s="16" t="s">
        <v>5406</v>
      </c>
      <c r="E2" s="18" t="s">
        <v>1165</v>
      </c>
      <c r="F2" s="19" t="str">
        <f t="shared" ref="F2:F2388" si="1">H2&amp;L2</f>
        <v>DROPOUT</v>
      </c>
      <c r="G2" s="19" t="s">
        <v>5408</v>
      </c>
      <c r="H2" s="20" t="s">
        <v>1166</v>
      </c>
      <c r="I2" s="19" t="s">
        <v>5409</v>
      </c>
      <c r="J2" s="19" t="s">
        <v>5410</v>
      </c>
      <c r="K2" s="21" t="s">
        <v>5411</v>
      </c>
      <c r="L2" s="20" t="s">
        <v>5412</v>
      </c>
      <c r="M2" s="16" t="s">
        <v>1164</v>
      </c>
      <c r="N2" s="18"/>
      <c r="O2" s="18"/>
      <c r="P2" s="18">
        <f>VLOOKUP($A2,MasterData!$C$1:$I$3001,1,FALSE)</f>
        <v>8669</v>
      </c>
      <c r="Q2" s="18" t="str">
        <f t="shared" ref="Q2:Q2388" si="2">if(P2=A2,F2,"OUT")</f>
        <v>DROPOUT</v>
      </c>
    </row>
    <row r="3" hidden="1">
      <c r="A3" s="15">
        <v>8056.0</v>
      </c>
      <c r="B3" s="18" t="s">
        <v>5413</v>
      </c>
      <c r="C3" s="16" t="s">
        <v>5414</v>
      </c>
      <c r="D3" s="18" t="s">
        <v>5413</v>
      </c>
      <c r="E3" s="18" t="s">
        <v>1168</v>
      </c>
      <c r="F3" s="19" t="str">
        <f t="shared" si="1"/>
        <v>DROPOUT</v>
      </c>
      <c r="G3" s="19" t="s">
        <v>5408</v>
      </c>
      <c r="H3" s="20" t="s">
        <v>1166</v>
      </c>
      <c r="I3" s="19" t="s">
        <v>5409</v>
      </c>
      <c r="J3" s="19" t="s">
        <v>5410</v>
      </c>
      <c r="K3" s="21" t="s">
        <v>5415</v>
      </c>
      <c r="L3" s="20" t="s">
        <v>5412</v>
      </c>
      <c r="M3" s="16" t="s">
        <v>1167</v>
      </c>
      <c r="N3" s="18" t="s">
        <v>5416</v>
      </c>
      <c r="O3" s="18">
        <v>0.0</v>
      </c>
      <c r="P3" s="18">
        <f>VLOOKUP($A3,MasterData!$C$1:$I$3001,1,FALSE)</f>
        <v>8056</v>
      </c>
      <c r="Q3" s="18" t="str">
        <f t="shared" si="2"/>
        <v>DROPOUT</v>
      </c>
    </row>
    <row r="4" hidden="1">
      <c r="A4" s="15">
        <v>8109.0</v>
      </c>
      <c r="B4" s="18" t="s">
        <v>5417</v>
      </c>
      <c r="C4" s="16" t="s">
        <v>5418</v>
      </c>
      <c r="D4" s="18" t="s">
        <v>5417</v>
      </c>
      <c r="E4" s="18" t="s">
        <v>1170</v>
      </c>
      <c r="F4" s="19" t="str">
        <f t="shared" si="1"/>
        <v>DROPOUT</v>
      </c>
      <c r="G4" s="19" t="s">
        <v>5408</v>
      </c>
      <c r="H4" s="20" t="s">
        <v>1166</v>
      </c>
      <c r="I4" s="19" t="s">
        <v>5409</v>
      </c>
      <c r="J4" s="19" t="s">
        <v>5410</v>
      </c>
      <c r="K4" s="21" t="s">
        <v>5415</v>
      </c>
      <c r="L4" s="20" t="s">
        <v>5412</v>
      </c>
      <c r="M4" s="16" t="s">
        <v>1169</v>
      </c>
      <c r="N4" s="18" t="s">
        <v>5416</v>
      </c>
      <c r="O4" s="18">
        <v>0.0</v>
      </c>
      <c r="P4" s="18">
        <f>VLOOKUP($A4,MasterData!$C$1:$I$3001,1,FALSE)</f>
        <v>8109</v>
      </c>
      <c r="Q4" s="18" t="str">
        <f t="shared" si="2"/>
        <v>DROPOUT</v>
      </c>
    </row>
    <row r="5" hidden="1">
      <c r="A5" s="15">
        <v>8143.0</v>
      </c>
      <c r="B5" s="18" t="s">
        <v>5419</v>
      </c>
      <c r="C5" s="16" t="s">
        <v>5420</v>
      </c>
      <c r="D5" s="18" t="s">
        <v>5419</v>
      </c>
      <c r="E5" s="18" t="s">
        <v>1172</v>
      </c>
      <c r="F5" s="19" t="str">
        <f t="shared" si="1"/>
        <v>DROPOUT</v>
      </c>
      <c r="G5" s="19" t="s">
        <v>5408</v>
      </c>
      <c r="H5" s="20" t="s">
        <v>1166</v>
      </c>
      <c r="I5" s="19" t="s">
        <v>5409</v>
      </c>
      <c r="J5" s="19" t="s">
        <v>5410</v>
      </c>
      <c r="K5" s="21" t="s">
        <v>5415</v>
      </c>
      <c r="L5" s="20" t="s">
        <v>5412</v>
      </c>
      <c r="M5" s="16" t="s">
        <v>1171</v>
      </c>
      <c r="N5" s="18" t="s">
        <v>5421</v>
      </c>
      <c r="O5" s="18" t="s">
        <v>5422</v>
      </c>
      <c r="P5" s="18">
        <f>VLOOKUP($A5,MasterData!$C$1:$I$3001,1,FALSE)</f>
        <v>8143</v>
      </c>
      <c r="Q5" s="18" t="str">
        <f t="shared" si="2"/>
        <v>DROPOUT</v>
      </c>
    </row>
    <row r="6" hidden="1">
      <c r="A6" s="15">
        <v>8178.0</v>
      </c>
      <c r="B6" s="18" t="s">
        <v>5423</v>
      </c>
      <c r="C6" s="16" t="s">
        <v>5424</v>
      </c>
      <c r="D6" s="18" t="s">
        <v>5423</v>
      </c>
      <c r="E6" s="18" t="s">
        <v>1174</v>
      </c>
      <c r="F6" s="19" t="str">
        <f t="shared" si="1"/>
        <v>DROPOUT</v>
      </c>
      <c r="G6" s="19" t="s">
        <v>5408</v>
      </c>
      <c r="H6" s="20" t="s">
        <v>1166</v>
      </c>
      <c r="I6" s="19" t="s">
        <v>5409</v>
      </c>
      <c r="J6" s="19" t="s">
        <v>5410</v>
      </c>
      <c r="K6" s="21" t="s">
        <v>5415</v>
      </c>
      <c r="L6" s="20" t="s">
        <v>5412</v>
      </c>
      <c r="M6" s="16" t="s">
        <v>1173</v>
      </c>
      <c r="N6" s="18" t="s">
        <v>5416</v>
      </c>
      <c r="O6" s="18">
        <v>0.0</v>
      </c>
      <c r="P6" s="18">
        <f>VLOOKUP($A6,MasterData!$C$1:$I$3001,1,FALSE)</f>
        <v>8178</v>
      </c>
      <c r="Q6" s="18" t="str">
        <f t="shared" si="2"/>
        <v>DROPOUT</v>
      </c>
    </row>
    <row r="7" hidden="1">
      <c r="A7" s="15">
        <v>8799.0</v>
      </c>
      <c r="B7" s="16" t="s">
        <v>5425</v>
      </c>
      <c r="C7" s="17" t="s">
        <v>5426</v>
      </c>
      <c r="D7" s="16" t="s">
        <v>5425</v>
      </c>
      <c r="E7" s="18" t="s">
        <v>1176</v>
      </c>
      <c r="F7" s="19" t="str">
        <f t="shared" si="1"/>
        <v>DROPOUT</v>
      </c>
      <c r="G7" s="19" t="s">
        <v>5408</v>
      </c>
      <c r="H7" s="20" t="s">
        <v>1166</v>
      </c>
      <c r="I7" s="19" t="s">
        <v>5409</v>
      </c>
      <c r="J7" s="19" t="s">
        <v>5410</v>
      </c>
      <c r="K7" s="21" t="s">
        <v>5411</v>
      </c>
      <c r="L7" s="20" t="s">
        <v>5412</v>
      </c>
      <c r="M7" s="16" t="s">
        <v>1175</v>
      </c>
      <c r="N7" s="18"/>
      <c r="O7" s="18"/>
      <c r="P7" s="18">
        <f>VLOOKUP($A7,MasterData!$C$1:$I$3001,1,FALSE)</f>
        <v>8799</v>
      </c>
      <c r="Q7" s="18" t="str">
        <f t="shared" si="2"/>
        <v>DROPOUT</v>
      </c>
    </row>
    <row r="8" hidden="1">
      <c r="A8" s="15">
        <v>8800.0</v>
      </c>
      <c r="B8" s="16" t="s">
        <v>5427</v>
      </c>
      <c r="C8" s="17" t="s">
        <v>5428</v>
      </c>
      <c r="D8" s="16" t="s">
        <v>5427</v>
      </c>
      <c r="E8" s="18" t="s">
        <v>1178</v>
      </c>
      <c r="F8" s="19" t="str">
        <f t="shared" si="1"/>
        <v>DROPOUT</v>
      </c>
      <c r="G8" s="19" t="s">
        <v>5408</v>
      </c>
      <c r="H8" s="20" t="s">
        <v>1166</v>
      </c>
      <c r="I8" s="19" t="s">
        <v>5409</v>
      </c>
      <c r="J8" s="19" t="s">
        <v>5410</v>
      </c>
      <c r="K8" s="21" t="s">
        <v>5411</v>
      </c>
      <c r="L8" s="20" t="s">
        <v>5412</v>
      </c>
      <c r="M8" s="16" t="s">
        <v>1177</v>
      </c>
      <c r="N8" s="18"/>
      <c r="O8" s="18"/>
      <c r="P8" s="18">
        <f>VLOOKUP($A8,MasterData!$C$1:$I$3001,1,FALSE)</f>
        <v>8800</v>
      </c>
      <c r="Q8" s="18" t="str">
        <f t="shared" si="2"/>
        <v>DROPOUT</v>
      </c>
    </row>
    <row r="9" hidden="1">
      <c r="A9" s="15">
        <v>8199.0</v>
      </c>
      <c r="B9" s="18" t="s">
        <v>5429</v>
      </c>
      <c r="C9" s="16" t="s">
        <v>5430</v>
      </c>
      <c r="D9" s="18" t="s">
        <v>5429</v>
      </c>
      <c r="E9" s="18" t="s">
        <v>1180</v>
      </c>
      <c r="F9" s="19" t="str">
        <f t="shared" si="1"/>
        <v>DROPOUT</v>
      </c>
      <c r="G9" s="19" t="s">
        <v>5408</v>
      </c>
      <c r="H9" s="20" t="s">
        <v>1166</v>
      </c>
      <c r="I9" s="19" t="s">
        <v>5409</v>
      </c>
      <c r="J9" s="19" t="s">
        <v>5410</v>
      </c>
      <c r="K9" s="21" t="s">
        <v>5415</v>
      </c>
      <c r="L9" s="20" t="s">
        <v>5412</v>
      </c>
      <c r="M9" s="16" t="s">
        <v>1179</v>
      </c>
      <c r="N9" s="18" t="s">
        <v>5416</v>
      </c>
      <c r="O9" s="18">
        <v>0.0</v>
      </c>
      <c r="P9" s="18">
        <f>VLOOKUP($A9,MasterData!$C$1:$I$3001,1,FALSE)</f>
        <v>8199</v>
      </c>
      <c r="Q9" s="18" t="str">
        <f t="shared" si="2"/>
        <v>DROPOUT</v>
      </c>
    </row>
    <row r="10" hidden="1">
      <c r="A10" s="15">
        <v>8809.0</v>
      </c>
      <c r="B10" s="16" t="s">
        <v>5431</v>
      </c>
      <c r="C10" s="17" t="s">
        <v>5432</v>
      </c>
      <c r="D10" s="16" t="s">
        <v>5431</v>
      </c>
      <c r="E10" s="18" t="s">
        <v>1182</v>
      </c>
      <c r="F10" s="19" t="str">
        <f t="shared" si="1"/>
        <v>DROPOUT</v>
      </c>
      <c r="G10" s="19" t="s">
        <v>5408</v>
      </c>
      <c r="H10" s="20" t="s">
        <v>1166</v>
      </c>
      <c r="I10" s="19" t="s">
        <v>5409</v>
      </c>
      <c r="J10" s="19" t="s">
        <v>5410</v>
      </c>
      <c r="K10" s="21" t="s">
        <v>5411</v>
      </c>
      <c r="L10" s="20" t="s">
        <v>5412</v>
      </c>
      <c r="M10" s="16" t="s">
        <v>1181</v>
      </c>
      <c r="N10" s="18"/>
      <c r="O10" s="18"/>
      <c r="P10" s="18">
        <f>VLOOKUP($A10,MasterData!$C$1:$I$3001,1,FALSE)</f>
        <v>8809</v>
      </c>
      <c r="Q10" s="18" t="str">
        <f t="shared" si="2"/>
        <v>DROPOUT</v>
      </c>
    </row>
    <row r="11" hidden="1">
      <c r="A11" s="15">
        <v>8277.0</v>
      </c>
      <c r="B11" s="18" t="s">
        <v>5433</v>
      </c>
      <c r="C11" s="16" t="s">
        <v>5434</v>
      </c>
      <c r="D11" s="18" t="s">
        <v>5433</v>
      </c>
      <c r="E11" s="18" t="s">
        <v>1184</v>
      </c>
      <c r="F11" s="19" t="str">
        <f t="shared" si="1"/>
        <v>DROPOUT</v>
      </c>
      <c r="G11" s="19" t="s">
        <v>5408</v>
      </c>
      <c r="H11" s="20" t="s">
        <v>1166</v>
      </c>
      <c r="I11" s="19" t="s">
        <v>5409</v>
      </c>
      <c r="J11" s="19" t="s">
        <v>5410</v>
      </c>
      <c r="K11" s="21" t="s">
        <v>5415</v>
      </c>
      <c r="L11" s="20" t="s">
        <v>5412</v>
      </c>
      <c r="M11" s="16" t="s">
        <v>1183</v>
      </c>
      <c r="N11" s="18" t="s">
        <v>5416</v>
      </c>
      <c r="O11" s="18">
        <v>0.0</v>
      </c>
      <c r="P11" s="18">
        <f>VLOOKUP($A11,MasterData!$C$1:$I$3001,1,FALSE)</f>
        <v>8277</v>
      </c>
      <c r="Q11" s="18" t="str">
        <f t="shared" si="2"/>
        <v>DROPOUT</v>
      </c>
    </row>
    <row r="12" hidden="1">
      <c r="A12" s="15">
        <v>8887.0</v>
      </c>
      <c r="B12" s="16" t="s">
        <v>5435</v>
      </c>
      <c r="C12" s="17" t="s">
        <v>5436</v>
      </c>
      <c r="D12" s="16" t="s">
        <v>5435</v>
      </c>
      <c r="E12" s="18" t="s">
        <v>1186</v>
      </c>
      <c r="F12" s="19" t="str">
        <f t="shared" si="1"/>
        <v>DROPOUT</v>
      </c>
      <c r="G12" s="19" t="s">
        <v>5408</v>
      </c>
      <c r="H12" s="20" t="s">
        <v>1166</v>
      </c>
      <c r="I12" s="19" t="s">
        <v>5409</v>
      </c>
      <c r="J12" s="19" t="s">
        <v>5410</v>
      </c>
      <c r="K12" s="21" t="s">
        <v>5411</v>
      </c>
      <c r="L12" s="20" t="s">
        <v>5412</v>
      </c>
      <c r="M12" s="16" t="s">
        <v>1185</v>
      </c>
      <c r="N12" s="18"/>
      <c r="O12" s="18"/>
      <c r="P12" s="18">
        <f>VLOOKUP($A12,MasterData!$C$1:$I$3001,1,FALSE)</f>
        <v>8887</v>
      </c>
      <c r="Q12" s="18" t="str">
        <f t="shared" si="2"/>
        <v>DROPOUT</v>
      </c>
    </row>
    <row r="13" hidden="1">
      <c r="A13" s="22">
        <v>9244.0</v>
      </c>
      <c r="B13" s="23" t="s">
        <v>5437</v>
      </c>
      <c r="C13" s="24" t="s">
        <v>5438</v>
      </c>
      <c r="D13" s="23" t="s">
        <v>5437</v>
      </c>
      <c r="E13" s="22" t="s">
        <v>1187</v>
      </c>
      <c r="F13" s="19" t="str">
        <f t="shared" si="1"/>
        <v>DROPOUT</v>
      </c>
      <c r="G13" s="19" t="s">
        <v>5408</v>
      </c>
      <c r="H13" s="20" t="s">
        <v>1166</v>
      </c>
      <c r="I13" s="19" t="s">
        <v>5409</v>
      </c>
      <c r="J13" s="19" t="s">
        <v>5410</v>
      </c>
      <c r="K13" s="25" t="s">
        <v>5415</v>
      </c>
      <c r="L13" s="20" t="s">
        <v>5412</v>
      </c>
      <c r="M13" s="23"/>
      <c r="N13" s="18"/>
      <c r="O13" s="18"/>
      <c r="P13" s="18">
        <f>VLOOKUP($A13,MasterData!$C$1:$I$3001,1,FALSE)</f>
        <v>9244</v>
      </c>
      <c r="Q13" s="18" t="str">
        <f t="shared" si="2"/>
        <v>DROPOUT</v>
      </c>
    </row>
    <row r="14" hidden="1">
      <c r="A14" s="15">
        <v>9244.0</v>
      </c>
      <c r="B14" s="16" t="s">
        <v>5437</v>
      </c>
      <c r="C14" s="17" t="s">
        <v>5438</v>
      </c>
      <c r="D14" s="16" t="s">
        <v>5437</v>
      </c>
      <c r="E14" s="18" t="s">
        <v>1187</v>
      </c>
      <c r="F14" s="19" t="str">
        <f t="shared" si="1"/>
        <v>DROPOUT</v>
      </c>
      <c r="G14" s="19" t="s">
        <v>5408</v>
      </c>
      <c r="H14" s="20" t="s">
        <v>1166</v>
      </c>
      <c r="I14" s="19" t="s">
        <v>5409</v>
      </c>
      <c r="J14" s="19" t="s">
        <v>5410</v>
      </c>
      <c r="K14" s="21" t="s">
        <v>5415</v>
      </c>
      <c r="L14" s="20" t="s">
        <v>5412</v>
      </c>
      <c r="M14" s="16"/>
      <c r="N14" s="18"/>
      <c r="O14" s="18"/>
      <c r="P14" s="18">
        <f>VLOOKUP($A14,MasterData!$C$1:$I$3001,1,FALSE)</f>
        <v>9244</v>
      </c>
      <c r="Q14" s="18" t="str">
        <f t="shared" si="2"/>
        <v>DROPOUT</v>
      </c>
    </row>
    <row r="15" hidden="1">
      <c r="A15" s="15">
        <v>8962.0</v>
      </c>
      <c r="B15" s="16" t="s">
        <v>5439</v>
      </c>
      <c r="C15" s="17" t="s">
        <v>5440</v>
      </c>
      <c r="D15" s="16" t="s">
        <v>5439</v>
      </c>
      <c r="E15" s="18" t="s">
        <v>1189</v>
      </c>
      <c r="F15" s="19" t="str">
        <f t="shared" si="1"/>
        <v>DROPOUT</v>
      </c>
      <c r="G15" s="19" t="s">
        <v>5408</v>
      </c>
      <c r="H15" s="20" t="s">
        <v>1166</v>
      </c>
      <c r="I15" s="19" t="s">
        <v>5409</v>
      </c>
      <c r="J15" s="19" t="s">
        <v>5410</v>
      </c>
      <c r="K15" s="21" t="s">
        <v>5411</v>
      </c>
      <c r="L15" s="20" t="s">
        <v>5412</v>
      </c>
      <c r="M15" s="16" t="s">
        <v>1188</v>
      </c>
      <c r="N15" s="18"/>
      <c r="O15" s="18"/>
      <c r="P15" s="18">
        <f>VLOOKUP($A15,MasterData!$C$1:$I$3001,1,FALSE)</f>
        <v>8962</v>
      </c>
      <c r="Q15" s="18" t="str">
        <f t="shared" si="2"/>
        <v>DROPOUT</v>
      </c>
    </row>
    <row r="16" hidden="1">
      <c r="A16" s="15">
        <v>8978.0</v>
      </c>
      <c r="B16" s="16" t="s">
        <v>5441</v>
      </c>
      <c r="C16" s="17" t="s">
        <v>5442</v>
      </c>
      <c r="D16" s="16" t="s">
        <v>5441</v>
      </c>
      <c r="E16" s="18" t="s">
        <v>1191</v>
      </c>
      <c r="F16" s="19" t="str">
        <f t="shared" si="1"/>
        <v>DROPOUT</v>
      </c>
      <c r="G16" s="19" t="s">
        <v>5408</v>
      </c>
      <c r="H16" s="20" t="s">
        <v>1166</v>
      </c>
      <c r="I16" s="19" t="s">
        <v>5409</v>
      </c>
      <c r="J16" s="19" t="s">
        <v>5410</v>
      </c>
      <c r="K16" s="21" t="s">
        <v>5411</v>
      </c>
      <c r="L16" s="20" t="s">
        <v>5412</v>
      </c>
      <c r="M16" s="16" t="s">
        <v>1190</v>
      </c>
      <c r="N16" s="18"/>
      <c r="O16" s="18"/>
      <c r="P16" s="18">
        <f>VLOOKUP($A16,MasterData!$C$1:$I$3001,1,FALSE)</f>
        <v>8978</v>
      </c>
      <c r="Q16" s="18" t="str">
        <f t="shared" si="2"/>
        <v>DROPOUT</v>
      </c>
    </row>
    <row r="17" hidden="1">
      <c r="A17" s="15">
        <v>8984.0</v>
      </c>
      <c r="B17" s="16" t="s">
        <v>5443</v>
      </c>
      <c r="C17" s="17" t="s">
        <v>5444</v>
      </c>
      <c r="D17" s="16" t="s">
        <v>5443</v>
      </c>
      <c r="E17" s="18" t="s">
        <v>1193</v>
      </c>
      <c r="F17" s="19" t="str">
        <f t="shared" si="1"/>
        <v>DROPOUT</v>
      </c>
      <c r="G17" s="19" t="s">
        <v>5408</v>
      </c>
      <c r="H17" s="20" t="s">
        <v>1166</v>
      </c>
      <c r="I17" s="19" t="s">
        <v>5409</v>
      </c>
      <c r="J17" s="19" t="s">
        <v>5410</v>
      </c>
      <c r="K17" s="21" t="s">
        <v>5411</v>
      </c>
      <c r="L17" s="20" t="s">
        <v>5412</v>
      </c>
      <c r="M17" s="16" t="s">
        <v>1192</v>
      </c>
      <c r="N17" s="18"/>
      <c r="O17" s="18"/>
      <c r="P17" s="18">
        <f>VLOOKUP($A17,MasterData!$C$1:$I$3001,1,FALSE)</f>
        <v>8984</v>
      </c>
      <c r="Q17" s="18" t="str">
        <f t="shared" si="2"/>
        <v>DROPOUT</v>
      </c>
    </row>
    <row r="18" hidden="1">
      <c r="A18" s="15">
        <v>9001.0</v>
      </c>
      <c r="B18" s="16" t="s">
        <v>5445</v>
      </c>
      <c r="C18" s="17" t="s">
        <v>5446</v>
      </c>
      <c r="D18" s="16" t="s">
        <v>5445</v>
      </c>
      <c r="E18" s="18" t="s">
        <v>1195</v>
      </c>
      <c r="F18" s="19" t="str">
        <f t="shared" si="1"/>
        <v>DROPOUT</v>
      </c>
      <c r="G18" s="19" t="s">
        <v>5408</v>
      </c>
      <c r="H18" s="20" t="s">
        <v>1166</v>
      </c>
      <c r="I18" s="19" t="s">
        <v>5409</v>
      </c>
      <c r="J18" s="19" t="s">
        <v>5410</v>
      </c>
      <c r="K18" s="21" t="s">
        <v>5411</v>
      </c>
      <c r="L18" s="20" t="s">
        <v>5412</v>
      </c>
      <c r="M18" s="16" t="s">
        <v>1194</v>
      </c>
      <c r="N18" s="18"/>
      <c r="O18" s="18"/>
      <c r="P18" s="18">
        <f>VLOOKUP($A18,MasterData!$C$1:$I$3001,1,FALSE)</f>
        <v>9001</v>
      </c>
      <c r="Q18" s="18" t="str">
        <f t="shared" si="2"/>
        <v>DROPOUT</v>
      </c>
    </row>
    <row r="19" hidden="1">
      <c r="A19" s="15">
        <v>8426.0</v>
      </c>
      <c r="B19" s="18" t="s">
        <v>5447</v>
      </c>
      <c r="C19" s="16" t="s">
        <v>5448</v>
      </c>
      <c r="D19" s="18" t="s">
        <v>5447</v>
      </c>
      <c r="E19" s="18" t="s">
        <v>1197</v>
      </c>
      <c r="F19" s="19" t="str">
        <f t="shared" si="1"/>
        <v>DROPOUT</v>
      </c>
      <c r="G19" s="19" t="s">
        <v>5408</v>
      </c>
      <c r="H19" s="20" t="s">
        <v>1166</v>
      </c>
      <c r="I19" s="19" t="s">
        <v>5409</v>
      </c>
      <c r="J19" s="19" t="s">
        <v>5410</v>
      </c>
      <c r="K19" s="21" t="s">
        <v>5415</v>
      </c>
      <c r="L19" s="20" t="s">
        <v>5412</v>
      </c>
      <c r="M19" s="16" t="s">
        <v>1196</v>
      </c>
      <c r="N19" s="18" t="s">
        <v>5416</v>
      </c>
      <c r="O19" s="18">
        <v>0.0</v>
      </c>
      <c r="P19" s="18">
        <f>VLOOKUP($A19,MasterData!$C$1:$I$3001,1,FALSE)</f>
        <v>8426</v>
      </c>
      <c r="Q19" s="18" t="str">
        <f t="shared" si="2"/>
        <v>DROPOUT</v>
      </c>
    </row>
    <row r="20" hidden="1">
      <c r="A20" s="15">
        <v>8464.0</v>
      </c>
      <c r="B20" s="18" t="s">
        <v>5449</v>
      </c>
      <c r="C20" s="16" t="s">
        <v>5450</v>
      </c>
      <c r="D20" s="18" t="s">
        <v>5449</v>
      </c>
      <c r="E20" s="18" t="s">
        <v>1199</v>
      </c>
      <c r="F20" s="19" t="str">
        <f t="shared" si="1"/>
        <v>DROPOUT</v>
      </c>
      <c r="G20" s="19" t="s">
        <v>5408</v>
      </c>
      <c r="H20" s="20" t="s">
        <v>1166</v>
      </c>
      <c r="I20" s="19" t="s">
        <v>5409</v>
      </c>
      <c r="J20" s="19" t="s">
        <v>5410</v>
      </c>
      <c r="K20" s="21" t="s">
        <v>5415</v>
      </c>
      <c r="L20" s="20" t="s">
        <v>5412</v>
      </c>
      <c r="M20" s="16" t="s">
        <v>1198</v>
      </c>
      <c r="N20" s="18" t="s">
        <v>5416</v>
      </c>
      <c r="O20" s="18">
        <v>0.0</v>
      </c>
      <c r="P20" s="18">
        <f>VLOOKUP($A20,MasterData!$C$1:$I$3001,1,FALSE)</f>
        <v>8464</v>
      </c>
      <c r="Q20" s="18" t="str">
        <f t="shared" si="2"/>
        <v>DROPOUT</v>
      </c>
    </row>
    <row r="21" ht="15.75" hidden="1" customHeight="1">
      <c r="A21" s="15">
        <v>9121.0</v>
      </c>
      <c r="B21" s="16" t="s">
        <v>5451</v>
      </c>
      <c r="C21" s="17" t="s">
        <v>5452</v>
      </c>
      <c r="D21" s="16" t="s">
        <v>5451</v>
      </c>
      <c r="E21" s="18" t="s">
        <v>1201</v>
      </c>
      <c r="F21" s="19" t="str">
        <f t="shared" si="1"/>
        <v>DROPOUT</v>
      </c>
      <c r="G21" s="19" t="s">
        <v>5408</v>
      </c>
      <c r="H21" s="20" t="s">
        <v>1166</v>
      </c>
      <c r="I21" s="19" t="s">
        <v>5409</v>
      </c>
      <c r="J21" s="19" t="s">
        <v>5410</v>
      </c>
      <c r="K21" s="21" t="s">
        <v>5411</v>
      </c>
      <c r="L21" s="20" t="s">
        <v>5412</v>
      </c>
      <c r="M21" s="16" t="s">
        <v>1200</v>
      </c>
      <c r="N21" s="18"/>
      <c r="O21" s="18"/>
      <c r="P21" s="18">
        <f>VLOOKUP($A21,MasterData!$C$1:$I$3001,1,FALSE)</f>
        <v>9121</v>
      </c>
      <c r="Q21" s="18" t="str">
        <f t="shared" si="2"/>
        <v>DROPOUT</v>
      </c>
    </row>
    <row r="22" ht="15.75" hidden="1" customHeight="1">
      <c r="A22" s="15">
        <v>9144.0</v>
      </c>
      <c r="B22" s="16" t="s">
        <v>5453</v>
      </c>
      <c r="C22" s="17" t="s">
        <v>5454</v>
      </c>
      <c r="D22" s="16" t="s">
        <v>5453</v>
      </c>
      <c r="E22" s="18" t="s">
        <v>1203</v>
      </c>
      <c r="F22" s="19" t="str">
        <f t="shared" si="1"/>
        <v>DROPOUT</v>
      </c>
      <c r="G22" s="19" t="s">
        <v>5408</v>
      </c>
      <c r="H22" s="20" t="s">
        <v>1166</v>
      </c>
      <c r="I22" s="19" t="s">
        <v>5409</v>
      </c>
      <c r="J22" s="19" t="s">
        <v>5410</v>
      </c>
      <c r="K22" s="21" t="s">
        <v>5411</v>
      </c>
      <c r="L22" s="20" t="s">
        <v>5412</v>
      </c>
      <c r="M22" s="16" t="s">
        <v>1202</v>
      </c>
      <c r="N22" s="18"/>
      <c r="O22" s="18"/>
      <c r="P22" s="18">
        <f>VLOOKUP($A22,MasterData!$C$1:$I$3001,1,FALSE)</f>
        <v>9144</v>
      </c>
      <c r="Q22" s="18" t="str">
        <f t="shared" si="2"/>
        <v>DROPOUT</v>
      </c>
    </row>
    <row r="23" ht="15.75" hidden="1" customHeight="1">
      <c r="A23" s="15">
        <v>8578.0</v>
      </c>
      <c r="B23" s="18" t="s">
        <v>5455</v>
      </c>
      <c r="C23" s="16" t="s">
        <v>5456</v>
      </c>
      <c r="D23" s="18" t="s">
        <v>5455</v>
      </c>
      <c r="E23" s="18" t="s">
        <v>1205</v>
      </c>
      <c r="F23" s="19" t="str">
        <f t="shared" si="1"/>
        <v>DROPOUT</v>
      </c>
      <c r="G23" s="19" t="s">
        <v>5408</v>
      </c>
      <c r="H23" s="20" t="s">
        <v>1166</v>
      </c>
      <c r="I23" s="19" t="s">
        <v>5409</v>
      </c>
      <c r="J23" s="19" t="s">
        <v>5410</v>
      </c>
      <c r="K23" s="21" t="s">
        <v>5415</v>
      </c>
      <c r="L23" s="20" t="s">
        <v>5412</v>
      </c>
      <c r="M23" s="16" t="s">
        <v>1204</v>
      </c>
      <c r="N23" s="18" t="s">
        <v>5416</v>
      </c>
      <c r="O23" s="18">
        <v>0.0</v>
      </c>
      <c r="P23" s="18">
        <f>VLOOKUP($A23,MasterData!$C$1:$I$3001,1,FALSE)</f>
        <v>8578</v>
      </c>
      <c r="Q23" s="18" t="str">
        <f t="shared" si="2"/>
        <v>DROPOUT</v>
      </c>
    </row>
    <row r="24" ht="15.75" hidden="1" customHeight="1">
      <c r="A24" s="15">
        <v>9210.0</v>
      </c>
      <c r="B24" s="16" t="s">
        <v>5457</v>
      </c>
      <c r="C24" s="17" t="s">
        <v>5458</v>
      </c>
      <c r="D24" s="16" t="s">
        <v>5457</v>
      </c>
      <c r="E24" s="18" t="s">
        <v>1207</v>
      </c>
      <c r="F24" s="19" t="str">
        <f t="shared" si="1"/>
        <v>DROPOUT</v>
      </c>
      <c r="G24" s="19" t="s">
        <v>5408</v>
      </c>
      <c r="H24" s="20" t="s">
        <v>1166</v>
      </c>
      <c r="I24" s="19" t="s">
        <v>5409</v>
      </c>
      <c r="J24" s="19" t="s">
        <v>5410</v>
      </c>
      <c r="K24" s="21" t="s">
        <v>5411</v>
      </c>
      <c r="L24" s="20" t="s">
        <v>5412</v>
      </c>
      <c r="M24" s="16" t="s">
        <v>1206</v>
      </c>
      <c r="N24" s="18"/>
      <c r="O24" s="18"/>
      <c r="P24" s="18">
        <f>VLOOKUP($A24,MasterData!$C$1:$I$3001,1,FALSE)</f>
        <v>9210</v>
      </c>
      <c r="Q24" s="18" t="str">
        <f t="shared" si="2"/>
        <v>DROPOUT</v>
      </c>
    </row>
    <row r="25" ht="15.75" hidden="1" customHeight="1">
      <c r="A25" s="15">
        <v>9231.0</v>
      </c>
      <c r="B25" s="16" t="s">
        <v>5459</v>
      </c>
      <c r="C25" s="17" t="s">
        <v>5460</v>
      </c>
      <c r="D25" s="16" t="s">
        <v>5459</v>
      </c>
      <c r="E25" s="18" t="s">
        <v>1209</v>
      </c>
      <c r="F25" s="19" t="str">
        <f t="shared" si="1"/>
        <v>DROPOUT</v>
      </c>
      <c r="G25" s="19" t="s">
        <v>5408</v>
      </c>
      <c r="H25" s="20" t="s">
        <v>1166</v>
      </c>
      <c r="I25" s="19" t="s">
        <v>5409</v>
      </c>
      <c r="J25" s="19" t="s">
        <v>5410</v>
      </c>
      <c r="K25" s="21" t="s">
        <v>5411</v>
      </c>
      <c r="L25" s="20" t="s">
        <v>5412</v>
      </c>
      <c r="M25" s="16" t="s">
        <v>1208</v>
      </c>
      <c r="N25" s="18"/>
      <c r="O25" s="18"/>
      <c r="P25" s="18">
        <f>VLOOKUP($A25,MasterData!$C$1:$I$3001,1,FALSE)</f>
        <v>9231</v>
      </c>
      <c r="Q25" s="18" t="str">
        <f t="shared" si="2"/>
        <v>DROPOUT</v>
      </c>
    </row>
    <row r="26" ht="15.75" hidden="1" customHeight="1">
      <c r="A26" s="15">
        <v>7412.0</v>
      </c>
      <c r="B26" s="22" t="s">
        <v>5461</v>
      </c>
      <c r="C26" s="16" t="s">
        <v>5462</v>
      </c>
      <c r="D26" s="18" t="s">
        <v>5463</v>
      </c>
      <c r="E26" s="18" t="s">
        <v>12</v>
      </c>
      <c r="F26" s="19" t="str">
        <f t="shared" si="1"/>
        <v>PURNA2025-AKL1</v>
      </c>
      <c r="G26" s="19" t="s">
        <v>5408</v>
      </c>
      <c r="H26" s="20" t="s">
        <v>14</v>
      </c>
      <c r="I26" s="19" t="s">
        <v>5409</v>
      </c>
      <c r="J26" s="19" t="s">
        <v>5410</v>
      </c>
      <c r="K26" s="21" t="s">
        <v>5464</v>
      </c>
      <c r="L26" s="19" t="s">
        <v>5465</v>
      </c>
      <c r="M26" s="16" t="s">
        <v>11</v>
      </c>
      <c r="N26" s="18" t="s">
        <v>5416</v>
      </c>
      <c r="O26" s="18"/>
      <c r="P26" s="18">
        <f>VLOOKUP($A26,MasterData!$C$1:$I$1995,1,FALSE)</f>
        <v>7412</v>
      </c>
      <c r="Q26" s="18" t="str">
        <f t="shared" si="2"/>
        <v>PURNA2025-AKL1</v>
      </c>
    </row>
    <row r="27" ht="15.75" hidden="1" customHeight="1">
      <c r="A27" s="15">
        <v>7417.0</v>
      </c>
      <c r="B27" s="22" t="s">
        <v>5466</v>
      </c>
      <c r="C27" s="16" t="s">
        <v>5467</v>
      </c>
      <c r="D27" s="18" t="s">
        <v>5468</v>
      </c>
      <c r="E27" s="18" t="s">
        <v>16</v>
      </c>
      <c r="F27" s="19" t="str">
        <f t="shared" si="1"/>
        <v>PURNA2025-AKL1</v>
      </c>
      <c r="G27" s="19" t="s">
        <v>5408</v>
      </c>
      <c r="H27" s="20" t="s">
        <v>14</v>
      </c>
      <c r="I27" s="19" t="s">
        <v>5409</v>
      </c>
      <c r="J27" s="19" t="s">
        <v>5410</v>
      </c>
      <c r="K27" s="21" t="s">
        <v>5464</v>
      </c>
      <c r="L27" s="19" t="s">
        <v>5465</v>
      </c>
      <c r="M27" s="16" t="s">
        <v>15</v>
      </c>
      <c r="N27" s="18" t="s">
        <v>5416</v>
      </c>
      <c r="O27" s="18"/>
      <c r="P27" s="18">
        <f>VLOOKUP($A27,MasterData!$C$1:$I$1995,1,FALSE)</f>
        <v>7417</v>
      </c>
      <c r="Q27" s="18" t="str">
        <f t="shared" si="2"/>
        <v>PURNA2025-AKL1</v>
      </c>
    </row>
    <row r="28" ht="15.75" hidden="1" customHeight="1">
      <c r="A28" s="15">
        <v>7438.0</v>
      </c>
      <c r="B28" s="22" t="s">
        <v>5469</v>
      </c>
      <c r="C28" s="16" t="s">
        <v>5470</v>
      </c>
      <c r="D28" s="18" t="s">
        <v>5471</v>
      </c>
      <c r="E28" s="18" t="s">
        <v>19</v>
      </c>
      <c r="F28" s="19" t="str">
        <f t="shared" si="1"/>
        <v>PURNA2025-AKL1</v>
      </c>
      <c r="G28" s="19" t="s">
        <v>5408</v>
      </c>
      <c r="H28" s="20" t="s">
        <v>14</v>
      </c>
      <c r="I28" s="19" t="s">
        <v>5409</v>
      </c>
      <c r="J28" s="19" t="s">
        <v>5410</v>
      </c>
      <c r="K28" s="21" t="s">
        <v>5464</v>
      </c>
      <c r="L28" s="19" t="s">
        <v>5465</v>
      </c>
      <c r="M28" s="16" t="s">
        <v>18</v>
      </c>
      <c r="N28" s="18" t="s">
        <v>5416</v>
      </c>
      <c r="O28" s="18"/>
      <c r="P28" s="18">
        <f>VLOOKUP($A28,MasterData!$C$1:$I$1995,1,FALSE)</f>
        <v>7438</v>
      </c>
      <c r="Q28" s="18" t="str">
        <f t="shared" si="2"/>
        <v>PURNA2025-AKL1</v>
      </c>
    </row>
    <row r="29" ht="15.75" hidden="1" customHeight="1">
      <c r="A29" s="15">
        <v>7439.0</v>
      </c>
      <c r="B29" s="22" t="s">
        <v>5472</v>
      </c>
      <c r="C29" s="16" t="s">
        <v>5473</v>
      </c>
      <c r="D29" s="18" t="s">
        <v>5474</v>
      </c>
      <c r="E29" s="18" t="s">
        <v>21</v>
      </c>
      <c r="F29" s="19" t="str">
        <f t="shared" si="1"/>
        <v>PURNA2025-AKL1</v>
      </c>
      <c r="G29" s="19" t="s">
        <v>5408</v>
      </c>
      <c r="H29" s="20" t="s">
        <v>14</v>
      </c>
      <c r="I29" s="19" t="s">
        <v>5409</v>
      </c>
      <c r="J29" s="19" t="s">
        <v>5410</v>
      </c>
      <c r="K29" s="21" t="s">
        <v>5464</v>
      </c>
      <c r="L29" s="19" t="s">
        <v>5465</v>
      </c>
      <c r="M29" s="16" t="s">
        <v>20</v>
      </c>
      <c r="N29" s="18" t="s">
        <v>5416</v>
      </c>
      <c r="O29" s="18"/>
      <c r="P29" s="18">
        <f>VLOOKUP($A29,MasterData!$C$1:$I$1995,1,FALSE)</f>
        <v>7439</v>
      </c>
      <c r="Q29" s="18" t="str">
        <f t="shared" si="2"/>
        <v>PURNA2025-AKL1</v>
      </c>
    </row>
    <row r="30" ht="15.75" hidden="1" customHeight="1">
      <c r="A30" s="15">
        <v>7452.0</v>
      </c>
      <c r="B30" s="22" t="s">
        <v>5475</v>
      </c>
      <c r="C30" s="16" t="s">
        <v>5476</v>
      </c>
      <c r="D30" s="18" t="s">
        <v>5477</v>
      </c>
      <c r="E30" s="18" t="s">
        <v>23</v>
      </c>
      <c r="F30" s="19" t="str">
        <f t="shared" si="1"/>
        <v>PURNA2025-AKL1</v>
      </c>
      <c r="G30" s="19" t="s">
        <v>5408</v>
      </c>
      <c r="H30" s="20" t="s">
        <v>14</v>
      </c>
      <c r="I30" s="19" t="s">
        <v>5409</v>
      </c>
      <c r="J30" s="19" t="s">
        <v>5410</v>
      </c>
      <c r="K30" s="21" t="s">
        <v>5464</v>
      </c>
      <c r="L30" s="19" t="s">
        <v>5465</v>
      </c>
      <c r="M30" s="16" t="s">
        <v>22</v>
      </c>
      <c r="N30" s="18" t="s">
        <v>5416</v>
      </c>
      <c r="O30" s="18"/>
      <c r="P30" s="18">
        <f>VLOOKUP($A30,MasterData!$C$1:$I$1995,1,FALSE)</f>
        <v>7452</v>
      </c>
      <c r="Q30" s="18" t="str">
        <f t="shared" si="2"/>
        <v>PURNA2025-AKL1</v>
      </c>
    </row>
    <row r="31" ht="15.75" hidden="1" customHeight="1">
      <c r="A31" s="15">
        <v>7476.0</v>
      </c>
      <c r="B31" s="22" t="s">
        <v>5478</v>
      </c>
      <c r="C31" s="16" t="s">
        <v>5479</v>
      </c>
      <c r="D31" s="18" t="s">
        <v>5480</v>
      </c>
      <c r="E31" s="18" t="s">
        <v>25</v>
      </c>
      <c r="F31" s="19" t="str">
        <f t="shared" si="1"/>
        <v>PURNA2025-AKL1</v>
      </c>
      <c r="G31" s="19" t="s">
        <v>5408</v>
      </c>
      <c r="H31" s="20" t="s">
        <v>14</v>
      </c>
      <c r="I31" s="19" t="s">
        <v>5409</v>
      </c>
      <c r="J31" s="19" t="s">
        <v>5410</v>
      </c>
      <c r="K31" s="21" t="s">
        <v>5464</v>
      </c>
      <c r="L31" s="19" t="s">
        <v>5465</v>
      </c>
      <c r="M31" s="16" t="s">
        <v>24</v>
      </c>
      <c r="N31" s="18" t="s">
        <v>5416</v>
      </c>
      <c r="O31" s="18"/>
      <c r="P31" s="18">
        <f>VLOOKUP($A31,MasterData!$C$1:$I$1995,1,FALSE)</f>
        <v>7476</v>
      </c>
      <c r="Q31" s="18" t="str">
        <f t="shared" si="2"/>
        <v>PURNA2025-AKL1</v>
      </c>
    </row>
    <row r="32" ht="15.75" hidden="1" customHeight="1">
      <c r="A32" s="15">
        <v>7501.0</v>
      </c>
      <c r="B32" s="22" t="s">
        <v>5481</v>
      </c>
      <c r="C32" s="16" t="s">
        <v>5482</v>
      </c>
      <c r="D32" s="18" t="s">
        <v>5483</v>
      </c>
      <c r="E32" s="18" t="s">
        <v>27</v>
      </c>
      <c r="F32" s="19" t="str">
        <f t="shared" si="1"/>
        <v>PURNA2025-AKL1</v>
      </c>
      <c r="G32" s="19" t="s">
        <v>5408</v>
      </c>
      <c r="H32" s="20" t="s">
        <v>14</v>
      </c>
      <c r="I32" s="19" t="s">
        <v>5409</v>
      </c>
      <c r="J32" s="19" t="s">
        <v>5410</v>
      </c>
      <c r="K32" s="21" t="s">
        <v>5464</v>
      </c>
      <c r="L32" s="19" t="s">
        <v>5465</v>
      </c>
      <c r="M32" s="16" t="s">
        <v>26</v>
      </c>
      <c r="N32" s="18" t="s">
        <v>5416</v>
      </c>
      <c r="O32" s="18"/>
      <c r="P32" s="18">
        <f>VLOOKUP($A32,MasterData!$C$1:$I$1995,1,FALSE)</f>
        <v>7501</v>
      </c>
      <c r="Q32" s="18" t="str">
        <f t="shared" si="2"/>
        <v>PURNA2025-AKL1</v>
      </c>
    </row>
    <row r="33" ht="15.75" hidden="1" customHeight="1">
      <c r="A33" s="15">
        <v>7503.0</v>
      </c>
      <c r="B33" s="22" t="s">
        <v>5484</v>
      </c>
      <c r="C33" s="16" t="s">
        <v>5485</v>
      </c>
      <c r="D33" s="18" t="s">
        <v>5486</v>
      </c>
      <c r="E33" s="18" t="s">
        <v>29</v>
      </c>
      <c r="F33" s="19" t="str">
        <f t="shared" si="1"/>
        <v>PURNA2025-AKL1</v>
      </c>
      <c r="G33" s="19" t="s">
        <v>5408</v>
      </c>
      <c r="H33" s="20" t="s">
        <v>14</v>
      </c>
      <c r="I33" s="19" t="s">
        <v>5409</v>
      </c>
      <c r="J33" s="19" t="s">
        <v>5410</v>
      </c>
      <c r="K33" s="21" t="s">
        <v>5464</v>
      </c>
      <c r="L33" s="19" t="s">
        <v>5465</v>
      </c>
      <c r="M33" s="16" t="s">
        <v>28</v>
      </c>
      <c r="N33" s="18" t="s">
        <v>5416</v>
      </c>
      <c r="O33" s="18"/>
      <c r="P33" s="18">
        <f>VLOOKUP($A33,MasterData!$C$1:$I$1995,1,FALSE)</f>
        <v>7503</v>
      </c>
      <c r="Q33" s="18" t="str">
        <f t="shared" si="2"/>
        <v>PURNA2025-AKL1</v>
      </c>
    </row>
    <row r="34" ht="15.75" hidden="1" customHeight="1">
      <c r="A34" s="15">
        <v>7510.0</v>
      </c>
      <c r="B34" s="22" t="s">
        <v>5487</v>
      </c>
      <c r="C34" s="16" t="s">
        <v>5488</v>
      </c>
      <c r="D34" s="18" t="s">
        <v>5489</v>
      </c>
      <c r="E34" s="18" t="s">
        <v>31</v>
      </c>
      <c r="F34" s="19" t="str">
        <f t="shared" si="1"/>
        <v>PURNA2025-AKL1</v>
      </c>
      <c r="G34" s="19" t="s">
        <v>5408</v>
      </c>
      <c r="H34" s="20" t="s">
        <v>14</v>
      </c>
      <c r="I34" s="19" t="s">
        <v>5409</v>
      </c>
      <c r="J34" s="19" t="s">
        <v>5410</v>
      </c>
      <c r="K34" s="21" t="s">
        <v>5464</v>
      </c>
      <c r="L34" s="19" t="s">
        <v>5465</v>
      </c>
      <c r="M34" s="16" t="s">
        <v>30</v>
      </c>
      <c r="N34" s="18" t="s">
        <v>5416</v>
      </c>
      <c r="O34" s="18"/>
      <c r="P34" s="18">
        <f>VLOOKUP($A34,MasterData!$C$1:$I$1995,1,FALSE)</f>
        <v>7510</v>
      </c>
      <c r="Q34" s="18" t="str">
        <f t="shared" si="2"/>
        <v>PURNA2025-AKL1</v>
      </c>
    </row>
    <row r="35" ht="15.75" hidden="1" customHeight="1">
      <c r="A35" s="15">
        <v>7529.0</v>
      </c>
      <c r="B35" s="22" t="s">
        <v>5490</v>
      </c>
      <c r="C35" s="16" t="s">
        <v>5491</v>
      </c>
      <c r="D35" s="18" t="s">
        <v>5492</v>
      </c>
      <c r="E35" s="18" t="s">
        <v>33</v>
      </c>
      <c r="F35" s="19" t="str">
        <f t="shared" si="1"/>
        <v>PURNA2025-AKL1</v>
      </c>
      <c r="G35" s="19" t="s">
        <v>5408</v>
      </c>
      <c r="H35" s="20" t="s">
        <v>14</v>
      </c>
      <c r="I35" s="19" t="s">
        <v>5409</v>
      </c>
      <c r="J35" s="19" t="s">
        <v>5410</v>
      </c>
      <c r="K35" s="21" t="s">
        <v>5464</v>
      </c>
      <c r="L35" s="19" t="s">
        <v>5465</v>
      </c>
      <c r="M35" s="16" t="s">
        <v>32</v>
      </c>
      <c r="N35" s="18" t="s">
        <v>5416</v>
      </c>
      <c r="O35" s="18"/>
      <c r="P35" s="18">
        <f>VLOOKUP($A35,MasterData!$C$1:$I$1995,1,FALSE)</f>
        <v>7529</v>
      </c>
      <c r="Q35" s="18" t="str">
        <f t="shared" si="2"/>
        <v>PURNA2025-AKL1</v>
      </c>
    </row>
    <row r="36" ht="15.75" hidden="1" customHeight="1">
      <c r="A36" s="15">
        <v>7539.0</v>
      </c>
      <c r="B36" s="22" t="s">
        <v>5493</v>
      </c>
      <c r="C36" s="16" t="s">
        <v>5494</v>
      </c>
      <c r="D36" s="18" t="s">
        <v>5495</v>
      </c>
      <c r="E36" s="18" t="s">
        <v>35</v>
      </c>
      <c r="F36" s="19" t="str">
        <f t="shared" si="1"/>
        <v>PURNA2025-AKL1</v>
      </c>
      <c r="G36" s="19" t="s">
        <v>5408</v>
      </c>
      <c r="H36" s="20" t="s">
        <v>14</v>
      </c>
      <c r="I36" s="19" t="s">
        <v>5409</v>
      </c>
      <c r="J36" s="19" t="s">
        <v>5410</v>
      </c>
      <c r="K36" s="21" t="s">
        <v>5464</v>
      </c>
      <c r="L36" s="19" t="s">
        <v>5465</v>
      </c>
      <c r="M36" s="16" t="s">
        <v>34</v>
      </c>
      <c r="N36" s="18" t="s">
        <v>5416</v>
      </c>
      <c r="O36" s="18"/>
      <c r="P36" s="18">
        <f>VLOOKUP($A36,MasterData!$C$1:$I$1995,1,FALSE)</f>
        <v>7539</v>
      </c>
      <c r="Q36" s="18" t="str">
        <f t="shared" si="2"/>
        <v>PURNA2025-AKL1</v>
      </c>
    </row>
    <row r="37" ht="15.75" hidden="1" customHeight="1">
      <c r="A37" s="15">
        <v>7561.0</v>
      </c>
      <c r="B37" s="22" t="s">
        <v>5496</v>
      </c>
      <c r="C37" s="16" t="s">
        <v>5497</v>
      </c>
      <c r="D37" s="18" t="s">
        <v>5498</v>
      </c>
      <c r="E37" s="18" t="s">
        <v>37</v>
      </c>
      <c r="F37" s="19" t="str">
        <f t="shared" si="1"/>
        <v>PURNA2025-AKL1</v>
      </c>
      <c r="G37" s="19" t="s">
        <v>5408</v>
      </c>
      <c r="H37" s="20" t="s">
        <v>14</v>
      </c>
      <c r="I37" s="19" t="s">
        <v>5409</v>
      </c>
      <c r="J37" s="19" t="s">
        <v>5410</v>
      </c>
      <c r="K37" s="21" t="s">
        <v>5464</v>
      </c>
      <c r="L37" s="19" t="s">
        <v>5465</v>
      </c>
      <c r="M37" s="16" t="s">
        <v>36</v>
      </c>
      <c r="N37" s="18" t="s">
        <v>5416</v>
      </c>
      <c r="O37" s="18"/>
      <c r="P37" s="18">
        <f>VLOOKUP($A37,MasterData!$C$1:$I$1995,1,FALSE)</f>
        <v>7561</v>
      </c>
      <c r="Q37" s="18" t="str">
        <f t="shared" si="2"/>
        <v>PURNA2025-AKL1</v>
      </c>
    </row>
    <row r="38" ht="15.75" hidden="1" customHeight="1">
      <c r="A38" s="15">
        <v>7581.0</v>
      </c>
      <c r="B38" s="22" t="s">
        <v>5499</v>
      </c>
      <c r="C38" s="16" t="s">
        <v>5500</v>
      </c>
      <c r="D38" s="18" t="s">
        <v>5501</v>
      </c>
      <c r="E38" s="18" t="s">
        <v>39</v>
      </c>
      <c r="F38" s="19" t="str">
        <f t="shared" si="1"/>
        <v>PURNA2025-AKL1</v>
      </c>
      <c r="G38" s="19" t="s">
        <v>5408</v>
      </c>
      <c r="H38" s="20" t="s">
        <v>14</v>
      </c>
      <c r="I38" s="19" t="s">
        <v>5409</v>
      </c>
      <c r="J38" s="19" t="s">
        <v>5410</v>
      </c>
      <c r="K38" s="21" t="s">
        <v>5464</v>
      </c>
      <c r="L38" s="19" t="s">
        <v>5465</v>
      </c>
      <c r="M38" s="16" t="s">
        <v>38</v>
      </c>
      <c r="N38" s="18" t="s">
        <v>5416</v>
      </c>
      <c r="O38" s="18"/>
      <c r="P38" s="18">
        <f>VLOOKUP($A38,MasterData!$C$1:$I$1995,1,FALSE)</f>
        <v>7581</v>
      </c>
      <c r="Q38" s="18" t="str">
        <f t="shared" si="2"/>
        <v>PURNA2025-AKL1</v>
      </c>
    </row>
    <row r="39" ht="15.75" hidden="1" customHeight="1">
      <c r="A39" s="15">
        <v>7591.0</v>
      </c>
      <c r="B39" s="22" t="s">
        <v>5502</v>
      </c>
      <c r="C39" s="16" t="s">
        <v>5503</v>
      </c>
      <c r="D39" s="18" t="s">
        <v>5504</v>
      </c>
      <c r="E39" s="18" t="s">
        <v>41</v>
      </c>
      <c r="F39" s="19" t="str">
        <f t="shared" si="1"/>
        <v>PURNA2025-AKL1</v>
      </c>
      <c r="G39" s="19" t="s">
        <v>5408</v>
      </c>
      <c r="H39" s="20" t="s">
        <v>14</v>
      </c>
      <c r="I39" s="19" t="s">
        <v>5409</v>
      </c>
      <c r="J39" s="19" t="s">
        <v>5410</v>
      </c>
      <c r="K39" s="21" t="s">
        <v>5464</v>
      </c>
      <c r="L39" s="19" t="s">
        <v>5465</v>
      </c>
      <c r="M39" s="16" t="s">
        <v>40</v>
      </c>
      <c r="N39" s="18" t="s">
        <v>5416</v>
      </c>
      <c r="O39" s="18"/>
      <c r="P39" s="18">
        <f>VLOOKUP($A39,MasterData!$C$1:$I$1995,1,FALSE)</f>
        <v>7591</v>
      </c>
      <c r="Q39" s="18" t="str">
        <f t="shared" si="2"/>
        <v>PURNA2025-AKL1</v>
      </c>
    </row>
    <row r="40" ht="15.75" hidden="1" customHeight="1">
      <c r="A40" s="15">
        <v>7594.0</v>
      </c>
      <c r="B40" s="22" t="s">
        <v>5505</v>
      </c>
      <c r="C40" s="16" t="s">
        <v>5506</v>
      </c>
      <c r="D40" s="18" t="s">
        <v>5507</v>
      </c>
      <c r="E40" s="18" t="s">
        <v>43</v>
      </c>
      <c r="F40" s="19" t="str">
        <f t="shared" si="1"/>
        <v>PURNA2025-AKL1</v>
      </c>
      <c r="G40" s="19" t="s">
        <v>5408</v>
      </c>
      <c r="H40" s="20" t="s">
        <v>14</v>
      </c>
      <c r="I40" s="19" t="s">
        <v>5409</v>
      </c>
      <c r="J40" s="19" t="s">
        <v>5410</v>
      </c>
      <c r="K40" s="21" t="s">
        <v>5464</v>
      </c>
      <c r="L40" s="19" t="s">
        <v>5465</v>
      </c>
      <c r="M40" s="16" t="s">
        <v>42</v>
      </c>
      <c r="N40" s="18" t="s">
        <v>5416</v>
      </c>
      <c r="O40" s="18"/>
      <c r="P40" s="18">
        <f>VLOOKUP($A40,MasterData!$C$1:$I$1995,1,FALSE)</f>
        <v>7594</v>
      </c>
      <c r="Q40" s="18" t="str">
        <f t="shared" si="2"/>
        <v>PURNA2025-AKL1</v>
      </c>
    </row>
    <row r="41" ht="15.75" hidden="1" customHeight="1">
      <c r="A41" s="15">
        <v>7625.0</v>
      </c>
      <c r="B41" s="22" t="s">
        <v>5508</v>
      </c>
      <c r="C41" s="16" t="s">
        <v>5509</v>
      </c>
      <c r="D41" s="18" t="s">
        <v>5510</v>
      </c>
      <c r="E41" s="18" t="s">
        <v>45</v>
      </c>
      <c r="F41" s="19" t="str">
        <f t="shared" si="1"/>
        <v>PURNA2025-AKL1</v>
      </c>
      <c r="G41" s="19" t="s">
        <v>5408</v>
      </c>
      <c r="H41" s="20" t="s">
        <v>14</v>
      </c>
      <c r="I41" s="19" t="s">
        <v>5409</v>
      </c>
      <c r="J41" s="19" t="s">
        <v>5410</v>
      </c>
      <c r="K41" s="21" t="s">
        <v>5464</v>
      </c>
      <c r="L41" s="19" t="s">
        <v>5465</v>
      </c>
      <c r="M41" s="16" t="s">
        <v>44</v>
      </c>
      <c r="N41" s="18" t="s">
        <v>5416</v>
      </c>
      <c r="O41" s="18"/>
      <c r="P41" s="18">
        <f>VLOOKUP($A41,MasterData!$C$1:$I$1995,1,FALSE)</f>
        <v>7625</v>
      </c>
      <c r="Q41" s="18" t="str">
        <f t="shared" si="2"/>
        <v>PURNA2025-AKL1</v>
      </c>
    </row>
    <row r="42" ht="15.75" hidden="1" customHeight="1">
      <c r="A42" s="15">
        <v>7634.0</v>
      </c>
      <c r="B42" s="22" t="s">
        <v>5511</v>
      </c>
      <c r="C42" s="16" t="s">
        <v>5512</v>
      </c>
      <c r="D42" s="18" t="s">
        <v>5513</v>
      </c>
      <c r="E42" s="18" t="s">
        <v>47</v>
      </c>
      <c r="F42" s="19" t="str">
        <f t="shared" si="1"/>
        <v>PURNA2025-AKL1</v>
      </c>
      <c r="G42" s="19" t="s">
        <v>5408</v>
      </c>
      <c r="H42" s="20" t="s">
        <v>14</v>
      </c>
      <c r="I42" s="19" t="s">
        <v>5409</v>
      </c>
      <c r="J42" s="19" t="s">
        <v>5410</v>
      </c>
      <c r="K42" s="21" t="s">
        <v>5464</v>
      </c>
      <c r="L42" s="19" t="s">
        <v>5465</v>
      </c>
      <c r="M42" s="16" t="s">
        <v>46</v>
      </c>
      <c r="N42" s="18" t="s">
        <v>5416</v>
      </c>
      <c r="O42" s="18"/>
      <c r="P42" s="18">
        <f>VLOOKUP($A42,MasterData!$C$1:$I$1995,1,FALSE)</f>
        <v>7634</v>
      </c>
      <c r="Q42" s="18" t="str">
        <f t="shared" si="2"/>
        <v>PURNA2025-AKL1</v>
      </c>
    </row>
    <row r="43" ht="15.75" hidden="1" customHeight="1">
      <c r="A43" s="15">
        <v>7662.0</v>
      </c>
      <c r="B43" s="22" t="s">
        <v>5514</v>
      </c>
      <c r="C43" s="16" t="s">
        <v>5515</v>
      </c>
      <c r="D43" s="18" t="s">
        <v>5516</v>
      </c>
      <c r="E43" s="18" t="s">
        <v>49</v>
      </c>
      <c r="F43" s="19" t="str">
        <f t="shared" si="1"/>
        <v>PURNA2025-AKL1</v>
      </c>
      <c r="G43" s="19" t="s">
        <v>5408</v>
      </c>
      <c r="H43" s="20" t="s">
        <v>14</v>
      </c>
      <c r="I43" s="19" t="s">
        <v>5409</v>
      </c>
      <c r="J43" s="19" t="s">
        <v>5410</v>
      </c>
      <c r="K43" s="21" t="s">
        <v>5464</v>
      </c>
      <c r="L43" s="19" t="s">
        <v>5465</v>
      </c>
      <c r="M43" s="16" t="s">
        <v>48</v>
      </c>
      <c r="N43" s="18" t="s">
        <v>5416</v>
      </c>
      <c r="O43" s="18"/>
      <c r="P43" s="18">
        <f>VLOOKUP($A43,MasterData!$C$1:$I$1995,1,FALSE)</f>
        <v>7662</v>
      </c>
      <c r="Q43" s="18" t="str">
        <f t="shared" si="2"/>
        <v>PURNA2025-AKL1</v>
      </c>
    </row>
    <row r="44" ht="15.75" hidden="1" customHeight="1">
      <c r="A44" s="15">
        <v>7669.0</v>
      </c>
      <c r="B44" s="22" t="s">
        <v>5517</v>
      </c>
      <c r="C44" s="16" t="s">
        <v>5518</v>
      </c>
      <c r="D44" s="18" t="s">
        <v>5519</v>
      </c>
      <c r="E44" s="18" t="s">
        <v>51</v>
      </c>
      <c r="F44" s="19" t="str">
        <f t="shared" si="1"/>
        <v>PURNA2025-AKL1</v>
      </c>
      <c r="G44" s="19" t="s">
        <v>5408</v>
      </c>
      <c r="H44" s="20" t="s">
        <v>14</v>
      </c>
      <c r="I44" s="19" t="s">
        <v>5409</v>
      </c>
      <c r="J44" s="19" t="s">
        <v>5410</v>
      </c>
      <c r="K44" s="21" t="s">
        <v>5464</v>
      </c>
      <c r="L44" s="19" t="s">
        <v>5465</v>
      </c>
      <c r="M44" s="16" t="s">
        <v>50</v>
      </c>
      <c r="N44" s="18" t="s">
        <v>5416</v>
      </c>
      <c r="O44" s="18"/>
      <c r="P44" s="18">
        <f>VLOOKUP($A44,MasterData!$C$1:$I$1995,1,FALSE)</f>
        <v>7669</v>
      </c>
      <c r="Q44" s="18" t="str">
        <f t="shared" si="2"/>
        <v>PURNA2025-AKL1</v>
      </c>
    </row>
    <row r="45" ht="15.75" hidden="1" customHeight="1">
      <c r="A45" s="15">
        <v>7673.0</v>
      </c>
      <c r="B45" s="22" t="s">
        <v>5520</v>
      </c>
      <c r="C45" s="16" t="s">
        <v>5521</v>
      </c>
      <c r="D45" s="18" t="s">
        <v>5522</v>
      </c>
      <c r="E45" s="18" t="s">
        <v>53</v>
      </c>
      <c r="F45" s="19" t="str">
        <f t="shared" si="1"/>
        <v>PURNA2025-AKL1</v>
      </c>
      <c r="G45" s="19" t="s">
        <v>5408</v>
      </c>
      <c r="H45" s="20" t="s">
        <v>14</v>
      </c>
      <c r="I45" s="19" t="s">
        <v>5409</v>
      </c>
      <c r="J45" s="19" t="s">
        <v>5410</v>
      </c>
      <c r="K45" s="21" t="s">
        <v>5464</v>
      </c>
      <c r="L45" s="19" t="s">
        <v>5465</v>
      </c>
      <c r="M45" s="16" t="s">
        <v>52</v>
      </c>
      <c r="N45" s="18" t="s">
        <v>5416</v>
      </c>
      <c r="O45" s="18"/>
      <c r="P45" s="18">
        <f>VLOOKUP($A45,MasterData!$C$1:$I$1995,1,FALSE)</f>
        <v>7673</v>
      </c>
      <c r="Q45" s="18" t="str">
        <f t="shared" si="2"/>
        <v>PURNA2025-AKL1</v>
      </c>
    </row>
    <row r="46" ht="15.75" hidden="1" customHeight="1">
      <c r="A46" s="15">
        <v>7674.0</v>
      </c>
      <c r="B46" s="22" t="s">
        <v>5523</v>
      </c>
      <c r="C46" s="16" t="s">
        <v>5524</v>
      </c>
      <c r="D46" s="18" t="s">
        <v>5525</v>
      </c>
      <c r="E46" s="18" t="s">
        <v>55</v>
      </c>
      <c r="F46" s="19" t="str">
        <f t="shared" si="1"/>
        <v>PURNA2025-AKL1</v>
      </c>
      <c r="G46" s="19" t="s">
        <v>5408</v>
      </c>
      <c r="H46" s="20" t="s">
        <v>14</v>
      </c>
      <c r="I46" s="19" t="s">
        <v>5409</v>
      </c>
      <c r="J46" s="19" t="s">
        <v>5410</v>
      </c>
      <c r="K46" s="21" t="s">
        <v>5464</v>
      </c>
      <c r="L46" s="19" t="s">
        <v>5465</v>
      </c>
      <c r="M46" s="16" t="s">
        <v>54</v>
      </c>
      <c r="N46" s="18" t="s">
        <v>5416</v>
      </c>
      <c r="O46" s="18"/>
      <c r="P46" s="18">
        <f>VLOOKUP($A46,MasterData!$C$1:$I$1995,1,FALSE)</f>
        <v>7674</v>
      </c>
      <c r="Q46" s="18" t="str">
        <f t="shared" si="2"/>
        <v>PURNA2025-AKL1</v>
      </c>
    </row>
    <row r="47" ht="15.75" hidden="1" customHeight="1">
      <c r="A47" s="15">
        <v>7696.0</v>
      </c>
      <c r="B47" s="22" t="s">
        <v>5526</v>
      </c>
      <c r="C47" s="16" t="s">
        <v>5527</v>
      </c>
      <c r="D47" s="18" t="s">
        <v>5528</v>
      </c>
      <c r="E47" s="18" t="s">
        <v>57</v>
      </c>
      <c r="F47" s="19" t="str">
        <f t="shared" si="1"/>
        <v>PURNA2025-AKL1</v>
      </c>
      <c r="G47" s="19" t="s">
        <v>5408</v>
      </c>
      <c r="H47" s="20" t="s">
        <v>14</v>
      </c>
      <c r="I47" s="19" t="s">
        <v>5409</v>
      </c>
      <c r="J47" s="19" t="s">
        <v>5410</v>
      </c>
      <c r="K47" s="21" t="s">
        <v>5464</v>
      </c>
      <c r="L47" s="19" t="s">
        <v>5465</v>
      </c>
      <c r="M47" s="16" t="s">
        <v>56</v>
      </c>
      <c r="N47" s="18" t="s">
        <v>5416</v>
      </c>
      <c r="O47" s="18"/>
      <c r="P47" s="18">
        <f>VLOOKUP($A47,MasterData!$C$1:$I$1995,1,FALSE)</f>
        <v>7696</v>
      </c>
      <c r="Q47" s="18" t="str">
        <f t="shared" si="2"/>
        <v>PURNA2025-AKL1</v>
      </c>
    </row>
    <row r="48" ht="15.75" hidden="1" customHeight="1">
      <c r="A48" s="15">
        <v>7717.0</v>
      </c>
      <c r="B48" s="22" t="s">
        <v>5529</v>
      </c>
      <c r="C48" s="16" t="s">
        <v>5530</v>
      </c>
      <c r="D48" s="18" t="s">
        <v>5531</v>
      </c>
      <c r="E48" s="18" t="s">
        <v>59</v>
      </c>
      <c r="F48" s="19" t="str">
        <f t="shared" si="1"/>
        <v>PURNA2025-AKL1</v>
      </c>
      <c r="G48" s="19" t="s">
        <v>5408</v>
      </c>
      <c r="H48" s="20" t="s">
        <v>14</v>
      </c>
      <c r="I48" s="19" t="s">
        <v>5409</v>
      </c>
      <c r="J48" s="19" t="s">
        <v>5410</v>
      </c>
      <c r="K48" s="21" t="s">
        <v>5464</v>
      </c>
      <c r="L48" s="19" t="s">
        <v>5465</v>
      </c>
      <c r="M48" s="16" t="s">
        <v>58</v>
      </c>
      <c r="N48" s="18" t="s">
        <v>5416</v>
      </c>
      <c r="O48" s="18"/>
      <c r="P48" s="18">
        <f>VLOOKUP($A48,MasterData!$C$1:$I$1995,1,FALSE)</f>
        <v>7717</v>
      </c>
      <c r="Q48" s="18" t="str">
        <f t="shared" si="2"/>
        <v>PURNA2025-AKL1</v>
      </c>
    </row>
    <row r="49" ht="15.75" hidden="1" customHeight="1">
      <c r="A49" s="15">
        <v>7815.0</v>
      </c>
      <c r="B49" s="22" t="s">
        <v>5532</v>
      </c>
      <c r="C49" s="16" t="s">
        <v>5533</v>
      </c>
      <c r="D49" s="18" t="s">
        <v>5534</v>
      </c>
      <c r="E49" s="18" t="s">
        <v>61</v>
      </c>
      <c r="F49" s="19" t="str">
        <f t="shared" si="1"/>
        <v>PURNA2025-AKL1</v>
      </c>
      <c r="G49" s="19" t="s">
        <v>5408</v>
      </c>
      <c r="H49" s="20" t="s">
        <v>14</v>
      </c>
      <c r="I49" s="19" t="s">
        <v>5409</v>
      </c>
      <c r="J49" s="19" t="s">
        <v>5410</v>
      </c>
      <c r="K49" s="21" t="s">
        <v>5464</v>
      </c>
      <c r="L49" s="19" t="s">
        <v>5465</v>
      </c>
      <c r="M49" s="16" t="s">
        <v>60</v>
      </c>
      <c r="N49" s="18" t="s">
        <v>5416</v>
      </c>
      <c r="O49" s="18"/>
      <c r="P49" s="18">
        <f>VLOOKUP($A49,MasterData!$C$1:$I$1995,1,FALSE)</f>
        <v>7815</v>
      </c>
      <c r="Q49" s="18" t="str">
        <f t="shared" si="2"/>
        <v>PURNA2025-AKL1</v>
      </c>
    </row>
    <row r="50" ht="15.75" hidden="1" customHeight="1">
      <c r="A50" s="15">
        <v>7825.0</v>
      </c>
      <c r="B50" s="22" t="s">
        <v>5535</v>
      </c>
      <c r="C50" s="16" t="s">
        <v>5536</v>
      </c>
      <c r="D50" s="18" t="s">
        <v>5537</v>
      </c>
      <c r="E50" s="18" t="s">
        <v>63</v>
      </c>
      <c r="F50" s="19" t="str">
        <f t="shared" si="1"/>
        <v>PURNA2025-AKL1</v>
      </c>
      <c r="G50" s="19" t="s">
        <v>5408</v>
      </c>
      <c r="H50" s="20" t="s">
        <v>14</v>
      </c>
      <c r="I50" s="19" t="s">
        <v>5409</v>
      </c>
      <c r="J50" s="19" t="s">
        <v>5410</v>
      </c>
      <c r="K50" s="21" t="s">
        <v>5464</v>
      </c>
      <c r="L50" s="19" t="s">
        <v>5465</v>
      </c>
      <c r="M50" s="16" t="s">
        <v>62</v>
      </c>
      <c r="N50" s="18" t="s">
        <v>5416</v>
      </c>
      <c r="O50" s="18"/>
      <c r="P50" s="18">
        <f>VLOOKUP($A50,MasterData!$C$1:$I$1995,1,FALSE)</f>
        <v>7825</v>
      </c>
      <c r="Q50" s="18" t="str">
        <f t="shared" si="2"/>
        <v>PURNA2025-AKL1</v>
      </c>
    </row>
    <row r="51" ht="15.75" hidden="1" customHeight="1">
      <c r="A51" s="15">
        <v>7841.0</v>
      </c>
      <c r="B51" s="22" t="s">
        <v>5538</v>
      </c>
      <c r="C51" s="16" t="s">
        <v>5539</v>
      </c>
      <c r="D51" s="18" t="s">
        <v>5540</v>
      </c>
      <c r="E51" s="18" t="s">
        <v>65</v>
      </c>
      <c r="F51" s="19" t="str">
        <f t="shared" si="1"/>
        <v>PURNA2025-AKL1</v>
      </c>
      <c r="G51" s="19" t="s">
        <v>5408</v>
      </c>
      <c r="H51" s="20" t="s">
        <v>14</v>
      </c>
      <c r="I51" s="19" t="s">
        <v>5409</v>
      </c>
      <c r="J51" s="19" t="s">
        <v>5410</v>
      </c>
      <c r="K51" s="21" t="s">
        <v>5464</v>
      </c>
      <c r="L51" s="19" t="s">
        <v>5465</v>
      </c>
      <c r="M51" s="16" t="s">
        <v>64</v>
      </c>
      <c r="N51" s="18" t="s">
        <v>5416</v>
      </c>
      <c r="O51" s="18"/>
      <c r="P51" s="18">
        <f>VLOOKUP($A51,MasterData!$C$1:$I$1995,1,FALSE)</f>
        <v>7841</v>
      </c>
      <c r="Q51" s="18" t="str">
        <f t="shared" si="2"/>
        <v>PURNA2025-AKL1</v>
      </c>
    </row>
    <row r="52" ht="15.75" hidden="1" customHeight="1">
      <c r="A52" s="15">
        <v>7893.0</v>
      </c>
      <c r="B52" s="22" t="s">
        <v>5541</v>
      </c>
      <c r="C52" s="16" t="s">
        <v>5542</v>
      </c>
      <c r="D52" s="18" t="s">
        <v>5543</v>
      </c>
      <c r="E52" s="18" t="s">
        <v>67</v>
      </c>
      <c r="F52" s="19" t="str">
        <f t="shared" si="1"/>
        <v>PURNA2025-AKL1</v>
      </c>
      <c r="G52" s="19" t="s">
        <v>5408</v>
      </c>
      <c r="H52" s="20" t="s">
        <v>14</v>
      </c>
      <c r="I52" s="19" t="s">
        <v>5409</v>
      </c>
      <c r="J52" s="19" t="s">
        <v>5410</v>
      </c>
      <c r="K52" s="21" t="s">
        <v>5464</v>
      </c>
      <c r="L52" s="19" t="s">
        <v>5465</v>
      </c>
      <c r="M52" s="16" t="s">
        <v>66</v>
      </c>
      <c r="N52" s="18" t="s">
        <v>5416</v>
      </c>
      <c r="O52" s="18"/>
      <c r="P52" s="18">
        <f>VLOOKUP($A52,MasterData!$C$1:$I$1995,1,FALSE)</f>
        <v>7893</v>
      </c>
      <c r="Q52" s="18" t="str">
        <f t="shared" si="2"/>
        <v>PURNA2025-AKL1</v>
      </c>
    </row>
    <row r="53" ht="15.75" hidden="1" customHeight="1">
      <c r="A53" s="15">
        <v>7901.0</v>
      </c>
      <c r="B53" s="22" t="s">
        <v>5544</v>
      </c>
      <c r="C53" s="16" t="s">
        <v>5545</v>
      </c>
      <c r="D53" s="18" t="s">
        <v>5546</v>
      </c>
      <c r="E53" s="18" t="s">
        <v>69</v>
      </c>
      <c r="F53" s="19" t="str">
        <f t="shared" si="1"/>
        <v>PURNA2025-AKL1</v>
      </c>
      <c r="G53" s="19" t="s">
        <v>5408</v>
      </c>
      <c r="H53" s="20" t="s">
        <v>14</v>
      </c>
      <c r="I53" s="19" t="s">
        <v>5409</v>
      </c>
      <c r="J53" s="19" t="s">
        <v>5410</v>
      </c>
      <c r="K53" s="21" t="s">
        <v>5464</v>
      </c>
      <c r="L53" s="19" t="s">
        <v>5465</v>
      </c>
      <c r="M53" s="16" t="s">
        <v>68</v>
      </c>
      <c r="N53" s="18" t="s">
        <v>5416</v>
      </c>
      <c r="O53" s="18"/>
      <c r="P53" s="18">
        <f>VLOOKUP($A53,MasterData!$C$1:$I$1995,1,FALSE)</f>
        <v>7901</v>
      </c>
      <c r="Q53" s="18" t="str">
        <f t="shared" si="2"/>
        <v>PURNA2025-AKL1</v>
      </c>
    </row>
    <row r="54" ht="15.75" hidden="1" customHeight="1">
      <c r="A54" s="15">
        <v>7904.0</v>
      </c>
      <c r="B54" s="22" t="s">
        <v>5547</v>
      </c>
      <c r="C54" s="16" t="s">
        <v>5548</v>
      </c>
      <c r="D54" s="18" t="s">
        <v>5549</v>
      </c>
      <c r="E54" s="18" t="s">
        <v>71</v>
      </c>
      <c r="F54" s="19" t="str">
        <f t="shared" si="1"/>
        <v>PURNA2025-AKL1</v>
      </c>
      <c r="G54" s="19" t="s">
        <v>5408</v>
      </c>
      <c r="H54" s="20" t="s">
        <v>14</v>
      </c>
      <c r="I54" s="19" t="s">
        <v>5409</v>
      </c>
      <c r="J54" s="19" t="s">
        <v>5410</v>
      </c>
      <c r="K54" s="21" t="s">
        <v>5464</v>
      </c>
      <c r="L54" s="19" t="s">
        <v>5465</v>
      </c>
      <c r="M54" s="16" t="s">
        <v>70</v>
      </c>
      <c r="N54" s="18" t="s">
        <v>5416</v>
      </c>
      <c r="O54" s="18"/>
      <c r="P54" s="18">
        <f>VLOOKUP($A54,MasterData!$C$1:$I$1995,1,FALSE)</f>
        <v>7904</v>
      </c>
      <c r="Q54" s="18" t="str">
        <f t="shared" si="2"/>
        <v>PURNA2025-AKL1</v>
      </c>
    </row>
    <row r="55" ht="15.75" hidden="1" customHeight="1">
      <c r="A55" s="15">
        <v>7917.0</v>
      </c>
      <c r="B55" s="22" t="s">
        <v>5550</v>
      </c>
      <c r="C55" s="16" t="s">
        <v>5551</v>
      </c>
      <c r="D55" s="18" t="s">
        <v>5552</v>
      </c>
      <c r="E55" s="18" t="s">
        <v>73</v>
      </c>
      <c r="F55" s="19" t="str">
        <f t="shared" si="1"/>
        <v>PURNA2025-AKL1</v>
      </c>
      <c r="G55" s="19" t="s">
        <v>5408</v>
      </c>
      <c r="H55" s="20" t="s">
        <v>14</v>
      </c>
      <c r="I55" s="19" t="s">
        <v>5409</v>
      </c>
      <c r="J55" s="19" t="s">
        <v>5410</v>
      </c>
      <c r="K55" s="21" t="s">
        <v>5464</v>
      </c>
      <c r="L55" s="19" t="s">
        <v>5465</v>
      </c>
      <c r="M55" s="16" t="s">
        <v>72</v>
      </c>
      <c r="N55" s="18" t="s">
        <v>5416</v>
      </c>
      <c r="O55" s="18"/>
      <c r="P55" s="18">
        <f>VLOOKUP($A55,MasterData!$C$1:$I$1995,1,FALSE)</f>
        <v>7917</v>
      </c>
      <c r="Q55" s="18" t="str">
        <f t="shared" si="2"/>
        <v>PURNA2025-AKL1</v>
      </c>
    </row>
    <row r="56" ht="15.75" hidden="1" customHeight="1">
      <c r="A56" s="15">
        <v>7933.0</v>
      </c>
      <c r="B56" s="22" t="s">
        <v>5553</v>
      </c>
      <c r="C56" s="16" t="s">
        <v>5554</v>
      </c>
      <c r="D56" s="18" t="s">
        <v>5555</v>
      </c>
      <c r="E56" s="18" t="s">
        <v>75</v>
      </c>
      <c r="F56" s="19" t="str">
        <f t="shared" si="1"/>
        <v>PURNA2025-AKL1</v>
      </c>
      <c r="G56" s="19" t="s">
        <v>5408</v>
      </c>
      <c r="H56" s="20" t="s">
        <v>14</v>
      </c>
      <c r="I56" s="19" t="s">
        <v>5409</v>
      </c>
      <c r="J56" s="19" t="s">
        <v>5410</v>
      </c>
      <c r="K56" s="21" t="s">
        <v>5464</v>
      </c>
      <c r="L56" s="19" t="s">
        <v>5465</v>
      </c>
      <c r="M56" s="16" t="s">
        <v>74</v>
      </c>
      <c r="N56" s="18" t="s">
        <v>5416</v>
      </c>
      <c r="O56" s="18"/>
      <c r="P56" s="18">
        <f>VLOOKUP($A56,MasterData!$C$1:$I$1995,1,FALSE)</f>
        <v>7933</v>
      </c>
      <c r="Q56" s="18" t="str">
        <f t="shared" si="2"/>
        <v>PURNA2025-AKL1</v>
      </c>
    </row>
    <row r="57" ht="15.75" hidden="1" customHeight="1">
      <c r="A57" s="15">
        <v>7939.0</v>
      </c>
      <c r="B57" s="22" t="s">
        <v>5556</v>
      </c>
      <c r="C57" s="16" t="s">
        <v>5557</v>
      </c>
      <c r="D57" s="18" t="s">
        <v>5558</v>
      </c>
      <c r="E57" s="18" t="s">
        <v>77</v>
      </c>
      <c r="F57" s="19" t="str">
        <f t="shared" si="1"/>
        <v>PURNA2025-AKL1</v>
      </c>
      <c r="G57" s="19" t="s">
        <v>5408</v>
      </c>
      <c r="H57" s="20" t="s">
        <v>14</v>
      </c>
      <c r="I57" s="19" t="s">
        <v>5409</v>
      </c>
      <c r="J57" s="19" t="s">
        <v>5410</v>
      </c>
      <c r="K57" s="21" t="s">
        <v>5464</v>
      </c>
      <c r="L57" s="19" t="s">
        <v>5465</v>
      </c>
      <c r="M57" s="16" t="s">
        <v>76</v>
      </c>
      <c r="N57" s="18" t="s">
        <v>5416</v>
      </c>
      <c r="O57" s="18"/>
      <c r="P57" s="18">
        <f>VLOOKUP($A57,MasterData!$C$1:$I$1995,1,FALSE)</f>
        <v>7939</v>
      </c>
      <c r="Q57" s="18" t="str">
        <f t="shared" si="2"/>
        <v>PURNA2025-AKL1</v>
      </c>
    </row>
    <row r="58" ht="15.75" hidden="1" customHeight="1">
      <c r="A58" s="15">
        <v>7947.0</v>
      </c>
      <c r="B58" s="22" t="s">
        <v>5559</v>
      </c>
      <c r="C58" s="16" t="s">
        <v>5560</v>
      </c>
      <c r="D58" s="18" t="s">
        <v>5561</v>
      </c>
      <c r="E58" s="18" t="s">
        <v>79</v>
      </c>
      <c r="F58" s="19" t="str">
        <f t="shared" si="1"/>
        <v>PURNA2025-AKL1</v>
      </c>
      <c r="G58" s="19" t="s">
        <v>5408</v>
      </c>
      <c r="H58" s="20" t="s">
        <v>14</v>
      </c>
      <c r="I58" s="19" t="s">
        <v>5409</v>
      </c>
      <c r="J58" s="19" t="s">
        <v>5410</v>
      </c>
      <c r="K58" s="21" t="s">
        <v>5464</v>
      </c>
      <c r="L58" s="19" t="s">
        <v>5465</v>
      </c>
      <c r="M58" s="16" t="s">
        <v>78</v>
      </c>
      <c r="N58" s="18" t="s">
        <v>5416</v>
      </c>
      <c r="O58" s="18"/>
      <c r="P58" s="18">
        <f>VLOOKUP($A58,MasterData!$C$1:$I$1995,1,FALSE)</f>
        <v>7947</v>
      </c>
      <c r="Q58" s="18" t="str">
        <f t="shared" si="2"/>
        <v>PURNA2025-AKL1</v>
      </c>
    </row>
    <row r="59" ht="15.75" hidden="1" customHeight="1">
      <c r="A59" s="15">
        <v>7956.0</v>
      </c>
      <c r="B59" s="22" t="s">
        <v>5562</v>
      </c>
      <c r="C59" s="16" t="s">
        <v>5563</v>
      </c>
      <c r="D59" s="18" t="s">
        <v>5564</v>
      </c>
      <c r="E59" s="18" t="s">
        <v>81</v>
      </c>
      <c r="F59" s="19" t="str">
        <f t="shared" si="1"/>
        <v>PURNA2025-AKL1</v>
      </c>
      <c r="G59" s="19" t="s">
        <v>5408</v>
      </c>
      <c r="H59" s="20" t="s">
        <v>14</v>
      </c>
      <c r="I59" s="19" t="s">
        <v>5409</v>
      </c>
      <c r="J59" s="19" t="s">
        <v>5410</v>
      </c>
      <c r="K59" s="21" t="s">
        <v>5464</v>
      </c>
      <c r="L59" s="19" t="s">
        <v>5465</v>
      </c>
      <c r="M59" s="16" t="s">
        <v>80</v>
      </c>
      <c r="N59" s="18" t="s">
        <v>5416</v>
      </c>
      <c r="O59" s="18"/>
      <c r="P59" s="18">
        <f>VLOOKUP($A59,MasterData!$C$1:$I$1995,1,FALSE)</f>
        <v>7956</v>
      </c>
      <c r="Q59" s="18" t="str">
        <f t="shared" si="2"/>
        <v>PURNA2025-AKL1</v>
      </c>
    </row>
    <row r="60" ht="15.75" hidden="1" customHeight="1">
      <c r="A60" s="15">
        <v>7974.0</v>
      </c>
      <c r="B60" s="22" t="s">
        <v>5565</v>
      </c>
      <c r="C60" s="16" t="s">
        <v>5566</v>
      </c>
      <c r="D60" s="18" t="s">
        <v>5567</v>
      </c>
      <c r="E60" s="18" t="s">
        <v>83</v>
      </c>
      <c r="F60" s="19" t="str">
        <f t="shared" si="1"/>
        <v>PURNA2025-AKL1</v>
      </c>
      <c r="G60" s="19" t="s">
        <v>5408</v>
      </c>
      <c r="H60" s="20" t="s">
        <v>14</v>
      </c>
      <c r="I60" s="19" t="s">
        <v>5409</v>
      </c>
      <c r="J60" s="19" t="s">
        <v>5410</v>
      </c>
      <c r="K60" s="21" t="s">
        <v>5464</v>
      </c>
      <c r="L60" s="19" t="s">
        <v>5465</v>
      </c>
      <c r="M60" s="16" t="s">
        <v>82</v>
      </c>
      <c r="N60" s="18" t="s">
        <v>5416</v>
      </c>
      <c r="O60" s="18"/>
      <c r="P60" s="18">
        <f>VLOOKUP($A60,MasterData!$C$1:$I$1995,1,FALSE)</f>
        <v>7974</v>
      </c>
      <c r="Q60" s="18" t="str">
        <f t="shared" si="2"/>
        <v>PURNA2025-AKL1</v>
      </c>
    </row>
    <row r="61" ht="15.75" hidden="1" customHeight="1">
      <c r="A61" s="15">
        <v>8003.0</v>
      </c>
      <c r="B61" s="22" t="s">
        <v>5568</v>
      </c>
      <c r="C61" s="16" t="s">
        <v>5569</v>
      </c>
      <c r="D61" s="18" t="s">
        <v>5570</v>
      </c>
      <c r="E61" s="18" t="s">
        <v>85</v>
      </c>
      <c r="F61" s="19" t="str">
        <f t="shared" si="1"/>
        <v>PURNA2025-AKL1</v>
      </c>
      <c r="G61" s="19" t="s">
        <v>5408</v>
      </c>
      <c r="H61" s="20" t="s">
        <v>14</v>
      </c>
      <c r="I61" s="19" t="s">
        <v>5409</v>
      </c>
      <c r="J61" s="19" t="s">
        <v>5410</v>
      </c>
      <c r="K61" s="21" t="s">
        <v>5464</v>
      </c>
      <c r="L61" s="19" t="s">
        <v>5465</v>
      </c>
      <c r="M61" s="16" t="s">
        <v>84</v>
      </c>
      <c r="N61" s="18" t="s">
        <v>5416</v>
      </c>
      <c r="O61" s="18"/>
      <c r="P61" s="18">
        <f>VLOOKUP($A61,MasterData!$C$1:$I$1995,1,FALSE)</f>
        <v>8003</v>
      </c>
      <c r="Q61" s="18" t="str">
        <f t="shared" si="2"/>
        <v>PURNA2025-AKL1</v>
      </c>
    </row>
    <row r="62" ht="15.75" hidden="1" customHeight="1">
      <c r="A62" s="15">
        <v>7453.0</v>
      </c>
      <c r="B62" s="22" t="s">
        <v>5571</v>
      </c>
      <c r="C62" s="16" t="s">
        <v>5572</v>
      </c>
      <c r="D62" s="18" t="s">
        <v>5573</v>
      </c>
      <c r="E62" s="18" t="s">
        <v>87</v>
      </c>
      <c r="F62" s="19" t="str">
        <f t="shared" si="1"/>
        <v>PURNA2025-AKL2</v>
      </c>
      <c r="G62" s="19" t="s">
        <v>5408</v>
      </c>
      <c r="H62" s="20" t="s">
        <v>14</v>
      </c>
      <c r="I62" s="19" t="s">
        <v>5409</v>
      </c>
      <c r="J62" s="19" t="s">
        <v>5410</v>
      </c>
      <c r="K62" s="21" t="s">
        <v>5464</v>
      </c>
      <c r="L62" s="19" t="s">
        <v>5574</v>
      </c>
      <c r="M62" s="16" t="s">
        <v>86</v>
      </c>
      <c r="N62" s="18" t="s">
        <v>5416</v>
      </c>
      <c r="O62" s="18"/>
      <c r="P62" s="18">
        <f>VLOOKUP($A62,MasterData!$C$1:$I$1995,1,FALSE)</f>
        <v>7453</v>
      </c>
      <c r="Q62" s="18" t="str">
        <f t="shared" si="2"/>
        <v>PURNA2025-AKL2</v>
      </c>
    </row>
    <row r="63" ht="15.75" hidden="1" customHeight="1">
      <c r="A63" s="15">
        <v>7458.0</v>
      </c>
      <c r="B63" s="22" t="s">
        <v>5575</v>
      </c>
      <c r="C63" s="16" t="s">
        <v>5576</v>
      </c>
      <c r="D63" s="18" t="s">
        <v>5577</v>
      </c>
      <c r="E63" s="18" t="s">
        <v>89</v>
      </c>
      <c r="F63" s="19" t="str">
        <f t="shared" si="1"/>
        <v>PURNA2025-AKL2</v>
      </c>
      <c r="G63" s="19" t="s">
        <v>5408</v>
      </c>
      <c r="H63" s="20" t="s">
        <v>14</v>
      </c>
      <c r="I63" s="19" t="s">
        <v>5409</v>
      </c>
      <c r="J63" s="19" t="s">
        <v>5410</v>
      </c>
      <c r="K63" s="21" t="s">
        <v>5464</v>
      </c>
      <c r="L63" s="19" t="s">
        <v>5574</v>
      </c>
      <c r="M63" s="16" t="s">
        <v>88</v>
      </c>
      <c r="N63" s="18" t="s">
        <v>5416</v>
      </c>
      <c r="O63" s="18"/>
      <c r="P63" s="18">
        <f>VLOOKUP($A63,MasterData!$C$1:$I$1995,1,FALSE)</f>
        <v>7458</v>
      </c>
      <c r="Q63" s="18" t="str">
        <f t="shared" si="2"/>
        <v>PURNA2025-AKL2</v>
      </c>
    </row>
    <row r="64" ht="15.75" hidden="1" customHeight="1">
      <c r="A64" s="15">
        <v>7499.0</v>
      </c>
      <c r="B64" s="22" t="s">
        <v>5578</v>
      </c>
      <c r="C64" s="16" t="s">
        <v>5579</v>
      </c>
      <c r="D64" s="18" t="s">
        <v>5580</v>
      </c>
      <c r="E64" s="18" t="s">
        <v>91</v>
      </c>
      <c r="F64" s="19" t="str">
        <f t="shared" si="1"/>
        <v>PURNA2025-AKL2</v>
      </c>
      <c r="G64" s="19" t="s">
        <v>5408</v>
      </c>
      <c r="H64" s="20" t="s">
        <v>14</v>
      </c>
      <c r="I64" s="19" t="s">
        <v>5409</v>
      </c>
      <c r="J64" s="19" t="s">
        <v>5410</v>
      </c>
      <c r="K64" s="21" t="s">
        <v>5464</v>
      </c>
      <c r="L64" s="19" t="s">
        <v>5574</v>
      </c>
      <c r="M64" s="16" t="s">
        <v>90</v>
      </c>
      <c r="N64" s="18" t="s">
        <v>5416</v>
      </c>
      <c r="O64" s="18"/>
      <c r="P64" s="18">
        <f>VLOOKUP($A64,MasterData!$C$1:$I$1995,1,FALSE)</f>
        <v>7499</v>
      </c>
      <c r="Q64" s="18" t="str">
        <f t="shared" si="2"/>
        <v>PURNA2025-AKL2</v>
      </c>
    </row>
    <row r="65" ht="15.75" hidden="1" customHeight="1">
      <c r="A65" s="15">
        <v>7508.0</v>
      </c>
      <c r="B65" s="22" t="s">
        <v>5581</v>
      </c>
      <c r="C65" s="16" t="s">
        <v>5582</v>
      </c>
      <c r="D65" s="18" t="s">
        <v>5583</v>
      </c>
      <c r="E65" s="18" t="s">
        <v>93</v>
      </c>
      <c r="F65" s="19" t="str">
        <f t="shared" si="1"/>
        <v>PURNA2025-AKL2</v>
      </c>
      <c r="G65" s="19" t="s">
        <v>5408</v>
      </c>
      <c r="H65" s="20" t="s">
        <v>14</v>
      </c>
      <c r="I65" s="19" t="s">
        <v>5409</v>
      </c>
      <c r="J65" s="19" t="s">
        <v>5410</v>
      </c>
      <c r="K65" s="21" t="s">
        <v>5464</v>
      </c>
      <c r="L65" s="19" t="s">
        <v>5574</v>
      </c>
      <c r="M65" s="16" t="s">
        <v>92</v>
      </c>
      <c r="N65" s="18" t="s">
        <v>5416</v>
      </c>
      <c r="O65" s="18"/>
      <c r="P65" s="18">
        <f>VLOOKUP($A65,MasterData!$C$1:$I$1995,1,FALSE)</f>
        <v>7508</v>
      </c>
      <c r="Q65" s="18" t="str">
        <f t="shared" si="2"/>
        <v>PURNA2025-AKL2</v>
      </c>
    </row>
    <row r="66" ht="15.75" hidden="1" customHeight="1">
      <c r="A66" s="15">
        <v>7521.0</v>
      </c>
      <c r="B66" s="22" t="s">
        <v>5584</v>
      </c>
      <c r="C66" s="16" t="s">
        <v>5585</v>
      </c>
      <c r="D66" s="18" t="s">
        <v>5586</v>
      </c>
      <c r="E66" s="18" t="s">
        <v>95</v>
      </c>
      <c r="F66" s="19" t="str">
        <f t="shared" si="1"/>
        <v>PURNA2025-AKL2</v>
      </c>
      <c r="G66" s="19" t="s">
        <v>5408</v>
      </c>
      <c r="H66" s="20" t="s">
        <v>14</v>
      </c>
      <c r="I66" s="19" t="s">
        <v>5409</v>
      </c>
      <c r="J66" s="19" t="s">
        <v>5410</v>
      </c>
      <c r="K66" s="21" t="s">
        <v>5464</v>
      </c>
      <c r="L66" s="19" t="s">
        <v>5574</v>
      </c>
      <c r="M66" s="16" t="s">
        <v>94</v>
      </c>
      <c r="N66" s="18" t="s">
        <v>5416</v>
      </c>
      <c r="O66" s="18"/>
      <c r="P66" s="18">
        <f>VLOOKUP($A66,MasterData!$C$1:$I$1995,1,FALSE)</f>
        <v>7521</v>
      </c>
      <c r="Q66" s="18" t="str">
        <f t="shared" si="2"/>
        <v>PURNA2025-AKL2</v>
      </c>
    </row>
    <row r="67" ht="15.75" hidden="1" customHeight="1">
      <c r="A67" s="15">
        <v>7525.0</v>
      </c>
      <c r="B67" s="22" t="s">
        <v>5587</v>
      </c>
      <c r="C67" s="16" t="s">
        <v>5588</v>
      </c>
      <c r="D67" s="18" t="s">
        <v>5589</v>
      </c>
      <c r="E67" s="18" t="s">
        <v>97</v>
      </c>
      <c r="F67" s="19" t="str">
        <f t="shared" si="1"/>
        <v>PURNA2025-AKL2</v>
      </c>
      <c r="G67" s="19" t="s">
        <v>5408</v>
      </c>
      <c r="H67" s="20" t="s">
        <v>14</v>
      </c>
      <c r="I67" s="19" t="s">
        <v>5409</v>
      </c>
      <c r="J67" s="19" t="s">
        <v>5410</v>
      </c>
      <c r="K67" s="21" t="s">
        <v>5464</v>
      </c>
      <c r="L67" s="19" t="s">
        <v>5574</v>
      </c>
      <c r="M67" s="16" t="s">
        <v>96</v>
      </c>
      <c r="N67" s="18" t="s">
        <v>5416</v>
      </c>
      <c r="O67" s="18"/>
      <c r="P67" s="18">
        <f>VLOOKUP($A67,MasterData!$C$1:$I$1995,1,FALSE)</f>
        <v>7525</v>
      </c>
      <c r="Q67" s="18" t="str">
        <f t="shared" si="2"/>
        <v>PURNA2025-AKL2</v>
      </c>
    </row>
    <row r="68" ht="15.75" hidden="1" customHeight="1">
      <c r="A68" s="15">
        <v>7551.0</v>
      </c>
      <c r="B68" s="22" t="s">
        <v>5590</v>
      </c>
      <c r="C68" s="16" t="s">
        <v>5591</v>
      </c>
      <c r="D68" s="18" t="s">
        <v>5592</v>
      </c>
      <c r="E68" s="18" t="s">
        <v>99</v>
      </c>
      <c r="F68" s="19" t="str">
        <f t="shared" si="1"/>
        <v>PURNA2025-AKL2</v>
      </c>
      <c r="G68" s="19" t="s">
        <v>5408</v>
      </c>
      <c r="H68" s="20" t="s">
        <v>14</v>
      </c>
      <c r="I68" s="19" t="s">
        <v>5409</v>
      </c>
      <c r="J68" s="19" t="s">
        <v>5410</v>
      </c>
      <c r="K68" s="21" t="s">
        <v>5464</v>
      </c>
      <c r="L68" s="19" t="s">
        <v>5574</v>
      </c>
      <c r="M68" s="16" t="s">
        <v>98</v>
      </c>
      <c r="N68" s="18" t="s">
        <v>5416</v>
      </c>
      <c r="O68" s="18"/>
      <c r="P68" s="18">
        <f>VLOOKUP($A68,MasterData!$C$1:$I$1995,1,FALSE)</f>
        <v>7551</v>
      </c>
      <c r="Q68" s="18" t="str">
        <f t="shared" si="2"/>
        <v>PURNA2025-AKL2</v>
      </c>
    </row>
    <row r="69" ht="15.75" hidden="1" customHeight="1">
      <c r="A69" s="15">
        <v>7570.0</v>
      </c>
      <c r="B69" s="22" t="s">
        <v>5593</v>
      </c>
      <c r="C69" s="16" t="s">
        <v>5594</v>
      </c>
      <c r="D69" s="18" t="s">
        <v>5595</v>
      </c>
      <c r="E69" s="18" t="s">
        <v>101</v>
      </c>
      <c r="F69" s="19" t="str">
        <f t="shared" si="1"/>
        <v>PURNA2025-AKL2</v>
      </c>
      <c r="G69" s="19" t="s">
        <v>5408</v>
      </c>
      <c r="H69" s="20" t="s">
        <v>14</v>
      </c>
      <c r="I69" s="19" t="s">
        <v>5409</v>
      </c>
      <c r="J69" s="19" t="s">
        <v>5410</v>
      </c>
      <c r="K69" s="21" t="s">
        <v>5464</v>
      </c>
      <c r="L69" s="19" t="s">
        <v>5574</v>
      </c>
      <c r="M69" s="16" t="s">
        <v>100</v>
      </c>
      <c r="N69" s="18" t="s">
        <v>5416</v>
      </c>
      <c r="O69" s="18"/>
      <c r="P69" s="18">
        <f>VLOOKUP($A69,MasterData!$C$1:$I$1995,1,FALSE)</f>
        <v>7570</v>
      </c>
      <c r="Q69" s="18" t="str">
        <f t="shared" si="2"/>
        <v>PURNA2025-AKL2</v>
      </c>
    </row>
    <row r="70" ht="15.75" hidden="1" customHeight="1">
      <c r="A70" s="15">
        <v>7602.0</v>
      </c>
      <c r="B70" s="22" t="s">
        <v>5596</v>
      </c>
      <c r="C70" s="16" t="s">
        <v>5597</v>
      </c>
      <c r="D70" s="18" t="s">
        <v>5598</v>
      </c>
      <c r="E70" s="18" t="s">
        <v>103</v>
      </c>
      <c r="F70" s="19" t="str">
        <f t="shared" si="1"/>
        <v>PURNA2025-AKL2</v>
      </c>
      <c r="G70" s="19" t="s">
        <v>5408</v>
      </c>
      <c r="H70" s="20" t="s">
        <v>14</v>
      </c>
      <c r="I70" s="19" t="s">
        <v>5409</v>
      </c>
      <c r="J70" s="19" t="s">
        <v>5410</v>
      </c>
      <c r="K70" s="21" t="s">
        <v>5464</v>
      </c>
      <c r="L70" s="19" t="s">
        <v>5574</v>
      </c>
      <c r="M70" s="16" t="s">
        <v>102</v>
      </c>
      <c r="N70" s="18" t="s">
        <v>5416</v>
      </c>
      <c r="O70" s="18"/>
      <c r="P70" s="18">
        <f>VLOOKUP($A70,MasterData!$C$1:$I$1995,1,FALSE)</f>
        <v>7602</v>
      </c>
      <c r="Q70" s="18" t="str">
        <f t="shared" si="2"/>
        <v>PURNA2025-AKL2</v>
      </c>
    </row>
    <row r="71" ht="15.75" hidden="1" customHeight="1">
      <c r="A71" s="15">
        <v>7611.0</v>
      </c>
      <c r="B71" s="22" t="s">
        <v>5599</v>
      </c>
      <c r="C71" s="16" t="s">
        <v>5600</v>
      </c>
      <c r="D71" s="18" t="s">
        <v>5601</v>
      </c>
      <c r="E71" s="18" t="s">
        <v>105</v>
      </c>
      <c r="F71" s="19" t="str">
        <f t="shared" si="1"/>
        <v>PURNA2025-AKL2</v>
      </c>
      <c r="G71" s="19" t="s">
        <v>5408</v>
      </c>
      <c r="H71" s="20" t="s">
        <v>14</v>
      </c>
      <c r="I71" s="19" t="s">
        <v>5409</v>
      </c>
      <c r="J71" s="19" t="s">
        <v>5410</v>
      </c>
      <c r="K71" s="21" t="s">
        <v>5464</v>
      </c>
      <c r="L71" s="19" t="s">
        <v>5574</v>
      </c>
      <c r="M71" s="16" t="s">
        <v>104</v>
      </c>
      <c r="N71" s="18" t="s">
        <v>5416</v>
      </c>
      <c r="O71" s="18"/>
      <c r="P71" s="18">
        <f>VLOOKUP($A71,MasterData!$C$1:$I$1995,1,FALSE)</f>
        <v>7611</v>
      </c>
      <c r="Q71" s="18" t="str">
        <f t="shared" si="2"/>
        <v>PURNA2025-AKL2</v>
      </c>
    </row>
    <row r="72" ht="15.75" hidden="1" customHeight="1">
      <c r="A72" s="15">
        <v>7617.0</v>
      </c>
      <c r="B72" s="22" t="s">
        <v>5602</v>
      </c>
      <c r="C72" s="16" t="s">
        <v>5603</v>
      </c>
      <c r="D72" s="18" t="s">
        <v>5604</v>
      </c>
      <c r="E72" s="18" t="s">
        <v>107</v>
      </c>
      <c r="F72" s="19" t="str">
        <f t="shared" si="1"/>
        <v>PURNA2025-AKL2</v>
      </c>
      <c r="G72" s="19" t="s">
        <v>5408</v>
      </c>
      <c r="H72" s="20" t="s">
        <v>14</v>
      </c>
      <c r="I72" s="19" t="s">
        <v>5409</v>
      </c>
      <c r="J72" s="19" t="s">
        <v>5410</v>
      </c>
      <c r="K72" s="21" t="s">
        <v>5464</v>
      </c>
      <c r="L72" s="19" t="s">
        <v>5574</v>
      </c>
      <c r="M72" s="16" t="s">
        <v>106</v>
      </c>
      <c r="N72" s="18" t="s">
        <v>5416</v>
      </c>
      <c r="O72" s="18"/>
      <c r="P72" s="18">
        <f>VLOOKUP($A72,MasterData!$C$1:$I$1995,1,FALSE)</f>
        <v>7617</v>
      </c>
      <c r="Q72" s="18" t="str">
        <f t="shared" si="2"/>
        <v>PURNA2025-AKL2</v>
      </c>
    </row>
    <row r="73" ht="15.75" hidden="1" customHeight="1">
      <c r="A73" s="15">
        <v>7618.0</v>
      </c>
      <c r="B73" s="22" t="s">
        <v>5605</v>
      </c>
      <c r="C73" s="16" t="s">
        <v>5606</v>
      </c>
      <c r="D73" s="18" t="s">
        <v>5607</v>
      </c>
      <c r="E73" s="18" t="s">
        <v>109</v>
      </c>
      <c r="F73" s="19" t="str">
        <f t="shared" si="1"/>
        <v>PURNA2025-AKL2</v>
      </c>
      <c r="G73" s="19" t="s">
        <v>5408</v>
      </c>
      <c r="H73" s="20" t="s">
        <v>14</v>
      </c>
      <c r="I73" s="19" t="s">
        <v>5409</v>
      </c>
      <c r="J73" s="19" t="s">
        <v>5410</v>
      </c>
      <c r="K73" s="21" t="s">
        <v>5464</v>
      </c>
      <c r="L73" s="19" t="s">
        <v>5574</v>
      </c>
      <c r="M73" s="16" t="s">
        <v>108</v>
      </c>
      <c r="N73" s="18" t="s">
        <v>5416</v>
      </c>
      <c r="O73" s="18"/>
      <c r="P73" s="18">
        <f>VLOOKUP($A73,MasterData!$C$1:$I$1995,1,FALSE)</f>
        <v>7618</v>
      </c>
      <c r="Q73" s="18" t="str">
        <f t="shared" si="2"/>
        <v>PURNA2025-AKL2</v>
      </c>
    </row>
    <row r="74" ht="15.75" hidden="1" customHeight="1">
      <c r="A74" s="15">
        <v>7631.0</v>
      </c>
      <c r="B74" s="22" t="s">
        <v>5608</v>
      </c>
      <c r="C74" s="16" t="s">
        <v>5609</v>
      </c>
      <c r="D74" s="18" t="s">
        <v>5610</v>
      </c>
      <c r="E74" s="18" t="s">
        <v>111</v>
      </c>
      <c r="F74" s="19" t="str">
        <f t="shared" si="1"/>
        <v>PURNA2025-AKL2</v>
      </c>
      <c r="G74" s="19" t="s">
        <v>5408</v>
      </c>
      <c r="H74" s="20" t="s">
        <v>14</v>
      </c>
      <c r="I74" s="19" t="s">
        <v>5409</v>
      </c>
      <c r="J74" s="19" t="s">
        <v>5410</v>
      </c>
      <c r="K74" s="21" t="s">
        <v>5464</v>
      </c>
      <c r="L74" s="19" t="s">
        <v>5574</v>
      </c>
      <c r="M74" s="16" t="s">
        <v>110</v>
      </c>
      <c r="N74" s="18" t="s">
        <v>5416</v>
      </c>
      <c r="O74" s="18"/>
      <c r="P74" s="18">
        <f>VLOOKUP($A74,MasterData!$C$1:$I$1995,1,FALSE)</f>
        <v>7631</v>
      </c>
      <c r="Q74" s="18" t="str">
        <f t="shared" si="2"/>
        <v>PURNA2025-AKL2</v>
      </c>
    </row>
    <row r="75" ht="15.75" hidden="1" customHeight="1">
      <c r="A75" s="15">
        <v>7647.0</v>
      </c>
      <c r="B75" s="22" t="s">
        <v>5611</v>
      </c>
      <c r="C75" s="16" t="s">
        <v>5612</v>
      </c>
      <c r="D75" s="18" t="s">
        <v>5613</v>
      </c>
      <c r="E75" s="18" t="s">
        <v>113</v>
      </c>
      <c r="F75" s="19" t="str">
        <f t="shared" si="1"/>
        <v>PURNA2025-AKL2</v>
      </c>
      <c r="G75" s="19" t="s">
        <v>5408</v>
      </c>
      <c r="H75" s="20" t="s">
        <v>14</v>
      </c>
      <c r="I75" s="19" t="s">
        <v>5409</v>
      </c>
      <c r="J75" s="19" t="s">
        <v>5410</v>
      </c>
      <c r="K75" s="21" t="s">
        <v>5464</v>
      </c>
      <c r="L75" s="19" t="s">
        <v>5574</v>
      </c>
      <c r="M75" s="16" t="s">
        <v>112</v>
      </c>
      <c r="N75" s="18" t="s">
        <v>5416</v>
      </c>
      <c r="O75" s="18"/>
      <c r="P75" s="18">
        <f>VLOOKUP($A75,MasterData!$C$1:$I$1995,1,FALSE)</f>
        <v>7647</v>
      </c>
      <c r="Q75" s="18" t="str">
        <f t="shared" si="2"/>
        <v>PURNA2025-AKL2</v>
      </c>
    </row>
    <row r="76" ht="15.75" hidden="1" customHeight="1">
      <c r="A76" s="15">
        <v>7658.0</v>
      </c>
      <c r="B76" s="22" t="s">
        <v>5614</v>
      </c>
      <c r="C76" s="16" t="s">
        <v>5615</v>
      </c>
      <c r="D76" s="18" t="s">
        <v>5616</v>
      </c>
      <c r="E76" s="18" t="s">
        <v>115</v>
      </c>
      <c r="F76" s="19" t="str">
        <f t="shared" si="1"/>
        <v>PURNA2025-AKL2</v>
      </c>
      <c r="G76" s="19" t="s">
        <v>5408</v>
      </c>
      <c r="H76" s="20" t="s">
        <v>14</v>
      </c>
      <c r="I76" s="19" t="s">
        <v>5409</v>
      </c>
      <c r="J76" s="19" t="s">
        <v>5410</v>
      </c>
      <c r="K76" s="21" t="s">
        <v>5464</v>
      </c>
      <c r="L76" s="19" t="s">
        <v>5574</v>
      </c>
      <c r="M76" s="16" t="s">
        <v>114</v>
      </c>
      <c r="N76" s="18" t="s">
        <v>5416</v>
      </c>
      <c r="O76" s="18"/>
      <c r="P76" s="18">
        <f>VLOOKUP($A76,MasterData!$C$1:$I$1995,1,FALSE)</f>
        <v>7658</v>
      </c>
      <c r="Q76" s="18" t="str">
        <f t="shared" si="2"/>
        <v>PURNA2025-AKL2</v>
      </c>
    </row>
    <row r="77" ht="15.75" hidden="1" customHeight="1">
      <c r="A77" s="15">
        <v>7666.0</v>
      </c>
      <c r="B77" s="22" t="s">
        <v>5617</v>
      </c>
      <c r="C77" s="26" t="s">
        <v>5618</v>
      </c>
      <c r="D77" s="18" t="s">
        <v>5619</v>
      </c>
      <c r="E77" s="18" t="s">
        <v>117</v>
      </c>
      <c r="F77" s="19" t="str">
        <f t="shared" si="1"/>
        <v>PURNA2025-AKL2</v>
      </c>
      <c r="G77" s="19" t="s">
        <v>5408</v>
      </c>
      <c r="H77" s="20" t="s">
        <v>14</v>
      </c>
      <c r="I77" s="19" t="s">
        <v>5409</v>
      </c>
      <c r="J77" s="19" t="s">
        <v>5410</v>
      </c>
      <c r="K77" s="21" t="s">
        <v>5464</v>
      </c>
      <c r="L77" s="19" t="s">
        <v>5574</v>
      </c>
      <c r="M77" s="16" t="s">
        <v>116</v>
      </c>
      <c r="N77" s="18" t="s">
        <v>5416</v>
      </c>
      <c r="O77" s="18"/>
      <c r="P77" s="18">
        <f>VLOOKUP($A77,MasterData!$C$1:$I$1995,1,FALSE)</f>
        <v>7666</v>
      </c>
      <c r="Q77" s="18" t="str">
        <f t="shared" si="2"/>
        <v>PURNA2025-AKL2</v>
      </c>
    </row>
    <row r="78" ht="15.75" hidden="1" customHeight="1">
      <c r="A78" s="15">
        <v>7681.0</v>
      </c>
      <c r="B78" s="22" t="s">
        <v>5620</v>
      </c>
      <c r="C78" s="16" t="s">
        <v>5621</v>
      </c>
      <c r="D78" s="18" t="s">
        <v>5622</v>
      </c>
      <c r="E78" s="18" t="s">
        <v>119</v>
      </c>
      <c r="F78" s="19" t="str">
        <f t="shared" si="1"/>
        <v>PURNA2025-AKL2</v>
      </c>
      <c r="G78" s="19" t="s">
        <v>5408</v>
      </c>
      <c r="H78" s="20" t="s">
        <v>14</v>
      </c>
      <c r="I78" s="19" t="s">
        <v>5409</v>
      </c>
      <c r="J78" s="19" t="s">
        <v>5410</v>
      </c>
      <c r="K78" s="21" t="s">
        <v>5464</v>
      </c>
      <c r="L78" s="19" t="s">
        <v>5574</v>
      </c>
      <c r="M78" s="16" t="s">
        <v>118</v>
      </c>
      <c r="N78" s="18" t="s">
        <v>5416</v>
      </c>
      <c r="O78" s="18"/>
      <c r="P78" s="18">
        <f>VLOOKUP($A78,MasterData!$C$1:$I$1995,1,FALSE)</f>
        <v>7681</v>
      </c>
      <c r="Q78" s="18" t="str">
        <f t="shared" si="2"/>
        <v>PURNA2025-AKL2</v>
      </c>
    </row>
    <row r="79" ht="15.75" hidden="1" customHeight="1">
      <c r="A79" s="15">
        <v>7688.0</v>
      </c>
      <c r="B79" s="22" t="s">
        <v>5623</v>
      </c>
      <c r="C79" s="16" t="s">
        <v>5624</v>
      </c>
      <c r="D79" s="18" t="s">
        <v>5625</v>
      </c>
      <c r="E79" s="18" t="s">
        <v>121</v>
      </c>
      <c r="F79" s="19" t="str">
        <f t="shared" si="1"/>
        <v>PURNA2025-AKL2</v>
      </c>
      <c r="G79" s="19" t="s">
        <v>5408</v>
      </c>
      <c r="H79" s="20" t="s">
        <v>14</v>
      </c>
      <c r="I79" s="19" t="s">
        <v>5409</v>
      </c>
      <c r="J79" s="19" t="s">
        <v>5410</v>
      </c>
      <c r="K79" s="21" t="s">
        <v>5464</v>
      </c>
      <c r="L79" s="19" t="s">
        <v>5574</v>
      </c>
      <c r="M79" s="16" t="s">
        <v>120</v>
      </c>
      <c r="N79" s="18" t="s">
        <v>5416</v>
      </c>
      <c r="O79" s="18"/>
      <c r="P79" s="18">
        <f>VLOOKUP($A79,MasterData!$C$1:$I$1995,1,FALSE)</f>
        <v>7688</v>
      </c>
      <c r="Q79" s="18" t="str">
        <f t="shared" si="2"/>
        <v>PURNA2025-AKL2</v>
      </c>
    </row>
    <row r="80" ht="15.75" hidden="1" customHeight="1">
      <c r="A80" s="15">
        <v>7699.0</v>
      </c>
      <c r="B80" s="22" t="s">
        <v>5626</v>
      </c>
      <c r="C80" s="16" t="s">
        <v>5627</v>
      </c>
      <c r="D80" s="18" t="s">
        <v>5628</v>
      </c>
      <c r="E80" s="18" t="s">
        <v>123</v>
      </c>
      <c r="F80" s="19" t="str">
        <f t="shared" si="1"/>
        <v>PURNA2025-AKL2</v>
      </c>
      <c r="G80" s="19" t="s">
        <v>5408</v>
      </c>
      <c r="H80" s="20" t="s">
        <v>14</v>
      </c>
      <c r="I80" s="19" t="s">
        <v>5409</v>
      </c>
      <c r="J80" s="19" t="s">
        <v>5410</v>
      </c>
      <c r="K80" s="21" t="s">
        <v>5464</v>
      </c>
      <c r="L80" s="19" t="s">
        <v>5574</v>
      </c>
      <c r="M80" s="16" t="s">
        <v>122</v>
      </c>
      <c r="N80" s="18" t="s">
        <v>5416</v>
      </c>
      <c r="O80" s="18"/>
      <c r="P80" s="18">
        <f>VLOOKUP($A80,MasterData!$C$1:$I$1995,1,FALSE)</f>
        <v>7699</v>
      </c>
      <c r="Q80" s="18" t="str">
        <f t="shared" si="2"/>
        <v>PURNA2025-AKL2</v>
      </c>
    </row>
    <row r="81" ht="15.75" hidden="1" customHeight="1">
      <c r="A81" s="15">
        <v>7723.0</v>
      </c>
      <c r="B81" s="22" t="s">
        <v>5629</v>
      </c>
      <c r="C81" s="16" t="s">
        <v>5630</v>
      </c>
      <c r="D81" s="18" t="s">
        <v>5631</v>
      </c>
      <c r="E81" s="18" t="s">
        <v>125</v>
      </c>
      <c r="F81" s="19" t="str">
        <f t="shared" si="1"/>
        <v>PURNA2025-AKL2</v>
      </c>
      <c r="G81" s="19" t="s">
        <v>5408</v>
      </c>
      <c r="H81" s="20" t="s">
        <v>14</v>
      </c>
      <c r="I81" s="19" t="s">
        <v>5409</v>
      </c>
      <c r="J81" s="19" t="s">
        <v>5410</v>
      </c>
      <c r="K81" s="21" t="s">
        <v>5464</v>
      </c>
      <c r="L81" s="19" t="s">
        <v>5574</v>
      </c>
      <c r="M81" s="16" t="s">
        <v>124</v>
      </c>
      <c r="N81" s="18" t="s">
        <v>5416</v>
      </c>
      <c r="O81" s="18"/>
      <c r="P81" s="18">
        <f>VLOOKUP($A81,MasterData!$C$1:$I$1995,1,FALSE)</f>
        <v>7723</v>
      </c>
      <c r="Q81" s="18" t="str">
        <f t="shared" si="2"/>
        <v>PURNA2025-AKL2</v>
      </c>
    </row>
    <row r="82" ht="15.75" hidden="1" customHeight="1">
      <c r="A82" s="15">
        <v>7730.0</v>
      </c>
      <c r="B82" s="22" t="s">
        <v>5632</v>
      </c>
      <c r="C82" s="16" t="s">
        <v>5633</v>
      </c>
      <c r="D82" s="18" t="s">
        <v>5634</v>
      </c>
      <c r="E82" s="18" t="s">
        <v>127</v>
      </c>
      <c r="F82" s="19" t="str">
        <f t="shared" si="1"/>
        <v>PURNA2025-AKL2</v>
      </c>
      <c r="G82" s="19" t="s">
        <v>5408</v>
      </c>
      <c r="H82" s="20" t="s">
        <v>14</v>
      </c>
      <c r="I82" s="19" t="s">
        <v>5409</v>
      </c>
      <c r="J82" s="19" t="s">
        <v>5410</v>
      </c>
      <c r="K82" s="21" t="s">
        <v>5464</v>
      </c>
      <c r="L82" s="19" t="s">
        <v>5574</v>
      </c>
      <c r="M82" s="16" t="s">
        <v>126</v>
      </c>
      <c r="N82" s="18" t="s">
        <v>5416</v>
      </c>
      <c r="O82" s="18"/>
      <c r="P82" s="18">
        <f>VLOOKUP($A82,MasterData!$C$1:$I$1995,1,FALSE)</f>
        <v>7730</v>
      </c>
      <c r="Q82" s="18" t="str">
        <f t="shared" si="2"/>
        <v>PURNA2025-AKL2</v>
      </c>
    </row>
    <row r="83" ht="15.75" hidden="1" customHeight="1">
      <c r="A83" s="15">
        <v>7733.0</v>
      </c>
      <c r="B83" s="22" t="s">
        <v>5635</v>
      </c>
      <c r="C83" s="16" t="s">
        <v>5636</v>
      </c>
      <c r="D83" s="18" t="s">
        <v>5637</v>
      </c>
      <c r="E83" s="18" t="s">
        <v>129</v>
      </c>
      <c r="F83" s="19" t="str">
        <f t="shared" si="1"/>
        <v>PURNA2025-AKL2</v>
      </c>
      <c r="G83" s="19" t="s">
        <v>5408</v>
      </c>
      <c r="H83" s="20" t="s">
        <v>14</v>
      </c>
      <c r="I83" s="19" t="s">
        <v>5409</v>
      </c>
      <c r="J83" s="19" t="s">
        <v>5410</v>
      </c>
      <c r="K83" s="21" t="s">
        <v>5464</v>
      </c>
      <c r="L83" s="19" t="s">
        <v>5574</v>
      </c>
      <c r="M83" s="16" t="s">
        <v>128</v>
      </c>
      <c r="N83" s="18" t="s">
        <v>5416</v>
      </c>
      <c r="O83" s="18"/>
      <c r="P83" s="18">
        <f>VLOOKUP($A83,MasterData!$C$1:$I$1995,1,FALSE)</f>
        <v>7733</v>
      </c>
      <c r="Q83" s="18" t="str">
        <f t="shared" si="2"/>
        <v>PURNA2025-AKL2</v>
      </c>
    </row>
    <row r="84" ht="15.75" hidden="1" customHeight="1">
      <c r="A84" s="15">
        <v>7774.0</v>
      </c>
      <c r="B84" s="22" t="s">
        <v>5638</v>
      </c>
      <c r="C84" s="16" t="s">
        <v>5639</v>
      </c>
      <c r="D84" s="18" t="s">
        <v>5640</v>
      </c>
      <c r="E84" s="18" t="s">
        <v>131</v>
      </c>
      <c r="F84" s="19" t="str">
        <f t="shared" si="1"/>
        <v>PURNA2025-AKL2</v>
      </c>
      <c r="G84" s="19" t="s">
        <v>5408</v>
      </c>
      <c r="H84" s="20" t="s">
        <v>14</v>
      </c>
      <c r="I84" s="19" t="s">
        <v>5409</v>
      </c>
      <c r="J84" s="19" t="s">
        <v>5410</v>
      </c>
      <c r="K84" s="21" t="s">
        <v>5464</v>
      </c>
      <c r="L84" s="19" t="s">
        <v>5574</v>
      </c>
      <c r="M84" s="16" t="s">
        <v>130</v>
      </c>
      <c r="N84" s="18" t="s">
        <v>5416</v>
      </c>
      <c r="O84" s="18"/>
      <c r="P84" s="18">
        <f>VLOOKUP($A84,MasterData!$C$1:$I$1995,1,FALSE)</f>
        <v>7774</v>
      </c>
      <c r="Q84" s="18" t="str">
        <f t="shared" si="2"/>
        <v>PURNA2025-AKL2</v>
      </c>
    </row>
    <row r="85" ht="15.75" hidden="1" customHeight="1">
      <c r="A85" s="15">
        <v>7788.0</v>
      </c>
      <c r="B85" s="22" t="s">
        <v>5641</v>
      </c>
      <c r="C85" s="16" t="s">
        <v>5642</v>
      </c>
      <c r="D85" s="18" t="s">
        <v>5643</v>
      </c>
      <c r="E85" s="18" t="s">
        <v>133</v>
      </c>
      <c r="F85" s="19" t="str">
        <f t="shared" si="1"/>
        <v>PURNA2025-AKL2</v>
      </c>
      <c r="G85" s="19" t="s">
        <v>5408</v>
      </c>
      <c r="H85" s="20" t="s">
        <v>14</v>
      </c>
      <c r="I85" s="19" t="s">
        <v>5409</v>
      </c>
      <c r="J85" s="19" t="s">
        <v>5410</v>
      </c>
      <c r="K85" s="21" t="s">
        <v>5464</v>
      </c>
      <c r="L85" s="19" t="s">
        <v>5574</v>
      </c>
      <c r="M85" s="16" t="s">
        <v>132</v>
      </c>
      <c r="N85" s="18" t="s">
        <v>5416</v>
      </c>
      <c r="O85" s="18"/>
      <c r="P85" s="18">
        <f>VLOOKUP($A85,MasterData!$C$1:$I$1995,1,FALSE)</f>
        <v>7788</v>
      </c>
      <c r="Q85" s="18" t="str">
        <f t="shared" si="2"/>
        <v>PURNA2025-AKL2</v>
      </c>
    </row>
    <row r="86" ht="15.75" hidden="1" customHeight="1">
      <c r="A86" s="15">
        <v>7819.0</v>
      </c>
      <c r="B86" s="22" t="s">
        <v>5644</v>
      </c>
      <c r="C86" s="16" t="s">
        <v>5645</v>
      </c>
      <c r="D86" s="18" t="s">
        <v>5646</v>
      </c>
      <c r="E86" s="18" t="s">
        <v>135</v>
      </c>
      <c r="F86" s="19" t="str">
        <f t="shared" si="1"/>
        <v>PURNA2025-AKL2</v>
      </c>
      <c r="G86" s="19" t="s">
        <v>5408</v>
      </c>
      <c r="H86" s="20" t="s">
        <v>14</v>
      </c>
      <c r="I86" s="19" t="s">
        <v>5409</v>
      </c>
      <c r="J86" s="19" t="s">
        <v>5410</v>
      </c>
      <c r="K86" s="21" t="s">
        <v>5464</v>
      </c>
      <c r="L86" s="19" t="s">
        <v>5574</v>
      </c>
      <c r="M86" s="16" t="s">
        <v>134</v>
      </c>
      <c r="N86" s="18" t="s">
        <v>5416</v>
      </c>
      <c r="O86" s="18"/>
      <c r="P86" s="18">
        <f>VLOOKUP($A86,MasterData!$C$1:$I$1995,1,FALSE)</f>
        <v>7819</v>
      </c>
      <c r="Q86" s="18" t="str">
        <f t="shared" si="2"/>
        <v>PURNA2025-AKL2</v>
      </c>
    </row>
    <row r="87" ht="15.75" hidden="1" customHeight="1">
      <c r="A87" s="15">
        <v>7824.0</v>
      </c>
      <c r="B87" s="22" t="s">
        <v>5647</v>
      </c>
      <c r="C87" s="16" t="s">
        <v>5648</v>
      </c>
      <c r="D87" s="18" t="s">
        <v>5649</v>
      </c>
      <c r="E87" s="18" t="s">
        <v>137</v>
      </c>
      <c r="F87" s="19" t="str">
        <f t="shared" si="1"/>
        <v>PURNA2025-AKL2</v>
      </c>
      <c r="G87" s="19" t="s">
        <v>5408</v>
      </c>
      <c r="H87" s="20" t="s">
        <v>14</v>
      </c>
      <c r="I87" s="19" t="s">
        <v>5409</v>
      </c>
      <c r="J87" s="19" t="s">
        <v>5410</v>
      </c>
      <c r="K87" s="21" t="s">
        <v>5464</v>
      </c>
      <c r="L87" s="19" t="s">
        <v>5574</v>
      </c>
      <c r="M87" s="16" t="s">
        <v>136</v>
      </c>
      <c r="N87" s="18" t="s">
        <v>5416</v>
      </c>
      <c r="O87" s="18"/>
      <c r="P87" s="18">
        <f>VLOOKUP($A87,MasterData!$C$1:$I$1995,1,FALSE)</f>
        <v>7824</v>
      </c>
      <c r="Q87" s="18" t="str">
        <f t="shared" si="2"/>
        <v>PURNA2025-AKL2</v>
      </c>
    </row>
    <row r="88" ht="15.75" hidden="1" customHeight="1">
      <c r="A88" s="15">
        <v>7826.0</v>
      </c>
      <c r="B88" s="22" t="s">
        <v>5650</v>
      </c>
      <c r="C88" s="16" t="s">
        <v>5651</v>
      </c>
      <c r="D88" s="18" t="s">
        <v>5652</v>
      </c>
      <c r="E88" s="18" t="s">
        <v>139</v>
      </c>
      <c r="F88" s="19" t="str">
        <f t="shared" si="1"/>
        <v>PURNA2025-AKL2</v>
      </c>
      <c r="G88" s="19" t="s">
        <v>5408</v>
      </c>
      <c r="H88" s="20" t="s">
        <v>14</v>
      </c>
      <c r="I88" s="19" t="s">
        <v>5409</v>
      </c>
      <c r="J88" s="19" t="s">
        <v>5410</v>
      </c>
      <c r="K88" s="21" t="s">
        <v>5464</v>
      </c>
      <c r="L88" s="19" t="s">
        <v>5574</v>
      </c>
      <c r="M88" s="16" t="s">
        <v>138</v>
      </c>
      <c r="N88" s="18" t="s">
        <v>5416</v>
      </c>
      <c r="O88" s="18"/>
      <c r="P88" s="18">
        <f>VLOOKUP($A88,MasterData!$C$1:$I$1995,1,FALSE)</f>
        <v>7826</v>
      </c>
      <c r="Q88" s="18" t="str">
        <f t="shared" si="2"/>
        <v>PURNA2025-AKL2</v>
      </c>
    </row>
    <row r="89" ht="15.75" hidden="1" customHeight="1">
      <c r="A89" s="15">
        <v>7851.0</v>
      </c>
      <c r="B89" s="22" t="s">
        <v>5653</v>
      </c>
      <c r="C89" s="16" t="s">
        <v>5654</v>
      </c>
      <c r="D89" s="18" t="s">
        <v>5655</v>
      </c>
      <c r="E89" s="18" t="s">
        <v>141</v>
      </c>
      <c r="F89" s="19" t="str">
        <f t="shared" si="1"/>
        <v>PURNA2025-AKL2</v>
      </c>
      <c r="G89" s="19" t="s">
        <v>5408</v>
      </c>
      <c r="H89" s="20" t="s">
        <v>14</v>
      </c>
      <c r="I89" s="19" t="s">
        <v>5409</v>
      </c>
      <c r="J89" s="19" t="s">
        <v>5410</v>
      </c>
      <c r="K89" s="21" t="s">
        <v>5464</v>
      </c>
      <c r="L89" s="19" t="s">
        <v>5574</v>
      </c>
      <c r="M89" s="16" t="s">
        <v>140</v>
      </c>
      <c r="N89" s="18" t="s">
        <v>5416</v>
      </c>
      <c r="O89" s="18"/>
      <c r="P89" s="18">
        <f>VLOOKUP($A89,MasterData!$C$1:$I$1995,1,FALSE)</f>
        <v>7851</v>
      </c>
      <c r="Q89" s="18" t="str">
        <f t="shared" si="2"/>
        <v>PURNA2025-AKL2</v>
      </c>
    </row>
    <row r="90" ht="15.75" hidden="1" customHeight="1">
      <c r="A90" s="15">
        <v>7931.0</v>
      </c>
      <c r="B90" s="22" t="s">
        <v>5656</v>
      </c>
      <c r="C90" s="16" t="s">
        <v>5657</v>
      </c>
      <c r="D90" s="18" t="s">
        <v>5658</v>
      </c>
      <c r="E90" s="18" t="s">
        <v>143</v>
      </c>
      <c r="F90" s="19" t="str">
        <f t="shared" si="1"/>
        <v>PURNA2025-AKL2</v>
      </c>
      <c r="G90" s="19" t="s">
        <v>5408</v>
      </c>
      <c r="H90" s="20" t="s">
        <v>14</v>
      </c>
      <c r="I90" s="19" t="s">
        <v>5409</v>
      </c>
      <c r="J90" s="19" t="s">
        <v>5410</v>
      </c>
      <c r="K90" s="21" t="s">
        <v>5464</v>
      </c>
      <c r="L90" s="19" t="s">
        <v>5574</v>
      </c>
      <c r="M90" s="16" t="s">
        <v>142</v>
      </c>
      <c r="N90" s="18" t="s">
        <v>5416</v>
      </c>
      <c r="O90" s="18"/>
      <c r="P90" s="18">
        <f>VLOOKUP($A90,MasterData!$C$1:$I$1995,1,FALSE)</f>
        <v>7931</v>
      </c>
      <c r="Q90" s="18" t="str">
        <f t="shared" si="2"/>
        <v>PURNA2025-AKL2</v>
      </c>
    </row>
    <row r="91" ht="15.75" hidden="1" customHeight="1">
      <c r="A91" s="15">
        <v>7937.0</v>
      </c>
      <c r="B91" s="22" t="s">
        <v>5659</v>
      </c>
      <c r="C91" s="16" t="s">
        <v>5660</v>
      </c>
      <c r="D91" s="18" t="s">
        <v>5661</v>
      </c>
      <c r="E91" s="18" t="s">
        <v>145</v>
      </c>
      <c r="F91" s="19" t="str">
        <f t="shared" si="1"/>
        <v>PURNA2025-AKL2</v>
      </c>
      <c r="G91" s="19" t="s">
        <v>5408</v>
      </c>
      <c r="H91" s="20" t="s">
        <v>14</v>
      </c>
      <c r="I91" s="19" t="s">
        <v>5409</v>
      </c>
      <c r="J91" s="19" t="s">
        <v>5410</v>
      </c>
      <c r="K91" s="21" t="s">
        <v>5464</v>
      </c>
      <c r="L91" s="19" t="s">
        <v>5574</v>
      </c>
      <c r="M91" s="16" t="s">
        <v>144</v>
      </c>
      <c r="N91" s="18" t="s">
        <v>5416</v>
      </c>
      <c r="O91" s="18"/>
      <c r="P91" s="18">
        <f>VLOOKUP($A91,MasterData!$C$1:$I$1995,1,FALSE)</f>
        <v>7937</v>
      </c>
      <c r="Q91" s="18" t="str">
        <f t="shared" si="2"/>
        <v>PURNA2025-AKL2</v>
      </c>
    </row>
    <row r="92" ht="15.75" hidden="1" customHeight="1">
      <c r="A92" s="15">
        <v>7944.0</v>
      </c>
      <c r="B92" s="22" t="s">
        <v>5662</v>
      </c>
      <c r="C92" s="16" t="s">
        <v>5663</v>
      </c>
      <c r="D92" s="18" t="s">
        <v>5664</v>
      </c>
      <c r="E92" s="18" t="s">
        <v>147</v>
      </c>
      <c r="F92" s="19" t="str">
        <f t="shared" si="1"/>
        <v>PURNA2025-AKL2</v>
      </c>
      <c r="G92" s="19" t="s">
        <v>5408</v>
      </c>
      <c r="H92" s="20" t="s">
        <v>14</v>
      </c>
      <c r="I92" s="19" t="s">
        <v>5409</v>
      </c>
      <c r="J92" s="19" t="s">
        <v>5410</v>
      </c>
      <c r="K92" s="21" t="s">
        <v>5464</v>
      </c>
      <c r="L92" s="19" t="s">
        <v>5574</v>
      </c>
      <c r="M92" s="16" t="s">
        <v>146</v>
      </c>
      <c r="N92" s="18" t="s">
        <v>5416</v>
      </c>
      <c r="O92" s="18"/>
      <c r="P92" s="18">
        <f>VLOOKUP($A92,MasterData!$C$1:$I$1995,1,FALSE)</f>
        <v>7944</v>
      </c>
      <c r="Q92" s="18" t="str">
        <f t="shared" si="2"/>
        <v>PURNA2025-AKL2</v>
      </c>
    </row>
    <row r="93" ht="15.75" hidden="1" customHeight="1">
      <c r="A93" s="15">
        <v>7954.0</v>
      </c>
      <c r="B93" s="22" t="s">
        <v>5665</v>
      </c>
      <c r="C93" s="16" t="s">
        <v>5666</v>
      </c>
      <c r="D93" s="18" t="s">
        <v>5667</v>
      </c>
      <c r="E93" s="18" t="s">
        <v>149</v>
      </c>
      <c r="F93" s="19" t="str">
        <f t="shared" si="1"/>
        <v>PURNA2025-AKL2</v>
      </c>
      <c r="G93" s="19" t="s">
        <v>5408</v>
      </c>
      <c r="H93" s="20" t="s">
        <v>14</v>
      </c>
      <c r="I93" s="19" t="s">
        <v>5409</v>
      </c>
      <c r="J93" s="19" t="s">
        <v>5410</v>
      </c>
      <c r="K93" s="21" t="s">
        <v>5464</v>
      </c>
      <c r="L93" s="19" t="s">
        <v>5574</v>
      </c>
      <c r="M93" s="16" t="s">
        <v>148</v>
      </c>
      <c r="N93" s="18" t="s">
        <v>5416</v>
      </c>
      <c r="O93" s="18"/>
      <c r="P93" s="18">
        <f>VLOOKUP($A93,MasterData!$C$1:$I$1995,1,FALSE)</f>
        <v>7954</v>
      </c>
      <c r="Q93" s="18" t="str">
        <f t="shared" si="2"/>
        <v>PURNA2025-AKL2</v>
      </c>
    </row>
    <row r="94" ht="15.75" hidden="1" customHeight="1">
      <c r="A94" s="15">
        <v>7972.0</v>
      </c>
      <c r="B94" s="22" t="s">
        <v>5668</v>
      </c>
      <c r="C94" s="16" t="s">
        <v>5669</v>
      </c>
      <c r="D94" s="18" t="s">
        <v>5670</v>
      </c>
      <c r="E94" s="18" t="s">
        <v>151</v>
      </c>
      <c r="F94" s="19" t="str">
        <f t="shared" si="1"/>
        <v>PURNA2025-AKL2</v>
      </c>
      <c r="G94" s="19" t="s">
        <v>5408</v>
      </c>
      <c r="H94" s="20" t="s">
        <v>14</v>
      </c>
      <c r="I94" s="19" t="s">
        <v>5409</v>
      </c>
      <c r="J94" s="19" t="s">
        <v>5410</v>
      </c>
      <c r="K94" s="21" t="s">
        <v>5464</v>
      </c>
      <c r="L94" s="19" t="s">
        <v>5574</v>
      </c>
      <c r="M94" s="16" t="s">
        <v>150</v>
      </c>
      <c r="N94" s="18" t="s">
        <v>5416</v>
      </c>
      <c r="O94" s="18"/>
      <c r="P94" s="18">
        <f>VLOOKUP($A94,MasterData!$C$1:$I$1995,1,FALSE)</f>
        <v>7972</v>
      </c>
      <c r="Q94" s="18" t="str">
        <f t="shared" si="2"/>
        <v>PURNA2025-AKL2</v>
      </c>
    </row>
    <row r="95" ht="15.75" hidden="1" customHeight="1">
      <c r="A95" s="15">
        <v>7973.0</v>
      </c>
      <c r="B95" s="22" t="s">
        <v>5671</v>
      </c>
      <c r="C95" s="16" t="s">
        <v>5672</v>
      </c>
      <c r="D95" s="18" t="s">
        <v>5673</v>
      </c>
      <c r="E95" s="18" t="s">
        <v>153</v>
      </c>
      <c r="F95" s="19" t="str">
        <f t="shared" si="1"/>
        <v>PURNA2025-AKL2</v>
      </c>
      <c r="G95" s="19" t="s">
        <v>5408</v>
      </c>
      <c r="H95" s="20" t="s">
        <v>14</v>
      </c>
      <c r="I95" s="19" t="s">
        <v>5409</v>
      </c>
      <c r="J95" s="19" t="s">
        <v>5410</v>
      </c>
      <c r="K95" s="21" t="s">
        <v>5464</v>
      </c>
      <c r="L95" s="19" t="s">
        <v>5574</v>
      </c>
      <c r="M95" s="16" t="s">
        <v>152</v>
      </c>
      <c r="N95" s="18" t="s">
        <v>5416</v>
      </c>
      <c r="O95" s="18"/>
      <c r="P95" s="18">
        <f>VLOOKUP($A95,MasterData!$C$1:$I$1995,1,FALSE)</f>
        <v>7973</v>
      </c>
      <c r="Q95" s="18" t="str">
        <f t="shared" si="2"/>
        <v>PURNA2025-AKL2</v>
      </c>
    </row>
    <row r="96" ht="15.75" hidden="1" customHeight="1">
      <c r="A96" s="15">
        <v>7995.0</v>
      </c>
      <c r="B96" s="22" t="s">
        <v>5674</v>
      </c>
      <c r="C96" s="16" t="s">
        <v>5675</v>
      </c>
      <c r="D96" s="18" t="s">
        <v>5676</v>
      </c>
      <c r="E96" s="18" t="s">
        <v>155</v>
      </c>
      <c r="F96" s="19" t="str">
        <f t="shared" si="1"/>
        <v>PURNA2025-AKL2</v>
      </c>
      <c r="G96" s="19" t="s">
        <v>5408</v>
      </c>
      <c r="H96" s="20" t="s">
        <v>14</v>
      </c>
      <c r="I96" s="19" t="s">
        <v>5409</v>
      </c>
      <c r="J96" s="19" t="s">
        <v>5410</v>
      </c>
      <c r="K96" s="21" t="s">
        <v>5464</v>
      </c>
      <c r="L96" s="19" t="s">
        <v>5574</v>
      </c>
      <c r="M96" s="16" t="s">
        <v>154</v>
      </c>
      <c r="N96" s="18" t="s">
        <v>5416</v>
      </c>
      <c r="O96" s="18"/>
      <c r="P96" s="18">
        <f>VLOOKUP($A96,MasterData!$C$1:$I$1995,1,FALSE)</f>
        <v>7995</v>
      </c>
      <c r="Q96" s="18" t="str">
        <f t="shared" si="2"/>
        <v>PURNA2025-AKL2</v>
      </c>
    </row>
    <row r="97" ht="15.75" hidden="1" customHeight="1">
      <c r="A97" s="15">
        <v>8016.0</v>
      </c>
      <c r="B97" s="22" t="s">
        <v>5677</v>
      </c>
      <c r="C97" s="16" t="s">
        <v>5678</v>
      </c>
      <c r="D97" s="18" t="s">
        <v>5679</v>
      </c>
      <c r="E97" s="18" t="s">
        <v>157</v>
      </c>
      <c r="F97" s="19" t="str">
        <f t="shared" si="1"/>
        <v>PURNA2025-AKL2</v>
      </c>
      <c r="G97" s="19" t="s">
        <v>5408</v>
      </c>
      <c r="H97" s="20" t="s">
        <v>14</v>
      </c>
      <c r="I97" s="19" t="s">
        <v>5409</v>
      </c>
      <c r="J97" s="19" t="s">
        <v>5410</v>
      </c>
      <c r="K97" s="21" t="s">
        <v>5464</v>
      </c>
      <c r="L97" s="19" t="s">
        <v>5574</v>
      </c>
      <c r="M97" s="16" t="s">
        <v>156</v>
      </c>
      <c r="N97" s="18" t="s">
        <v>5416</v>
      </c>
      <c r="O97" s="18"/>
      <c r="P97" s="18">
        <f>VLOOKUP($A97,MasterData!$C$1:$I$1995,1,FALSE)</f>
        <v>8016</v>
      </c>
      <c r="Q97" s="18" t="str">
        <f t="shared" si="2"/>
        <v>PURNA2025-AKL2</v>
      </c>
    </row>
    <row r="98" ht="15.75" hidden="1" customHeight="1">
      <c r="A98" s="15">
        <v>7420.0</v>
      </c>
      <c r="B98" s="22" t="s">
        <v>5680</v>
      </c>
      <c r="C98" s="16" t="s">
        <v>5681</v>
      </c>
      <c r="D98" s="18" t="s">
        <v>5682</v>
      </c>
      <c r="E98" s="18" t="s">
        <v>159</v>
      </c>
      <c r="F98" s="19" t="str">
        <f t="shared" si="1"/>
        <v>PURNA2025-AKL3</v>
      </c>
      <c r="G98" s="19" t="s">
        <v>5408</v>
      </c>
      <c r="H98" s="20" t="s">
        <v>14</v>
      </c>
      <c r="I98" s="19" t="s">
        <v>5409</v>
      </c>
      <c r="J98" s="19" t="s">
        <v>5410</v>
      </c>
      <c r="K98" s="21" t="s">
        <v>5464</v>
      </c>
      <c r="L98" s="19" t="s">
        <v>5683</v>
      </c>
      <c r="M98" s="16" t="s">
        <v>158</v>
      </c>
      <c r="N98" s="18" t="s">
        <v>5416</v>
      </c>
      <c r="O98" s="18"/>
      <c r="P98" s="18">
        <f>VLOOKUP($A98,MasterData!$C$1:$I$1995,1,FALSE)</f>
        <v>7420</v>
      </c>
      <c r="Q98" s="18" t="str">
        <f t="shared" si="2"/>
        <v>PURNA2025-AKL3</v>
      </c>
    </row>
    <row r="99" ht="15.75" hidden="1" customHeight="1">
      <c r="A99" s="15">
        <v>7442.0</v>
      </c>
      <c r="B99" s="22" t="s">
        <v>5684</v>
      </c>
      <c r="C99" s="16" t="s">
        <v>5685</v>
      </c>
      <c r="D99" s="18" t="s">
        <v>5686</v>
      </c>
      <c r="E99" s="18" t="s">
        <v>161</v>
      </c>
      <c r="F99" s="19" t="str">
        <f t="shared" si="1"/>
        <v>PURNA2025-AKL3</v>
      </c>
      <c r="G99" s="19" t="s">
        <v>5408</v>
      </c>
      <c r="H99" s="20" t="s">
        <v>14</v>
      </c>
      <c r="I99" s="19" t="s">
        <v>5409</v>
      </c>
      <c r="J99" s="19" t="s">
        <v>5410</v>
      </c>
      <c r="K99" s="21" t="s">
        <v>5464</v>
      </c>
      <c r="L99" s="19" t="s">
        <v>5683</v>
      </c>
      <c r="M99" s="16" t="s">
        <v>160</v>
      </c>
      <c r="N99" s="18" t="s">
        <v>5416</v>
      </c>
      <c r="O99" s="18"/>
      <c r="P99" s="18">
        <f>VLOOKUP($A99,MasterData!$C$1:$I$1995,1,FALSE)</f>
        <v>7442</v>
      </c>
      <c r="Q99" s="18" t="str">
        <f t="shared" si="2"/>
        <v>PURNA2025-AKL3</v>
      </c>
    </row>
    <row r="100" ht="15.75" hidden="1" customHeight="1">
      <c r="A100" s="15">
        <v>7455.0</v>
      </c>
      <c r="B100" s="22" t="s">
        <v>5687</v>
      </c>
      <c r="C100" s="16" t="s">
        <v>5688</v>
      </c>
      <c r="D100" s="18" t="s">
        <v>5689</v>
      </c>
      <c r="E100" s="18" t="s">
        <v>163</v>
      </c>
      <c r="F100" s="19" t="str">
        <f t="shared" si="1"/>
        <v>PURNA2025-AKL3</v>
      </c>
      <c r="G100" s="19" t="s">
        <v>5408</v>
      </c>
      <c r="H100" s="20" t="s">
        <v>14</v>
      </c>
      <c r="I100" s="19" t="s">
        <v>5409</v>
      </c>
      <c r="J100" s="19" t="s">
        <v>5410</v>
      </c>
      <c r="K100" s="21" t="s">
        <v>5464</v>
      </c>
      <c r="L100" s="19" t="s">
        <v>5683</v>
      </c>
      <c r="M100" s="16" t="s">
        <v>162</v>
      </c>
      <c r="N100" s="18" t="s">
        <v>5416</v>
      </c>
      <c r="O100" s="18"/>
      <c r="P100" s="18">
        <f>VLOOKUP($A100,MasterData!$C$1:$I$1995,1,FALSE)</f>
        <v>7455</v>
      </c>
      <c r="Q100" s="18" t="str">
        <f t="shared" si="2"/>
        <v>PURNA2025-AKL3</v>
      </c>
    </row>
    <row r="101" ht="15.75" hidden="1" customHeight="1">
      <c r="A101" s="15">
        <v>7457.0</v>
      </c>
      <c r="B101" s="22" t="s">
        <v>5690</v>
      </c>
      <c r="C101" s="16" t="s">
        <v>5691</v>
      </c>
      <c r="D101" s="18" t="s">
        <v>5692</v>
      </c>
      <c r="E101" s="18" t="s">
        <v>165</v>
      </c>
      <c r="F101" s="19" t="str">
        <f t="shared" si="1"/>
        <v>PURNA2025-AKL3</v>
      </c>
      <c r="G101" s="19" t="s">
        <v>5408</v>
      </c>
      <c r="H101" s="20" t="s">
        <v>14</v>
      </c>
      <c r="I101" s="19" t="s">
        <v>5409</v>
      </c>
      <c r="J101" s="19" t="s">
        <v>5410</v>
      </c>
      <c r="K101" s="21" t="s">
        <v>5464</v>
      </c>
      <c r="L101" s="19" t="s">
        <v>5683</v>
      </c>
      <c r="M101" s="16" t="s">
        <v>164</v>
      </c>
      <c r="N101" s="18" t="s">
        <v>5416</v>
      </c>
      <c r="O101" s="18"/>
      <c r="P101" s="18">
        <f>VLOOKUP($A101,MasterData!$C$1:$I$1995,1,FALSE)</f>
        <v>7457</v>
      </c>
      <c r="Q101" s="18" t="str">
        <f t="shared" si="2"/>
        <v>PURNA2025-AKL3</v>
      </c>
    </row>
    <row r="102" ht="15.75" hidden="1" customHeight="1">
      <c r="A102" s="15">
        <v>7461.0</v>
      </c>
      <c r="B102" s="22" t="s">
        <v>5693</v>
      </c>
      <c r="C102" s="16" t="s">
        <v>5694</v>
      </c>
      <c r="D102" s="18" t="s">
        <v>5695</v>
      </c>
      <c r="E102" s="18" t="s">
        <v>167</v>
      </c>
      <c r="F102" s="19" t="str">
        <f t="shared" si="1"/>
        <v>PURNA2025-AKL3</v>
      </c>
      <c r="G102" s="19" t="s">
        <v>5408</v>
      </c>
      <c r="H102" s="20" t="s">
        <v>14</v>
      </c>
      <c r="I102" s="19" t="s">
        <v>5409</v>
      </c>
      <c r="J102" s="19" t="s">
        <v>5410</v>
      </c>
      <c r="K102" s="21" t="s">
        <v>5464</v>
      </c>
      <c r="L102" s="19" t="s">
        <v>5683</v>
      </c>
      <c r="M102" s="16" t="s">
        <v>166</v>
      </c>
      <c r="N102" s="18" t="s">
        <v>5416</v>
      </c>
      <c r="O102" s="18"/>
      <c r="P102" s="18">
        <f>VLOOKUP($A102,MasterData!$C$1:$I$1995,1,FALSE)</f>
        <v>7461</v>
      </c>
      <c r="Q102" s="18" t="str">
        <f t="shared" si="2"/>
        <v>PURNA2025-AKL3</v>
      </c>
    </row>
    <row r="103" ht="15.75" hidden="1" customHeight="1">
      <c r="A103" s="15">
        <v>7462.0</v>
      </c>
      <c r="B103" s="22" t="s">
        <v>5696</v>
      </c>
      <c r="C103" s="16" t="s">
        <v>5697</v>
      </c>
      <c r="D103" s="18" t="s">
        <v>5698</v>
      </c>
      <c r="E103" s="18" t="s">
        <v>169</v>
      </c>
      <c r="F103" s="19" t="str">
        <f t="shared" si="1"/>
        <v>PURNA2025-AKL3</v>
      </c>
      <c r="G103" s="19" t="s">
        <v>5408</v>
      </c>
      <c r="H103" s="20" t="s">
        <v>14</v>
      </c>
      <c r="I103" s="19" t="s">
        <v>5409</v>
      </c>
      <c r="J103" s="19" t="s">
        <v>5410</v>
      </c>
      <c r="K103" s="21" t="s">
        <v>5464</v>
      </c>
      <c r="L103" s="19" t="s">
        <v>5683</v>
      </c>
      <c r="M103" s="16" t="s">
        <v>168</v>
      </c>
      <c r="N103" s="18" t="s">
        <v>5416</v>
      </c>
      <c r="O103" s="18"/>
      <c r="P103" s="18">
        <f>VLOOKUP($A103,MasterData!$C$1:$I$1995,1,FALSE)</f>
        <v>7462</v>
      </c>
      <c r="Q103" s="18" t="str">
        <f t="shared" si="2"/>
        <v>PURNA2025-AKL3</v>
      </c>
    </row>
    <row r="104" ht="15.75" hidden="1" customHeight="1">
      <c r="A104" s="15">
        <v>7478.0</v>
      </c>
      <c r="B104" s="22" t="s">
        <v>5699</v>
      </c>
      <c r="C104" s="26" t="s">
        <v>5700</v>
      </c>
      <c r="D104" s="18" t="s">
        <v>5701</v>
      </c>
      <c r="E104" s="18" t="s">
        <v>171</v>
      </c>
      <c r="F104" s="19" t="str">
        <f t="shared" si="1"/>
        <v>PURNA2025-AKL3</v>
      </c>
      <c r="G104" s="19" t="s">
        <v>5408</v>
      </c>
      <c r="H104" s="20" t="s">
        <v>14</v>
      </c>
      <c r="I104" s="19" t="s">
        <v>5409</v>
      </c>
      <c r="J104" s="19" t="s">
        <v>5410</v>
      </c>
      <c r="K104" s="21" t="s">
        <v>5464</v>
      </c>
      <c r="L104" s="19" t="s">
        <v>5683</v>
      </c>
      <c r="M104" s="16" t="s">
        <v>170</v>
      </c>
      <c r="N104" s="18" t="s">
        <v>5416</v>
      </c>
      <c r="O104" s="18"/>
      <c r="P104" s="18">
        <f>VLOOKUP($A104,MasterData!$C$1:$I$1995,1,FALSE)</f>
        <v>7478</v>
      </c>
      <c r="Q104" s="18" t="str">
        <f t="shared" si="2"/>
        <v>PURNA2025-AKL3</v>
      </c>
    </row>
    <row r="105" ht="15.75" hidden="1" customHeight="1">
      <c r="A105" s="15">
        <v>7513.0</v>
      </c>
      <c r="B105" s="22" t="s">
        <v>5702</v>
      </c>
      <c r="C105" s="16" t="s">
        <v>5703</v>
      </c>
      <c r="D105" s="18" t="s">
        <v>5704</v>
      </c>
      <c r="E105" s="18" t="s">
        <v>173</v>
      </c>
      <c r="F105" s="19" t="str">
        <f t="shared" si="1"/>
        <v>PURNA2025-AKL3</v>
      </c>
      <c r="G105" s="19" t="s">
        <v>5408</v>
      </c>
      <c r="H105" s="20" t="s">
        <v>14</v>
      </c>
      <c r="I105" s="19" t="s">
        <v>5409</v>
      </c>
      <c r="J105" s="19" t="s">
        <v>5410</v>
      </c>
      <c r="K105" s="21" t="s">
        <v>5464</v>
      </c>
      <c r="L105" s="19" t="s">
        <v>5683</v>
      </c>
      <c r="M105" s="16" t="s">
        <v>172</v>
      </c>
      <c r="N105" s="18" t="s">
        <v>5416</v>
      </c>
      <c r="O105" s="18"/>
      <c r="P105" s="18">
        <f>VLOOKUP($A105,MasterData!$C$1:$I$1995,1,FALSE)</f>
        <v>7513</v>
      </c>
      <c r="Q105" s="18" t="str">
        <f t="shared" si="2"/>
        <v>PURNA2025-AKL3</v>
      </c>
    </row>
    <row r="106" ht="15.75" hidden="1" customHeight="1">
      <c r="A106" s="15">
        <v>7530.0</v>
      </c>
      <c r="B106" s="22" t="s">
        <v>5705</v>
      </c>
      <c r="C106" s="16" t="s">
        <v>5706</v>
      </c>
      <c r="D106" s="18" t="s">
        <v>5707</v>
      </c>
      <c r="E106" s="18" t="s">
        <v>175</v>
      </c>
      <c r="F106" s="19" t="str">
        <f t="shared" si="1"/>
        <v>PURNA2025-AKL3</v>
      </c>
      <c r="G106" s="19" t="s">
        <v>5408</v>
      </c>
      <c r="H106" s="20" t="s">
        <v>14</v>
      </c>
      <c r="I106" s="19" t="s">
        <v>5409</v>
      </c>
      <c r="J106" s="19" t="s">
        <v>5410</v>
      </c>
      <c r="K106" s="21" t="s">
        <v>5464</v>
      </c>
      <c r="L106" s="19" t="s">
        <v>5683</v>
      </c>
      <c r="M106" s="16" t="s">
        <v>174</v>
      </c>
      <c r="N106" s="18" t="s">
        <v>5416</v>
      </c>
      <c r="O106" s="18"/>
      <c r="P106" s="18">
        <f>VLOOKUP($A106,MasterData!$C$1:$I$1995,1,FALSE)</f>
        <v>7530</v>
      </c>
      <c r="Q106" s="18" t="str">
        <f t="shared" si="2"/>
        <v>PURNA2025-AKL3</v>
      </c>
    </row>
    <row r="107" ht="15.75" hidden="1" customHeight="1">
      <c r="A107" s="15">
        <v>7534.0</v>
      </c>
      <c r="B107" s="22" t="s">
        <v>5708</v>
      </c>
      <c r="C107" s="16" t="s">
        <v>5709</v>
      </c>
      <c r="D107" s="18" t="s">
        <v>5710</v>
      </c>
      <c r="E107" s="18" t="s">
        <v>177</v>
      </c>
      <c r="F107" s="19" t="str">
        <f t="shared" si="1"/>
        <v>PURNA2025-AKL3</v>
      </c>
      <c r="G107" s="19" t="s">
        <v>5408</v>
      </c>
      <c r="H107" s="20" t="s">
        <v>14</v>
      </c>
      <c r="I107" s="19" t="s">
        <v>5409</v>
      </c>
      <c r="J107" s="19" t="s">
        <v>5410</v>
      </c>
      <c r="K107" s="21" t="s">
        <v>5464</v>
      </c>
      <c r="L107" s="19" t="s">
        <v>5683</v>
      </c>
      <c r="M107" s="16" t="s">
        <v>176</v>
      </c>
      <c r="N107" s="18" t="s">
        <v>5416</v>
      </c>
      <c r="O107" s="18"/>
      <c r="P107" s="18">
        <f>VLOOKUP($A107,MasterData!$C$1:$I$1995,1,FALSE)</f>
        <v>7534</v>
      </c>
      <c r="Q107" s="18" t="str">
        <f t="shared" si="2"/>
        <v>PURNA2025-AKL3</v>
      </c>
    </row>
    <row r="108" ht="15.75" hidden="1" customHeight="1">
      <c r="A108" s="15">
        <v>7547.0</v>
      </c>
      <c r="B108" s="22" t="s">
        <v>5711</v>
      </c>
      <c r="C108" s="16" t="s">
        <v>5712</v>
      </c>
      <c r="D108" s="18" t="s">
        <v>5713</v>
      </c>
      <c r="E108" s="18" t="s">
        <v>179</v>
      </c>
      <c r="F108" s="19" t="str">
        <f t="shared" si="1"/>
        <v>PURNA2025-AKL3</v>
      </c>
      <c r="G108" s="19" t="s">
        <v>5408</v>
      </c>
      <c r="H108" s="20" t="s">
        <v>14</v>
      </c>
      <c r="I108" s="19" t="s">
        <v>5409</v>
      </c>
      <c r="J108" s="19" t="s">
        <v>5410</v>
      </c>
      <c r="K108" s="21" t="s">
        <v>5464</v>
      </c>
      <c r="L108" s="19" t="s">
        <v>5683</v>
      </c>
      <c r="M108" s="16" t="s">
        <v>178</v>
      </c>
      <c r="N108" s="18" t="s">
        <v>5416</v>
      </c>
      <c r="O108" s="18"/>
      <c r="P108" s="18">
        <f>VLOOKUP($A108,MasterData!$C$1:$I$1995,1,FALSE)</f>
        <v>7547</v>
      </c>
      <c r="Q108" s="18" t="str">
        <f t="shared" si="2"/>
        <v>PURNA2025-AKL3</v>
      </c>
    </row>
    <row r="109" ht="15.75" hidden="1" customHeight="1">
      <c r="A109" s="15">
        <v>7564.0</v>
      </c>
      <c r="B109" s="22" t="s">
        <v>5714</v>
      </c>
      <c r="C109" s="16" t="s">
        <v>5715</v>
      </c>
      <c r="D109" s="18" t="s">
        <v>5716</v>
      </c>
      <c r="E109" s="18" t="s">
        <v>181</v>
      </c>
      <c r="F109" s="19" t="str">
        <f t="shared" si="1"/>
        <v>PURNA2025-AKL3</v>
      </c>
      <c r="G109" s="19" t="s">
        <v>5408</v>
      </c>
      <c r="H109" s="20" t="s">
        <v>14</v>
      </c>
      <c r="I109" s="19" t="s">
        <v>5409</v>
      </c>
      <c r="J109" s="19" t="s">
        <v>5410</v>
      </c>
      <c r="K109" s="21" t="s">
        <v>5464</v>
      </c>
      <c r="L109" s="19" t="s">
        <v>5683</v>
      </c>
      <c r="M109" s="16" t="s">
        <v>180</v>
      </c>
      <c r="N109" s="18" t="s">
        <v>5416</v>
      </c>
      <c r="O109" s="18"/>
      <c r="P109" s="18">
        <f>VLOOKUP($A109,MasterData!$C$1:$I$1995,1,FALSE)</f>
        <v>7564</v>
      </c>
      <c r="Q109" s="18" t="str">
        <f t="shared" si="2"/>
        <v>PURNA2025-AKL3</v>
      </c>
    </row>
    <row r="110" ht="15.75" hidden="1" customHeight="1">
      <c r="A110" s="15">
        <v>7567.0</v>
      </c>
      <c r="B110" s="22" t="s">
        <v>5717</v>
      </c>
      <c r="C110" s="16" t="s">
        <v>5718</v>
      </c>
      <c r="D110" s="18" t="s">
        <v>5719</v>
      </c>
      <c r="E110" s="18" t="s">
        <v>183</v>
      </c>
      <c r="F110" s="19" t="str">
        <f t="shared" si="1"/>
        <v>PURNA2025-AKL3</v>
      </c>
      <c r="G110" s="19" t="s">
        <v>5408</v>
      </c>
      <c r="H110" s="20" t="s">
        <v>14</v>
      </c>
      <c r="I110" s="19" t="s">
        <v>5409</v>
      </c>
      <c r="J110" s="19" t="s">
        <v>5410</v>
      </c>
      <c r="K110" s="21" t="s">
        <v>5464</v>
      </c>
      <c r="L110" s="19" t="s">
        <v>5683</v>
      </c>
      <c r="M110" s="16" t="s">
        <v>182</v>
      </c>
      <c r="N110" s="18" t="s">
        <v>5416</v>
      </c>
      <c r="O110" s="18"/>
      <c r="P110" s="18">
        <f>VLOOKUP($A110,MasterData!$C$1:$I$1995,1,FALSE)</f>
        <v>7567</v>
      </c>
      <c r="Q110" s="18" t="str">
        <f t="shared" si="2"/>
        <v>PURNA2025-AKL3</v>
      </c>
    </row>
    <row r="111" ht="15.75" hidden="1" customHeight="1">
      <c r="A111" s="15">
        <v>7586.0</v>
      </c>
      <c r="B111" s="22" t="s">
        <v>5720</v>
      </c>
      <c r="C111" s="16" t="s">
        <v>5721</v>
      </c>
      <c r="D111" s="18" t="s">
        <v>5722</v>
      </c>
      <c r="E111" s="18" t="s">
        <v>185</v>
      </c>
      <c r="F111" s="19" t="str">
        <f t="shared" si="1"/>
        <v>PURNA2025-AKL3</v>
      </c>
      <c r="G111" s="19" t="s">
        <v>5408</v>
      </c>
      <c r="H111" s="20" t="s">
        <v>14</v>
      </c>
      <c r="I111" s="19" t="s">
        <v>5409</v>
      </c>
      <c r="J111" s="19" t="s">
        <v>5410</v>
      </c>
      <c r="K111" s="21" t="s">
        <v>5464</v>
      </c>
      <c r="L111" s="19" t="s">
        <v>5683</v>
      </c>
      <c r="M111" s="16" t="s">
        <v>184</v>
      </c>
      <c r="N111" s="18" t="s">
        <v>5416</v>
      </c>
      <c r="O111" s="18"/>
      <c r="P111" s="18">
        <f>VLOOKUP($A111,MasterData!$C$1:$I$1995,1,FALSE)</f>
        <v>7586</v>
      </c>
      <c r="Q111" s="18" t="str">
        <f t="shared" si="2"/>
        <v>PURNA2025-AKL3</v>
      </c>
    </row>
    <row r="112" ht="15.75" hidden="1" customHeight="1">
      <c r="A112" s="15">
        <v>7638.0</v>
      </c>
      <c r="B112" s="22" t="s">
        <v>5723</v>
      </c>
      <c r="C112" s="16" t="s">
        <v>5724</v>
      </c>
      <c r="D112" s="18" t="s">
        <v>5725</v>
      </c>
      <c r="E112" s="18" t="s">
        <v>187</v>
      </c>
      <c r="F112" s="19" t="str">
        <f t="shared" si="1"/>
        <v>PURNA2025-AKL3</v>
      </c>
      <c r="G112" s="19" t="s">
        <v>5408</v>
      </c>
      <c r="H112" s="20" t="s">
        <v>14</v>
      </c>
      <c r="I112" s="19" t="s">
        <v>5409</v>
      </c>
      <c r="J112" s="19" t="s">
        <v>5410</v>
      </c>
      <c r="K112" s="21" t="s">
        <v>5464</v>
      </c>
      <c r="L112" s="19" t="s">
        <v>5683</v>
      </c>
      <c r="M112" s="16" t="s">
        <v>186</v>
      </c>
      <c r="N112" s="18" t="s">
        <v>5416</v>
      </c>
      <c r="O112" s="18"/>
      <c r="P112" s="18">
        <f>VLOOKUP($A112,MasterData!$C$1:$I$1995,1,FALSE)</f>
        <v>7638</v>
      </c>
      <c r="Q112" s="18" t="str">
        <f t="shared" si="2"/>
        <v>PURNA2025-AKL3</v>
      </c>
    </row>
    <row r="113" ht="15.75" hidden="1" customHeight="1">
      <c r="A113" s="15">
        <v>7660.0</v>
      </c>
      <c r="B113" s="22" t="s">
        <v>5726</v>
      </c>
      <c r="C113" s="16" t="s">
        <v>5727</v>
      </c>
      <c r="D113" s="18" t="s">
        <v>5728</v>
      </c>
      <c r="E113" s="18" t="s">
        <v>189</v>
      </c>
      <c r="F113" s="19" t="str">
        <f t="shared" si="1"/>
        <v>PURNA2025-AKL3</v>
      </c>
      <c r="G113" s="19" t="s">
        <v>5408</v>
      </c>
      <c r="H113" s="20" t="s">
        <v>14</v>
      </c>
      <c r="I113" s="19" t="s">
        <v>5409</v>
      </c>
      <c r="J113" s="19" t="s">
        <v>5410</v>
      </c>
      <c r="K113" s="21" t="s">
        <v>5464</v>
      </c>
      <c r="L113" s="19" t="s">
        <v>5683</v>
      </c>
      <c r="M113" s="16" t="s">
        <v>188</v>
      </c>
      <c r="N113" s="18" t="s">
        <v>5416</v>
      </c>
      <c r="O113" s="18"/>
      <c r="P113" s="18">
        <f>VLOOKUP($A113,MasterData!$C$1:$I$1995,1,FALSE)</f>
        <v>7660</v>
      </c>
      <c r="Q113" s="18" t="str">
        <f t="shared" si="2"/>
        <v>PURNA2025-AKL3</v>
      </c>
    </row>
    <row r="114" ht="15.75" hidden="1" customHeight="1">
      <c r="A114" s="15">
        <v>7665.0</v>
      </c>
      <c r="B114" s="22" t="s">
        <v>5729</v>
      </c>
      <c r="C114" s="16" t="s">
        <v>5730</v>
      </c>
      <c r="D114" s="18" t="s">
        <v>5731</v>
      </c>
      <c r="E114" s="18" t="s">
        <v>191</v>
      </c>
      <c r="F114" s="19" t="str">
        <f t="shared" si="1"/>
        <v>PURNA2025-AKL3</v>
      </c>
      <c r="G114" s="19" t="s">
        <v>5408</v>
      </c>
      <c r="H114" s="20" t="s">
        <v>14</v>
      </c>
      <c r="I114" s="19" t="s">
        <v>5409</v>
      </c>
      <c r="J114" s="19" t="s">
        <v>5410</v>
      </c>
      <c r="K114" s="21" t="s">
        <v>5464</v>
      </c>
      <c r="L114" s="19" t="s">
        <v>5683</v>
      </c>
      <c r="M114" s="16" t="s">
        <v>190</v>
      </c>
      <c r="N114" s="18" t="s">
        <v>5416</v>
      </c>
      <c r="O114" s="18"/>
      <c r="P114" s="18">
        <f>VLOOKUP($A114,MasterData!$C$1:$I$1995,1,FALSE)</f>
        <v>7665</v>
      </c>
      <c r="Q114" s="18" t="str">
        <f t="shared" si="2"/>
        <v>PURNA2025-AKL3</v>
      </c>
    </row>
    <row r="115" ht="15.75" hidden="1" customHeight="1">
      <c r="A115" s="15">
        <v>7690.0</v>
      </c>
      <c r="B115" s="22" t="s">
        <v>5732</v>
      </c>
      <c r="C115" s="16" t="s">
        <v>5733</v>
      </c>
      <c r="D115" s="18" t="s">
        <v>5734</v>
      </c>
      <c r="E115" s="18" t="s">
        <v>193</v>
      </c>
      <c r="F115" s="19" t="str">
        <f t="shared" si="1"/>
        <v>PURNA2025-AKL3</v>
      </c>
      <c r="G115" s="19" t="s">
        <v>5408</v>
      </c>
      <c r="H115" s="20" t="s">
        <v>14</v>
      </c>
      <c r="I115" s="19" t="s">
        <v>5409</v>
      </c>
      <c r="J115" s="19" t="s">
        <v>5410</v>
      </c>
      <c r="K115" s="21" t="s">
        <v>5464</v>
      </c>
      <c r="L115" s="19" t="s">
        <v>5683</v>
      </c>
      <c r="M115" s="16" t="s">
        <v>192</v>
      </c>
      <c r="N115" s="18" t="s">
        <v>5416</v>
      </c>
      <c r="O115" s="18"/>
      <c r="P115" s="18">
        <f>VLOOKUP($A115,MasterData!$C$1:$I$1995,1,FALSE)</f>
        <v>7690</v>
      </c>
      <c r="Q115" s="18" t="str">
        <f t="shared" si="2"/>
        <v>PURNA2025-AKL3</v>
      </c>
    </row>
    <row r="116" ht="15.75" hidden="1" customHeight="1">
      <c r="A116" s="15">
        <v>7701.0</v>
      </c>
      <c r="B116" s="22" t="s">
        <v>5735</v>
      </c>
      <c r="C116" s="16" t="s">
        <v>5736</v>
      </c>
      <c r="D116" s="18" t="s">
        <v>5737</v>
      </c>
      <c r="E116" s="18" t="s">
        <v>195</v>
      </c>
      <c r="F116" s="19" t="str">
        <f t="shared" si="1"/>
        <v>PURNA2025-AKL3</v>
      </c>
      <c r="G116" s="19" t="s">
        <v>5408</v>
      </c>
      <c r="H116" s="20" t="s">
        <v>14</v>
      </c>
      <c r="I116" s="19" t="s">
        <v>5409</v>
      </c>
      <c r="J116" s="19" t="s">
        <v>5410</v>
      </c>
      <c r="K116" s="21" t="s">
        <v>5464</v>
      </c>
      <c r="L116" s="19" t="s">
        <v>5683</v>
      </c>
      <c r="M116" s="16" t="s">
        <v>194</v>
      </c>
      <c r="N116" s="18" t="s">
        <v>5416</v>
      </c>
      <c r="O116" s="18"/>
      <c r="P116" s="18">
        <f>VLOOKUP($A116,MasterData!$C$1:$I$1995,1,FALSE)</f>
        <v>7701</v>
      </c>
      <c r="Q116" s="18" t="str">
        <f t="shared" si="2"/>
        <v>PURNA2025-AKL3</v>
      </c>
    </row>
    <row r="117" ht="15.75" hidden="1" customHeight="1">
      <c r="A117" s="15">
        <v>7718.0</v>
      </c>
      <c r="B117" s="22" t="s">
        <v>5738</v>
      </c>
      <c r="C117" s="16" t="s">
        <v>5739</v>
      </c>
      <c r="D117" s="18" t="s">
        <v>5740</v>
      </c>
      <c r="E117" s="18" t="s">
        <v>197</v>
      </c>
      <c r="F117" s="19" t="str">
        <f t="shared" si="1"/>
        <v>PURNA2025-AKL3</v>
      </c>
      <c r="G117" s="19" t="s">
        <v>5408</v>
      </c>
      <c r="H117" s="20" t="s">
        <v>14</v>
      </c>
      <c r="I117" s="19" t="s">
        <v>5409</v>
      </c>
      <c r="J117" s="19" t="s">
        <v>5410</v>
      </c>
      <c r="K117" s="21" t="s">
        <v>5464</v>
      </c>
      <c r="L117" s="19" t="s">
        <v>5683</v>
      </c>
      <c r="M117" s="16" t="s">
        <v>196</v>
      </c>
      <c r="N117" s="18" t="s">
        <v>5416</v>
      </c>
      <c r="O117" s="18"/>
      <c r="P117" s="18">
        <f>VLOOKUP($A117,MasterData!$C$1:$I$1995,1,FALSE)</f>
        <v>7718</v>
      </c>
      <c r="Q117" s="18" t="str">
        <f t="shared" si="2"/>
        <v>PURNA2025-AKL3</v>
      </c>
    </row>
    <row r="118" ht="15.75" hidden="1" customHeight="1">
      <c r="A118" s="15">
        <v>7719.0</v>
      </c>
      <c r="B118" s="22" t="s">
        <v>5741</v>
      </c>
      <c r="C118" s="16" t="s">
        <v>5742</v>
      </c>
      <c r="D118" s="18" t="s">
        <v>5743</v>
      </c>
      <c r="E118" s="18" t="s">
        <v>199</v>
      </c>
      <c r="F118" s="19" t="str">
        <f t="shared" si="1"/>
        <v>PURNA2025-AKL3</v>
      </c>
      <c r="G118" s="19" t="s">
        <v>5408</v>
      </c>
      <c r="H118" s="20" t="s">
        <v>14</v>
      </c>
      <c r="I118" s="19" t="s">
        <v>5409</v>
      </c>
      <c r="J118" s="19" t="s">
        <v>5410</v>
      </c>
      <c r="K118" s="21" t="s">
        <v>5464</v>
      </c>
      <c r="L118" s="19" t="s">
        <v>5683</v>
      </c>
      <c r="M118" s="16" t="s">
        <v>198</v>
      </c>
      <c r="N118" s="18" t="s">
        <v>5416</v>
      </c>
      <c r="O118" s="18"/>
      <c r="P118" s="18">
        <f>VLOOKUP($A118,MasterData!$C$1:$I$1995,1,FALSE)</f>
        <v>7719</v>
      </c>
      <c r="Q118" s="18" t="str">
        <f t="shared" si="2"/>
        <v>PURNA2025-AKL3</v>
      </c>
    </row>
    <row r="119" ht="15.75" hidden="1" customHeight="1">
      <c r="A119" s="15">
        <v>7726.0</v>
      </c>
      <c r="B119" s="22" t="s">
        <v>5744</v>
      </c>
      <c r="C119" s="16" t="s">
        <v>5745</v>
      </c>
      <c r="D119" s="18" t="s">
        <v>5746</v>
      </c>
      <c r="E119" s="18" t="s">
        <v>201</v>
      </c>
      <c r="F119" s="19" t="str">
        <f t="shared" si="1"/>
        <v>PURNA2025-AKL3</v>
      </c>
      <c r="G119" s="19" t="s">
        <v>5408</v>
      </c>
      <c r="H119" s="20" t="s">
        <v>14</v>
      </c>
      <c r="I119" s="19" t="s">
        <v>5409</v>
      </c>
      <c r="J119" s="19" t="s">
        <v>5410</v>
      </c>
      <c r="K119" s="21" t="s">
        <v>5464</v>
      </c>
      <c r="L119" s="19" t="s">
        <v>5683</v>
      </c>
      <c r="M119" s="16" t="s">
        <v>200</v>
      </c>
      <c r="N119" s="18" t="s">
        <v>5416</v>
      </c>
      <c r="O119" s="18"/>
      <c r="P119" s="18">
        <f>VLOOKUP($A119,MasterData!$C$1:$I$1995,1,FALSE)</f>
        <v>7726</v>
      </c>
      <c r="Q119" s="18" t="str">
        <f t="shared" si="2"/>
        <v>PURNA2025-AKL3</v>
      </c>
    </row>
    <row r="120" ht="15.75" hidden="1" customHeight="1">
      <c r="A120" s="15">
        <v>7729.0</v>
      </c>
      <c r="B120" s="22" t="s">
        <v>5747</v>
      </c>
      <c r="C120" s="16" t="s">
        <v>5748</v>
      </c>
      <c r="D120" s="18" t="s">
        <v>5749</v>
      </c>
      <c r="E120" s="18" t="s">
        <v>203</v>
      </c>
      <c r="F120" s="19" t="str">
        <f t="shared" si="1"/>
        <v>PURNA2025-AKL3</v>
      </c>
      <c r="G120" s="19" t="s">
        <v>5408</v>
      </c>
      <c r="H120" s="20" t="s">
        <v>14</v>
      </c>
      <c r="I120" s="19" t="s">
        <v>5409</v>
      </c>
      <c r="J120" s="19" t="s">
        <v>5410</v>
      </c>
      <c r="K120" s="21" t="s">
        <v>5464</v>
      </c>
      <c r="L120" s="19" t="s">
        <v>5683</v>
      </c>
      <c r="M120" s="16" t="s">
        <v>202</v>
      </c>
      <c r="N120" s="18" t="s">
        <v>5416</v>
      </c>
      <c r="O120" s="18"/>
      <c r="P120" s="18">
        <f>VLOOKUP($A120,MasterData!$C$1:$I$1995,1,FALSE)</f>
        <v>7729</v>
      </c>
      <c r="Q120" s="18" t="str">
        <f t="shared" si="2"/>
        <v>PURNA2025-AKL3</v>
      </c>
    </row>
    <row r="121" ht="15.75" hidden="1" customHeight="1">
      <c r="A121" s="15">
        <v>7808.0</v>
      </c>
      <c r="B121" s="22" t="s">
        <v>5750</v>
      </c>
      <c r="C121" s="16" t="s">
        <v>5751</v>
      </c>
      <c r="D121" s="18" t="s">
        <v>5752</v>
      </c>
      <c r="E121" s="18" t="s">
        <v>205</v>
      </c>
      <c r="F121" s="19" t="str">
        <f t="shared" si="1"/>
        <v>PURNA2025-AKL3</v>
      </c>
      <c r="G121" s="19" t="s">
        <v>5408</v>
      </c>
      <c r="H121" s="20" t="s">
        <v>14</v>
      </c>
      <c r="I121" s="19" t="s">
        <v>5409</v>
      </c>
      <c r="J121" s="19" t="s">
        <v>5410</v>
      </c>
      <c r="K121" s="21" t="s">
        <v>5464</v>
      </c>
      <c r="L121" s="19" t="s">
        <v>5683</v>
      </c>
      <c r="M121" s="16" t="s">
        <v>204</v>
      </c>
      <c r="N121" s="18" t="s">
        <v>5416</v>
      </c>
      <c r="O121" s="18"/>
      <c r="P121" s="18">
        <f>VLOOKUP($A121,MasterData!$C$1:$I$1995,1,FALSE)</f>
        <v>7808</v>
      </c>
      <c r="Q121" s="18" t="str">
        <f t="shared" si="2"/>
        <v>PURNA2025-AKL3</v>
      </c>
    </row>
    <row r="122" ht="15.75" hidden="1" customHeight="1">
      <c r="A122" s="15">
        <v>7835.0</v>
      </c>
      <c r="B122" s="22" t="s">
        <v>5753</v>
      </c>
      <c r="C122" s="16" t="s">
        <v>5754</v>
      </c>
      <c r="D122" s="18" t="s">
        <v>5755</v>
      </c>
      <c r="E122" s="18" t="s">
        <v>207</v>
      </c>
      <c r="F122" s="19" t="str">
        <f t="shared" si="1"/>
        <v>PURNA2025-AKL3</v>
      </c>
      <c r="G122" s="19" t="s">
        <v>5408</v>
      </c>
      <c r="H122" s="20" t="s">
        <v>14</v>
      </c>
      <c r="I122" s="19" t="s">
        <v>5409</v>
      </c>
      <c r="J122" s="19" t="s">
        <v>5410</v>
      </c>
      <c r="K122" s="21" t="s">
        <v>5464</v>
      </c>
      <c r="L122" s="19" t="s">
        <v>5683</v>
      </c>
      <c r="M122" s="16" t="s">
        <v>206</v>
      </c>
      <c r="N122" s="18" t="s">
        <v>5416</v>
      </c>
      <c r="O122" s="18"/>
      <c r="P122" s="18">
        <f>VLOOKUP($A122,MasterData!$C$1:$I$1995,1,FALSE)</f>
        <v>7835</v>
      </c>
      <c r="Q122" s="18" t="str">
        <f t="shared" si="2"/>
        <v>PURNA2025-AKL3</v>
      </c>
    </row>
    <row r="123" ht="15.75" hidden="1" customHeight="1">
      <c r="A123" s="15">
        <v>7875.0</v>
      </c>
      <c r="B123" s="22" t="s">
        <v>5756</v>
      </c>
      <c r="C123" s="16" t="s">
        <v>5757</v>
      </c>
      <c r="D123" s="18" t="s">
        <v>5758</v>
      </c>
      <c r="E123" s="18" t="s">
        <v>209</v>
      </c>
      <c r="F123" s="19" t="str">
        <f t="shared" si="1"/>
        <v>PURNA2025-AKL3</v>
      </c>
      <c r="G123" s="19" t="s">
        <v>5408</v>
      </c>
      <c r="H123" s="20" t="s">
        <v>14</v>
      </c>
      <c r="I123" s="19" t="s">
        <v>5409</v>
      </c>
      <c r="J123" s="19" t="s">
        <v>5410</v>
      </c>
      <c r="K123" s="21" t="s">
        <v>5464</v>
      </c>
      <c r="L123" s="19" t="s">
        <v>5683</v>
      </c>
      <c r="M123" s="16" t="s">
        <v>208</v>
      </c>
      <c r="N123" s="18" t="s">
        <v>5416</v>
      </c>
      <c r="O123" s="18"/>
      <c r="P123" s="18">
        <f>VLOOKUP($A123,MasterData!$C$1:$I$1995,1,FALSE)</f>
        <v>7875</v>
      </c>
      <c r="Q123" s="18" t="str">
        <f t="shared" si="2"/>
        <v>PURNA2025-AKL3</v>
      </c>
    </row>
    <row r="124" ht="15.75" hidden="1" customHeight="1">
      <c r="A124" s="15">
        <v>7897.0</v>
      </c>
      <c r="B124" s="22" t="s">
        <v>5759</v>
      </c>
      <c r="C124" s="16" t="s">
        <v>5760</v>
      </c>
      <c r="D124" s="18" t="s">
        <v>5761</v>
      </c>
      <c r="E124" s="18" t="s">
        <v>211</v>
      </c>
      <c r="F124" s="19" t="str">
        <f t="shared" si="1"/>
        <v>PURNA2025-AKL3</v>
      </c>
      <c r="G124" s="19" t="s">
        <v>5408</v>
      </c>
      <c r="H124" s="20" t="s">
        <v>14</v>
      </c>
      <c r="I124" s="19" t="s">
        <v>5409</v>
      </c>
      <c r="J124" s="19" t="s">
        <v>5410</v>
      </c>
      <c r="K124" s="21" t="s">
        <v>5464</v>
      </c>
      <c r="L124" s="19" t="s">
        <v>5683</v>
      </c>
      <c r="M124" s="16" t="s">
        <v>210</v>
      </c>
      <c r="N124" s="18" t="s">
        <v>5416</v>
      </c>
      <c r="O124" s="18"/>
      <c r="P124" s="18">
        <f>VLOOKUP($A124,MasterData!$C$1:$I$1995,1,FALSE)</f>
        <v>7897</v>
      </c>
      <c r="Q124" s="18" t="str">
        <f t="shared" si="2"/>
        <v>PURNA2025-AKL3</v>
      </c>
    </row>
    <row r="125" ht="15.75" hidden="1" customHeight="1">
      <c r="A125" s="15">
        <v>7907.0</v>
      </c>
      <c r="B125" s="22" t="s">
        <v>5762</v>
      </c>
      <c r="C125" s="16" t="s">
        <v>5763</v>
      </c>
      <c r="D125" s="18" t="s">
        <v>5764</v>
      </c>
      <c r="E125" s="18" t="s">
        <v>213</v>
      </c>
      <c r="F125" s="19" t="str">
        <f t="shared" si="1"/>
        <v>PURNA2025-AKL3</v>
      </c>
      <c r="G125" s="19" t="s">
        <v>5408</v>
      </c>
      <c r="H125" s="20" t="s">
        <v>14</v>
      </c>
      <c r="I125" s="19" t="s">
        <v>5409</v>
      </c>
      <c r="J125" s="19" t="s">
        <v>5410</v>
      </c>
      <c r="K125" s="21" t="s">
        <v>5464</v>
      </c>
      <c r="L125" s="19" t="s">
        <v>5683</v>
      </c>
      <c r="M125" s="16" t="s">
        <v>212</v>
      </c>
      <c r="N125" s="18" t="s">
        <v>5416</v>
      </c>
      <c r="O125" s="18"/>
      <c r="P125" s="18">
        <f>VLOOKUP($A125,MasterData!$C$1:$I$1995,1,FALSE)</f>
        <v>7907</v>
      </c>
      <c r="Q125" s="18" t="str">
        <f t="shared" si="2"/>
        <v>PURNA2025-AKL3</v>
      </c>
    </row>
    <row r="126" ht="15.75" hidden="1" customHeight="1">
      <c r="A126" s="15">
        <v>7929.0</v>
      </c>
      <c r="B126" s="22" t="s">
        <v>5765</v>
      </c>
      <c r="C126" s="16" t="s">
        <v>5766</v>
      </c>
      <c r="D126" s="18" t="s">
        <v>5767</v>
      </c>
      <c r="E126" s="18" t="s">
        <v>215</v>
      </c>
      <c r="F126" s="19" t="str">
        <f t="shared" si="1"/>
        <v>PURNA2025-AKL3</v>
      </c>
      <c r="G126" s="19" t="s">
        <v>5408</v>
      </c>
      <c r="H126" s="20" t="s">
        <v>14</v>
      </c>
      <c r="I126" s="19" t="s">
        <v>5409</v>
      </c>
      <c r="J126" s="19" t="s">
        <v>5410</v>
      </c>
      <c r="K126" s="21" t="s">
        <v>5464</v>
      </c>
      <c r="L126" s="19" t="s">
        <v>5683</v>
      </c>
      <c r="M126" s="16" t="s">
        <v>214</v>
      </c>
      <c r="N126" s="18" t="s">
        <v>5416</v>
      </c>
      <c r="O126" s="18"/>
      <c r="P126" s="18">
        <f>VLOOKUP($A126,MasterData!$C$1:$I$1995,1,FALSE)</f>
        <v>7929</v>
      </c>
      <c r="Q126" s="18" t="str">
        <f t="shared" si="2"/>
        <v>PURNA2025-AKL3</v>
      </c>
    </row>
    <row r="127" ht="15.75" hidden="1" customHeight="1">
      <c r="A127" s="15">
        <v>7934.0</v>
      </c>
      <c r="B127" s="22" t="s">
        <v>5768</v>
      </c>
      <c r="C127" s="16" t="s">
        <v>5769</v>
      </c>
      <c r="D127" s="18" t="s">
        <v>5770</v>
      </c>
      <c r="E127" s="18" t="s">
        <v>217</v>
      </c>
      <c r="F127" s="19" t="str">
        <f t="shared" si="1"/>
        <v>PURNA2025-AKL3</v>
      </c>
      <c r="G127" s="19" t="s">
        <v>5408</v>
      </c>
      <c r="H127" s="20" t="s">
        <v>14</v>
      </c>
      <c r="I127" s="19" t="s">
        <v>5409</v>
      </c>
      <c r="J127" s="19" t="s">
        <v>5410</v>
      </c>
      <c r="K127" s="21" t="s">
        <v>5464</v>
      </c>
      <c r="L127" s="19" t="s">
        <v>5683</v>
      </c>
      <c r="M127" s="16" t="s">
        <v>216</v>
      </c>
      <c r="N127" s="18" t="s">
        <v>5416</v>
      </c>
      <c r="O127" s="18"/>
      <c r="P127" s="18">
        <f>VLOOKUP($A127,MasterData!$C$1:$I$1995,1,FALSE)</f>
        <v>7934</v>
      </c>
      <c r="Q127" s="18" t="str">
        <f t="shared" si="2"/>
        <v>PURNA2025-AKL3</v>
      </c>
    </row>
    <row r="128" ht="15.75" hidden="1" customHeight="1">
      <c r="A128" s="15">
        <v>7935.0</v>
      </c>
      <c r="B128" s="22" t="s">
        <v>5771</v>
      </c>
      <c r="C128" s="16" t="s">
        <v>5772</v>
      </c>
      <c r="D128" s="18" t="s">
        <v>5773</v>
      </c>
      <c r="E128" s="18" t="s">
        <v>219</v>
      </c>
      <c r="F128" s="19" t="str">
        <f t="shared" si="1"/>
        <v>PURNA2025-AKL3</v>
      </c>
      <c r="G128" s="19" t="s">
        <v>5408</v>
      </c>
      <c r="H128" s="20" t="s">
        <v>14</v>
      </c>
      <c r="I128" s="19" t="s">
        <v>5409</v>
      </c>
      <c r="J128" s="19" t="s">
        <v>5410</v>
      </c>
      <c r="K128" s="21" t="s">
        <v>5464</v>
      </c>
      <c r="L128" s="19" t="s">
        <v>5683</v>
      </c>
      <c r="M128" s="16" t="s">
        <v>218</v>
      </c>
      <c r="N128" s="18" t="s">
        <v>5416</v>
      </c>
      <c r="O128" s="18"/>
      <c r="P128" s="18">
        <f>VLOOKUP($A128,MasterData!$C$1:$I$1995,1,FALSE)</f>
        <v>7935</v>
      </c>
      <c r="Q128" s="18" t="str">
        <f t="shared" si="2"/>
        <v>PURNA2025-AKL3</v>
      </c>
    </row>
    <row r="129" ht="15.75" hidden="1" customHeight="1">
      <c r="A129" s="15">
        <v>7941.0</v>
      </c>
      <c r="B129" s="22" t="s">
        <v>5774</v>
      </c>
      <c r="C129" s="16" t="s">
        <v>5775</v>
      </c>
      <c r="D129" s="18" t="s">
        <v>5776</v>
      </c>
      <c r="E129" s="18" t="s">
        <v>221</v>
      </c>
      <c r="F129" s="19" t="str">
        <f t="shared" si="1"/>
        <v>PURNA2025-AKL3</v>
      </c>
      <c r="G129" s="19" t="s">
        <v>5408</v>
      </c>
      <c r="H129" s="20" t="s">
        <v>14</v>
      </c>
      <c r="I129" s="19" t="s">
        <v>5409</v>
      </c>
      <c r="J129" s="19" t="s">
        <v>5410</v>
      </c>
      <c r="K129" s="21" t="s">
        <v>5464</v>
      </c>
      <c r="L129" s="19" t="s">
        <v>5683</v>
      </c>
      <c r="M129" s="16" t="s">
        <v>220</v>
      </c>
      <c r="N129" s="18" t="s">
        <v>5416</v>
      </c>
      <c r="O129" s="18"/>
      <c r="P129" s="18">
        <f>VLOOKUP($A129,MasterData!$C$1:$I$1995,1,FALSE)</f>
        <v>7941</v>
      </c>
      <c r="Q129" s="18" t="str">
        <f t="shared" si="2"/>
        <v>PURNA2025-AKL3</v>
      </c>
    </row>
    <row r="130" ht="15.75" hidden="1" customHeight="1">
      <c r="A130" s="15">
        <v>7951.0</v>
      </c>
      <c r="B130" s="22" t="s">
        <v>5777</v>
      </c>
      <c r="C130" s="16" t="s">
        <v>5778</v>
      </c>
      <c r="D130" s="18" t="s">
        <v>5779</v>
      </c>
      <c r="E130" s="18" t="s">
        <v>223</v>
      </c>
      <c r="F130" s="19" t="str">
        <f t="shared" si="1"/>
        <v>PURNA2025-AKL3</v>
      </c>
      <c r="G130" s="19" t="s">
        <v>5408</v>
      </c>
      <c r="H130" s="20" t="s">
        <v>14</v>
      </c>
      <c r="I130" s="19" t="s">
        <v>5409</v>
      </c>
      <c r="J130" s="19" t="s">
        <v>5410</v>
      </c>
      <c r="K130" s="21" t="s">
        <v>5464</v>
      </c>
      <c r="L130" s="19" t="s">
        <v>5683</v>
      </c>
      <c r="M130" s="16" t="s">
        <v>222</v>
      </c>
      <c r="N130" s="18" t="s">
        <v>5416</v>
      </c>
      <c r="O130" s="18"/>
      <c r="P130" s="18">
        <f>VLOOKUP($A130,MasterData!$C$1:$I$1995,1,FALSE)</f>
        <v>7951</v>
      </c>
      <c r="Q130" s="18" t="str">
        <f t="shared" si="2"/>
        <v>PURNA2025-AKL3</v>
      </c>
    </row>
    <row r="131" ht="15.75" hidden="1" customHeight="1">
      <c r="A131" s="15">
        <v>7987.0</v>
      </c>
      <c r="B131" s="22" t="s">
        <v>5780</v>
      </c>
      <c r="C131" s="16" t="s">
        <v>5781</v>
      </c>
      <c r="D131" s="18" t="s">
        <v>5782</v>
      </c>
      <c r="E131" s="18" t="s">
        <v>225</v>
      </c>
      <c r="F131" s="19" t="str">
        <f t="shared" si="1"/>
        <v>PURNA2025-AKL3</v>
      </c>
      <c r="G131" s="19" t="s">
        <v>5408</v>
      </c>
      <c r="H131" s="20" t="s">
        <v>14</v>
      </c>
      <c r="I131" s="19" t="s">
        <v>5409</v>
      </c>
      <c r="J131" s="19" t="s">
        <v>5410</v>
      </c>
      <c r="K131" s="21" t="s">
        <v>5464</v>
      </c>
      <c r="L131" s="19" t="s">
        <v>5683</v>
      </c>
      <c r="M131" s="16" t="s">
        <v>224</v>
      </c>
      <c r="N131" s="18" t="s">
        <v>5416</v>
      </c>
      <c r="O131" s="18"/>
      <c r="P131" s="18">
        <f>VLOOKUP($A131,MasterData!$C$1:$I$1995,1,FALSE)</f>
        <v>7987</v>
      </c>
      <c r="Q131" s="18" t="str">
        <f t="shared" si="2"/>
        <v>PURNA2025-AKL3</v>
      </c>
    </row>
    <row r="132" ht="15.75" hidden="1" customHeight="1">
      <c r="A132" s="15">
        <v>8017.0</v>
      </c>
      <c r="B132" s="22" t="s">
        <v>5783</v>
      </c>
      <c r="C132" s="16" t="s">
        <v>5784</v>
      </c>
      <c r="D132" s="18" t="s">
        <v>5785</v>
      </c>
      <c r="E132" s="18" t="s">
        <v>227</v>
      </c>
      <c r="F132" s="19" t="str">
        <f t="shared" si="1"/>
        <v>PURNA2025-AKL3</v>
      </c>
      <c r="G132" s="19" t="s">
        <v>5408</v>
      </c>
      <c r="H132" s="20" t="s">
        <v>14</v>
      </c>
      <c r="I132" s="19" t="s">
        <v>5409</v>
      </c>
      <c r="J132" s="19" t="s">
        <v>5410</v>
      </c>
      <c r="K132" s="21" t="s">
        <v>5464</v>
      </c>
      <c r="L132" s="19" t="s">
        <v>5683</v>
      </c>
      <c r="M132" s="16" t="s">
        <v>226</v>
      </c>
      <c r="N132" s="18" t="s">
        <v>5416</v>
      </c>
      <c r="O132" s="18"/>
      <c r="P132" s="18">
        <f>VLOOKUP($A132,MasterData!$C$1:$I$1995,1,FALSE)</f>
        <v>8017</v>
      </c>
      <c r="Q132" s="18" t="str">
        <f t="shared" si="2"/>
        <v>PURNA2025-AKL3</v>
      </c>
    </row>
    <row r="133" ht="15.75" hidden="1" customHeight="1">
      <c r="A133" s="15">
        <v>7422.0</v>
      </c>
      <c r="B133" s="22" t="s">
        <v>5786</v>
      </c>
      <c r="C133" s="16" t="s">
        <v>5787</v>
      </c>
      <c r="D133" s="18" t="s">
        <v>5788</v>
      </c>
      <c r="E133" s="18" t="s">
        <v>229</v>
      </c>
      <c r="F133" s="19" t="str">
        <f t="shared" si="1"/>
        <v>PURNA2025-AKL4</v>
      </c>
      <c r="G133" s="19" t="s">
        <v>5408</v>
      </c>
      <c r="H133" s="20" t="s">
        <v>14</v>
      </c>
      <c r="I133" s="19" t="s">
        <v>5409</v>
      </c>
      <c r="J133" s="19" t="s">
        <v>5410</v>
      </c>
      <c r="K133" s="21" t="s">
        <v>5464</v>
      </c>
      <c r="L133" s="19" t="s">
        <v>5789</v>
      </c>
      <c r="M133" s="16" t="s">
        <v>228</v>
      </c>
      <c r="N133" s="18" t="s">
        <v>5416</v>
      </c>
      <c r="O133" s="18"/>
      <c r="P133" s="18">
        <f>VLOOKUP($A133,MasterData!$C$1:$I$1995,1,FALSE)</f>
        <v>7422</v>
      </c>
      <c r="Q133" s="18" t="str">
        <f t="shared" si="2"/>
        <v>PURNA2025-AKL4</v>
      </c>
    </row>
    <row r="134" ht="15.75" hidden="1" customHeight="1">
      <c r="A134" s="15">
        <v>7451.0</v>
      </c>
      <c r="B134" s="22" t="s">
        <v>5790</v>
      </c>
      <c r="C134" s="16" t="s">
        <v>5791</v>
      </c>
      <c r="D134" s="18" t="s">
        <v>5792</v>
      </c>
      <c r="E134" s="18" t="s">
        <v>231</v>
      </c>
      <c r="F134" s="19" t="str">
        <f t="shared" si="1"/>
        <v>PURNA2025-AKL4</v>
      </c>
      <c r="G134" s="19" t="s">
        <v>5408</v>
      </c>
      <c r="H134" s="20" t="s">
        <v>14</v>
      </c>
      <c r="I134" s="19" t="s">
        <v>5409</v>
      </c>
      <c r="J134" s="19" t="s">
        <v>5410</v>
      </c>
      <c r="K134" s="21" t="s">
        <v>5464</v>
      </c>
      <c r="L134" s="19" t="s">
        <v>5789</v>
      </c>
      <c r="M134" s="16" t="s">
        <v>230</v>
      </c>
      <c r="N134" s="18" t="s">
        <v>5416</v>
      </c>
      <c r="O134" s="18"/>
      <c r="P134" s="18">
        <f>VLOOKUP($A134,MasterData!$C$1:$I$1995,1,FALSE)</f>
        <v>7451</v>
      </c>
      <c r="Q134" s="18" t="str">
        <f t="shared" si="2"/>
        <v>PURNA2025-AKL4</v>
      </c>
    </row>
    <row r="135" ht="15.75" hidden="1" customHeight="1">
      <c r="A135" s="15">
        <v>7456.0</v>
      </c>
      <c r="B135" s="22" t="s">
        <v>5793</v>
      </c>
      <c r="C135" s="16" t="s">
        <v>5794</v>
      </c>
      <c r="D135" s="18" t="s">
        <v>5795</v>
      </c>
      <c r="E135" s="18" t="s">
        <v>233</v>
      </c>
      <c r="F135" s="19" t="str">
        <f t="shared" si="1"/>
        <v>PURNA2025-AKL4</v>
      </c>
      <c r="G135" s="19" t="s">
        <v>5408</v>
      </c>
      <c r="H135" s="20" t="s">
        <v>14</v>
      </c>
      <c r="I135" s="19" t="s">
        <v>5409</v>
      </c>
      <c r="J135" s="19" t="s">
        <v>5410</v>
      </c>
      <c r="K135" s="21" t="s">
        <v>5464</v>
      </c>
      <c r="L135" s="19" t="s">
        <v>5789</v>
      </c>
      <c r="M135" s="16" t="s">
        <v>232</v>
      </c>
      <c r="N135" s="18" t="s">
        <v>5416</v>
      </c>
      <c r="O135" s="18"/>
      <c r="P135" s="18">
        <f>VLOOKUP($A135,MasterData!$C$1:$I$1995,1,FALSE)</f>
        <v>7456</v>
      </c>
      <c r="Q135" s="18" t="str">
        <f t="shared" si="2"/>
        <v>PURNA2025-AKL4</v>
      </c>
    </row>
    <row r="136" ht="15.75" hidden="1" customHeight="1">
      <c r="A136" s="15">
        <v>7466.0</v>
      </c>
      <c r="B136" s="22" t="s">
        <v>5796</v>
      </c>
      <c r="C136" s="16" t="s">
        <v>5797</v>
      </c>
      <c r="D136" s="18" t="s">
        <v>5798</v>
      </c>
      <c r="E136" s="18" t="s">
        <v>235</v>
      </c>
      <c r="F136" s="19" t="str">
        <f t="shared" si="1"/>
        <v>PURNA2025-AKL4</v>
      </c>
      <c r="G136" s="19" t="s">
        <v>5408</v>
      </c>
      <c r="H136" s="20" t="s">
        <v>14</v>
      </c>
      <c r="I136" s="19" t="s">
        <v>5409</v>
      </c>
      <c r="J136" s="19" t="s">
        <v>5410</v>
      </c>
      <c r="K136" s="21" t="s">
        <v>5464</v>
      </c>
      <c r="L136" s="19" t="s">
        <v>5789</v>
      </c>
      <c r="M136" s="16" t="s">
        <v>234</v>
      </c>
      <c r="N136" s="18" t="s">
        <v>5416</v>
      </c>
      <c r="O136" s="18"/>
      <c r="P136" s="18">
        <f>VLOOKUP($A136,MasterData!$C$1:$I$1995,1,FALSE)</f>
        <v>7466</v>
      </c>
      <c r="Q136" s="18" t="str">
        <f t="shared" si="2"/>
        <v>PURNA2025-AKL4</v>
      </c>
    </row>
    <row r="137" ht="15.75" hidden="1" customHeight="1">
      <c r="A137" s="15">
        <v>7477.0</v>
      </c>
      <c r="B137" s="22" t="s">
        <v>5799</v>
      </c>
      <c r="C137" s="16" t="s">
        <v>5800</v>
      </c>
      <c r="D137" s="18" t="s">
        <v>5801</v>
      </c>
      <c r="E137" s="18" t="s">
        <v>237</v>
      </c>
      <c r="F137" s="19" t="str">
        <f t="shared" si="1"/>
        <v>PURNA2025-AKL4</v>
      </c>
      <c r="G137" s="19" t="s">
        <v>5408</v>
      </c>
      <c r="H137" s="20" t="s">
        <v>14</v>
      </c>
      <c r="I137" s="19" t="s">
        <v>5409</v>
      </c>
      <c r="J137" s="19" t="s">
        <v>5410</v>
      </c>
      <c r="K137" s="21" t="s">
        <v>5464</v>
      </c>
      <c r="L137" s="19" t="s">
        <v>5789</v>
      </c>
      <c r="M137" s="16" t="s">
        <v>236</v>
      </c>
      <c r="N137" s="18" t="s">
        <v>5416</v>
      </c>
      <c r="O137" s="18"/>
      <c r="P137" s="18">
        <f>VLOOKUP($A137,MasterData!$C$1:$I$1995,1,FALSE)</f>
        <v>7477</v>
      </c>
      <c r="Q137" s="18" t="str">
        <f t="shared" si="2"/>
        <v>PURNA2025-AKL4</v>
      </c>
    </row>
    <row r="138" ht="15.75" hidden="1" customHeight="1">
      <c r="A138" s="15">
        <v>7509.0</v>
      </c>
      <c r="B138" s="22" t="s">
        <v>5802</v>
      </c>
      <c r="C138" s="16" t="s">
        <v>5803</v>
      </c>
      <c r="D138" s="18" t="s">
        <v>5804</v>
      </c>
      <c r="E138" s="18" t="s">
        <v>239</v>
      </c>
      <c r="F138" s="19" t="str">
        <f t="shared" si="1"/>
        <v>PURNA2025-AKL4</v>
      </c>
      <c r="G138" s="19" t="s">
        <v>5408</v>
      </c>
      <c r="H138" s="20" t="s">
        <v>14</v>
      </c>
      <c r="I138" s="19" t="s">
        <v>5409</v>
      </c>
      <c r="J138" s="19" t="s">
        <v>5410</v>
      </c>
      <c r="K138" s="21" t="s">
        <v>5464</v>
      </c>
      <c r="L138" s="19" t="s">
        <v>5789</v>
      </c>
      <c r="M138" s="16" t="s">
        <v>238</v>
      </c>
      <c r="N138" s="18" t="s">
        <v>5416</v>
      </c>
      <c r="O138" s="18"/>
      <c r="P138" s="18">
        <f>VLOOKUP($A138,MasterData!$C$1:$I$1995,1,FALSE)</f>
        <v>7509</v>
      </c>
      <c r="Q138" s="18" t="str">
        <f t="shared" si="2"/>
        <v>PURNA2025-AKL4</v>
      </c>
    </row>
    <row r="139" ht="15.75" hidden="1" customHeight="1">
      <c r="A139" s="15">
        <v>7535.0</v>
      </c>
      <c r="B139" s="22" t="s">
        <v>5805</v>
      </c>
      <c r="C139" s="16" t="s">
        <v>5806</v>
      </c>
      <c r="D139" s="18" t="s">
        <v>5807</v>
      </c>
      <c r="E139" s="18" t="s">
        <v>241</v>
      </c>
      <c r="F139" s="19" t="str">
        <f t="shared" si="1"/>
        <v>PURNA2025-AKL4</v>
      </c>
      <c r="G139" s="19" t="s">
        <v>5408</v>
      </c>
      <c r="H139" s="20" t="s">
        <v>14</v>
      </c>
      <c r="I139" s="19" t="s">
        <v>5409</v>
      </c>
      <c r="J139" s="19" t="s">
        <v>5410</v>
      </c>
      <c r="K139" s="21" t="s">
        <v>5464</v>
      </c>
      <c r="L139" s="19" t="s">
        <v>5789</v>
      </c>
      <c r="M139" s="16" t="s">
        <v>240</v>
      </c>
      <c r="N139" s="18" t="s">
        <v>5416</v>
      </c>
      <c r="O139" s="18"/>
      <c r="P139" s="18">
        <f>VLOOKUP($A139,MasterData!$C$1:$I$1995,1,FALSE)</f>
        <v>7535</v>
      </c>
      <c r="Q139" s="18" t="str">
        <f t="shared" si="2"/>
        <v>PURNA2025-AKL4</v>
      </c>
    </row>
    <row r="140" ht="15.75" hidden="1" customHeight="1">
      <c r="A140" s="15">
        <v>7541.0</v>
      </c>
      <c r="B140" s="22" t="s">
        <v>5808</v>
      </c>
      <c r="C140" s="16" t="s">
        <v>5809</v>
      </c>
      <c r="D140" s="18" t="s">
        <v>5810</v>
      </c>
      <c r="E140" s="18" t="s">
        <v>243</v>
      </c>
      <c r="F140" s="19" t="str">
        <f t="shared" si="1"/>
        <v>PURNA2025-AKL4</v>
      </c>
      <c r="G140" s="19" t="s">
        <v>5408</v>
      </c>
      <c r="H140" s="20" t="s">
        <v>14</v>
      </c>
      <c r="I140" s="19" t="s">
        <v>5409</v>
      </c>
      <c r="J140" s="19" t="s">
        <v>5410</v>
      </c>
      <c r="K140" s="21" t="s">
        <v>5464</v>
      </c>
      <c r="L140" s="19" t="s">
        <v>5789</v>
      </c>
      <c r="M140" s="16" t="s">
        <v>242</v>
      </c>
      <c r="N140" s="18" t="s">
        <v>5416</v>
      </c>
      <c r="O140" s="18"/>
      <c r="P140" s="18">
        <f>VLOOKUP($A140,MasterData!$C$1:$I$1995,1,FALSE)</f>
        <v>7541</v>
      </c>
      <c r="Q140" s="18" t="str">
        <f t="shared" si="2"/>
        <v>PURNA2025-AKL4</v>
      </c>
    </row>
    <row r="141" ht="15.75" hidden="1" customHeight="1">
      <c r="A141" s="15">
        <v>7568.0</v>
      </c>
      <c r="B141" s="22" t="s">
        <v>5811</v>
      </c>
      <c r="C141" s="16" t="s">
        <v>5812</v>
      </c>
      <c r="D141" s="18" t="s">
        <v>5813</v>
      </c>
      <c r="E141" s="18" t="s">
        <v>245</v>
      </c>
      <c r="F141" s="19" t="str">
        <f t="shared" si="1"/>
        <v>PURNA2025-AKL4</v>
      </c>
      <c r="G141" s="19" t="s">
        <v>5408</v>
      </c>
      <c r="H141" s="20" t="s">
        <v>14</v>
      </c>
      <c r="I141" s="19" t="s">
        <v>5409</v>
      </c>
      <c r="J141" s="19" t="s">
        <v>5410</v>
      </c>
      <c r="K141" s="21" t="s">
        <v>5464</v>
      </c>
      <c r="L141" s="19" t="s">
        <v>5789</v>
      </c>
      <c r="M141" s="16" t="s">
        <v>244</v>
      </c>
      <c r="N141" s="18" t="s">
        <v>5416</v>
      </c>
      <c r="O141" s="18"/>
      <c r="P141" s="18">
        <f>VLOOKUP($A141,MasterData!$C$1:$I$1995,1,FALSE)</f>
        <v>7568</v>
      </c>
      <c r="Q141" s="18" t="str">
        <f t="shared" si="2"/>
        <v>PURNA2025-AKL4</v>
      </c>
    </row>
    <row r="142" ht="15.75" hidden="1" customHeight="1">
      <c r="A142" s="15">
        <v>7590.0</v>
      </c>
      <c r="B142" s="22" t="s">
        <v>5814</v>
      </c>
      <c r="C142" s="16" t="s">
        <v>5815</v>
      </c>
      <c r="D142" s="18" t="s">
        <v>5816</v>
      </c>
      <c r="E142" s="18" t="s">
        <v>247</v>
      </c>
      <c r="F142" s="19" t="str">
        <f t="shared" si="1"/>
        <v>PURNA2025-AKL4</v>
      </c>
      <c r="G142" s="19" t="s">
        <v>5408</v>
      </c>
      <c r="H142" s="20" t="s">
        <v>14</v>
      </c>
      <c r="I142" s="19" t="s">
        <v>5409</v>
      </c>
      <c r="J142" s="19" t="s">
        <v>5410</v>
      </c>
      <c r="K142" s="21" t="s">
        <v>5464</v>
      </c>
      <c r="L142" s="19" t="s">
        <v>5789</v>
      </c>
      <c r="M142" s="16" t="s">
        <v>246</v>
      </c>
      <c r="N142" s="18" t="s">
        <v>5416</v>
      </c>
      <c r="O142" s="18"/>
      <c r="P142" s="18">
        <f>VLOOKUP($A142,MasterData!$C$1:$I$1995,1,FALSE)</f>
        <v>7590</v>
      </c>
      <c r="Q142" s="18" t="str">
        <f t="shared" si="2"/>
        <v>PURNA2025-AKL4</v>
      </c>
    </row>
    <row r="143" ht="15.75" hidden="1" customHeight="1">
      <c r="A143" s="15">
        <v>7624.0</v>
      </c>
      <c r="B143" s="22" t="s">
        <v>5817</v>
      </c>
      <c r="C143" s="16" t="s">
        <v>5818</v>
      </c>
      <c r="D143" s="18" t="s">
        <v>5819</v>
      </c>
      <c r="E143" s="18" t="s">
        <v>249</v>
      </c>
      <c r="F143" s="19" t="str">
        <f t="shared" si="1"/>
        <v>PURNA2025-AKL4</v>
      </c>
      <c r="G143" s="19" t="s">
        <v>5408</v>
      </c>
      <c r="H143" s="20" t="s">
        <v>14</v>
      </c>
      <c r="I143" s="19" t="s">
        <v>5409</v>
      </c>
      <c r="J143" s="19" t="s">
        <v>5410</v>
      </c>
      <c r="K143" s="21" t="s">
        <v>5464</v>
      </c>
      <c r="L143" s="19" t="s">
        <v>5789</v>
      </c>
      <c r="M143" s="16" t="s">
        <v>248</v>
      </c>
      <c r="N143" s="18" t="s">
        <v>5416</v>
      </c>
      <c r="O143" s="18"/>
      <c r="P143" s="18">
        <f>VLOOKUP($A143,MasterData!$C$1:$I$1995,1,FALSE)</f>
        <v>7624</v>
      </c>
      <c r="Q143" s="18" t="str">
        <f t="shared" si="2"/>
        <v>PURNA2025-AKL4</v>
      </c>
    </row>
    <row r="144" ht="15.75" hidden="1" customHeight="1">
      <c r="A144" s="15">
        <v>7627.0</v>
      </c>
      <c r="B144" s="22" t="s">
        <v>5820</v>
      </c>
      <c r="C144" s="16" t="s">
        <v>5821</v>
      </c>
      <c r="D144" s="18" t="s">
        <v>5822</v>
      </c>
      <c r="E144" s="18" t="s">
        <v>251</v>
      </c>
      <c r="F144" s="19" t="str">
        <f t="shared" si="1"/>
        <v>PURNA2025-AKL4</v>
      </c>
      <c r="G144" s="19" t="s">
        <v>5408</v>
      </c>
      <c r="H144" s="20" t="s">
        <v>14</v>
      </c>
      <c r="I144" s="19" t="s">
        <v>5409</v>
      </c>
      <c r="J144" s="19" t="s">
        <v>5410</v>
      </c>
      <c r="K144" s="21" t="s">
        <v>5464</v>
      </c>
      <c r="L144" s="19" t="s">
        <v>5789</v>
      </c>
      <c r="M144" s="16" t="s">
        <v>250</v>
      </c>
      <c r="N144" s="18" t="s">
        <v>5416</v>
      </c>
      <c r="O144" s="18"/>
      <c r="P144" s="18">
        <f>VLOOKUP($A144,MasterData!$C$1:$I$1995,1,FALSE)</f>
        <v>7627</v>
      </c>
      <c r="Q144" s="18" t="str">
        <f t="shared" si="2"/>
        <v>PURNA2025-AKL4</v>
      </c>
    </row>
    <row r="145" ht="15.75" hidden="1" customHeight="1">
      <c r="A145" s="15">
        <v>7633.0</v>
      </c>
      <c r="B145" s="22" t="s">
        <v>5823</v>
      </c>
      <c r="C145" s="16" t="s">
        <v>5824</v>
      </c>
      <c r="D145" s="18" t="s">
        <v>5825</v>
      </c>
      <c r="E145" s="18" t="s">
        <v>253</v>
      </c>
      <c r="F145" s="19" t="str">
        <f t="shared" si="1"/>
        <v>PURNA2025-AKL4</v>
      </c>
      <c r="G145" s="19" t="s">
        <v>5408</v>
      </c>
      <c r="H145" s="20" t="s">
        <v>14</v>
      </c>
      <c r="I145" s="19" t="s">
        <v>5409</v>
      </c>
      <c r="J145" s="19" t="s">
        <v>5410</v>
      </c>
      <c r="K145" s="21" t="s">
        <v>5464</v>
      </c>
      <c r="L145" s="19" t="s">
        <v>5789</v>
      </c>
      <c r="M145" s="16" t="s">
        <v>252</v>
      </c>
      <c r="N145" s="18" t="s">
        <v>5416</v>
      </c>
      <c r="O145" s="18"/>
      <c r="P145" s="18">
        <f>VLOOKUP($A145,MasterData!$C$1:$I$1995,1,FALSE)</f>
        <v>7633</v>
      </c>
      <c r="Q145" s="18" t="str">
        <f t="shared" si="2"/>
        <v>PURNA2025-AKL4</v>
      </c>
    </row>
    <row r="146" ht="15.75" hidden="1" customHeight="1">
      <c r="A146" s="15">
        <v>7648.0</v>
      </c>
      <c r="B146" s="22" t="s">
        <v>5826</v>
      </c>
      <c r="C146" s="16" t="s">
        <v>5827</v>
      </c>
      <c r="D146" s="18" t="s">
        <v>5828</v>
      </c>
      <c r="E146" s="18" t="s">
        <v>255</v>
      </c>
      <c r="F146" s="19" t="str">
        <f t="shared" si="1"/>
        <v>PURNA2025-AKL4</v>
      </c>
      <c r="G146" s="19" t="s">
        <v>5408</v>
      </c>
      <c r="H146" s="20" t="s">
        <v>14</v>
      </c>
      <c r="I146" s="19" t="s">
        <v>5409</v>
      </c>
      <c r="J146" s="19" t="s">
        <v>5410</v>
      </c>
      <c r="K146" s="21" t="s">
        <v>5464</v>
      </c>
      <c r="L146" s="19" t="s">
        <v>5789</v>
      </c>
      <c r="M146" s="16" t="s">
        <v>254</v>
      </c>
      <c r="N146" s="18" t="s">
        <v>5416</v>
      </c>
      <c r="O146" s="18"/>
      <c r="P146" s="18">
        <f>VLOOKUP($A146,MasterData!$C$1:$I$1995,1,FALSE)</f>
        <v>7648</v>
      </c>
      <c r="Q146" s="18" t="str">
        <f t="shared" si="2"/>
        <v>PURNA2025-AKL4</v>
      </c>
    </row>
    <row r="147" ht="15.75" hidden="1" customHeight="1">
      <c r="A147" s="15">
        <v>7659.0</v>
      </c>
      <c r="B147" s="22" t="s">
        <v>5829</v>
      </c>
      <c r="C147" s="16" t="s">
        <v>5830</v>
      </c>
      <c r="D147" s="18" t="s">
        <v>5831</v>
      </c>
      <c r="E147" s="18" t="s">
        <v>257</v>
      </c>
      <c r="F147" s="19" t="str">
        <f t="shared" si="1"/>
        <v>PURNA2025-AKL4</v>
      </c>
      <c r="G147" s="19" t="s">
        <v>5408</v>
      </c>
      <c r="H147" s="20" t="s">
        <v>14</v>
      </c>
      <c r="I147" s="19" t="s">
        <v>5409</v>
      </c>
      <c r="J147" s="19" t="s">
        <v>5410</v>
      </c>
      <c r="K147" s="21" t="s">
        <v>5464</v>
      </c>
      <c r="L147" s="19" t="s">
        <v>5789</v>
      </c>
      <c r="M147" s="16" t="s">
        <v>256</v>
      </c>
      <c r="N147" s="18" t="s">
        <v>5416</v>
      </c>
      <c r="O147" s="18"/>
      <c r="P147" s="18">
        <f>VLOOKUP($A147,MasterData!$C$1:$I$1995,1,FALSE)</f>
        <v>7659</v>
      </c>
      <c r="Q147" s="18" t="str">
        <f t="shared" si="2"/>
        <v>PURNA2025-AKL4</v>
      </c>
    </row>
    <row r="148" ht="15.75" hidden="1" customHeight="1">
      <c r="A148" s="15">
        <v>7661.0</v>
      </c>
      <c r="B148" s="22" t="s">
        <v>5832</v>
      </c>
      <c r="C148" s="16" t="s">
        <v>5833</v>
      </c>
      <c r="D148" s="18" t="s">
        <v>5834</v>
      </c>
      <c r="E148" s="18" t="s">
        <v>259</v>
      </c>
      <c r="F148" s="19" t="str">
        <f t="shared" si="1"/>
        <v>PURNA2025-AKL4</v>
      </c>
      <c r="G148" s="19" t="s">
        <v>5408</v>
      </c>
      <c r="H148" s="20" t="s">
        <v>14</v>
      </c>
      <c r="I148" s="19" t="s">
        <v>5409</v>
      </c>
      <c r="J148" s="19" t="s">
        <v>5410</v>
      </c>
      <c r="K148" s="21" t="s">
        <v>5464</v>
      </c>
      <c r="L148" s="19" t="s">
        <v>5789</v>
      </c>
      <c r="M148" s="16" t="s">
        <v>258</v>
      </c>
      <c r="N148" s="18" t="s">
        <v>5416</v>
      </c>
      <c r="O148" s="18"/>
      <c r="P148" s="18">
        <f>VLOOKUP($A148,MasterData!$C$1:$I$1995,1,FALSE)</f>
        <v>7661</v>
      </c>
      <c r="Q148" s="18" t="str">
        <f t="shared" si="2"/>
        <v>PURNA2025-AKL4</v>
      </c>
    </row>
    <row r="149" ht="15.75" hidden="1" customHeight="1">
      <c r="A149" s="15">
        <v>7663.0</v>
      </c>
      <c r="B149" s="22" t="s">
        <v>5835</v>
      </c>
      <c r="C149" s="16" t="s">
        <v>5836</v>
      </c>
      <c r="D149" s="18" t="s">
        <v>5837</v>
      </c>
      <c r="E149" s="18" t="s">
        <v>261</v>
      </c>
      <c r="F149" s="19" t="str">
        <f t="shared" si="1"/>
        <v>PURNA2025-AKL4</v>
      </c>
      <c r="G149" s="19" t="s">
        <v>5408</v>
      </c>
      <c r="H149" s="20" t="s">
        <v>14</v>
      </c>
      <c r="I149" s="19" t="s">
        <v>5409</v>
      </c>
      <c r="J149" s="19" t="s">
        <v>5410</v>
      </c>
      <c r="K149" s="21" t="s">
        <v>5464</v>
      </c>
      <c r="L149" s="19" t="s">
        <v>5789</v>
      </c>
      <c r="M149" s="16" t="s">
        <v>260</v>
      </c>
      <c r="N149" s="18" t="s">
        <v>5416</v>
      </c>
      <c r="O149" s="18"/>
      <c r="P149" s="18">
        <f>VLOOKUP($A149,MasterData!$C$1:$I$1995,1,FALSE)</f>
        <v>7663</v>
      </c>
      <c r="Q149" s="18" t="str">
        <f t="shared" si="2"/>
        <v>PURNA2025-AKL4</v>
      </c>
    </row>
    <row r="150" ht="15.75" hidden="1" customHeight="1">
      <c r="A150" s="15">
        <v>7689.0</v>
      </c>
      <c r="B150" s="22" t="s">
        <v>5838</v>
      </c>
      <c r="C150" s="16" t="s">
        <v>5839</v>
      </c>
      <c r="D150" s="18" t="s">
        <v>5840</v>
      </c>
      <c r="E150" s="18" t="s">
        <v>263</v>
      </c>
      <c r="F150" s="19" t="str">
        <f t="shared" si="1"/>
        <v>PURNA2025-AKL4</v>
      </c>
      <c r="G150" s="19" t="s">
        <v>5408</v>
      </c>
      <c r="H150" s="20" t="s">
        <v>14</v>
      </c>
      <c r="I150" s="19" t="s">
        <v>5409</v>
      </c>
      <c r="J150" s="19" t="s">
        <v>5410</v>
      </c>
      <c r="K150" s="21" t="s">
        <v>5464</v>
      </c>
      <c r="L150" s="19" t="s">
        <v>5789</v>
      </c>
      <c r="M150" s="16" t="s">
        <v>262</v>
      </c>
      <c r="N150" s="18" t="s">
        <v>5416</v>
      </c>
      <c r="O150" s="18"/>
      <c r="P150" s="18">
        <f>VLOOKUP($A150,MasterData!$C$1:$I$1995,1,FALSE)</f>
        <v>7689</v>
      </c>
      <c r="Q150" s="18" t="str">
        <f t="shared" si="2"/>
        <v>PURNA2025-AKL4</v>
      </c>
    </row>
    <row r="151" ht="15.75" hidden="1" customHeight="1">
      <c r="A151" s="15">
        <v>7692.0</v>
      </c>
      <c r="B151" s="22" t="s">
        <v>5841</v>
      </c>
      <c r="C151" s="16" t="s">
        <v>5842</v>
      </c>
      <c r="D151" s="18" t="s">
        <v>5843</v>
      </c>
      <c r="E151" s="18" t="s">
        <v>265</v>
      </c>
      <c r="F151" s="19" t="str">
        <f t="shared" si="1"/>
        <v>PURNA2025-AKL4</v>
      </c>
      <c r="G151" s="19" t="s">
        <v>5408</v>
      </c>
      <c r="H151" s="20" t="s">
        <v>14</v>
      </c>
      <c r="I151" s="19" t="s">
        <v>5409</v>
      </c>
      <c r="J151" s="19" t="s">
        <v>5410</v>
      </c>
      <c r="K151" s="21" t="s">
        <v>5464</v>
      </c>
      <c r="L151" s="19" t="s">
        <v>5789</v>
      </c>
      <c r="M151" s="16" t="s">
        <v>264</v>
      </c>
      <c r="N151" s="18" t="s">
        <v>5416</v>
      </c>
      <c r="O151" s="18"/>
      <c r="P151" s="18">
        <f>VLOOKUP($A151,MasterData!$C$1:$I$1995,1,FALSE)</f>
        <v>7692</v>
      </c>
      <c r="Q151" s="18" t="str">
        <f t="shared" si="2"/>
        <v>PURNA2025-AKL4</v>
      </c>
    </row>
    <row r="152" ht="15.75" hidden="1" customHeight="1">
      <c r="A152" s="15">
        <v>7704.0</v>
      </c>
      <c r="B152" s="22" t="s">
        <v>5844</v>
      </c>
      <c r="C152" s="16" t="s">
        <v>5845</v>
      </c>
      <c r="D152" s="18" t="s">
        <v>5846</v>
      </c>
      <c r="E152" s="18" t="s">
        <v>267</v>
      </c>
      <c r="F152" s="19" t="str">
        <f t="shared" si="1"/>
        <v>PURNA2025-AKL4</v>
      </c>
      <c r="G152" s="19" t="s">
        <v>5408</v>
      </c>
      <c r="H152" s="20" t="s">
        <v>14</v>
      </c>
      <c r="I152" s="19" t="s">
        <v>5409</v>
      </c>
      <c r="J152" s="19" t="s">
        <v>5410</v>
      </c>
      <c r="K152" s="21" t="s">
        <v>5464</v>
      </c>
      <c r="L152" s="19" t="s">
        <v>5789</v>
      </c>
      <c r="M152" s="16" t="s">
        <v>266</v>
      </c>
      <c r="N152" s="18" t="s">
        <v>5416</v>
      </c>
      <c r="O152" s="18"/>
      <c r="P152" s="18">
        <f>VLOOKUP($A152,MasterData!$C$1:$I$1995,1,FALSE)</f>
        <v>7704</v>
      </c>
      <c r="Q152" s="18" t="str">
        <f t="shared" si="2"/>
        <v>PURNA2025-AKL4</v>
      </c>
    </row>
    <row r="153" ht="15.75" hidden="1" customHeight="1">
      <c r="A153" s="15">
        <v>7720.0</v>
      </c>
      <c r="B153" s="22" t="s">
        <v>5847</v>
      </c>
      <c r="C153" s="16" t="s">
        <v>5848</v>
      </c>
      <c r="D153" s="18" t="s">
        <v>5849</v>
      </c>
      <c r="E153" s="18" t="s">
        <v>269</v>
      </c>
      <c r="F153" s="19" t="str">
        <f t="shared" si="1"/>
        <v>PURNA2025-AKL4</v>
      </c>
      <c r="G153" s="19" t="s">
        <v>5408</v>
      </c>
      <c r="H153" s="20" t="s">
        <v>14</v>
      </c>
      <c r="I153" s="19" t="s">
        <v>5409</v>
      </c>
      <c r="J153" s="19" t="s">
        <v>5410</v>
      </c>
      <c r="K153" s="21" t="s">
        <v>5464</v>
      </c>
      <c r="L153" s="19" t="s">
        <v>5789</v>
      </c>
      <c r="M153" s="16" t="s">
        <v>268</v>
      </c>
      <c r="N153" s="18" t="s">
        <v>5416</v>
      </c>
      <c r="O153" s="18"/>
      <c r="P153" s="18">
        <f>VLOOKUP($A153,MasterData!$C$1:$I$1995,1,FALSE)</f>
        <v>7720</v>
      </c>
      <c r="Q153" s="18" t="str">
        <f t="shared" si="2"/>
        <v>PURNA2025-AKL4</v>
      </c>
    </row>
    <row r="154" ht="15.75" hidden="1" customHeight="1">
      <c r="A154" s="15">
        <v>7811.0</v>
      </c>
      <c r="B154" s="22" t="s">
        <v>5850</v>
      </c>
      <c r="C154" s="16" t="s">
        <v>5851</v>
      </c>
      <c r="D154" s="18" t="s">
        <v>5852</v>
      </c>
      <c r="E154" s="18" t="s">
        <v>271</v>
      </c>
      <c r="F154" s="19" t="str">
        <f t="shared" si="1"/>
        <v>PURNA2025-AKL4</v>
      </c>
      <c r="G154" s="19" t="s">
        <v>5408</v>
      </c>
      <c r="H154" s="20" t="s">
        <v>14</v>
      </c>
      <c r="I154" s="19" t="s">
        <v>5409</v>
      </c>
      <c r="J154" s="19" t="s">
        <v>5410</v>
      </c>
      <c r="K154" s="21" t="s">
        <v>5464</v>
      </c>
      <c r="L154" s="19" t="s">
        <v>5789</v>
      </c>
      <c r="M154" s="16" t="s">
        <v>270</v>
      </c>
      <c r="N154" s="18" t="s">
        <v>5416</v>
      </c>
      <c r="O154" s="18"/>
      <c r="P154" s="18">
        <f>VLOOKUP($A154,MasterData!$C$1:$I$1995,1,FALSE)</f>
        <v>7811</v>
      </c>
      <c r="Q154" s="18" t="str">
        <f t="shared" si="2"/>
        <v>PURNA2025-AKL4</v>
      </c>
    </row>
    <row r="155" ht="15.75" hidden="1" customHeight="1">
      <c r="A155" s="15">
        <v>7818.0</v>
      </c>
      <c r="B155" s="22" t="s">
        <v>5853</v>
      </c>
      <c r="C155" s="16" t="s">
        <v>5854</v>
      </c>
      <c r="D155" s="18" t="s">
        <v>5855</v>
      </c>
      <c r="E155" s="18" t="s">
        <v>273</v>
      </c>
      <c r="F155" s="19" t="str">
        <f t="shared" si="1"/>
        <v>PURNA2025-AKL4</v>
      </c>
      <c r="G155" s="19" t="s">
        <v>5408</v>
      </c>
      <c r="H155" s="20" t="s">
        <v>14</v>
      </c>
      <c r="I155" s="19" t="s">
        <v>5409</v>
      </c>
      <c r="J155" s="19" t="s">
        <v>5410</v>
      </c>
      <c r="K155" s="21" t="s">
        <v>5464</v>
      </c>
      <c r="L155" s="19" t="s">
        <v>5789</v>
      </c>
      <c r="M155" s="16" t="s">
        <v>272</v>
      </c>
      <c r="N155" s="18" t="s">
        <v>5416</v>
      </c>
      <c r="O155" s="18"/>
      <c r="P155" s="18">
        <f>VLOOKUP($A155,MasterData!$C$1:$I$1995,1,FALSE)</f>
        <v>7818</v>
      </c>
      <c r="Q155" s="18" t="str">
        <f t="shared" si="2"/>
        <v>PURNA2025-AKL4</v>
      </c>
    </row>
    <row r="156" ht="15.75" hidden="1" customHeight="1">
      <c r="A156" s="15">
        <v>7837.0</v>
      </c>
      <c r="B156" s="22" t="s">
        <v>5856</v>
      </c>
      <c r="C156" s="16" t="s">
        <v>5857</v>
      </c>
      <c r="D156" s="18" t="s">
        <v>5858</v>
      </c>
      <c r="E156" s="18" t="s">
        <v>275</v>
      </c>
      <c r="F156" s="19" t="str">
        <f t="shared" si="1"/>
        <v>PURNA2025-AKL4</v>
      </c>
      <c r="G156" s="19" t="s">
        <v>5408</v>
      </c>
      <c r="H156" s="20" t="s">
        <v>14</v>
      </c>
      <c r="I156" s="19" t="s">
        <v>5409</v>
      </c>
      <c r="J156" s="19" t="s">
        <v>5410</v>
      </c>
      <c r="K156" s="21" t="s">
        <v>5464</v>
      </c>
      <c r="L156" s="19" t="s">
        <v>5789</v>
      </c>
      <c r="M156" s="16" t="s">
        <v>274</v>
      </c>
      <c r="N156" s="18" t="s">
        <v>5416</v>
      </c>
      <c r="O156" s="18"/>
      <c r="P156" s="18">
        <f>VLOOKUP($A156,MasterData!$C$1:$I$1995,1,FALSE)</f>
        <v>7837</v>
      </c>
      <c r="Q156" s="18" t="str">
        <f t="shared" si="2"/>
        <v>PURNA2025-AKL4</v>
      </c>
    </row>
    <row r="157" ht="15.75" hidden="1" customHeight="1">
      <c r="A157" s="15">
        <v>7849.0</v>
      </c>
      <c r="B157" s="22" t="s">
        <v>5859</v>
      </c>
      <c r="C157" s="16" t="s">
        <v>5860</v>
      </c>
      <c r="D157" s="18" t="s">
        <v>5861</v>
      </c>
      <c r="E157" s="18" t="s">
        <v>277</v>
      </c>
      <c r="F157" s="19" t="str">
        <f t="shared" si="1"/>
        <v>PURNA2025-AKL4</v>
      </c>
      <c r="G157" s="19" t="s">
        <v>5408</v>
      </c>
      <c r="H157" s="20" t="s">
        <v>14</v>
      </c>
      <c r="I157" s="19" t="s">
        <v>5409</v>
      </c>
      <c r="J157" s="19" t="s">
        <v>5410</v>
      </c>
      <c r="K157" s="21" t="s">
        <v>5464</v>
      </c>
      <c r="L157" s="19" t="s">
        <v>5789</v>
      </c>
      <c r="M157" s="16" t="s">
        <v>276</v>
      </c>
      <c r="N157" s="18" t="s">
        <v>5416</v>
      </c>
      <c r="O157" s="18"/>
      <c r="P157" s="18">
        <f>VLOOKUP($A157,MasterData!$C$1:$I$1995,1,FALSE)</f>
        <v>7849</v>
      </c>
      <c r="Q157" s="18" t="str">
        <f t="shared" si="2"/>
        <v>PURNA2025-AKL4</v>
      </c>
    </row>
    <row r="158" ht="15.75" hidden="1" customHeight="1">
      <c r="A158" s="15">
        <v>7856.0</v>
      </c>
      <c r="B158" s="22" t="s">
        <v>5862</v>
      </c>
      <c r="C158" s="16" t="s">
        <v>5863</v>
      </c>
      <c r="D158" s="18" t="s">
        <v>5864</v>
      </c>
      <c r="E158" s="18" t="s">
        <v>279</v>
      </c>
      <c r="F158" s="19" t="str">
        <f t="shared" si="1"/>
        <v>PURNA2025-AKL4</v>
      </c>
      <c r="G158" s="19" t="s">
        <v>5408</v>
      </c>
      <c r="H158" s="20" t="s">
        <v>14</v>
      </c>
      <c r="I158" s="19" t="s">
        <v>5409</v>
      </c>
      <c r="J158" s="19" t="s">
        <v>5410</v>
      </c>
      <c r="K158" s="21" t="s">
        <v>5464</v>
      </c>
      <c r="L158" s="19" t="s">
        <v>5789</v>
      </c>
      <c r="M158" s="16" t="s">
        <v>278</v>
      </c>
      <c r="N158" s="18" t="s">
        <v>5416</v>
      </c>
      <c r="O158" s="18"/>
      <c r="P158" s="18">
        <f>VLOOKUP($A158,MasterData!$C$1:$I$1995,1,FALSE)</f>
        <v>7856</v>
      </c>
      <c r="Q158" s="18" t="str">
        <f t="shared" si="2"/>
        <v>PURNA2025-AKL4</v>
      </c>
    </row>
    <row r="159" ht="15.75" hidden="1" customHeight="1">
      <c r="A159" s="15">
        <v>7873.0</v>
      </c>
      <c r="B159" s="22" t="s">
        <v>5865</v>
      </c>
      <c r="C159" s="16" t="s">
        <v>5866</v>
      </c>
      <c r="D159" s="18" t="s">
        <v>5867</v>
      </c>
      <c r="E159" s="18" t="s">
        <v>281</v>
      </c>
      <c r="F159" s="19" t="str">
        <f t="shared" si="1"/>
        <v>PURNA2025-AKL4</v>
      </c>
      <c r="G159" s="19" t="s">
        <v>5408</v>
      </c>
      <c r="H159" s="20" t="s">
        <v>14</v>
      </c>
      <c r="I159" s="19" t="s">
        <v>5409</v>
      </c>
      <c r="J159" s="19" t="s">
        <v>5410</v>
      </c>
      <c r="K159" s="21" t="s">
        <v>5464</v>
      </c>
      <c r="L159" s="19" t="s">
        <v>5789</v>
      </c>
      <c r="M159" s="16" t="s">
        <v>280</v>
      </c>
      <c r="N159" s="18" t="s">
        <v>5416</v>
      </c>
      <c r="O159" s="18"/>
      <c r="P159" s="18">
        <f>VLOOKUP($A159,MasterData!$C$1:$I$1995,1,FALSE)</f>
        <v>7873</v>
      </c>
      <c r="Q159" s="18" t="str">
        <f t="shared" si="2"/>
        <v>PURNA2025-AKL4</v>
      </c>
    </row>
    <row r="160" ht="15.75" hidden="1" customHeight="1">
      <c r="A160" s="15">
        <v>7892.0</v>
      </c>
      <c r="B160" s="22" t="s">
        <v>5868</v>
      </c>
      <c r="C160" s="16" t="s">
        <v>5869</v>
      </c>
      <c r="D160" s="18" t="s">
        <v>5870</v>
      </c>
      <c r="E160" s="18" t="s">
        <v>283</v>
      </c>
      <c r="F160" s="19" t="str">
        <f t="shared" si="1"/>
        <v>PURNA2025-AKL4</v>
      </c>
      <c r="G160" s="19" t="s">
        <v>5408</v>
      </c>
      <c r="H160" s="20" t="s">
        <v>14</v>
      </c>
      <c r="I160" s="19" t="s">
        <v>5409</v>
      </c>
      <c r="J160" s="19" t="s">
        <v>5410</v>
      </c>
      <c r="K160" s="21" t="s">
        <v>5464</v>
      </c>
      <c r="L160" s="19" t="s">
        <v>5789</v>
      </c>
      <c r="M160" s="16" t="s">
        <v>282</v>
      </c>
      <c r="N160" s="18" t="s">
        <v>5416</v>
      </c>
      <c r="O160" s="18"/>
      <c r="P160" s="18">
        <f>VLOOKUP($A160,MasterData!$C$1:$I$1995,1,FALSE)</f>
        <v>7892</v>
      </c>
      <c r="Q160" s="18" t="str">
        <f t="shared" si="2"/>
        <v>PURNA2025-AKL4</v>
      </c>
    </row>
    <row r="161" ht="15.75" hidden="1" customHeight="1">
      <c r="A161" s="15">
        <v>7894.0</v>
      </c>
      <c r="B161" s="22" t="s">
        <v>5871</v>
      </c>
      <c r="C161" s="16" t="s">
        <v>5872</v>
      </c>
      <c r="D161" s="18" t="s">
        <v>5873</v>
      </c>
      <c r="E161" s="18" t="s">
        <v>285</v>
      </c>
      <c r="F161" s="19" t="str">
        <f t="shared" si="1"/>
        <v>PURNA2025-AKL4</v>
      </c>
      <c r="G161" s="19" t="s">
        <v>5408</v>
      </c>
      <c r="H161" s="20" t="s">
        <v>14</v>
      </c>
      <c r="I161" s="19" t="s">
        <v>5409</v>
      </c>
      <c r="J161" s="19" t="s">
        <v>5410</v>
      </c>
      <c r="K161" s="21" t="s">
        <v>5464</v>
      </c>
      <c r="L161" s="19" t="s">
        <v>5789</v>
      </c>
      <c r="M161" s="16" t="s">
        <v>284</v>
      </c>
      <c r="N161" s="18" t="s">
        <v>5416</v>
      </c>
      <c r="O161" s="18"/>
      <c r="P161" s="18">
        <f>VLOOKUP($A161,MasterData!$C$1:$I$1995,1,FALSE)</f>
        <v>7894</v>
      </c>
      <c r="Q161" s="18" t="str">
        <f t="shared" si="2"/>
        <v>PURNA2025-AKL4</v>
      </c>
    </row>
    <row r="162" ht="15.75" hidden="1" customHeight="1">
      <c r="A162" s="15">
        <v>7900.0</v>
      </c>
      <c r="B162" s="22" t="s">
        <v>5874</v>
      </c>
      <c r="C162" s="16" t="s">
        <v>5875</v>
      </c>
      <c r="D162" s="18" t="s">
        <v>5876</v>
      </c>
      <c r="E162" s="18" t="s">
        <v>287</v>
      </c>
      <c r="F162" s="19" t="str">
        <f t="shared" si="1"/>
        <v>PURNA2025-AKL4</v>
      </c>
      <c r="G162" s="19" t="s">
        <v>5408</v>
      </c>
      <c r="H162" s="20" t="s">
        <v>14</v>
      </c>
      <c r="I162" s="19" t="s">
        <v>5409</v>
      </c>
      <c r="J162" s="19" t="s">
        <v>5410</v>
      </c>
      <c r="K162" s="21" t="s">
        <v>5464</v>
      </c>
      <c r="L162" s="19" t="s">
        <v>5789</v>
      </c>
      <c r="M162" s="16" t="s">
        <v>286</v>
      </c>
      <c r="N162" s="18" t="s">
        <v>5416</v>
      </c>
      <c r="O162" s="18"/>
      <c r="P162" s="18">
        <f>VLOOKUP($A162,MasterData!$C$1:$I$1995,1,FALSE)</f>
        <v>7900</v>
      </c>
      <c r="Q162" s="18" t="str">
        <f t="shared" si="2"/>
        <v>PURNA2025-AKL4</v>
      </c>
    </row>
    <row r="163" ht="15.75" hidden="1" customHeight="1">
      <c r="A163" s="15">
        <v>7908.0</v>
      </c>
      <c r="B163" s="22" t="s">
        <v>5877</v>
      </c>
      <c r="C163" s="16" t="s">
        <v>5878</v>
      </c>
      <c r="D163" s="18" t="s">
        <v>5879</v>
      </c>
      <c r="E163" s="18" t="s">
        <v>289</v>
      </c>
      <c r="F163" s="19" t="str">
        <f t="shared" si="1"/>
        <v>PURNA2025-AKL4</v>
      </c>
      <c r="G163" s="19" t="s">
        <v>5408</v>
      </c>
      <c r="H163" s="20" t="s">
        <v>14</v>
      </c>
      <c r="I163" s="19" t="s">
        <v>5409</v>
      </c>
      <c r="J163" s="19" t="s">
        <v>5410</v>
      </c>
      <c r="K163" s="21" t="s">
        <v>5464</v>
      </c>
      <c r="L163" s="19" t="s">
        <v>5789</v>
      </c>
      <c r="M163" s="16" t="s">
        <v>288</v>
      </c>
      <c r="N163" s="18" t="s">
        <v>5416</v>
      </c>
      <c r="O163" s="18"/>
      <c r="P163" s="18">
        <f>VLOOKUP($A163,MasterData!$C$1:$I$1995,1,FALSE)</f>
        <v>7908</v>
      </c>
      <c r="Q163" s="18" t="str">
        <f t="shared" si="2"/>
        <v>PURNA2025-AKL4</v>
      </c>
    </row>
    <row r="164" ht="15.75" hidden="1" customHeight="1">
      <c r="A164" s="15">
        <v>7921.0</v>
      </c>
      <c r="B164" s="22" t="s">
        <v>5880</v>
      </c>
      <c r="C164" s="16" t="s">
        <v>5881</v>
      </c>
      <c r="D164" s="18" t="s">
        <v>5882</v>
      </c>
      <c r="E164" s="18" t="s">
        <v>291</v>
      </c>
      <c r="F164" s="19" t="str">
        <f t="shared" si="1"/>
        <v>PURNA2025-AKL4</v>
      </c>
      <c r="G164" s="19" t="s">
        <v>5408</v>
      </c>
      <c r="H164" s="20" t="s">
        <v>14</v>
      </c>
      <c r="I164" s="19" t="s">
        <v>5409</v>
      </c>
      <c r="J164" s="19" t="s">
        <v>5410</v>
      </c>
      <c r="K164" s="21" t="s">
        <v>5464</v>
      </c>
      <c r="L164" s="19" t="s">
        <v>5789</v>
      </c>
      <c r="M164" s="16" t="s">
        <v>290</v>
      </c>
      <c r="N164" s="18" t="s">
        <v>5416</v>
      </c>
      <c r="O164" s="18"/>
      <c r="P164" s="18">
        <f>VLOOKUP($A164,MasterData!$C$1:$I$1995,1,FALSE)</f>
        <v>7921</v>
      </c>
      <c r="Q164" s="18" t="str">
        <f t="shared" si="2"/>
        <v>PURNA2025-AKL4</v>
      </c>
    </row>
    <row r="165" ht="15.75" hidden="1" customHeight="1">
      <c r="A165" s="15">
        <v>7946.0</v>
      </c>
      <c r="B165" s="22" t="s">
        <v>5883</v>
      </c>
      <c r="C165" s="16" t="s">
        <v>5884</v>
      </c>
      <c r="D165" s="18" t="s">
        <v>5885</v>
      </c>
      <c r="E165" s="18" t="s">
        <v>293</v>
      </c>
      <c r="F165" s="19" t="str">
        <f t="shared" si="1"/>
        <v>PURNA2025-AKL4</v>
      </c>
      <c r="G165" s="19" t="s">
        <v>5408</v>
      </c>
      <c r="H165" s="20" t="s">
        <v>14</v>
      </c>
      <c r="I165" s="19" t="s">
        <v>5409</v>
      </c>
      <c r="J165" s="19" t="s">
        <v>5410</v>
      </c>
      <c r="K165" s="21" t="s">
        <v>5464</v>
      </c>
      <c r="L165" s="19" t="s">
        <v>5789</v>
      </c>
      <c r="M165" s="16" t="s">
        <v>292</v>
      </c>
      <c r="N165" s="18" t="s">
        <v>5416</v>
      </c>
      <c r="O165" s="18"/>
      <c r="P165" s="18">
        <f>VLOOKUP($A165,MasterData!$C$1:$I$1995,1,FALSE)</f>
        <v>7946</v>
      </c>
      <c r="Q165" s="18" t="str">
        <f t="shared" si="2"/>
        <v>PURNA2025-AKL4</v>
      </c>
    </row>
    <row r="166" ht="15.75" hidden="1" customHeight="1">
      <c r="A166" s="15">
        <v>7950.0</v>
      </c>
      <c r="B166" s="22" t="s">
        <v>5886</v>
      </c>
      <c r="C166" s="16" t="s">
        <v>5887</v>
      </c>
      <c r="D166" s="18" t="s">
        <v>5888</v>
      </c>
      <c r="E166" s="18" t="s">
        <v>295</v>
      </c>
      <c r="F166" s="19" t="str">
        <f t="shared" si="1"/>
        <v>PURNA2025-AKL4</v>
      </c>
      <c r="G166" s="19" t="s">
        <v>5408</v>
      </c>
      <c r="H166" s="20" t="s">
        <v>14</v>
      </c>
      <c r="I166" s="19" t="s">
        <v>5409</v>
      </c>
      <c r="J166" s="19" t="s">
        <v>5410</v>
      </c>
      <c r="K166" s="21" t="s">
        <v>5464</v>
      </c>
      <c r="L166" s="19" t="s">
        <v>5789</v>
      </c>
      <c r="M166" s="16" t="s">
        <v>294</v>
      </c>
      <c r="N166" s="18" t="s">
        <v>5416</v>
      </c>
      <c r="O166" s="18"/>
      <c r="P166" s="18">
        <f>VLOOKUP($A166,MasterData!$C$1:$I$1995,1,FALSE)</f>
        <v>7950</v>
      </c>
      <c r="Q166" s="18" t="str">
        <f t="shared" si="2"/>
        <v>PURNA2025-AKL4</v>
      </c>
    </row>
    <row r="167" ht="15.75" hidden="1" customHeight="1">
      <c r="A167" s="15">
        <v>7979.0</v>
      </c>
      <c r="B167" s="22" t="s">
        <v>5889</v>
      </c>
      <c r="C167" s="16" t="s">
        <v>5890</v>
      </c>
      <c r="D167" s="18" t="s">
        <v>5891</v>
      </c>
      <c r="E167" s="18" t="s">
        <v>297</v>
      </c>
      <c r="F167" s="19" t="str">
        <f t="shared" si="1"/>
        <v>PURNA2025-AKL4</v>
      </c>
      <c r="G167" s="19" t="s">
        <v>5408</v>
      </c>
      <c r="H167" s="20" t="s">
        <v>14</v>
      </c>
      <c r="I167" s="19" t="s">
        <v>5409</v>
      </c>
      <c r="J167" s="19" t="s">
        <v>5410</v>
      </c>
      <c r="K167" s="21" t="s">
        <v>5464</v>
      </c>
      <c r="L167" s="19" t="s">
        <v>5789</v>
      </c>
      <c r="M167" s="16" t="s">
        <v>296</v>
      </c>
      <c r="N167" s="18" t="s">
        <v>5416</v>
      </c>
      <c r="O167" s="18"/>
      <c r="P167" s="18">
        <f>VLOOKUP($A167,MasterData!$C$1:$I$1995,1,FALSE)</f>
        <v>7979</v>
      </c>
      <c r="Q167" s="18" t="str">
        <f t="shared" si="2"/>
        <v>PURNA2025-AKL4</v>
      </c>
    </row>
    <row r="168" ht="15.75" hidden="1" customHeight="1">
      <c r="A168" s="15">
        <v>8018.0</v>
      </c>
      <c r="B168" s="22" t="s">
        <v>5892</v>
      </c>
      <c r="C168" s="16" t="s">
        <v>5893</v>
      </c>
      <c r="D168" s="18" t="s">
        <v>5894</v>
      </c>
      <c r="E168" s="18" t="s">
        <v>299</v>
      </c>
      <c r="F168" s="19" t="str">
        <f t="shared" si="1"/>
        <v>PURNA2025-AKL4</v>
      </c>
      <c r="G168" s="19" t="s">
        <v>5408</v>
      </c>
      <c r="H168" s="20" t="s">
        <v>14</v>
      </c>
      <c r="I168" s="19" t="s">
        <v>5409</v>
      </c>
      <c r="J168" s="19" t="s">
        <v>5410</v>
      </c>
      <c r="K168" s="21" t="s">
        <v>5464</v>
      </c>
      <c r="L168" s="19" t="s">
        <v>5789</v>
      </c>
      <c r="M168" s="16" t="s">
        <v>298</v>
      </c>
      <c r="N168" s="18" t="s">
        <v>5416</v>
      </c>
      <c r="O168" s="18"/>
      <c r="P168" s="18">
        <f>VLOOKUP($A168,MasterData!$C$1:$I$1995,1,FALSE)</f>
        <v>8018</v>
      </c>
      <c r="Q168" s="18" t="str">
        <f t="shared" si="2"/>
        <v>PURNA2025-AKL4</v>
      </c>
    </row>
    <row r="169" ht="15.75" hidden="1" customHeight="1">
      <c r="A169" s="15">
        <v>7436.0</v>
      </c>
      <c r="B169" s="22" t="s">
        <v>5895</v>
      </c>
      <c r="C169" s="16" t="s">
        <v>5896</v>
      </c>
      <c r="D169" s="18" t="s">
        <v>5897</v>
      </c>
      <c r="E169" s="18" t="s">
        <v>301</v>
      </c>
      <c r="F169" s="19" t="str">
        <f t="shared" si="1"/>
        <v>PURNA2025-BCF1</v>
      </c>
      <c r="G169" s="19" t="s">
        <v>5408</v>
      </c>
      <c r="H169" s="20" t="s">
        <v>14</v>
      </c>
      <c r="I169" s="19" t="s">
        <v>5409</v>
      </c>
      <c r="J169" s="19" t="s">
        <v>5410</v>
      </c>
      <c r="K169" s="21" t="s">
        <v>5464</v>
      </c>
      <c r="L169" s="19" t="s">
        <v>5898</v>
      </c>
      <c r="M169" s="16" t="s">
        <v>300</v>
      </c>
      <c r="N169" s="18" t="s">
        <v>5416</v>
      </c>
      <c r="O169" s="18"/>
      <c r="P169" s="18">
        <f>VLOOKUP($A169,MasterData!$C$1:$I$1995,1,FALSE)</f>
        <v>7436</v>
      </c>
      <c r="Q169" s="18" t="str">
        <f t="shared" si="2"/>
        <v>PURNA2025-BCF1</v>
      </c>
    </row>
    <row r="170" ht="15.75" hidden="1" customHeight="1">
      <c r="A170" s="15">
        <v>7470.0</v>
      </c>
      <c r="B170" s="22" t="s">
        <v>5899</v>
      </c>
      <c r="C170" s="16" t="s">
        <v>5900</v>
      </c>
      <c r="D170" s="18" t="s">
        <v>5901</v>
      </c>
      <c r="E170" s="18" t="s">
        <v>303</v>
      </c>
      <c r="F170" s="19" t="str">
        <f t="shared" si="1"/>
        <v>PURNA2025-BCF1</v>
      </c>
      <c r="G170" s="19" t="s">
        <v>5408</v>
      </c>
      <c r="H170" s="20" t="s">
        <v>14</v>
      </c>
      <c r="I170" s="19" t="s">
        <v>5409</v>
      </c>
      <c r="J170" s="19" t="s">
        <v>5410</v>
      </c>
      <c r="K170" s="21" t="s">
        <v>5464</v>
      </c>
      <c r="L170" s="19" t="s">
        <v>5898</v>
      </c>
      <c r="M170" s="16" t="s">
        <v>302</v>
      </c>
      <c r="N170" s="18" t="s">
        <v>5416</v>
      </c>
      <c r="O170" s="18"/>
      <c r="P170" s="18">
        <f>VLOOKUP($A170,MasterData!$C$1:$I$1995,1,FALSE)</f>
        <v>7470</v>
      </c>
      <c r="Q170" s="18" t="str">
        <f t="shared" si="2"/>
        <v>PURNA2025-BCF1</v>
      </c>
    </row>
    <row r="171" ht="15.75" hidden="1" customHeight="1">
      <c r="A171" s="15">
        <v>7473.0</v>
      </c>
      <c r="B171" s="22" t="s">
        <v>5902</v>
      </c>
      <c r="C171" s="16" t="s">
        <v>5903</v>
      </c>
      <c r="D171" s="18" t="s">
        <v>5904</v>
      </c>
      <c r="E171" s="18" t="s">
        <v>305</v>
      </c>
      <c r="F171" s="19" t="str">
        <f t="shared" si="1"/>
        <v>PURNA2025-BCF1</v>
      </c>
      <c r="G171" s="19" t="s">
        <v>5408</v>
      </c>
      <c r="H171" s="20" t="s">
        <v>14</v>
      </c>
      <c r="I171" s="19" t="s">
        <v>5409</v>
      </c>
      <c r="J171" s="19" t="s">
        <v>5410</v>
      </c>
      <c r="K171" s="21" t="s">
        <v>5464</v>
      </c>
      <c r="L171" s="19" t="s">
        <v>5898</v>
      </c>
      <c r="M171" s="16" t="s">
        <v>304</v>
      </c>
      <c r="N171" s="18" t="s">
        <v>5416</v>
      </c>
      <c r="O171" s="18"/>
      <c r="P171" s="18">
        <f>VLOOKUP($A171,MasterData!$C$1:$I$1995,1,FALSE)</f>
        <v>7473</v>
      </c>
      <c r="Q171" s="18" t="str">
        <f t="shared" si="2"/>
        <v>PURNA2025-BCF1</v>
      </c>
    </row>
    <row r="172" ht="15.75" hidden="1" customHeight="1">
      <c r="A172" s="15">
        <v>7482.0</v>
      </c>
      <c r="B172" s="22" t="s">
        <v>5905</v>
      </c>
      <c r="C172" s="16" t="s">
        <v>5906</v>
      </c>
      <c r="D172" s="18" t="s">
        <v>5907</v>
      </c>
      <c r="E172" s="18" t="s">
        <v>307</v>
      </c>
      <c r="F172" s="19" t="str">
        <f t="shared" si="1"/>
        <v>PURNA2025-BCF1</v>
      </c>
      <c r="G172" s="19" t="s">
        <v>5408</v>
      </c>
      <c r="H172" s="20" t="s">
        <v>14</v>
      </c>
      <c r="I172" s="19" t="s">
        <v>5409</v>
      </c>
      <c r="J172" s="19" t="s">
        <v>5410</v>
      </c>
      <c r="K172" s="21" t="s">
        <v>5464</v>
      </c>
      <c r="L172" s="19" t="s">
        <v>5898</v>
      </c>
      <c r="M172" s="16" t="s">
        <v>306</v>
      </c>
      <c r="N172" s="18" t="s">
        <v>5416</v>
      </c>
      <c r="O172" s="18"/>
      <c r="P172" s="18">
        <f>VLOOKUP($A172,MasterData!$C$1:$I$1995,1,FALSE)</f>
        <v>7482</v>
      </c>
      <c r="Q172" s="18" t="str">
        <f t="shared" si="2"/>
        <v>PURNA2025-BCF1</v>
      </c>
    </row>
    <row r="173" ht="15.75" hidden="1" customHeight="1">
      <c r="A173" s="15">
        <v>7526.0</v>
      </c>
      <c r="B173" s="22" t="s">
        <v>5908</v>
      </c>
      <c r="C173" s="16" t="s">
        <v>5909</v>
      </c>
      <c r="D173" s="18" t="s">
        <v>5910</v>
      </c>
      <c r="E173" s="18" t="s">
        <v>309</v>
      </c>
      <c r="F173" s="19" t="str">
        <f t="shared" si="1"/>
        <v>PURNA2025-BCF1</v>
      </c>
      <c r="G173" s="19" t="s">
        <v>5408</v>
      </c>
      <c r="H173" s="20" t="s">
        <v>14</v>
      </c>
      <c r="I173" s="19" t="s">
        <v>5409</v>
      </c>
      <c r="J173" s="19" t="s">
        <v>5410</v>
      </c>
      <c r="K173" s="21" t="s">
        <v>5464</v>
      </c>
      <c r="L173" s="19" t="s">
        <v>5898</v>
      </c>
      <c r="M173" s="16" t="s">
        <v>308</v>
      </c>
      <c r="N173" s="18" t="s">
        <v>5416</v>
      </c>
      <c r="O173" s="18"/>
      <c r="P173" s="18">
        <f>VLOOKUP($A173,MasterData!$C$1:$I$1995,1,FALSE)</f>
        <v>7526</v>
      </c>
      <c r="Q173" s="18" t="str">
        <f t="shared" si="2"/>
        <v>PURNA2025-BCF1</v>
      </c>
    </row>
    <row r="174" ht="15.75" hidden="1" customHeight="1">
      <c r="A174" s="15">
        <v>7528.0</v>
      </c>
      <c r="B174" s="22" t="s">
        <v>5911</v>
      </c>
      <c r="C174" s="16" t="s">
        <v>5912</v>
      </c>
      <c r="D174" s="18" t="s">
        <v>5913</v>
      </c>
      <c r="E174" s="18" t="s">
        <v>311</v>
      </c>
      <c r="F174" s="19" t="str">
        <f t="shared" si="1"/>
        <v>PURNA2025-BCF1</v>
      </c>
      <c r="G174" s="19" t="s">
        <v>5408</v>
      </c>
      <c r="H174" s="20" t="s">
        <v>14</v>
      </c>
      <c r="I174" s="19" t="s">
        <v>5409</v>
      </c>
      <c r="J174" s="19" t="s">
        <v>5410</v>
      </c>
      <c r="K174" s="21" t="s">
        <v>5464</v>
      </c>
      <c r="L174" s="19" t="s">
        <v>5898</v>
      </c>
      <c r="M174" s="16" t="s">
        <v>310</v>
      </c>
      <c r="N174" s="18" t="s">
        <v>5416</v>
      </c>
      <c r="O174" s="18"/>
      <c r="P174" s="18">
        <f>VLOOKUP($A174,MasterData!$C$1:$I$1995,1,FALSE)</f>
        <v>7528</v>
      </c>
      <c r="Q174" s="18" t="str">
        <f t="shared" si="2"/>
        <v>PURNA2025-BCF1</v>
      </c>
    </row>
    <row r="175" ht="15.75" hidden="1" customHeight="1">
      <c r="A175" s="15">
        <v>7537.0</v>
      </c>
      <c r="B175" s="22" t="s">
        <v>5914</v>
      </c>
      <c r="C175" s="16" t="s">
        <v>5915</v>
      </c>
      <c r="D175" s="18" t="s">
        <v>5916</v>
      </c>
      <c r="E175" s="18" t="s">
        <v>313</v>
      </c>
      <c r="F175" s="19" t="str">
        <f t="shared" si="1"/>
        <v>PURNA2025-BCF1</v>
      </c>
      <c r="G175" s="19" t="s">
        <v>5408</v>
      </c>
      <c r="H175" s="20" t="s">
        <v>14</v>
      </c>
      <c r="I175" s="19" t="s">
        <v>5409</v>
      </c>
      <c r="J175" s="19" t="s">
        <v>5410</v>
      </c>
      <c r="K175" s="21" t="s">
        <v>5464</v>
      </c>
      <c r="L175" s="19" t="s">
        <v>5898</v>
      </c>
      <c r="M175" s="16" t="s">
        <v>312</v>
      </c>
      <c r="N175" s="18" t="s">
        <v>5416</v>
      </c>
      <c r="O175" s="18"/>
      <c r="P175" s="18">
        <f>VLOOKUP($A175,MasterData!$C$1:$I$1995,1,FALSE)</f>
        <v>7537</v>
      </c>
      <c r="Q175" s="18" t="str">
        <f t="shared" si="2"/>
        <v>PURNA2025-BCF1</v>
      </c>
    </row>
    <row r="176" ht="15.75" hidden="1" customHeight="1">
      <c r="A176" s="15">
        <v>7538.0</v>
      </c>
      <c r="B176" s="22" t="s">
        <v>5917</v>
      </c>
      <c r="C176" s="16" t="s">
        <v>5918</v>
      </c>
      <c r="D176" s="18" t="s">
        <v>5919</v>
      </c>
      <c r="E176" s="18" t="s">
        <v>315</v>
      </c>
      <c r="F176" s="19" t="str">
        <f t="shared" si="1"/>
        <v>PURNA2025-BCF1</v>
      </c>
      <c r="G176" s="19" t="s">
        <v>5408</v>
      </c>
      <c r="H176" s="20" t="s">
        <v>14</v>
      </c>
      <c r="I176" s="19" t="s">
        <v>5409</v>
      </c>
      <c r="J176" s="19" t="s">
        <v>5410</v>
      </c>
      <c r="K176" s="21" t="s">
        <v>5464</v>
      </c>
      <c r="L176" s="19" t="s">
        <v>5898</v>
      </c>
      <c r="M176" s="16" t="s">
        <v>314</v>
      </c>
      <c r="N176" s="18" t="s">
        <v>5416</v>
      </c>
      <c r="O176" s="18"/>
      <c r="P176" s="18">
        <f>VLOOKUP($A176,MasterData!$C$1:$I$1995,1,FALSE)</f>
        <v>7538</v>
      </c>
      <c r="Q176" s="18" t="str">
        <f t="shared" si="2"/>
        <v>PURNA2025-BCF1</v>
      </c>
    </row>
    <row r="177" ht="15.75" hidden="1" customHeight="1">
      <c r="A177" s="15">
        <v>7563.0</v>
      </c>
      <c r="B177" s="22" t="s">
        <v>5920</v>
      </c>
      <c r="C177" s="16" t="s">
        <v>5921</v>
      </c>
      <c r="D177" s="18" t="s">
        <v>5922</v>
      </c>
      <c r="E177" s="18" t="s">
        <v>317</v>
      </c>
      <c r="F177" s="19" t="str">
        <f t="shared" si="1"/>
        <v>PURNA2025-BCF1</v>
      </c>
      <c r="G177" s="19" t="s">
        <v>5408</v>
      </c>
      <c r="H177" s="20" t="s">
        <v>14</v>
      </c>
      <c r="I177" s="19" t="s">
        <v>5409</v>
      </c>
      <c r="J177" s="19" t="s">
        <v>5410</v>
      </c>
      <c r="K177" s="21" t="s">
        <v>5464</v>
      </c>
      <c r="L177" s="19" t="s">
        <v>5898</v>
      </c>
      <c r="M177" s="16" t="s">
        <v>316</v>
      </c>
      <c r="N177" s="18" t="s">
        <v>5416</v>
      </c>
      <c r="O177" s="18"/>
      <c r="P177" s="18">
        <f>VLOOKUP($A177,MasterData!$C$1:$I$1995,1,FALSE)</f>
        <v>7563</v>
      </c>
      <c r="Q177" s="18" t="str">
        <f t="shared" si="2"/>
        <v>PURNA2025-BCF1</v>
      </c>
    </row>
    <row r="178" ht="15.75" hidden="1" customHeight="1">
      <c r="A178" s="15">
        <v>7574.0</v>
      </c>
      <c r="B178" s="22" t="s">
        <v>5923</v>
      </c>
      <c r="C178" s="16" t="s">
        <v>5924</v>
      </c>
      <c r="D178" s="18" t="s">
        <v>5925</v>
      </c>
      <c r="E178" s="18" t="s">
        <v>319</v>
      </c>
      <c r="F178" s="19" t="str">
        <f t="shared" si="1"/>
        <v>PURNA2025-BCF1</v>
      </c>
      <c r="G178" s="19" t="s">
        <v>5408</v>
      </c>
      <c r="H178" s="20" t="s">
        <v>14</v>
      </c>
      <c r="I178" s="19" t="s">
        <v>5409</v>
      </c>
      <c r="J178" s="19" t="s">
        <v>5410</v>
      </c>
      <c r="K178" s="21" t="s">
        <v>5464</v>
      </c>
      <c r="L178" s="19" t="s">
        <v>5898</v>
      </c>
      <c r="M178" s="16" t="s">
        <v>318</v>
      </c>
      <c r="N178" s="18" t="s">
        <v>5416</v>
      </c>
      <c r="O178" s="18"/>
      <c r="P178" s="18">
        <f>VLOOKUP($A178,MasterData!$C$1:$I$1995,1,FALSE)</f>
        <v>7574</v>
      </c>
      <c r="Q178" s="18" t="str">
        <f t="shared" si="2"/>
        <v>PURNA2025-BCF1</v>
      </c>
    </row>
    <row r="179" ht="15.75" hidden="1" customHeight="1">
      <c r="A179" s="15">
        <v>7587.0</v>
      </c>
      <c r="B179" s="22" t="s">
        <v>5926</v>
      </c>
      <c r="C179" s="16" t="s">
        <v>5927</v>
      </c>
      <c r="D179" s="18" t="s">
        <v>5928</v>
      </c>
      <c r="E179" s="18" t="s">
        <v>321</v>
      </c>
      <c r="F179" s="19" t="str">
        <f t="shared" si="1"/>
        <v>PURNA2025-BCF1</v>
      </c>
      <c r="G179" s="19" t="s">
        <v>5408</v>
      </c>
      <c r="H179" s="20" t="s">
        <v>14</v>
      </c>
      <c r="I179" s="19" t="s">
        <v>5409</v>
      </c>
      <c r="J179" s="19" t="s">
        <v>5410</v>
      </c>
      <c r="K179" s="21" t="s">
        <v>5464</v>
      </c>
      <c r="L179" s="19" t="s">
        <v>5898</v>
      </c>
      <c r="M179" s="16" t="s">
        <v>320</v>
      </c>
      <c r="N179" s="18" t="s">
        <v>5416</v>
      </c>
      <c r="O179" s="18"/>
      <c r="P179" s="18">
        <f>VLOOKUP($A179,MasterData!$C$1:$I$1995,1,FALSE)</f>
        <v>7587</v>
      </c>
      <c r="Q179" s="18" t="str">
        <f t="shared" si="2"/>
        <v>PURNA2025-BCF1</v>
      </c>
    </row>
    <row r="180" ht="15.75" hidden="1" customHeight="1">
      <c r="A180" s="15">
        <v>7604.0</v>
      </c>
      <c r="B180" s="22" t="s">
        <v>5929</v>
      </c>
      <c r="C180" s="16" t="s">
        <v>5930</v>
      </c>
      <c r="D180" s="18" t="s">
        <v>5931</v>
      </c>
      <c r="E180" s="18" t="s">
        <v>323</v>
      </c>
      <c r="F180" s="19" t="str">
        <f t="shared" si="1"/>
        <v>PURNA2025-BCF1</v>
      </c>
      <c r="G180" s="19" t="s">
        <v>5408</v>
      </c>
      <c r="H180" s="20" t="s">
        <v>14</v>
      </c>
      <c r="I180" s="19" t="s">
        <v>5409</v>
      </c>
      <c r="J180" s="19" t="s">
        <v>5410</v>
      </c>
      <c r="K180" s="21" t="s">
        <v>5464</v>
      </c>
      <c r="L180" s="19" t="s">
        <v>5898</v>
      </c>
      <c r="M180" s="16" t="s">
        <v>322</v>
      </c>
      <c r="N180" s="18" t="s">
        <v>5416</v>
      </c>
      <c r="O180" s="18"/>
      <c r="P180" s="18">
        <f>VLOOKUP($A180,MasterData!$C$1:$I$1995,1,FALSE)</f>
        <v>7604</v>
      </c>
      <c r="Q180" s="18" t="str">
        <f t="shared" si="2"/>
        <v>PURNA2025-BCF1</v>
      </c>
    </row>
    <row r="181" ht="15.75" hidden="1" customHeight="1">
      <c r="A181" s="15">
        <v>7607.0</v>
      </c>
      <c r="B181" s="22" t="s">
        <v>5932</v>
      </c>
      <c r="C181" s="16" t="s">
        <v>5933</v>
      </c>
      <c r="D181" s="18" t="s">
        <v>5934</v>
      </c>
      <c r="E181" s="18" t="s">
        <v>325</v>
      </c>
      <c r="F181" s="19" t="str">
        <f t="shared" si="1"/>
        <v>PURNA2025-BCF1</v>
      </c>
      <c r="G181" s="19" t="s">
        <v>5408</v>
      </c>
      <c r="H181" s="20" t="s">
        <v>14</v>
      </c>
      <c r="I181" s="19" t="s">
        <v>5409</v>
      </c>
      <c r="J181" s="19" t="s">
        <v>5410</v>
      </c>
      <c r="K181" s="21" t="s">
        <v>5464</v>
      </c>
      <c r="L181" s="19" t="s">
        <v>5898</v>
      </c>
      <c r="M181" s="16" t="s">
        <v>324</v>
      </c>
      <c r="N181" s="18" t="s">
        <v>5416</v>
      </c>
      <c r="O181" s="18"/>
      <c r="P181" s="18">
        <f>VLOOKUP($A181,MasterData!$C$1:$I$1995,1,FALSE)</f>
        <v>7607</v>
      </c>
      <c r="Q181" s="18" t="str">
        <f t="shared" si="2"/>
        <v>PURNA2025-BCF1</v>
      </c>
    </row>
    <row r="182" ht="15.75" hidden="1" customHeight="1">
      <c r="A182" s="15">
        <v>7630.0</v>
      </c>
      <c r="B182" s="22" t="s">
        <v>5935</v>
      </c>
      <c r="C182" s="16" t="s">
        <v>5936</v>
      </c>
      <c r="D182" s="18" t="s">
        <v>5937</v>
      </c>
      <c r="E182" s="18" t="s">
        <v>327</v>
      </c>
      <c r="F182" s="19" t="str">
        <f t="shared" si="1"/>
        <v>PURNA2025-BCF1</v>
      </c>
      <c r="G182" s="19" t="s">
        <v>5408</v>
      </c>
      <c r="H182" s="20" t="s">
        <v>14</v>
      </c>
      <c r="I182" s="19" t="s">
        <v>5409</v>
      </c>
      <c r="J182" s="19" t="s">
        <v>5410</v>
      </c>
      <c r="K182" s="21" t="s">
        <v>5464</v>
      </c>
      <c r="L182" s="19" t="s">
        <v>5898</v>
      </c>
      <c r="M182" s="16" t="s">
        <v>326</v>
      </c>
      <c r="N182" s="18" t="s">
        <v>5416</v>
      </c>
      <c r="O182" s="18"/>
      <c r="P182" s="18">
        <f>VLOOKUP($A182,MasterData!$C$1:$I$1995,1,FALSE)</f>
        <v>7630</v>
      </c>
      <c r="Q182" s="18" t="str">
        <f t="shared" si="2"/>
        <v>PURNA2025-BCF1</v>
      </c>
    </row>
    <row r="183" ht="15.75" hidden="1" customHeight="1">
      <c r="A183" s="15">
        <v>7637.0</v>
      </c>
      <c r="B183" s="22" t="s">
        <v>5938</v>
      </c>
      <c r="C183" s="16" t="s">
        <v>5939</v>
      </c>
      <c r="D183" s="18" t="s">
        <v>5940</v>
      </c>
      <c r="E183" s="18" t="s">
        <v>329</v>
      </c>
      <c r="F183" s="19" t="str">
        <f t="shared" si="1"/>
        <v>PURNA2025-BCF1</v>
      </c>
      <c r="G183" s="19" t="s">
        <v>5408</v>
      </c>
      <c r="H183" s="20" t="s">
        <v>14</v>
      </c>
      <c r="I183" s="19" t="s">
        <v>5409</v>
      </c>
      <c r="J183" s="19" t="s">
        <v>5410</v>
      </c>
      <c r="K183" s="21" t="s">
        <v>5464</v>
      </c>
      <c r="L183" s="19" t="s">
        <v>5898</v>
      </c>
      <c r="M183" s="16" t="s">
        <v>328</v>
      </c>
      <c r="N183" s="18" t="s">
        <v>5416</v>
      </c>
      <c r="O183" s="18"/>
      <c r="P183" s="18">
        <f>VLOOKUP($A183,MasterData!$C$1:$I$1995,1,FALSE)</f>
        <v>7637</v>
      </c>
      <c r="Q183" s="18" t="str">
        <f t="shared" si="2"/>
        <v>PURNA2025-BCF1</v>
      </c>
    </row>
    <row r="184" ht="15.75" hidden="1" customHeight="1">
      <c r="A184" s="15">
        <v>7644.0</v>
      </c>
      <c r="B184" s="22" t="s">
        <v>5941</v>
      </c>
      <c r="C184" s="16" t="s">
        <v>5942</v>
      </c>
      <c r="D184" s="18" t="s">
        <v>5943</v>
      </c>
      <c r="E184" s="18" t="s">
        <v>331</v>
      </c>
      <c r="F184" s="19" t="str">
        <f t="shared" si="1"/>
        <v>PURNA2025-BCF1</v>
      </c>
      <c r="G184" s="19" t="s">
        <v>5408</v>
      </c>
      <c r="H184" s="20" t="s">
        <v>14</v>
      </c>
      <c r="I184" s="19" t="s">
        <v>5409</v>
      </c>
      <c r="J184" s="19" t="s">
        <v>5410</v>
      </c>
      <c r="K184" s="21" t="s">
        <v>5464</v>
      </c>
      <c r="L184" s="19" t="s">
        <v>5898</v>
      </c>
      <c r="M184" s="16" t="s">
        <v>330</v>
      </c>
      <c r="N184" s="18" t="s">
        <v>5416</v>
      </c>
      <c r="O184" s="18"/>
      <c r="P184" s="18">
        <f>VLOOKUP($A184,MasterData!$C$1:$I$1995,1,FALSE)</f>
        <v>7644</v>
      </c>
      <c r="Q184" s="18" t="str">
        <f t="shared" si="2"/>
        <v>PURNA2025-BCF1</v>
      </c>
    </row>
    <row r="185" ht="15.75" hidden="1" customHeight="1">
      <c r="A185" s="15">
        <v>7646.0</v>
      </c>
      <c r="B185" s="22" t="s">
        <v>5944</v>
      </c>
      <c r="C185" s="16" t="s">
        <v>5945</v>
      </c>
      <c r="D185" s="18" t="s">
        <v>5946</v>
      </c>
      <c r="E185" s="18" t="s">
        <v>333</v>
      </c>
      <c r="F185" s="19" t="str">
        <f t="shared" si="1"/>
        <v>PURNA2025-BCF1</v>
      </c>
      <c r="G185" s="19" t="s">
        <v>5408</v>
      </c>
      <c r="H185" s="20" t="s">
        <v>14</v>
      </c>
      <c r="I185" s="19" t="s">
        <v>5409</v>
      </c>
      <c r="J185" s="19" t="s">
        <v>5410</v>
      </c>
      <c r="K185" s="21" t="s">
        <v>5464</v>
      </c>
      <c r="L185" s="19" t="s">
        <v>5898</v>
      </c>
      <c r="M185" s="16" t="s">
        <v>332</v>
      </c>
      <c r="N185" s="18" t="s">
        <v>5416</v>
      </c>
      <c r="O185" s="18"/>
      <c r="P185" s="18">
        <f>VLOOKUP($A185,MasterData!$C$1:$I$1995,1,FALSE)</f>
        <v>7646</v>
      </c>
      <c r="Q185" s="18" t="str">
        <f t="shared" si="2"/>
        <v>PURNA2025-BCF1</v>
      </c>
    </row>
    <row r="186" ht="15.75" hidden="1" customHeight="1">
      <c r="A186" s="15">
        <v>7683.0</v>
      </c>
      <c r="B186" s="22" t="s">
        <v>5947</v>
      </c>
      <c r="C186" s="16" t="s">
        <v>5948</v>
      </c>
      <c r="D186" s="18" t="s">
        <v>5949</v>
      </c>
      <c r="E186" s="18" t="s">
        <v>335</v>
      </c>
      <c r="F186" s="19" t="str">
        <f t="shared" si="1"/>
        <v>PURNA2025-BCF1</v>
      </c>
      <c r="G186" s="19" t="s">
        <v>5408</v>
      </c>
      <c r="H186" s="20" t="s">
        <v>14</v>
      </c>
      <c r="I186" s="19" t="s">
        <v>5409</v>
      </c>
      <c r="J186" s="19" t="s">
        <v>5410</v>
      </c>
      <c r="K186" s="21" t="s">
        <v>5464</v>
      </c>
      <c r="L186" s="19" t="s">
        <v>5898</v>
      </c>
      <c r="M186" s="16" t="s">
        <v>334</v>
      </c>
      <c r="N186" s="18" t="s">
        <v>5416</v>
      </c>
      <c r="O186" s="18"/>
      <c r="P186" s="18">
        <f>VLOOKUP($A186,MasterData!$C$1:$I$1995,1,FALSE)</f>
        <v>7683</v>
      </c>
      <c r="Q186" s="18" t="str">
        <f t="shared" si="2"/>
        <v>PURNA2025-BCF1</v>
      </c>
    </row>
    <row r="187" ht="15.75" hidden="1" customHeight="1">
      <c r="A187" s="15">
        <v>7697.0</v>
      </c>
      <c r="B187" s="22" t="s">
        <v>5950</v>
      </c>
      <c r="C187" s="16" t="s">
        <v>5951</v>
      </c>
      <c r="D187" s="18" t="s">
        <v>5952</v>
      </c>
      <c r="E187" s="18" t="s">
        <v>337</v>
      </c>
      <c r="F187" s="19" t="str">
        <f t="shared" si="1"/>
        <v>PURNA2025-BCF1</v>
      </c>
      <c r="G187" s="19" t="s">
        <v>5408</v>
      </c>
      <c r="H187" s="20" t="s">
        <v>14</v>
      </c>
      <c r="I187" s="19" t="s">
        <v>5409</v>
      </c>
      <c r="J187" s="19" t="s">
        <v>5410</v>
      </c>
      <c r="K187" s="21" t="s">
        <v>5464</v>
      </c>
      <c r="L187" s="19" t="s">
        <v>5898</v>
      </c>
      <c r="M187" s="16" t="s">
        <v>336</v>
      </c>
      <c r="N187" s="18" t="s">
        <v>5416</v>
      </c>
      <c r="O187" s="18"/>
      <c r="P187" s="18">
        <f>VLOOKUP($A187,MasterData!$C$1:$I$1995,1,FALSE)</f>
        <v>7697</v>
      </c>
      <c r="Q187" s="18" t="str">
        <f t="shared" si="2"/>
        <v>PURNA2025-BCF1</v>
      </c>
    </row>
    <row r="188" ht="15.75" hidden="1" customHeight="1">
      <c r="A188" s="15">
        <v>7716.0</v>
      </c>
      <c r="B188" s="22" t="s">
        <v>5953</v>
      </c>
      <c r="C188" s="16" t="s">
        <v>5954</v>
      </c>
      <c r="D188" s="18" t="s">
        <v>5955</v>
      </c>
      <c r="E188" s="18" t="s">
        <v>339</v>
      </c>
      <c r="F188" s="19" t="str">
        <f t="shared" si="1"/>
        <v>PURNA2025-BCF1</v>
      </c>
      <c r="G188" s="19" t="s">
        <v>5408</v>
      </c>
      <c r="H188" s="20" t="s">
        <v>14</v>
      </c>
      <c r="I188" s="19" t="s">
        <v>5409</v>
      </c>
      <c r="J188" s="19" t="s">
        <v>5410</v>
      </c>
      <c r="K188" s="21" t="s">
        <v>5464</v>
      </c>
      <c r="L188" s="19" t="s">
        <v>5898</v>
      </c>
      <c r="M188" s="16" t="s">
        <v>338</v>
      </c>
      <c r="N188" s="18" t="s">
        <v>5416</v>
      </c>
      <c r="O188" s="18"/>
      <c r="P188" s="18">
        <f>VLOOKUP($A188,MasterData!$C$1:$I$1995,1,FALSE)</f>
        <v>7716</v>
      </c>
      <c r="Q188" s="18" t="str">
        <f t="shared" si="2"/>
        <v>PURNA2025-BCF1</v>
      </c>
    </row>
    <row r="189" ht="15.75" hidden="1" customHeight="1">
      <c r="A189" s="15">
        <v>7727.0</v>
      </c>
      <c r="B189" s="22" t="s">
        <v>5956</v>
      </c>
      <c r="C189" s="16" t="s">
        <v>5957</v>
      </c>
      <c r="D189" s="18" t="s">
        <v>5958</v>
      </c>
      <c r="E189" s="18" t="s">
        <v>341</v>
      </c>
      <c r="F189" s="19" t="str">
        <f t="shared" si="1"/>
        <v>PURNA2025-BCF1</v>
      </c>
      <c r="G189" s="19" t="s">
        <v>5408</v>
      </c>
      <c r="H189" s="20" t="s">
        <v>14</v>
      </c>
      <c r="I189" s="19" t="s">
        <v>5409</v>
      </c>
      <c r="J189" s="19" t="s">
        <v>5410</v>
      </c>
      <c r="K189" s="21" t="s">
        <v>5464</v>
      </c>
      <c r="L189" s="19" t="s">
        <v>5898</v>
      </c>
      <c r="M189" s="16" t="s">
        <v>340</v>
      </c>
      <c r="N189" s="18" t="s">
        <v>5416</v>
      </c>
      <c r="O189" s="18"/>
      <c r="P189" s="18">
        <f>VLOOKUP($A189,MasterData!$C$1:$I$1995,1,FALSE)</f>
        <v>7727</v>
      </c>
      <c r="Q189" s="18" t="str">
        <f t="shared" si="2"/>
        <v>PURNA2025-BCF1</v>
      </c>
    </row>
    <row r="190" ht="15.75" hidden="1" customHeight="1">
      <c r="A190" s="15">
        <v>7736.0</v>
      </c>
      <c r="B190" s="22" t="s">
        <v>5959</v>
      </c>
      <c r="C190" s="16" t="s">
        <v>5960</v>
      </c>
      <c r="D190" s="18" t="s">
        <v>5961</v>
      </c>
      <c r="E190" s="18" t="s">
        <v>343</v>
      </c>
      <c r="F190" s="19" t="str">
        <f t="shared" si="1"/>
        <v>PURNA2025-BCF1</v>
      </c>
      <c r="G190" s="19" t="s">
        <v>5408</v>
      </c>
      <c r="H190" s="20" t="s">
        <v>14</v>
      </c>
      <c r="I190" s="19" t="s">
        <v>5409</v>
      </c>
      <c r="J190" s="19" t="s">
        <v>5410</v>
      </c>
      <c r="K190" s="21" t="s">
        <v>5464</v>
      </c>
      <c r="L190" s="19" t="s">
        <v>5898</v>
      </c>
      <c r="M190" s="16" t="s">
        <v>342</v>
      </c>
      <c r="N190" s="18" t="s">
        <v>5416</v>
      </c>
      <c r="O190" s="18"/>
      <c r="P190" s="18">
        <f>VLOOKUP($A190,MasterData!$C$1:$I$1995,1,FALSE)</f>
        <v>7736</v>
      </c>
      <c r="Q190" s="18" t="str">
        <f t="shared" si="2"/>
        <v>PURNA2025-BCF1</v>
      </c>
    </row>
    <row r="191" ht="15.75" hidden="1" customHeight="1">
      <c r="A191" s="15">
        <v>7748.0</v>
      </c>
      <c r="B191" s="22" t="s">
        <v>5962</v>
      </c>
      <c r="C191" s="16" t="s">
        <v>5963</v>
      </c>
      <c r="D191" s="18" t="s">
        <v>5964</v>
      </c>
      <c r="E191" s="18" t="s">
        <v>345</v>
      </c>
      <c r="F191" s="19" t="str">
        <f t="shared" si="1"/>
        <v>PURNA2025-BCF1</v>
      </c>
      <c r="G191" s="19" t="s">
        <v>5408</v>
      </c>
      <c r="H191" s="20" t="s">
        <v>14</v>
      </c>
      <c r="I191" s="19" t="s">
        <v>5409</v>
      </c>
      <c r="J191" s="19" t="s">
        <v>5410</v>
      </c>
      <c r="K191" s="21" t="s">
        <v>5464</v>
      </c>
      <c r="L191" s="19" t="s">
        <v>5898</v>
      </c>
      <c r="M191" s="16" t="s">
        <v>344</v>
      </c>
      <c r="N191" s="18" t="s">
        <v>5416</v>
      </c>
      <c r="O191" s="18"/>
      <c r="P191" s="18">
        <f>VLOOKUP($A191,MasterData!$C$1:$I$1995,1,FALSE)</f>
        <v>7748</v>
      </c>
      <c r="Q191" s="18" t="str">
        <f t="shared" si="2"/>
        <v>PURNA2025-BCF1</v>
      </c>
    </row>
    <row r="192" ht="15.75" hidden="1" customHeight="1">
      <c r="A192" s="15">
        <v>7828.0</v>
      </c>
      <c r="B192" s="22" t="s">
        <v>5965</v>
      </c>
      <c r="C192" s="16" t="s">
        <v>5966</v>
      </c>
      <c r="D192" s="18" t="s">
        <v>5967</v>
      </c>
      <c r="E192" s="18" t="s">
        <v>347</v>
      </c>
      <c r="F192" s="19" t="str">
        <f t="shared" si="1"/>
        <v>PURNA2025-BCF1</v>
      </c>
      <c r="G192" s="19" t="s">
        <v>5408</v>
      </c>
      <c r="H192" s="20" t="s">
        <v>14</v>
      </c>
      <c r="I192" s="19" t="s">
        <v>5409</v>
      </c>
      <c r="J192" s="19" t="s">
        <v>5410</v>
      </c>
      <c r="K192" s="21" t="s">
        <v>5464</v>
      </c>
      <c r="L192" s="19" t="s">
        <v>5898</v>
      </c>
      <c r="M192" s="16" t="s">
        <v>346</v>
      </c>
      <c r="N192" s="18" t="s">
        <v>5416</v>
      </c>
      <c r="O192" s="18"/>
      <c r="P192" s="18">
        <f>VLOOKUP($A192,MasterData!$C$1:$I$1995,1,FALSE)</f>
        <v>7828</v>
      </c>
      <c r="Q192" s="18" t="str">
        <f t="shared" si="2"/>
        <v>PURNA2025-BCF1</v>
      </c>
    </row>
    <row r="193" ht="15.75" hidden="1" customHeight="1">
      <c r="A193" s="15">
        <v>7829.0</v>
      </c>
      <c r="B193" s="22" t="s">
        <v>5968</v>
      </c>
      <c r="C193" s="16" t="s">
        <v>5969</v>
      </c>
      <c r="D193" s="18" t="s">
        <v>5970</v>
      </c>
      <c r="E193" s="18" t="s">
        <v>349</v>
      </c>
      <c r="F193" s="19" t="str">
        <f t="shared" si="1"/>
        <v>PURNA2025-BCF1</v>
      </c>
      <c r="G193" s="19" t="s">
        <v>5408</v>
      </c>
      <c r="H193" s="20" t="s">
        <v>14</v>
      </c>
      <c r="I193" s="19" t="s">
        <v>5409</v>
      </c>
      <c r="J193" s="19" t="s">
        <v>5410</v>
      </c>
      <c r="K193" s="21" t="s">
        <v>5464</v>
      </c>
      <c r="L193" s="19" t="s">
        <v>5898</v>
      </c>
      <c r="M193" s="16" t="s">
        <v>348</v>
      </c>
      <c r="N193" s="18" t="s">
        <v>5416</v>
      </c>
      <c r="O193" s="18"/>
      <c r="P193" s="18">
        <f>VLOOKUP($A193,MasterData!$C$1:$I$1995,1,FALSE)</f>
        <v>7829</v>
      </c>
      <c r="Q193" s="18" t="str">
        <f t="shared" si="2"/>
        <v>PURNA2025-BCF1</v>
      </c>
    </row>
    <row r="194" ht="15.75" hidden="1" customHeight="1">
      <c r="A194" s="15">
        <v>7844.0</v>
      </c>
      <c r="B194" s="22" t="s">
        <v>5971</v>
      </c>
      <c r="C194" s="16" t="s">
        <v>5972</v>
      </c>
      <c r="D194" s="18" t="s">
        <v>5973</v>
      </c>
      <c r="E194" s="18" t="s">
        <v>351</v>
      </c>
      <c r="F194" s="19" t="str">
        <f t="shared" si="1"/>
        <v>PURNA2025-BCF1</v>
      </c>
      <c r="G194" s="19" t="s">
        <v>5408</v>
      </c>
      <c r="H194" s="20" t="s">
        <v>14</v>
      </c>
      <c r="I194" s="19" t="s">
        <v>5409</v>
      </c>
      <c r="J194" s="19" t="s">
        <v>5410</v>
      </c>
      <c r="K194" s="21" t="s">
        <v>5464</v>
      </c>
      <c r="L194" s="19" t="s">
        <v>5898</v>
      </c>
      <c r="M194" s="16" t="s">
        <v>350</v>
      </c>
      <c r="N194" s="18" t="s">
        <v>5416</v>
      </c>
      <c r="O194" s="18"/>
      <c r="P194" s="18">
        <f>VLOOKUP($A194,MasterData!$C$1:$I$1995,1,FALSE)</f>
        <v>7844</v>
      </c>
      <c r="Q194" s="18" t="str">
        <f t="shared" si="2"/>
        <v>PURNA2025-BCF1</v>
      </c>
    </row>
    <row r="195" ht="15.75" hidden="1" customHeight="1">
      <c r="A195" s="15">
        <v>7852.0</v>
      </c>
      <c r="B195" s="22" t="s">
        <v>5974</v>
      </c>
      <c r="C195" s="16" t="s">
        <v>5975</v>
      </c>
      <c r="D195" s="18" t="s">
        <v>5976</v>
      </c>
      <c r="E195" s="18" t="s">
        <v>353</v>
      </c>
      <c r="F195" s="19" t="str">
        <f t="shared" si="1"/>
        <v>PURNA2025-BCF1</v>
      </c>
      <c r="G195" s="19" t="s">
        <v>5408</v>
      </c>
      <c r="H195" s="20" t="s">
        <v>14</v>
      </c>
      <c r="I195" s="19" t="s">
        <v>5409</v>
      </c>
      <c r="J195" s="19" t="s">
        <v>5410</v>
      </c>
      <c r="K195" s="21" t="s">
        <v>5464</v>
      </c>
      <c r="L195" s="19" t="s">
        <v>5898</v>
      </c>
      <c r="M195" s="16" t="s">
        <v>352</v>
      </c>
      <c r="N195" s="18" t="s">
        <v>5416</v>
      </c>
      <c r="O195" s="18"/>
      <c r="P195" s="18">
        <f>VLOOKUP($A195,MasterData!$C$1:$I$1995,1,FALSE)</f>
        <v>7852</v>
      </c>
      <c r="Q195" s="18" t="str">
        <f t="shared" si="2"/>
        <v>PURNA2025-BCF1</v>
      </c>
    </row>
    <row r="196" ht="15.75" hidden="1" customHeight="1">
      <c r="A196" s="15">
        <v>7863.0</v>
      </c>
      <c r="B196" s="22" t="s">
        <v>5977</v>
      </c>
      <c r="C196" s="16" t="s">
        <v>5978</v>
      </c>
      <c r="D196" s="18" t="s">
        <v>5979</v>
      </c>
      <c r="E196" s="18" t="s">
        <v>355</v>
      </c>
      <c r="F196" s="19" t="str">
        <f t="shared" si="1"/>
        <v>PURNA2025-BCF1</v>
      </c>
      <c r="G196" s="19" t="s">
        <v>5408</v>
      </c>
      <c r="H196" s="20" t="s">
        <v>14</v>
      </c>
      <c r="I196" s="19" t="s">
        <v>5409</v>
      </c>
      <c r="J196" s="19" t="s">
        <v>5410</v>
      </c>
      <c r="K196" s="21" t="s">
        <v>5464</v>
      </c>
      <c r="L196" s="19" t="s">
        <v>5898</v>
      </c>
      <c r="M196" s="16" t="s">
        <v>354</v>
      </c>
      <c r="N196" s="18" t="s">
        <v>5416</v>
      </c>
      <c r="O196" s="18"/>
      <c r="P196" s="18">
        <f>VLOOKUP($A196,MasterData!$C$1:$I$1995,1,FALSE)</f>
        <v>7863</v>
      </c>
      <c r="Q196" s="18" t="str">
        <f t="shared" si="2"/>
        <v>PURNA2025-BCF1</v>
      </c>
    </row>
    <row r="197" ht="15.75" hidden="1" customHeight="1">
      <c r="A197" s="15">
        <v>7912.0</v>
      </c>
      <c r="B197" s="22" t="s">
        <v>5980</v>
      </c>
      <c r="C197" s="16" t="s">
        <v>5981</v>
      </c>
      <c r="D197" s="18" t="s">
        <v>5982</v>
      </c>
      <c r="E197" s="18" t="s">
        <v>357</v>
      </c>
      <c r="F197" s="19" t="str">
        <f t="shared" si="1"/>
        <v>PURNA2025-BCF1</v>
      </c>
      <c r="G197" s="19" t="s">
        <v>5408</v>
      </c>
      <c r="H197" s="20" t="s">
        <v>14</v>
      </c>
      <c r="I197" s="19" t="s">
        <v>5409</v>
      </c>
      <c r="J197" s="19" t="s">
        <v>5410</v>
      </c>
      <c r="K197" s="21" t="s">
        <v>5464</v>
      </c>
      <c r="L197" s="19" t="s">
        <v>5898</v>
      </c>
      <c r="M197" s="16" t="s">
        <v>356</v>
      </c>
      <c r="N197" s="18" t="s">
        <v>5416</v>
      </c>
      <c r="O197" s="18"/>
      <c r="P197" s="18">
        <f>VLOOKUP($A197,MasterData!$C$1:$I$1995,1,FALSE)</f>
        <v>7912</v>
      </c>
      <c r="Q197" s="18" t="str">
        <f t="shared" si="2"/>
        <v>PURNA2025-BCF1</v>
      </c>
    </row>
    <row r="198" ht="15.75" hidden="1" customHeight="1">
      <c r="A198" s="15">
        <v>7927.0</v>
      </c>
      <c r="B198" s="22" t="s">
        <v>5983</v>
      </c>
      <c r="C198" s="16" t="s">
        <v>5984</v>
      </c>
      <c r="D198" s="18" t="s">
        <v>5985</v>
      </c>
      <c r="E198" s="18" t="s">
        <v>359</v>
      </c>
      <c r="F198" s="19" t="str">
        <f t="shared" si="1"/>
        <v>PURNA2025-BCF1</v>
      </c>
      <c r="G198" s="19" t="s">
        <v>5408</v>
      </c>
      <c r="H198" s="20" t="s">
        <v>14</v>
      </c>
      <c r="I198" s="19" t="s">
        <v>5409</v>
      </c>
      <c r="J198" s="19" t="s">
        <v>5410</v>
      </c>
      <c r="K198" s="21" t="s">
        <v>5464</v>
      </c>
      <c r="L198" s="19" t="s">
        <v>5898</v>
      </c>
      <c r="M198" s="16" t="s">
        <v>358</v>
      </c>
      <c r="N198" s="18" t="s">
        <v>5416</v>
      </c>
      <c r="O198" s="18"/>
      <c r="P198" s="18">
        <f>VLOOKUP($A198,MasterData!$C$1:$I$1995,1,FALSE)</f>
        <v>7927</v>
      </c>
      <c r="Q198" s="18" t="str">
        <f t="shared" si="2"/>
        <v>PURNA2025-BCF1</v>
      </c>
    </row>
    <row r="199" ht="15.75" hidden="1" customHeight="1">
      <c r="A199" s="15">
        <v>7928.0</v>
      </c>
      <c r="B199" s="22" t="s">
        <v>5986</v>
      </c>
      <c r="C199" s="16" t="s">
        <v>5987</v>
      </c>
      <c r="D199" s="18" t="s">
        <v>5988</v>
      </c>
      <c r="E199" s="18" t="s">
        <v>361</v>
      </c>
      <c r="F199" s="19" t="str">
        <f t="shared" si="1"/>
        <v>PURNA2025-BCF1</v>
      </c>
      <c r="G199" s="19" t="s">
        <v>5408</v>
      </c>
      <c r="H199" s="20" t="s">
        <v>14</v>
      </c>
      <c r="I199" s="19" t="s">
        <v>5409</v>
      </c>
      <c r="J199" s="19" t="s">
        <v>5410</v>
      </c>
      <c r="K199" s="21" t="s">
        <v>5464</v>
      </c>
      <c r="L199" s="19" t="s">
        <v>5898</v>
      </c>
      <c r="M199" s="16" t="s">
        <v>360</v>
      </c>
      <c r="N199" s="18" t="s">
        <v>5416</v>
      </c>
      <c r="O199" s="18"/>
      <c r="P199" s="18">
        <f>VLOOKUP($A199,MasterData!$C$1:$I$1995,1,FALSE)</f>
        <v>7928</v>
      </c>
      <c r="Q199" s="18" t="str">
        <f t="shared" si="2"/>
        <v>PURNA2025-BCF1</v>
      </c>
    </row>
    <row r="200" ht="15.75" hidden="1" customHeight="1">
      <c r="A200" s="15">
        <v>7930.0</v>
      </c>
      <c r="B200" s="22" t="s">
        <v>5989</v>
      </c>
      <c r="C200" s="16" t="s">
        <v>5990</v>
      </c>
      <c r="D200" s="18" t="s">
        <v>5991</v>
      </c>
      <c r="E200" s="18" t="s">
        <v>363</v>
      </c>
      <c r="F200" s="19" t="str">
        <f t="shared" si="1"/>
        <v>PURNA2025-BCF1</v>
      </c>
      <c r="G200" s="19" t="s">
        <v>5408</v>
      </c>
      <c r="H200" s="20" t="s">
        <v>14</v>
      </c>
      <c r="I200" s="19" t="s">
        <v>5409</v>
      </c>
      <c r="J200" s="19" t="s">
        <v>5410</v>
      </c>
      <c r="K200" s="21" t="s">
        <v>5464</v>
      </c>
      <c r="L200" s="19" t="s">
        <v>5898</v>
      </c>
      <c r="M200" s="16" t="s">
        <v>362</v>
      </c>
      <c r="N200" s="18" t="s">
        <v>5416</v>
      </c>
      <c r="O200" s="18"/>
      <c r="P200" s="18">
        <f>VLOOKUP($A200,MasterData!$C$1:$I$1995,1,FALSE)</f>
        <v>7930</v>
      </c>
      <c r="Q200" s="18" t="str">
        <f t="shared" si="2"/>
        <v>PURNA2025-BCF1</v>
      </c>
    </row>
    <row r="201" ht="15.75" hidden="1" customHeight="1">
      <c r="A201" s="15">
        <v>7953.0</v>
      </c>
      <c r="B201" s="22" t="s">
        <v>5992</v>
      </c>
      <c r="C201" s="16" t="s">
        <v>5993</v>
      </c>
      <c r="D201" s="18" t="s">
        <v>5994</v>
      </c>
      <c r="E201" s="18" t="s">
        <v>365</v>
      </c>
      <c r="F201" s="19" t="str">
        <f t="shared" si="1"/>
        <v>PURNA2025-BCF1</v>
      </c>
      <c r="G201" s="19" t="s">
        <v>5408</v>
      </c>
      <c r="H201" s="20" t="s">
        <v>14</v>
      </c>
      <c r="I201" s="19" t="s">
        <v>5409</v>
      </c>
      <c r="J201" s="19" t="s">
        <v>5410</v>
      </c>
      <c r="K201" s="21" t="s">
        <v>5464</v>
      </c>
      <c r="L201" s="19" t="s">
        <v>5898</v>
      </c>
      <c r="M201" s="16" t="s">
        <v>364</v>
      </c>
      <c r="N201" s="18" t="s">
        <v>5416</v>
      </c>
      <c r="O201" s="18"/>
      <c r="P201" s="18">
        <f>VLOOKUP($A201,MasterData!$C$1:$I$1995,1,FALSE)</f>
        <v>7953</v>
      </c>
      <c r="Q201" s="18" t="str">
        <f t="shared" si="2"/>
        <v>PURNA2025-BCF1</v>
      </c>
    </row>
    <row r="202" ht="15.75" hidden="1" customHeight="1">
      <c r="A202" s="15">
        <v>7955.0</v>
      </c>
      <c r="B202" s="22" t="s">
        <v>5995</v>
      </c>
      <c r="C202" s="16" t="s">
        <v>5996</v>
      </c>
      <c r="D202" s="18" t="s">
        <v>5997</v>
      </c>
      <c r="E202" s="18" t="s">
        <v>367</v>
      </c>
      <c r="F202" s="19" t="str">
        <f t="shared" si="1"/>
        <v>PURNA2025-BCF1</v>
      </c>
      <c r="G202" s="19" t="s">
        <v>5408</v>
      </c>
      <c r="H202" s="20" t="s">
        <v>14</v>
      </c>
      <c r="I202" s="19" t="s">
        <v>5409</v>
      </c>
      <c r="J202" s="19" t="s">
        <v>5410</v>
      </c>
      <c r="K202" s="21" t="s">
        <v>5464</v>
      </c>
      <c r="L202" s="19" t="s">
        <v>5898</v>
      </c>
      <c r="M202" s="16" t="s">
        <v>366</v>
      </c>
      <c r="N202" s="18" t="s">
        <v>5416</v>
      </c>
      <c r="O202" s="18"/>
      <c r="P202" s="18">
        <f>VLOOKUP($A202,MasterData!$C$1:$I$1995,1,FALSE)</f>
        <v>7955</v>
      </c>
      <c r="Q202" s="18" t="str">
        <f t="shared" si="2"/>
        <v>PURNA2025-BCF1</v>
      </c>
    </row>
    <row r="203" ht="15.75" hidden="1" customHeight="1">
      <c r="A203" s="15">
        <v>7965.0</v>
      </c>
      <c r="B203" s="22" t="s">
        <v>5998</v>
      </c>
      <c r="C203" s="16" t="s">
        <v>5999</v>
      </c>
      <c r="D203" s="18" t="s">
        <v>6000</v>
      </c>
      <c r="E203" s="18" t="s">
        <v>369</v>
      </c>
      <c r="F203" s="19" t="str">
        <f t="shared" si="1"/>
        <v>PURNA2025-BCF1</v>
      </c>
      <c r="G203" s="19" t="s">
        <v>5408</v>
      </c>
      <c r="H203" s="20" t="s">
        <v>14</v>
      </c>
      <c r="I203" s="19" t="s">
        <v>5409</v>
      </c>
      <c r="J203" s="19" t="s">
        <v>5410</v>
      </c>
      <c r="K203" s="21" t="s">
        <v>5464</v>
      </c>
      <c r="L203" s="19" t="s">
        <v>5898</v>
      </c>
      <c r="M203" s="16" t="s">
        <v>368</v>
      </c>
      <c r="N203" s="18" t="s">
        <v>5416</v>
      </c>
      <c r="O203" s="18"/>
      <c r="P203" s="18">
        <f>VLOOKUP($A203,MasterData!$C$1:$I$1995,1,FALSE)</f>
        <v>7965</v>
      </c>
      <c r="Q203" s="18" t="str">
        <f t="shared" si="2"/>
        <v>PURNA2025-BCF1</v>
      </c>
    </row>
    <row r="204" ht="15.75" hidden="1" customHeight="1">
      <c r="A204" s="15">
        <v>8019.0</v>
      </c>
      <c r="B204" s="22" t="s">
        <v>6001</v>
      </c>
      <c r="C204" s="16" t="s">
        <v>6002</v>
      </c>
      <c r="D204" s="18" t="s">
        <v>6003</v>
      </c>
      <c r="E204" s="18" t="s">
        <v>371</v>
      </c>
      <c r="F204" s="19" t="str">
        <f t="shared" si="1"/>
        <v>PURNA2025-BCF1</v>
      </c>
      <c r="G204" s="19" t="s">
        <v>5408</v>
      </c>
      <c r="H204" s="20" t="s">
        <v>14</v>
      </c>
      <c r="I204" s="19" t="s">
        <v>5409</v>
      </c>
      <c r="J204" s="19" t="s">
        <v>5410</v>
      </c>
      <c r="K204" s="21" t="s">
        <v>5464</v>
      </c>
      <c r="L204" s="19" t="s">
        <v>5898</v>
      </c>
      <c r="M204" s="16" t="s">
        <v>370</v>
      </c>
      <c r="N204" s="18" t="s">
        <v>5416</v>
      </c>
      <c r="O204" s="18"/>
      <c r="P204" s="18">
        <f>VLOOKUP($A204,MasterData!$C$1:$I$1995,1,FALSE)</f>
        <v>8019</v>
      </c>
      <c r="Q204" s="18" t="str">
        <f t="shared" si="2"/>
        <v>PURNA2025-BCF1</v>
      </c>
    </row>
    <row r="205" ht="15.75" hidden="1" customHeight="1">
      <c r="A205" s="15">
        <v>7411.0</v>
      </c>
      <c r="B205" s="22" t="s">
        <v>6004</v>
      </c>
      <c r="C205" s="16" t="s">
        <v>6005</v>
      </c>
      <c r="D205" s="18" t="s">
        <v>6006</v>
      </c>
      <c r="E205" s="18" t="s">
        <v>373</v>
      </c>
      <c r="F205" s="19" t="str">
        <f t="shared" si="1"/>
        <v>PURNA2025-DKV1</v>
      </c>
      <c r="G205" s="19" t="s">
        <v>5408</v>
      </c>
      <c r="H205" s="20" t="s">
        <v>14</v>
      </c>
      <c r="I205" s="19" t="s">
        <v>5409</v>
      </c>
      <c r="J205" s="19" t="s">
        <v>5410</v>
      </c>
      <c r="K205" s="21" t="s">
        <v>5464</v>
      </c>
      <c r="L205" s="19" t="s">
        <v>6007</v>
      </c>
      <c r="M205" s="16" t="s">
        <v>372</v>
      </c>
      <c r="N205" s="18" t="s">
        <v>5416</v>
      </c>
      <c r="O205" s="18"/>
      <c r="P205" s="18">
        <f>VLOOKUP($A205,MasterData!$C$1:$I$1995,1,FALSE)</f>
        <v>7411</v>
      </c>
      <c r="Q205" s="18" t="str">
        <f t="shared" si="2"/>
        <v>PURNA2025-DKV1</v>
      </c>
    </row>
    <row r="206" ht="15.75" hidden="1" customHeight="1">
      <c r="A206" s="15">
        <v>7425.0</v>
      </c>
      <c r="B206" s="22" t="s">
        <v>6008</v>
      </c>
      <c r="C206" s="16" t="s">
        <v>6009</v>
      </c>
      <c r="D206" s="18" t="s">
        <v>6010</v>
      </c>
      <c r="E206" s="18" t="s">
        <v>375</v>
      </c>
      <c r="F206" s="19" t="str">
        <f t="shared" si="1"/>
        <v>PURNA2025-DKV1</v>
      </c>
      <c r="G206" s="19" t="s">
        <v>5408</v>
      </c>
      <c r="H206" s="20" t="s">
        <v>14</v>
      </c>
      <c r="I206" s="19" t="s">
        <v>5409</v>
      </c>
      <c r="J206" s="19" t="s">
        <v>5410</v>
      </c>
      <c r="K206" s="21" t="s">
        <v>5464</v>
      </c>
      <c r="L206" s="19" t="s">
        <v>6007</v>
      </c>
      <c r="M206" s="16" t="s">
        <v>374</v>
      </c>
      <c r="N206" s="18" t="s">
        <v>5416</v>
      </c>
      <c r="O206" s="18"/>
      <c r="P206" s="18">
        <f>VLOOKUP($A206,MasterData!$C$1:$I$1995,1,FALSE)</f>
        <v>7425</v>
      </c>
      <c r="Q206" s="18" t="str">
        <f t="shared" si="2"/>
        <v>PURNA2025-DKV1</v>
      </c>
    </row>
    <row r="207" ht="15.75" hidden="1" customHeight="1">
      <c r="A207" s="15">
        <v>7463.0</v>
      </c>
      <c r="B207" s="22" t="s">
        <v>6011</v>
      </c>
      <c r="C207" s="16" t="s">
        <v>6012</v>
      </c>
      <c r="D207" s="18" t="s">
        <v>6013</v>
      </c>
      <c r="E207" s="18" t="s">
        <v>377</v>
      </c>
      <c r="F207" s="19" t="str">
        <f t="shared" si="1"/>
        <v>PURNA2025-DKV1</v>
      </c>
      <c r="G207" s="19" t="s">
        <v>5408</v>
      </c>
      <c r="H207" s="20" t="s">
        <v>14</v>
      </c>
      <c r="I207" s="19" t="s">
        <v>5409</v>
      </c>
      <c r="J207" s="19" t="s">
        <v>5410</v>
      </c>
      <c r="K207" s="21" t="s">
        <v>5464</v>
      </c>
      <c r="L207" s="19" t="s">
        <v>6007</v>
      </c>
      <c r="M207" s="16" t="s">
        <v>376</v>
      </c>
      <c r="N207" s="18" t="s">
        <v>5416</v>
      </c>
      <c r="O207" s="18"/>
      <c r="P207" s="18">
        <f>VLOOKUP($A207,MasterData!$C$1:$I$1995,1,FALSE)</f>
        <v>7463</v>
      </c>
      <c r="Q207" s="18" t="str">
        <f t="shared" si="2"/>
        <v>PURNA2025-DKV1</v>
      </c>
    </row>
    <row r="208" ht="15.75" hidden="1" customHeight="1">
      <c r="A208" s="15">
        <v>7494.0</v>
      </c>
      <c r="B208" s="22" t="s">
        <v>6014</v>
      </c>
      <c r="C208" s="16" t="s">
        <v>6015</v>
      </c>
      <c r="D208" s="18" t="s">
        <v>6016</v>
      </c>
      <c r="E208" s="18" t="s">
        <v>379</v>
      </c>
      <c r="F208" s="19" t="str">
        <f t="shared" si="1"/>
        <v>PURNA2025-DKV1</v>
      </c>
      <c r="G208" s="19" t="s">
        <v>5408</v>
      </c>
      <c r="H208" s="20" t="s">
        <v>14</v>
      </c>
      <c r="I208" s="19" t="s">
        <v>5409</v>
      </c>
      <c r="J208" s="19" t="s">
        <v>5410</v>
      </c>
      <c r="K208" s="21" t="s">
        <v>5464</v>
      </c>
      <c r="L208" s="19" t="s">
        <v>6007</v>
      </c>
      <c r="M208" s="16" t="s">
        <v>378</v>
      </c>
      <c r="N208" s="18" t="s">
        <v>5416</v>
      </c>
      <c r="O208" s="18"/>
      <c r="P208" s="18">
        <f>VLOOKUP($A208,MasterData!$C$1:$I$1995,1,FALSE)</f>
        <v>7494</v>
      </c>
      <c r="Q208" s="18" t="str">
        <f t="shared" si="2"/>
        <v>PURNA2025-DKV1</v>
      </c>
    </row>
    <row r="209" ht="15.75" hidden="1" customHeight="1">
      <c r="A209" s="15">
        <v>7497.0</v>
      </c>
      <c r="B209" s="22" t="s">
        <v>6017</v>
      </c>
      <c r="C209" s="16" t="s">
        <v>6018</v>
      </c>
      <c r="D209" s="18" t="s">
        <v>6019</v>
      </c>
      <c r="E209" s="18" t="s">
        <v>381</v>
      </c>
      <c r="F209" s="19" t="str">
        <f t="shared" si="1"/>
        <v>PURNA2025-DKV1</v>
      </c>
      <c r="G209" s="19" t="s">
        <v>5408</v>
      </c>
      <c r="H209" s="20" t="s">
        <v>14</v>
      </c>
      <c r="I209" s="19" t="s">
        <v>5409</v>
      </c>
      <c r="J209" s="19" t="s">
        <v>5410</v>
      </c>
      <c r="K209" s="21" t="s">
        <v>5464</v>
      </c>
      <c r="L209" s="19" t="s">
        <v>6007</v>
      </c>
      <c r="M209" s="16" t="s">
        <v>380</v>
      </c>
      <c r="N209" s="18" t="s">
        <v>5416</v>
      </c>
      <c r="O209" s="18"/>
      <c r="P209" s="18">
        <f>VLOOKUP($A209,MasterData!$C$1:$I$1995,1,FALSE)</f>
        <v>7497</v>
      </c>
      <c r="Q209" s="18" t="str">
        <f t="shared" si="2"/>
        <v>PURNA2025-DKV1</v>
      </c>
    </row>
    <row r="210" ht="15.75" hidden="1" customHeight="1">
      <c r="A210" s="15">
        <v>7505.0</v>
      </c>
      <c r="B210" s="22" t="s">
        <v>6020</v>
      </c>
      <c r="C210" s="16" t="s">
        <v>6021</v>
      </c>
      <c r="D210" s="18" t="s">
        <v>6022</v>
      </c>
      <c r="E210" s="18" t="s">
        <v>383</v>
      </c>
      <c r="F210" s="19" t="str">
        <f t="shared" si="1"/>
        <v>PURNA2025-DKV1</v>
      </c>
      <c r="G210" s="19" t="s">
        <v>5408</v>
      </c>
      <c r="H210" s="20" t="s">
        <v>14</v>
      </c>
      <c r="I210" s="19" t="s">
        <v>5409</v>
      </c>
      <c r="J210" s="19" t="s">
        <v>5410</v>
      </c>
      <c r="K210" s="21" t="s">
        <v>5464</v>
      </c>
      <c r="L210" s="19" t="s">
        <v>6007</v>
      </c>
      <c r="M210" s="16" t="s">
        <v>382</v>
      </c>
      <c r="N210" s="18" t="s">
        <v>5416</v>
      </c>
      <c r="O210" s="18"/>
      <c r="P210" s="18">
        <f>VLOOKUP($A210,MasterData!$C$1:$I$1995,1,FALSE)</f>
        <v>7505</v>
      </c>
      <c r="Q210" s="18" t="str">
        <f t="shared" si="2"/>
        <v>PURNA2025-DKV1</v>
      </c>
    </row>
    <row r="211" ht="15.75" hidden="1" customHeight="1">
      <c r="A211" s="15">
        <v>7533.0</v>
      </c>
      <c r="B211" s="22" t="s">
        <v>6023</v>
      </c>
      <c r="C211" s="16" t="s">
        <v>6024</v>
      </c>
      <c r="D211" s="18" t="s">
        <v>6025</v>
      </c>
      <c r="E211" s="18" t="s">
        <v>385</v>
      </c>
      <c r="F211" s="19" t="str">
        <f t="shared" si="1"/>
        <v>PURNA2025-DKV1</v>
      </c>
      <c r="G211" s="19" t="s">
        <v>5408</v>
      </c>
      <c r="H211" s="20" t="s">
        <v>14</v>
      </c>
      <c r="I211" s="19" t="s">
        <v>5409</v>
      </c>
      <c r="J211" s="19" t="s">
        <v>5410</v>
      </c>
      <c r="K211" s="21" t="s">
        <v>5464</v>
      </c>
      <c r="L211" s="19" t="s">
        <v>6007</v>
      </c>
      <c r="M211" s="16" t="s">
        <v>384</v>
      </c>
      <c r="N211" s="18" t="s">
        <v>5416</v>
      </c>
      <c r="O211" s="18"/>
      <c r="P211" s="18">
        <f>VLOOKUP($A211,MasterData!$C$1:$I$1995,1,FALSE)</f>
        <v>7533</v>
      </c>
      <c r="Q211" s="18" t="str">
        <f t="shared" si="2"/>
        <v>PURNA2025-DKV1</v>
      </c>
    </row>
    <row r="212" ht="15.75" hidden="1" customHeight="1">
      <c r="A212" s="15">
        <v>7557.0</v>
      </c>
      <c r="B212" s="22" t="s">
        <v>6026</v>
      </c>
      <c r="C212" s="16" t="s">
        <v>6027</v>
      </c>
      <c r="D212" s="18" t="s">
        <v>6028</v>
      </c>
      <c r="E212" s="18" t="s">
        <v>387</v>
      </c>
      <c r="F212" s="19" t="str">
        <f t="shared" si="1"/>
        <v>PURNA2025-DKV1</v>
      </c>
      <c r="G212" s="19" t="s">
        <v>5408</v>
      </c>
      <c r="H212" s="20" t="s">
        <v>14</v>
      </c>
      <c r="I212" s="19" t="s">
        <v>5409</v>
      </c>
      <c r="J212" s="19" t="s">
        <v>5410</v>
      </c>
      <c r="K212" s="21" t="s">
        <v>5464</v>
      </c>
      <c r="L212" s="19" t="s">
        <v>6007</v>
      </c>
      <c r="M212" s="16" t="s">
        <v>386</v>
      </c>
      <c r="N212" s="18" t="s">
        <v>5416</v>
      </c>
      <c r="O212" s="18"/>
      <c r="P212" s="18">
        <f>VLOOKUP($A212,MasterData!$C$1:$I$1995,1,FALSE)</f>
        <v>7557</v>
      </c>
      <c r="Q212" s="18" t="str">
        <f t="shared" si="2"/>
        <v>PURNA2025-DKV1</v>
      </c>
    </row>
    <row r="213" ht="15.75" hidden="1" customHeight="1">
      <c r="A213" s="15">
        <v>7584.0</v>
      </c>
      <c r="B213" s="22" t="s">
        <v>6029</v>
      </c>
      <c r="C213" s="16" t="s">
        <v>6030</v>
      </c>
      <c r="D213" s="18" t="s">
        <v>6031</v>
      </c>
      <c r="E213" s="18" t="s">
        <v>389</v>
      </c>
      <c r="F213" s="19" t="str">
        <f t="shared" si="1"/>
        <v>PURNA2025-DKV1</v>
      </c>
      <c r="G213" s="19" t="s">
        <v>5408</v>
      </c>
      <c r="H213" s="20" t="s">
        <v>14</v>
      </c>
      <c r="I213" s="19" t="s">
        <v>5409</v>
      </c>
      <c r="J213" s="19" t="s">
        <v>5410</v>
      </c>
      <c r="K213" s="21" t="s">
        <v>5464</v>
      </c>
      <c r="L213" s="19" t="s">
        <v>6007</v>
      </c>
      <c r="M213" s="16" t="s">
        <v>388</v>
      </c>
      <c r="N213" s="18" t="s">
        <v>5416</v>
      </c>
      <c r="O213" s="18"/>
      <c r="P213" s="18">
        <f>VLOOKUP($A213,MasterData!$C$1:$I$1995,1,FALSE)</f>
        <v>7584</v>
      </c>
      <c r="Q213" s="18" t="str">
        <f t="shared" si="2"/>
        <v>PURNA2025-DKV1</v>
      </c>
    </row>
    <row r="214" ht="15.75" hidden="1" customHeight="1">
      <c r="A214" s="15">
        <v>7596.0</v>
      </c>
      <c r="B214" s="22" t="s">
        <v>6032</v>
      </c>
      <c r="C214" s="16" t="s">
        <v>6033</v>
      </c>
      <c r="D214" s="18" t="s">
        <v>6034</v>
      </c>
      <c r="E214" s="18" t="s">
        <v>391</v>
      </c>
      <c r="F214" s="19" t="str">
        <f t="shared" si="1"/>
        <v>PURNA2025-DKV1</v>
      </c>
      <c r="G214" s="19" t="s">
        <v>5408</v>
      </c>
      <c r="H214" s="20" t="s">
        <v>14</v>
      </c>
      <c r="I214" s="19" t="s">
        <v>5409</v>
      </c>
      <c r="J214" s="19" t="s">
        <v>5410</v>
      </c>
      <c r="K214" s="21" t="s">
        <v>5464</v>
      </c>
      <c r="L214" s="19" t="s">
        <v>6007</v>
      </c>
      <c r="M214" s="16" t="s">
        <v>390</v>
      </c>
      <c r="N214" s="18" t="s">
        <v>5416</v>
      </c>
      <c r="O214" s="18"/>
      <c r="P214" s="18">
        <f>VLOOKUP($A214,MasterData!$C$1:$I$1995,1,FALSE)</f>
        <v>7596</v>
      </c>
      <c r="Q214" s="18" t="str">
        <f t="shared" si="2"/>
        <v>PURNA2025-DKV1</v>
      </c>
    </row>
    <row r="215" ht="15.75" hidden="1" customHeight="1">
      <c r="A215" s="15">
        <v>7612.0</v>
      </c>
      <c r="B215" s="22" t="s">
        <v>6035</v>
      </c>
      <c r="C215" s="16" t="s">
        <v>6036</v>
      </c>
      <c r="D215" s="18" t="s">
        <v>6037</v>
      </c>
      <c r="E215" s="18" t="s">
        <v>393</v>
      </c>
      <c r="F215" s="19" t="str">
        <f t="shared" si="1"/>
        <v>PURNA2025-DKV1</v>
      </c>
      <c r="G215" s="19" t="s">
        <v>5408</v>
      </c>
      <c r="H215" s="20" t="s">
        <v>14</v>
      </c>
      <c r="I215" s="19" t="s">
        <v>5409</v>
      </c>
      <c r="J215" s="19" t="s">
        <v>5410</v>
      </c>
      <c r="K215" s="21" t="s">
        <v>5464</v>
      </c>
      <c r="L215" s="19" t="s">
        <v>6007</v>
      </c>
      <c r="M215" s="16" t="s">
        <v>392</v>
      </c>
      <c r="N215" s="18" t="s">
        <v>5416</v>
      </c>
      <c r="O215" s="18"/>
      <c r="P215" s="18">
        <f>VLOOKUP($A215,MasterData!$C$1:$I$1995,1,FALSE)</f>
        <v>7612</v>
      </c>
      <c r="Q215" s="18" t="str">
        <f t="shared" si="2"/>
        <v>PURNA2025-DKV1</v>
      </c>
    </row>
    <row r="216" ht="15.75" hidden="1" customHeight="1">
      <c r="A216" s="15">
        <v>7619.0</v>
      </c>
      <c r="B216" s="22" t="s">
        <v>6038</v>
      </c>
      <c r="C216" s="16" t="s">
        <v>6039</v>
      </c>
      <c r="D216" s="18" t="s">
        <v>6040</v>
      </c>
      <c r="E216" s="18" t="s">
        <v>395</v>
      </c>
      <c r="F216" s="19" t="str">
        <f t="shared" si="1"/>
        <v>PURNA2025-DKV1</v>
      </c>
      <c r="G216" s="19" t="s">
        <v>5408</v>
      </c>
      <c r="H216" s="20" t="s">
        <v>14</v>
      </c>
      <c r="I216" s="19" t="s">
        <v>5409</v>
      </c>
      <c r="J216" s="19" t="s">
        <v>5410</v>
      </c>
      <c r="K216" s="21" t="s">
        <v>5464</v>
      </c>
      <c r="L216" s="19" t="s">
        <v>6007</v>
      </c>
      <c r="M216" s="16" t="s">
        <v>394</v>
      </c>
      <c r="N216" s="18" t="s">
        <v>5416</v>
      </c>
      <c r="O216" s="18"/>
      <c r="P216" s="18">
        <f>VLOOKUP($A216,MasterData!$C$1:$I$1995,1,FALSE)</f>
        <v>7619</v>
      </c>
      <c r="Q216" s="18" t="str">
        <f t="shared" si="2"/>
        <v>PURNA2025-DKV1</v>
      </c>
    </row>
    <row r="217" ht="15.75" hidden="1" customHeight="1">
      <c r="A217" s="15">
        <v>7652.0</v>
      </c>
      <c r="B217" s="22" t="s">
        <v>6041</v>
      </c>
      <c r="C217" s="16" t="s">
        <v>6042</v>
      </c>
      <c r="D217" s="18" t="s">
        <v>6043</v>
      </c>
      <c r="E217" s="18" t="s">
        <v>397</v>
      </c>
      <c r="F217" s="19" t="str">
        <f t="shared" si="1"/>
        <v>PURNA2025-DKV1</v>
      </c>
      <c r="G217" s="19" t="s">
        <v>5408</v>
      </c>
      <c r="H217" s="20" t="s">
        <v>14</v>
      </c>
      <c r="I217" s="19" t="s">
        <v>5409</v>
      </c>
      <c r="J217" s="19" t="s">
        <v>5410</v>
      </c>
      <c r="K217" s="21" t="s">
        <v>5464</v>
      </c>
      <c r="L217" s="19" t="s">
        <v>6007</v>
      </c>
      <c r="M217" s="16" t="s">
        <v>396</v>
      </c>
      <c r="N217" s="18" t="s">
        <v>5416</v>
      </c>
      <c r="O217" s="18"/>
      <c r="P217" s="18">
        <f>VLOOKUP($A217,MasterData!$C$1:$I$1995,1,FALSE)</f>
        <v>7652</v>
      </c>
      <c r="Q217" s="18" t="str">
        <f t="shared" si="2"/>
        <v>PURNA2025-DKV1</v>
      </c>
    </row>
    <row r="218" ht="15.75" hidden="1" customHeight="1">
      <c r="A218" s="15">
        <v>7672.0</v>
      </c>
      <c r="B218" s="22" t="s">
        <v>6044</v>
      </c>
      <c r="C218" s="16" t="s">
        <v>6045</v>
      </c>
      <c r="D218" s="18" t="s">
        <v>6046</v>
      </c>
      <c r="E218" s="18" t="s">
        <v>399</v>
      </c>
      <c r="F218" s="19" t="str">
        <f t="shared" si="1"/>
        <v>PURNA2025-DKV1</v>
      </c>
      <c r="G218" s="19" t="s">
        <v>5408</v>
      </c>
      <c r="H218" s="20" t="s">
        <v>14</v>
      </c>
      <c r="I218" s="19" t="s">
        <v>5409</v>
      </c>
      <c r="J218" s="19" t="s">
        <v>5410</v>
      </c>
      <c r="K218" s="21" t="s">
        <v>5464</v>
      </c>
      <c r="L218" s="19" t="s">
        <v>6007</v>
      </c>
      <c r="M218" s="16" t="s">
        <v>398</v>
      </c>
      <c r="N218" s="18" t="s">
        <v>5416</v>
      </c>
      <c r="O218" s="18"/>
      <c r="P218" s="18">
        <f>VLOOKUP($A218,MasterData!$C$1:$I$1995,1,FALSE)</f>
        <v>7672</v>
      </c>
      <c r="Q218" s="18" t="str">
        <f t="shared" si="2"/>
        <v>PURNA2025-DKV1</v>
      </c>
    </row>
    <row r="219" ht="15.75" hidden="1" customHeight="1">
      <c r="A219" s="15">
        <v>7685.0</v>
      </c>
      <c r="B219" s="22" t="s">
        <v>6047</v>
      </c>
      <c r="C219" s="27" t="s">
        <v>6048</v>
      </c>
      <c r="D219" s="18" t="s">
        <v>6049</v>
      </c>
      <c r="E219" s="18" t="s">
        <v>401</v>
      </c>
      <c r="F219" s="19" t="str">
        <f t="shared" si="1"/>
        <v>PURNA2025-DKV1</v>
      </c>
      <c r="G219" s="19" t="s">
        <v>5408</v>
      </c>
      <c r="H219" s="20" t="s">
        <v>14</v>
      </c>
      <c r="I219" s="19" t="s">
        <v>5409</v>
      </c>
      <c r="J219" s="19" t="s">
        <v>5410</v>
      </c>
      <c r="K219" s="21" t="s">
        <v>5464</v>
      </c>
      <c r="L219" s="19" t="s">
        <v>6007</v>
      </c>
      <c r="M219" s="16" t="s">
        <v>400</v>
      </c>
      <c r="N219" s="18" t="s">
        <v>5416</v>
      </c>
      <c r="O219" s="18"/>
      <c r="P219" s="18">
        <f>VLOOKUP($A219,MasterData!$C$1:$I$1995,1,FALSE)</f>
        <v>7685</v>
      </c>
      <c r="Q219" s="18" t="str">
        <f t="shared" si="2"/>
        <v>PURNA2025-DKV1</v>
      </c>
    </row>
    <row r="220" ht="15.75" hidden="1" customHeight="1">
      <c r="A220" s="15">
        <v>7703.0</v>
      </c>
      <c r="B220" s="22" t="s">
        <v>6050</v>
      </c>
      <c r="C220" s="16" t="s">
        <v>6051</v>
      </c>
      <c r="D220" s="18" t="s">
        <v>6052</v>
      </c>
      <c r="E220" s="18" t="s">
        <v>403</v>
      </c>
      <c r="F220" s="19" t="str">
        <f t="shared" si="1"/>
        <v>PURNA2025-DKV1</v>
      </c>
      <c r="G220" s="19" t="s">
        <v>5408</v>
      </c>
      <c r="H220" s="20" t="s">
        <v>14</v>
      </c>
      <c r="I220" s="19" t="s">
        <v>5409</v>
      </c>
      <c r="J220" s="19" t="s">
        <v>5410</v>
      </c>
      <c r="K220" s="21" t="s">
        <v>5464</v>
      </c>
      <c r="L220" s="19" t="s">
        <v>6007</v>
      </c>
      <c r="M220" s="16" t="s">
        <v>402</v>
      </c>
      <c r="N220" s="18" t="s">
        <v>5416</v>
      </c>
      <c r="O220" s="18"/>
      <c r="P220" s="18">
        <f>VLOOKUP($A220,MasterData!$C$1:$I$1995,1,FALSE)</f>
        <v>7703</v>
      </c>
      <c r="Q220" s="18" t="str">
        <f t="shared" si="2"/>
        <v>PURNA2025-DKV1</v>
      </c>
    </row>
    <row r="221" ht="15.75" hidden="1" customHeight="1">
      <c r="A221" s="15">
        <v>7712.0</v>
      </c>
      <c r="B221" s="22" t="s">
        <v>6053</v>
      </c>
      <c r="C221" s="16" t="s">
        <v>6054</v>
      </c>
      <c r="D221" s="18" t="s">
        <v>6055</v>
      </c>
      <c r="E221" s="18" t="s">
        <v>405</v>
      </c>
      <c r="F221" s="19" t="str">
        <f t="shared" si="1"/>
        <v>PURNA2025-DKV1</v>
      </c>
      <c r="G221" s="19" t="s">
        <v>5408</v>
      </c>
      <c r="H221" s="20" t="s">
        <v>14</v>
      </c>
      <c r="I221" s="19" t="s">
        <v>5409</v>
      </c>
      <c r="J221" s="19" t="s">
        <v>5410</v>
      </c>
      <c r="K221" s="21" t="s">
        <v>5464</v>
      </c>
      <c r="L221" s="19" t="s">
        <v>6007</v>
      </c>
      <c r="M221" s="16" t="s">
        <v>404</v>
      </c>
      <c r="N221" s="18" t="s">
        <v>5416</v>
      </c>
      <c r="O221" s="18"/>
      <c r="P221" s="18">
        <f>VLOOKUP($A221,MasterData!$C$1:$I$1995,1,FALSE)</f>
        <v>7712</v>
      </c>
      <c r="Q221" s="18" t="str">
        <f t="shared" si="2"/>
        <v>PURNA2025-DKV1</v>
      </c>
    </row>
    <row r="222" ht="15.75" hidden="1" customHeight="1">
      <c r="A222" s="15">
        <v>7731.0</v>
      </c>
      <c r="B222" s="22" t="s">
        <v>6056</v>
      </c>
      <c r="C222" s="16" t="s">
        <v>6057</v>
      </c>
      <c r="D222" s="18" t="s">
        <v>6058</v>
      </c>
      <c r="E222" s="18" t="s">
        <v>407</v>
      </c>
      <c r="F222" s="19" t="str">
        <f t="shared" si="1"/>
        <v>PURNA2025-DKV1</v>
      </c>
      <c r="G222" s="19" t="s">
        <v>5408</v>
      </c>
      <c r="H222" s="20" t="s">
        <v>14</v>
      </c>
      <c r="I222" s="19" t="s">
        <v>5409</v>
      </c>
      <c r="J222" s="19" t="s">
        <v>5410</v>
      </c>
      <c r="K222" s="21" t="s">
        <v>5464</v>
      </c>
      <c r="L222" s="19" t="s">
        <v>6007</v>
      </c>
      <c r="M222" s="16" t="s">
        <v>406</v>
      </c>
      <c r="N222" s="18" t="s">
        <v>5416</v>
      </c>
      <c r="O222" s="18"/>
      <c r="P222" s="18">
        <f>VLOOKUP($A222,MasterData!$C$1:$I$1995,1,FALSE)</f>
        <v>7731</v>
      </c>
      <c r="Q222" s="18" t="str">
        <f t="shared" si="2"/>
        <v>PURNA2025-DKV1</v>
      </c>
    </row>
    <row r="223" ht="15.75" hidden="1" customHeight="1">
      <c r="A223" s="15">
        <v>7734.0</v>
      </c>
      <c r="B223" s="22" t="s">
        <v>6059</v>
      </c>
      <c r="C223" s="16" t="s">
        <v>6060</v>
      </c>
      <c r="D223" s="18" t="s">
        <v>6061</v>
      </c>
      <c r="E223" s="18" t="s">
        <v>409</v>
      </c>
      <c r="F223" s="19" t="str">
        <f t="shared" si="1"/>
        <v>PURNA2025-DKV1</v>
      </c>
      <c r="G223" s="19" t="s">
        <v>5408</v>
      </c>
      <c r="H223" s="20" t="s">
        <v>14</v>
      </c>
      <c r="I223" s="19" t="s">
        <v>5409</v>
      </c>
      <c r="J223" s="19" t="s">
        <v>5410</v>
      </c>
      <c r="K223" s="21" t="s">
        <v>5464</v>
      </c>
      <c r="L223" s="19" t="s">
        <v>6007</v>
      </c>
      <c r="M223" s="16" t="s">
        <v>408</v>
      </c>
      <c r="N223" s="18" t="s">
        <v>5416</v>
      </c>
      <c r="O223" s="18"/>
      <c r="P223" s="18">
        <f>VLOOKUP($A223,MasterData!$C$1:$I$1995,1,FALSE)</f>
        <v>7734</v>
      </c>
      <c r="Q223" s="18" t="str">
        <f t="shared" si="2"/>
        <v>PURNA2025-DKV1</v>
      </c>
    </row>
    <row r="224" ht="15.75" hidden="1" customHeight="1">
      <c r="A224" s="15">
        <v>7780.0</v>
      </c>
      <c r="B224" s="22" t="s">
        <v>6062</v>
      </c>
      <c r="C224" s="16" t="s">
        <v>6063</v>
      </c>
      <c r="D224" s="18" t="s">
        <v>6064</v>
      </c>
      <c r="E224" s="18" t="s">
        <v>411</v>
      </c>
      <c r="F224" s="19" t="str">
        <f t="shared" si="1"/>
        <v>PURNA2025-DKV1</v>
      </c>
      <c r="G224" s="19" t="s">
        <v>5408</v>
      </c>
      <c r="H224" s="20" t="s">
        <v>14</v>
      </c>
      <c r="I224" s="19" t="s">
        <v>5409</v>
      </c>
      <c r="J224" s="19" t="s">
        <v>5410</v>
      </c>
      <c r="K224" s="21" t="s">
        <v>5464</v>
      </c>
      <c r="L224" s="19" t="s">
        <v>6007</v>
      </c>
      <c r="M224" s="16" t="s">
        <v>410</v>
      </c>
      <c r="N224" s="18" t="s">
        <v>5416</v>
      </c>
      <c r="O224" s="18"/>
      <c r="P224" s="18">
        <f>VLOOKUP($A224,MasterData!$C$1:$I$1995,1,FALSE)</f>
        <v>7780</v>
      </c>
      <c r="Q224" s="18" t="str">
        <f t="shared" si="2"/>
        <v>PURNA2025-DKV1</v>
      </c>
    </row>
    <row r="225" ht="15.75" hidden="1" customHeight="1">
      <c r="A225" s="15">
        <v>7786.0</v>
      </c>
      <c r="B225" s="22" t="s">
        <v>6065</v>
      </c>
      <c r="C225" s="16" t="s">
        <v>6066</v>
      </c>
      <c r="D225" s="18" t="s">
        <v>6067</v>
      </c>
      <c r="E225" s="18" t="s">
        <v>413</v>
      </c>
      <c r="F225" s="19" t="str">
        <f t="shared" si="1"/>
        <v>PURNA2025-DKV1</v>
      </c>
      <c r="G225" s="19" t="s">
        <v>5408</v>
      </c>
      <c r="H225" s="20" t="s">
        <v>14</v>
      </c>
      <c r="I225" s="19" t="s">
        <v>5409</v>
      </c>
      <c r="J225" s="19" t="s">
        <v>5410</v>
      </c>
      <c r="K225" s="21" t="s">
        <v>5464</v>
      </c>
      <c r="L225" s="19" t="s">
        <v>6007</v>
      </c>
      <c r="M225" s="16" t="s">
        <v>412</v>
      </c>
      <c r="N225" s="18" t="s">
        <v>5416</v>
      </c>
      <c r="O225" s="18"/>
      <c r="P225" s="18">
        <f>VLOOKUP($A225,MasterData!$C$1:$I$1995,1,FALSE)</f>
        <v>7786</v>
      </c>
      <c r="Q225" s="18" t="str">
        <f t="shared" si="2"/>
        <v>PURNA2025-DKV1</v>
      </c>
    </row>
    <row r="226" ht="15.75" hidden="1" customHeight="1">
      <c r="A226" s="15">
        <v>7798.0</v>
      </c>
      <c r="B226" s="22" t="s">
        <v>6068</v>
      </c>
      <c r="C226" s="16" t="s">
        <v>6069</v>
      </c>
      <c r="D226" s="18" t="s">
        <v>6070</v>
      </c>
      <c r="E226" s="18" t="s">
        <v>415</v>
      </c>
      <c r="F226" s="19" t="str">
        <f t="shared" si="1"/>
        <v>PURNA2025-DKV1</v>
      </c>
      <c r="G226" s="19" t="s">
        <v>5408</v>
      </c>
      <c r="H226" s="20" t="s">
        <v>14</v>
      </c>
      <c r="I226" s="19" t="s">
        <v>5409</v>
      </c>
      <c r="J226" s="19" t="s">
        <v>5410</v>
      </c>
      <c r="K226" s="21" t="s">
        <v>5464</v>
      </c>
      <c r="L226" s="19" t="s">
        <v>6007</v>
      </c>
      <c r="M226" s="16" t="s">
        <v>414</v>
      </c>
      <c r="N226" s="18" t="s">
        <v>5416</v>
      </c>
      <c r="O226" s="18"/>
      <c r="P226" s="18">
        <f>VLOOKUP($A226,MasterData!$C$1:$I$1995,1,FALSE)</f>
        <v>7798</v>
      </c>
      <c r="Q226" s="18" t="str">
        <f t="shared" si="2"/>
        <v>PURNA2025-DKV1</v>
      </c>
    </row>
    <row r="227" ht="15.75" hidden="1" customHeight="1">
      <c r="A227" s="15">
        <v>7807.0</v>
      </c>
      <c r="B227" s="22" t="s">
        <v>6071</v>
      </c>
      <c r="C227" s="16" t="s">
        <v>6072</v>
      </c>
      <c r="D227" s="18" t="s">
        <v>6073</v>
      </c>
      <c r="E227" s="18" t="s">
        <v>417</v>
      </c>
      <c r="F227" s="19" t="str">
        <f t="shared" si="1"/>
        <v>PURNA2025-DKV1</v>
      </c>
      <c r="G227" s="19" t="s">
        <v>5408</v>
      </c>
      <c r="H227" s="20" t="s">
        <v>14</v>
      </c>
      <c r="I227" s="19" t="s">
        <v>5409</v>
      </c>
      <c r="J227" s="19" t="s">
        <v>5410</v>
      </c>
      <c r="K227" s="21" t="s">
        <v>5464</v>
      </c>
      <c r="L227" s="19" t="s">
        <v>6007</v>
      </c>
      <c r="M227" s="16" t="s">
        <v>416</v>
      </c>
      <c r="N227" s="18" t="s">
        <v>5416</v>
      </c>
      <c r="O227" s="18"/>
      <c r="P227" s="18">
        <f>VLOOKUP($A227,MasterData!$C$1:$I$1995,1,FALSE)</f>
        <v>7807</v>
      </c>
      <c r="Q227" s="18" t="str">
        <f t="shared" si="2"/>
        <v>PURNA2025-DKV1</v>
      </c>
    </row>
    <row r="228" ht="15.75" hidden="1" customHeight="1">
      <c r="A228" s="15">
        <v>7816.0</v>
      </c>
      <c r="B228" s="22" t="s">
        <v>6074</v>
      </c>
      <c r="C228" s="16" t="s">
        <v>6075</v>
      </c>
      <c r="D228" s="18" t="s">
        <v>6076</v>
      </c>
      <c r="E228" s="18" t="s">
        <v>419</v>
      </c>
      <c r="F228" s="19" t="str">
        <f t="shared" si="1"/>
        <v>PURNA2025-DKV1</v>
      </c>
      <c r="G228" s="19" t="s">
        <v>5408</v>
      </c>
      <c r="H228" s="20" t="s">
        <v>14</v>
      </c>
      <c r="I228" s="19" t="s">
        <v>5409</v>
      </c>
      <c r="J228" s="19" t="s">
        <v>5410</v>
      </c>
      <c r="K228" s="21" t="s">
        <v>5464</v>
      </c>
      <c r="L228" s="19" t="s">
        <v>6007</v>
      </c>
      <c r="M228" s="16" t="s">
        <v>418</v>
      </c>
      <c r="N228" s="18" t="s">
        <v>5416</v>
      </c>
      <c r="O228" s="18"/>
      <c r="P228" s="18">
        <f>VLOOKUP($A228,MasterData!$C$1:$I$1995,1,FALSE)</f>
        <v>7816</v>
      </c>
      <c r="Q228" s="18" t="str">
        <f t="shared" si="2"/>
        <v>PURNA2025-DKV1</v>
      </c>
    </row>
    <row r="229" ht="15.75" hidden="1" customHeight="1">
      <c r="A229" s="15">
        <v>7827.0</v>
      </c>
      <c r="B229" s="22" t="s">
        <v>6077</v>
      </c>
      <c r="C229" s="16" t="s">
        <v>6078</v>
      </c>
      <c r="D229" s="18" t="s">
        <v>6079</v>
      </c>
      <c r="E229" s="18" t="s">
        <v>421</v>
      </c>
      <c r="F229" s="19" t="str">
        <f t="shared" si="1"/>
        <v>PURNA2025-DKV1</v>
      </c>
      <c r="G229" s="19" t="s">
        <v>5408</v>
      </c>
      <c r="H229" s="20" t="s">
        <v>14</v>
      </c>
      <c r="I229" s="19" t="s">
        <v>5409</v>
      </c>
      <c r="J229" s="19" t="s">
        <v>5410</v>
      </c>
      <c r="K229" s="21" t="s">
        <v>5464</v>
      </c>
      <c r="L229" s="19" t="s">
        <v>6007</v>
      </c>
      <c r="M229" s="16" t="s">
        <v>420</v>
      </c>
      <c r="N229" s="18" t="s">
        <v>5416</v>
      </c>
      <c r="O229" s="18"/>
      <c r="P229" s="18">
        <f>VLOOKUP($A229,MasterData!$C$1:$I$1995,1,FALSE)</f>
        <v>7827</v>
      </c>
      <c r="Q229" s="18" t="str">
        <f t="shared" si="2"/>
        <v>PURNA2025-DKV1</v>
      </c>
    </row>
    <row r="230" ht="15.75" hidden="1" customHeight="1">
      <c r="A230" s="15">
        <v>7846.0</v>
      </c>
      <c r="B230" s="22" t="s">
        <v>6080</v>
      </c>
      <c r="C230" s="16" t="s">
        <v>6081</v>
      </c>
      <c r="D230" s="18" t="s">
        <v>6082</v>
      </c>
      <c r="E230" s="18" t="s">
        <v>423</v>
      </c>
      <c r="F230" s="19" t="str">
        <f t="shared" si="1"/>
        <v>PURNA2025-DKV1</v>
      </c>
      <c r="G230" s="19" t="s">
        <v>5408</v>
      </c>
      <c r="H230" s="20" t="s">
        <v>14</v>
      </c>
      <c r="I230" s="19" t="s">
        <v>5409</v>
      </c>
      <c r="J230" s="19" t="s">
        <v>5410</v>
      </c>
      <c r="K230" s="21" t="s">
        <v>5464</v>
      </c>
      <c r="L230" s="19" t="s">
        <v>6007</v>
      </c>
      <c r="M230" s="16" t="s">
        <v>422</v>
      </c>
      <c r="N230" s="18" t="s">
        <v>5416</v>
      </c>
      <c r="O230" s="18"/>
      <c r="P230" s="18">
        <f>VLOOKUP($A230,MasterData!$C$1:$I$1995,1,FALSE)</f>
        <v>7846</v>
      </c>
      <c r="Q230" s="18" t="str">
        <f t="shared" si="2"/>
        <v>PURNA2025-DKV1</v>
      </c>
    </row>
    <row r="231" ht="15.75" hidden="1" customHeight="1">
      <c r="A231" s="15">
        <v>7858.0</v>
      </c>
      <c r="B231" s="22" t="s">
        <v>6083</v>
      </c>
      <c r="C231" s="16" t="s">
        <v>6084</v>
      </c>
      <c r="D231" s="18" t="s">
        <v>6085</v>
      </c>
      <c r="E231" s="18" t="s">
        <v>425</v>
      </c>
      <c r="F231" s="19" t="str">
        <f t="shared" si="1"/>
        <v>PURNA2025-DKV1</v>
      </c>
      <c r="G231" s="19" t="s">
        <v>5408</v>
      </c>
      <c r="H231" s="20" t="s">
        <v>14</v>
      </c>
      <c r="I231" s="19" t="s">
        <v>5409</v>
      </c>
      <c r="J231" s="19" t="s">
        <v>5410</v>
      </c>
      <c r="K231" s="21" t="s">
        <v>5464</v>
      </c>
      <c r="L231" s="19" t="s">
        <v>6007</v>
      </c>
      <c r="M231" s="16" t="s">
        <v>424</v>
      </c>
      <c r="N231" s="18" t="s">
        <v>5416</v>
      </c>
      <c r="O231" s="18"/>
      <c r="P231" s="18">
        <f>VLOOKUP($A231,MasterData!$C$1:$I$1995,1,FALSE)</f>
        <v>7858</v>
      </c>
      <c r="Q231" s="18" t="str">
        <f t="shared" si="2"/>
        <v>PURNA2025-DKV1</v>
      </c>
    </row>
    <row r="232" ht="15.75" hidden="1" customHeight="1">
      <c r="A232" s="15">
        <v>7881.0</v>
      </c>
      <c r="B232" s="22" t="s">
        <v>6086</v>
      </c>
      <c r="C232" s="16" t="s">
        <v>6087</v>
      </c>
      <c r="D232" s="18" t="s">
        <v>6088</v>
      </c>
      <c r="E232" s="18" t="s">
        <v>427</v>
      </c>
      <c r="F232" s="19" t="str">
        <f t="shared" si="1"/>
        <v>PURNA2025-DKV1</v>
      </c>
      <c r="G232" s="19" t="s">
        <v>5408</v>
      </c>
      <c r="H232" s="20" t="s">
        <v>14</v>
      </c>
      <c r="I232" s="19" t="s">
        <v>5409</v>
      </c>
      <c r="J232" s="19" t="s">
        <v>5410</v>
      </c>
      <c r="K232" s="21" t="s">
        <v>5464</v>
      </c>
      <c r="L232" s="19" t="s">
        <v>6007</v>
      </c>
      <c r="M232" s="16" t="s">
        <v>426</v>
      </c>
      <c r="N232" s="18" t="s">
        <v>5416</v>
      </c>
      <c r="O232" s="18"/>
      <c r="P232" s="18">
        <f>VLOOKUP($A232,MasterData!$C$1:$I$1995,1,FALSE)</f>
        <v>7881</v>
      </c>
      <c r="Q232" s="18" t="str">
        <f t="shared" si="2"/>
        <v>PURNA2025-DKV1</v>
      </c>
    </row>
    <row r="233" ht="15.75" hidden="1" customHeight="1">
      <c r="A233" s="15">
        <v>7883.0</v>
      </c>
      <c r="B233" s="22" t="s">
        <v>6089</v>
      </c>
      <c r="C233" s="16" t="s">
        <v>6090</v>
      </c>
      <c r="D233" s="18" t="s">
        <v>6091</v>
      </c>
      <c r="E233" s="18" t="s">
        <v>429</v>
      </c>
      <c r="F233" s="19" t="str">
        <f t="shared" si="1"/>
        <v>PURNA2025-DKV1</v>
      </c>
      <c r="G233" s="19" t="s">
        <v>5408</v>
      </c>
      <c r="H233" s="20" t="s">
        <v>14</v>
      </c>
      <c r="I233" s="19" t="s">
        <v>5409</v>
      </c>
      <c r="J233" s="19" t="s">
        <v>5410</v>
      </c>
      <c r="K233" s="21" t="s">
        <v>5464</v>
      </c>
      <c r="L233" s="19" t="s">
        <v>6007</v>
      </c>
      <c r="M233" s="16" t="s">
        <v>428</v>
      </c>
      <c r="N233" s="18" t="s">
        <v>5416</v>
      </c>
      <c r="O233" s="18"/>
      <c r="P233" s="18">
        <f>VLOOKUP($A233,MasterData!$C$1:$I$1995,1,FALSE)</f>
        <v>7883</v>
      </c>
      <c r="Q233" s="18" t="str">
        <f t="shared" si="2"/>
        <v>PURNA2025-DKV1</v>
      </c>
    </row>
    <row r="234" ht="15.75" hidden="1" customHeight="1">
      <c r="A234" s="15">
        <v>7887.0</v>
      </c>
      <c r="B234" s="22" t="s">
        <v>6092</v>
      </c>
      <c r="C234" s="16" t="s">
        <v>6093</v>
      </c>
      <c r="D234" s="18" t="s">
        <v>6094</v>
      </c>
      <c r="E234" s="18" t="s">
        <v>431</v>
      </c>
      <c r="F234" s="19" t="str">
        <f t="shared" si="1"/>
        <v>PURNA2025-DKV1</v>
      </c>
      <c r="G234" s="19" t="s">
        <v>5408</v>
      </c>
      <c r="H234" s="20" t="s">
        <v>14</v>
      </c>
      <c r="I234" s="19" t="s">
        <v>5409</v>
      </c>
      <c r="J234" s="19" t="s">
        <v>5410</v>
      </c>
      <c r="K234" s="21" t="s">
        <v>5464</v>
      </c>
      <c r="L234" s="19" t="s">
        <v>6007</v>
      </c>
      <c r="M234" s="16" t="s">
        <v>430</v>
      </c>
      <c r="N234" s="18" t="s">
        <v>5416</v>
      </c>
      <c r="O234" s="18"/>
      <c r="P234" s="18">
        <f>VLOOKUP($A234,MasterData!$C$1:$I$1995,1,FALSE)</f>
        <v>7887</v>
      </c>
      <c r="Q234" s="18" t="str">
        <f t="shared" si="2"/>
        <v>PURNA2025-DKV1</v>
      </c>
    </row>
    <row r="235" ht="15.75" hidden="1" customHeight="1">
      <c r="A235" s="15">
        <v>7891.0</v>
      </c>
      <c r="B235" s="22" t="s">
        <v>6095</v>
      </c>
      <c r="C235" s="16" t="s">
        <v>6096</v>
      </c>
      <c r="D235" s="18" t="s">
        <v>6097</v>
      </c>
      <c r="E235" s="18" t="s">
        <v>433</v>
      </c>
      <c r="F235" s="19" t="str">
        <f t="shared" si="1"/>
        <v>PURNA2025-DKV1</v>
      </c>
      <c r="G235" s="19" t="s">
        <v>5408</v>
      </c>
      <c r="H235" s="20" t="s">
        <v>14</v>
      </c>
      <c r="I235" s="19" t="s">
        <v>5409</v>
      </c>
      <c r="J235" s="19" t="s">
        <v>5410</v>
      </c>
      <c r="K235" s="21" t="s">
        <v>5464</v>
      </c>
      <c r="L235" s="19" t="s">
        <v>6007</v>
      </c>
      <c r="M235" s="16" t="s">
        <v>432</v>
      </c>
      <c r="N235" s="18" t="s">
        <v>5416</v>
      </c>
      <c r="O235" s="18"/>
      <c r="P235" s="18">
        <f>VLOOKUP($A235,MasterData!$C$1:$I$1995,1,FALSE)</f>
        <v>7891</v>
      </c>
      <c r="Q235" s="18" t="str">
        <f t="shared" si="2"/>
        <v>PURNA2025-DKV1</v>
      </c>
    </row>
    <row r="236" ht="15.75" hidden="1" customHeight="1">
      <c r="A236" s="15">
        <v>7899.0</v>
      </c>
      <c r="B236" s="22" t="s">
        <v>6098</v>
      </c>
      <c r="C236" s="16" t="s">
        <v>6099</v>
      </c>
      <c r="D236" s="18" t="s">
        <v>6100</v>
      </c>
      <c r="E236" s="18" t="s">
        <v>435</v>
      </c>
      <c r="F236" s="19" t="str">
        <f t="shared" si="1"/>
        <v>PURNA2025-DKV1</v>
      </c>
      <c r="G236" s="19" t="s">
        <v>5408</v>
      </c>
      <c r="H236" s="20" t="s">
        <v>14</v>
      </c>
      <c r="I236" s="19" t="s">
        <v>5409</v>
      </c>
      <c r="J236" s="19" t="s">
        <v>5410</v>
      </c>
      <c r="K236" s="21" t="s">
        <v>5464</v>
      </c>
      <c r="L236" s="19" t="s">
        <v>6007</v>
      </c>
      <c r="M236" s="16" t="s">
        <v>434</v>
      </c>
      <c r="N236" s="18" t="s">
        <v>5416</v>
      </c>
      <c r="O236" s="18"/>
      <c r="P236" s="18">
        <f>VLOOKUP($A236,MasterData!$C$1:$I$1995,1,FALSE)</f>
        <v>7899</v>
      </c>
      <c r="Q236" s="18" t="str">
        <f t="shared" si="2"/>
        <v>PURNA2025-DKV1</v>
      </c>
    </row>
    <row r="237" ht="15.75" hidden="1" customHeight="1">
      <c r="A237" s="15">
        <v>7922.0</v>
      </c>
      <c r="B237" s="22" t="s">
        <v>6101</v>
      </c>
      <c r="C237" s="16" t="s">
        <v>6102</v>
      </c>
      <c r="D237" s="18" t="s">
        <v>6103</v>
      </c>
      <c r="E237" s="18" t="s">
        <v>437</v>
      </c>
      <c r="F237" s="19" t="str">
        <f t="shared" si="1"/>
        <v>PURNA2025-DKV1</v>
      </c>
      <c r="G237" s="19" t="s">
        <v>5408</v>
      </c>
      <c r="H237" s="20" t="s">
        <v>14</v>
      </c>
      <c r="I237" s="19" t="s">
        <v>5409</v>
      </c>
      <c r="J237" s="19" t="s">
        <v>5410</v>
      </c>
      <c r="K237" s="21" t="s">
        <v>5464</v>
      </c>
      <c r="L237" s="19" t="s">
        <v>6007</v>
      </c>
      <c r="M237" s="16" t="s">
        <v>436</v>
      </c>
      <c r="N237" s="18" t="s">
        <v>5416</v>
      </c>
      <c r="O237" s="18"/>
      <c r="P237" s="18">
        <f>VLOOKUP($A237,MasterData!$C$1:$I$1995,1,FALSE)</f>
        <v>7922</v>
      </c>
      <c r="Q237" s="18" t="str">
        <f t="shared" si="2"/>
        <v>PURNA2025-DKV1</v>
      </c>
    </row>
    <row r="238" ht="15.75" hidden="1" customHeight="1">
      <c r="A238" s="15">
        <v>7971.0</v>
      </c>
      <c r="B238" s="22" t="s">
        <v>6104</v>
      </c>
      <c r="C238" s="16" t="s">
        <v>6105</v>
      </c>
      <c r="D238" s="18" t="s">
        <v>6106</v>
      </c>
      <c r="E238" s="18" t="s">
        <v>439</v>
      </c>
      <c r="F238" s="19" t="str">
        <f t="shared" si="1"/>
        <v>PURNA2025-DKV1</v>
      </c>
      <c r="G238" s="19" t="s">
        <v>5408</v>
      </c>
      <c r="H238" s="20" t="s">
        <v>14</v>
      </c>
      <c r="I238" s="19" t="s">
        <v>5409</v>
      </c>
      <c r="J238" s="19" t="s">
        <v>5410</v>
      </c>
      <c r="K238" s="21" t="s">
        <v>5464</v>
      </c>
      <c r="L238" s="19" t="s">
        <v>6007</v>
      </c>
      <c r="M238" s="16" t="s">
        <v>438</v>
      </c>
      <c r="N238" s="18" t="s">
        <v>5416</v>
      </c>
      <c r="O238" s="18"/>
      <c r="P238" s="18">
        <f>VLOOKUP($A238,MasterData!$C$1:$I$1995,1,FALSE)</f>
        <v>7971</v>
      </c>
      <c r="Q238" s="18" t="str">
        <f t="shared" si="2"/>
        <v>PURNA2025-DKV1</v>
      </c>
    </row>
    <row r="239" ht="15.75" hidden="1" customHeight="1">
      <c r="A239" s="15">
        <v>7984.0</v>
      </c>
      <c r="B239" s="22" t="s">
        <v>6107</v>
      </c>
      <c r="C239" s="16" t="s">
        <v>6108</v>
      </c>
      <c r="D239" s="18" t="s">
        <v>6109</v>
      </c>
      <c r="E239" s="18" t="s">
        <v>441</v>
      </c>
      <c r="F239" s="19" t="str">
        <f t="shared" si="1"/>
        <v>PURNA2025-DKV1</v>
      </c>
      <c r="G239" s="19" t="s">
        <v>5408</v>
      </c>
      <c r="H239" s="20" t="s">
        <v>14</v>
      </c>
      <c r="I239" s="19" t="s">
        <v>5409</v>
      </c>
      <c r="J239" s="19" t="s">
        <v>5410</v>
      </c>
      <c r="K239" s="21" t="s">
        <v>5464</v>
      </c>
      <c r="L239" s="19" t="s">
        <v>6007</v>
      </c>
      <c r="M239" s="16" t="s">
        <v>440</v>
      </c>
      <c r="N239" s="18" t="s">
        <v>5416</v>
      </c>
      <c r="O239" s="18"/>
      <c r="P239" s="18">
        <f>VLOOKUP($A239,MasterData!$C$1:$I$1995,1,FALSE)</f>
        <v>7984</v>
      </c>
      <c r="Q239" s="18" t="str">
        <f t="shared" si="2"/>
        <v>PURNA2025-DKV1</v>
      </c>
    </row>
    <row r="240" ht="15.75" hidden="1" customHeight="1">
      <c r="A240" s="15">
        <v>8012.0</v>
      </c>
      <c r="B240" s="22" t="s">
        <v>6110</v>
      </c>
      <c r="C240" s="16" t="s">
        <v>6111</v>
      </c>
      <c r="D240" s="18" t="s">
        <v>6112</v>
      </c>
      <c r="E240" s="18" t="s">
        <v>443</v>
      </c>
      <c r="F240" s="19" t="str">
        <f t="shared" si="1"/>
        <v>PURNA2025-DKV1</v>
      </c>
      <c r="G240" s="19" t="s">
        <v>5408</v>
      </c>
      <c r="H240" s="20" t="s">
        <v>14</v>
      </c>
      <c r="I240" s="19" t="s">
        <v>5409</v>
      </c>
      <c r="J240" s="19" t="s">
        <v>5410</v>
      </c>
      <c r="K240" s="21" t="s">
        <v>5464</v>
      </c>
      <c r="L240" s="19" t="s">
        <v>6007</v>
      </c>
      <c r="M240" s="16" t="s">
        <v>442</v>
      </c>
      <c r="N240" s="18" t="s">
        <v>5416</v>
      </c>
      <c r="O240" s="18"/>
      <c r="P240" s="18">
        <f>VLOOKUP($A240,MasterData!$C$1:$I$1995,1,FALSE)</f>
        <v>8012</v>
      </c>
      <c r="Q240" s="18" t="str">
        <f t="shared" si="2"/>
        <v>PURNA2025-DKV1</v>
      </c>
    </row>
    <row r="241" ht="15.75" hidden="1" customHeight="1">
      <c r="A241" s="15">
        <v>7413.0</v>
      </c>
      <c r="B241" s="22" t="s">
        <v>6113</v>
      </c>
      <c r="C241" s="16" t="s">
        <v>6114</v>
      </c>
      <c r="D241" s="18" t="s">
        <v>6115</v>
      </c>
      <c r="E241" s="18" t="s">
        <v>445</v>
      </c>
      <c r="F241" s="19" t="str">
        <f t="shared" si="1"/>
        <v>PURNA2025-DKV2</v>
      </c>
      <c r="G241" s="19" t="s">
        <v>5408</v>
      </c>
      <c r="H241" s="20" t="s">
        <v>14</v>
      </c>
      <c r="I241" s="19" t="s">
        <v>5409</v>
      </c>
      <c r="J241" s="19" t="s">
        <v>5410</v>
      </c>
      <c r="K241" s="21" t="s">
        <v>5464</v>
      </c>
      <c r="L241" s="19" t="s">
        <v>6116</v>
      </c>
      <c r="M241" s="16" t="s">
        <v>444</v>
      </c>
      <c r="N241" s="18" t="s">
        <v>5416</v>
      </c>
      <c r="O241" s="18"/>
      <c r="P241" s="18">
        <f>VLOOKUP($A241,MasterData!$C$1:$I$1995,1,FALSE)</f>
        <v>7413</v>
      </c>
      <c r="Q241" s="18" t="str">
        <f t="shared" si="2"/>
        <v>PURNA2025-DKV2</v>
      </c>
    </row>
    <row r="242" ht="15.75" hidden="1" customHeight="1">
      <c r="A242" s="15">
        <v>7486.0</v>
      </c>
      <c r="B242" s="22" t="s">
        <v>6117</v>
      </c>
      <c r="C242" s="16" t="s">
        <v>6118</v>
      </c>
      <c r="D242" s="18" t="s">
        <v>6119</v>
      </c>
      <c r="E242" s="18" t="s">
        <v>447</v>
      </c>
      <c r="F242" s="19" t="str">
        <f t="shared" si="1"/>
        <v>PURNA2025-DKV2</v>
      </c>
      <c r="G242" s="19" t="s">
        <v>5408</v>
      </c>
      <c r="H242" s="20" t="s">
        <v>14</v>
      </c>
      <c r="I242" s="19" t="s">
        <v>5409</v>
      </c>
      <c r="J242" s="19" t="s">
        <v>5410</v>
      </c>
      <c r="K242" s="21" t="s">
        <v>5464</v>
      </c>
      <c r="L242" s="19" t="s">
        <v>6116</v>
      </c>
      <c r="M242" s="16" t="s">
        <v>446</v>
      </c>
      <c r="N242" s="18" t="s">
        <v>5416</v>
      </c>
      <c r="O242" s="18"/>
      <c r="P242" s="18">
        <f>VLOOKUP($A242,MasterData!$C$1:$I$1995,1,FALSE)</f>
        <v>7486</v>
      </c>
      <c r="Q242" s="18" t="str">
        <f t="shared" si="2"/>
        <v>PURNA2025-DKV2</v>
      </c>
    </row>
    <row r="243" ht="15.75" hidden="1" customHeight="1">
      <c r="A243" s="15">
        <v>7496.0</v>
      </c>
      <c r="B243" s="22" t="s">
        <v>6120</v>
      </c>
      <c r="C243" s="16" t="s">
        <v>6121</v>
      </c>
      <c r="D243" s="18" t="s">
        <v>6122</v>
      </c>
      <c r="E243" s="18" t="s">
        <v>449</v>
      </c>
      <c r="F243" s="19" t="str">
        <f t="shared" si="1"/>
        <v>PURNA2025-DKV2</v>
      </c>
      <c r="G243" s="19" t="s">
        <v>5408</v>
      </c>
      <c r="H243" s="20" t="s">
        <v>14</v>
      </c>
      <c r="I243" s="19" t="s">
        <v>5409</v>
      </c>
      <c r="J243" s="19" t="s">
        <v>5410</v>
      </c>
      <c r="K243" s="21" t="s">
        <v>5464</v>
      </c>
      <c r="L243" s="19" t="s">
        <v>6116</v>
      </c>
      <c r="M243" s="16" t="s">
        <v>448</v>
      </c>
      <c r="N243" s="18" t="s">
        <v>5416</v>
      </c>
      <c r="O243" s="18"/>
      <c r="P243" s="18">
        <f>VLOOKUP($A243,MasterData!$C$1:$I$1995,1,FALSE)</f>
        <v>7496</v>
      </c>
      <c r="Q243" s="18" t="str">
        <f t="shared" si="2"/>
        <v>PURNA2025-DKV2</v>
      </c>
    </row>
    <row r="244" ht="15.75" hidden="1" customHeight="1">
      <c r="A244" s="15">
        <v>7504.0</v>
      </c>
      <c r="B244" s="22" t="s">
        <v>6123</v>
      </c>
      <c r="C244" s="16" t="s">
        <v>6124</v>
      </c>
      <c r="D244" s="18" t="s">
        <v>6125</v>
      </c>
      <c r="E244" s="18" t="s">
        <v>451</v>
      </c>
      <c r="F244" s="19" t="str">
        <f t="shared" si="1"/>
        <v>PURNA2025-DKV2</v>
      </c>
      <c r="G244" s="19" t="s">
        <v>5408</v>
      </c>
      <c r="H244" s="20" t="s">
        <v>14</v>
      </c>
      <c r="I244" s="19" t="s">
        <v>5409</v>
      </c>
      <c r="J244" s="19" t="s">
        <v>5410</v>
      </c>
      <c r="K244" s="21" t="s">
        <v>5464</v>
      </c>
      <c r="L244" s="19" t="s">
        <v>6116</v>
      </c>
      <c r="M244" s="16" t="s">
        <v>450</v>
      </c>
      <c r="N244" s="18" t="s">
        <v>5416</v>
      </c>
      <c r="O244" s="18"/>
      <c r="P244" s="18">
        <f>VLOOKUP($A244,MasterData!$C$1:$I$1995,1,FALSE)</f>
        <v>7504</v>
      </c>
      <c r="Q244" s="18" t="str">
        <f t="shared" si="2"/>
        <v>PURNA2025-DKV2</v>
      </c>
    </row>
    <row r="245" ht="15.75" hidden="1" customHeight="1">
      <c r="A245" s="15">
        <v>7523.0</v>
      </c>
      <c r="B245" s="22" t="s">
        <v>6126</v>
      </c>
      <c r="C245" s="16" t="s">
        <v>6127</v>
      </c>
      <c r="D245" s="18" t="s">
        <v>6128</v>
      </c>
      <c r="E245" s="18" t="s">
        <v>453</v>
      </c>
      <c r="F245" s="19" t="str">
        <f t="shared" si="1"/>
        <v>PURNA2025-DKV2</v>
      </c>
      <c r="G245" s="19" t="s">
        <v>5408</v>
      </c>
      <c r="H245" s="20" t="s">
        <v>14</v>
      </c>
      <c r="I245" s="19" t="s">
        <v>5409</v>
      </c>
      <c r="J245" s="19" t="s">
        <v>5410</v>
      </c>
      <c r="K245" s="21" t="s">
        <v>5464</v>
      </c>
      <c r="L245" s="19" t="s">
        <v>6116</v>
      </c>
      <c r="M245" s="16" t="s">
        <v>452</v>
      </c>
      <c r="N245" s="18" t="s">
        <v>5416</v>
      </c>
      <c r="O245" s="18"/>
      <c r="P245" s="18">
        <f>VLOOKUP($A245,MasterData!$C$1:$I$1995,1,FALSE)</f>
        <v>7523</v>
      </c>
      <c r="Q245" s="18" t="str">
        <f t="shared" si="2"/>
        <v>PURNA2025-DKV2</v>
      </c>
    </row>
    <row r="246" ht="15.75" hidden="1" customHeight="1">
      <c r="A246" s="15">
        <v>7555.0</v>
      </c>
      <c r="B246" s="22" t="s">
        <v>6129</v>
      </c>
      <c r="C246" s="16" t="s">
        <v>6130</v>
      </c>
      <c r="D246" s="18" t="s">
        <v>6131</v>
      </c>
      <c r="E246" s="18" t="s">
        <v>455</v>
      </c>
      <c r="F246" s="19" t="str">
        <f t="shared" si="1"/>
        <v>PURNA2025-DKV2</v>
      </c>
      <c r="G246" s="19" t="s">
        <v>5408</v>
      </c>
      <c r="H246" s="20" t="s">
        <v>14</v>
      </c>
      <c r="I246" s="19" t="s">
        <v>5409</v>
      </c>
      <c r="J246" s="19" t="s">
        <v>5410</v>
      </c>
      <c r="K246" s="21" t="s">
        <v>5464</v>
      </c>
      <c r="L246" s="19" t="s">
        <v>6116</v>
      </c>
      <c r="M246" s="16" t="s">
        <v>454</v>
      </c>
      <c r="N246" s="18" t="s">
        <v>5416</v>
      </c>
      <c r="O246" s="18"/>
      <c r="P246" s="18">
        <f>VLOOKUP($A246,MasterData!$C$1:$I$1995,1,FALSE)</f>
        <v>7555</v>
      </c>
      <c r="Q246" s="18" t="str">
        <f t="shared" si="2"/>
        <v>PURNA2025-DKV2</v>
      </c>
    </row>
    <row r="247" ht="15.75" hidden="1" customHeight="1">
      <c r="A247" s="15">
        <v>7560.0</v>
      </c>
      <c r="B247" s="22" t="s">
        <v>6132</v>
      </c>
      <c r="C247" s="16" t="s">
        <v>6133</v>
      </c>
      <c r="D247" s="18" t="s">
        <v>6134</v>
      </c>
      <c r="E247" s="18" t="s">
        <v>457</v>
      </c>
      <c r="F247" s="19" t="str">
        <f t="shared" si="1"/>
        <v>PURNA2025-DKV2</v>
      </c>
      <c r="G247" s="19" t="s">
        <v>5408</v>
      </c>
      <c r="H247" s="20" t="s">
        <v>14</v>
      </c>
      <c r="I247" s="19" t="s">
        <v>5409</v>
      </c>
      <c r="J247" s="19" t="s">
        <v>5410</v>
      </c>
      <c r="K247" s="21" t="s">
        <v>5464</v>
      </c>
      <c r="L247" s="19" t="s">
        <v>6116</v>
      </c>
      <c r="M247" s="16" t="s">
        <v>456</v>
      </c>
      <c r="N247" s="18" t="s">
        <v>5416</v>
      </c>
      <c r="O247" s="18"/>
      <c r="P247" s="18">
        <f>VLOOKUP($A247,MasterData!$C$1:$I$1995,1,FALSE)</f>
        <v>7560</v>
      </c>
      <c r="Q247" s="18" t="str">
        <f t="shared" si="2"/>
        <v>PURNA2025-DKV2</v>
      </c>
    </row>
    <row r="248" ht="15.75" hidden="1" customHeight="1">
      <c r="A248" s="15">
        <v>7583.0</v>
      </c>
      <c r="B248" s="22" t="s">
        <v>6135</v>
      </c>
      <c r="C248" s="16" t="s">
        <v>6136</v>
      </c>
      <c r="D248" s="18" t="s">
        <v>6137</v>
      </c>
      <c r="E248" s="18" t="s">
        <v>458</v>
      </c>
      <c r="F248" s="19" t="str">
        <f t="shared" si="1"/>
        <v>PURNA2025-DKV2</v>
      </c>
      <c r="G248" s="19" t="s">
        <v>5408</v>
      </c>
      <c r="H248" s="20" t="s">
        <v>14</v>
      </c>
      <c r="I248" s="19" t="s">
        <v>5409</v>
      </c>
      <c r="J248" s="19" t="s">
        <v>5410</v>
      </c>
      <c r="K248" s="21" t="s">
        <v>5464</v>
      </c>
      <c r="L248" s="19" t="s">
        <v>6116</v>
      </c>
      <c r="M248" s="16"/>
      <c r="N248" s="18" t="s">
        <v>5416</v>
      </c>
      <c r="O248" s="18"/>
      <c r="P248" s="18">
        <f>VLOOKUP($A248,MasterData!$C$1:$I$1995,1,FALSE)</f>
        <v>7583</v>
      </c>
      <c r="Q248" s="18" t="str">
        <f t="shared" si="2"/>
        <v>PURNA2025-DKV2</v>
      </c>
    </row>
    <row r="249" ht="15.75" hidden="1" customHeight="1">
      <c r="A249" s="15">
        <v>7585.0</v>
      </c>
      <c r="B249" s="22" t="s">
        <v>6138</v>
      </c>
      <c r="C249" s="16" t="s">
        <v>6139</v>
      </c>
      <c r="D249" s="18" t="s">
        <v>6140</v>
      </c>
      <c r="E249" s="18" t="s">
        <v>460</v>
      </c>
      <c r="F249" s="19" t="str">
        <f t="shared" si="1"/>
        <v>PURNA2025-DKV2</v>
      </c>
      <c r="G249" s="19" t="s">
        <v>5408</v>
      </c>
      <c r="H249" s="20" t="s">
        <v>14</v>
      </c>
      <c r="I249" s="19" t="s">
        <v>5409</v>
      </c>
      <c r="J249" s="19" t="s">
        <v>5410</v>
      </c>
      <c r="K249" s="21" t="s">
        <v>5464</v>
      </c>
      <c r="L249" s="19" t="s">
        <v>6116</v>
      </c>
      <c r="M249" s="16" t="s">
        <v>459</v>
      </c>
      <c r="N249" s="18" t="s">
        <v>5416</v>
      </c>
      <c r="O249" s="18"/>
      <c r="P249" s="18">
        <f>VLOOKUP($A249,MasterData!$C$1:$I$1995,1,FALSE)</f>
        <v>7585</v>
      </c>
      <c r="Q249" s="18" t="str">
        <f t="shared" si="2"/>
        <v>PURNA2025-DKV2</v>
      </c>
    </row>
    <row r="250" ht="15.75" hidden="1" customHeight="1">
      <c r="A250" s="15">
        <v>7598.0</v>
      </c>
      <c r="B250" s="22" t="s">
        <v>6141</v>
      </c>
      <c r="C250" s="16" t="s">
        <v>6142</v>
      </c>
      <c r="D250" s="18" t="s">
        <v>6143</v>
      </c>
      <c r="E250" s="18" t="s">
        <v>462</v>
      </c>
      <c r="F250" s="19" t="str">
        <f t="shared" si="1"/>
        <v>PURNA2025-DKV2</v>
      </c>
      <c r="G250" s="19" t="s">
        <v>5408</v>
      </c>
      <c r="H250" s="20" t="s">
        <v>14</v>
      </c>
      <c r="I250" s="19" t="s">
        <v>5409</v>
      </c>
      <c r="J250" s="19" t="s">
        <v>5410</v>
      </c>
      <c r="K250" s="21" t="s">
        <v>5464</v>
      </c>
      <c r="L250" s="19" t="s">
        <v>6116</v>
      </c>
      <c r="M250" s="16" t="s">
        <v>461</v>
      </c>
      <c r="N250" s="18" t="s">
        <v>5416</v>
      </c>
      <c r="O250" s="18"/>
      <c r="P250" s="18">
        <f>VLOOKUP($A250,MasterData!$C$1:$I$1995,1,FALSE)</f>
        <v>7598</v>
      </c>
      <c r="Q250" s="18" t="str">
        <f t="shared" si="2"/>
        <v>PURNA2025-DKV2</v>
      </c>
    </row>
    <row r="251" ht="15.75" hidden="1" customHeight="1">
      <c r="A251" s="15">
        <v>7613.0</v>
      </c>
      <c r="B251" s="22" t="s">
        <v>6144</v>
      </c>
      <c r="C251" s="16" t="s">
        <v>6145</v>
      </c>
      <c r="D251" s="18" t="s">
        <v>6146</v>
      </c>
      <c r="E251" s="18" t="s">
        <v>464</v>
      </c>
      <c r="F251" s="19" t="str">
        <f t="shared" si="1"/>
        <v>PURNA2025-DKV2</v>
      </c>
      <c r="G251" s="19" t="s">
        <v>5408</v>
      </c>
      <c r="H251" s="20" t="s">
        <v>14</v>
      </c>
      <c r="I251" s="19" t="s">
        <v>5409</v>
      </c>
      <c r="J251" s="19" t="s">
        <v>5410</v>
      </c>
      <c r="K251" s="21" t="s">
        <v>5464</v>
      </c>
      <c r="L251" s="19" t="s">
        <v>6116</v>
      </c>
      <c r="M251" s="16" t="s">
        <v>463</v>
      </c>
      <c r="N251" s="18" t="s">
        <v>5416</v>
      </c>
      <c r="O251" s="18"/>
      <c r="P251" s="18">
        <f>VLOOKUP($A251,MasterData!$C$1:$I$1995,1,FALSE)</f>
        <v>7613</v>
      </c>
      <c r="Q251" s="18" t="str">
        <f t="shared" si="2"/>
        <v>PURNA2025-DKV2</v>
      </c>
    </row>
    <row r="252" ht="15.75" hidden="1" customHeight="1">
      <c r="A252" s="15">
        <v>7636.0</v>
      </c>
      <c r="B252" s="22" t="s">
        <v>6147</v>
      </c>
      <c r="C252" s="16" t="s">
        <v>6148</v>
      </c>
      <c r="D252" s="18" t="s">
        <v>6149</v>
      </c>
      <c r="E252" s="18" t="s">
        <v>466</v>
      </c>
      <c r="F252" s="19" t="str">
        <f t="shared" si="1"/>
        <v>PURNA2025-DKV2</v>
      </c>
      <c r="G252" s="19" t="s">
        <v>5408</v>
      </c>
      <c r="H252" s="20" t="s">
        <v>14</v>
      </c>
      <c r="I252" s="19" t="s">
        <v>5409</v>
      </c>
      <c r="J252" s="19" t="s">
        <v>5410</v>
      </c>
      <c r="K252" s="21" t="s">
        <v>5464</v>
      </c>
      <c r="L252" s="19" t="s">
        <v>6116</v>
      </c>
      <c r="M252" s="16" t="s">
        <v>465</v>
      </c>
      <c r="N252" s="18" t="s">
        <v>5416</v>
      </c>
      <c r="O252" s="18"/>
      <c r="P252" s="18">
        <f>VLOOKUP($A252,MasterData!$C$1:$I$1995,1,FALSE)</f>
        <v>7636</v>
      </c>
      <c r="Q252" s="18" t="str">
        <f t="shared" si="2"/>
        <v>PURNA2025-DKV2</v>
      </c>
    </row>
    <row r="253" ht="15.75" hidden="1" customHeight="1">
      <c r="A253" s="15">
        <v>7664.0</v>
      </c>
      <c r="B253" s="22" t="s">
        <v>6150</v>
      </c>
      <c r="C253" s="16" t="s">
        <v>6151</v>
      </c>
      <c r="D253" s="18" t="s">
        <v>6152</v>
      </c>
      <c r="E253" s="18" t="s">
        <v>468</v>
      </c>
      <c r="F253" s="19" t="str">
        <f t="shared" si="1"/>
        <v>PURNA2025-DKV2</v>
      </c>
      <c r="G253" s="19" t="s">
        <v>5408</v>
      </c>
      <c r="H253" s="20" t="s">
        <v>14</v>
      </c>
      <c r="I253" s="19" t="s">
        <v>5409</v>
      </c>
      <c r="J253" s="19" t="s">
        <v>5410</v>
      </c>
      <c r="K253" s="21" t="s">
        <v>5464</v>
      </c>
      <c r="L253" s="19" t="s">
        <v>6116</v>
      </c>
      <c r="M253" s="16" t="s">
        <v>467</v>
      </c>
      <c r="N253" s="18" t="s">
        <v>5416</v>
      </c>
      <c r="O253" s="18"/>
      <c r="P253" s="18">
        <f>VLOOKUP($A253,MasterData!$C$1:$I$1995,1,FALSE)</f>
        <v>7664</v>
      </c>
      <c r="Q253" s="18" t="str">
        <f t="shared" si="2"/>
        <v>PURNA2025-DKV2</v>
      </c>
    </row>
    <row r="254" ht="15.75" hidden="1" customHeight="1">
      <c r="A254" s="15">
        <v>7676.0</v>
      </c>
      <c r="B254" s="22" t="s">
        <v>6153</v>
      </c>
      <c r="C254" s="16" t="s">
        <v>6154</v>
      </c>
      <c r="D254" s="18" t="s">
        <v>6155</v>
      </c>
      <c r="E254" s="18" t="s">
        <v>470</v>
      </c>
      <c r="F254" s="19" t="str">
        <f t="shared" si="1"/>
        <v>PURNA2025-DKV2</v>
      </c>
      <c r="G254" s="19" t="s">
        <v>5408</v>
      </c>
      <c r="H254" s="20" t="s">
        <v>14</v>
      </c>
      <c r="I254" s="19" t="s">
        <v>5409</v>
      </c>
      <c r="J254" s="19" t="s">
        <v>5410</v>
      </c>
      <c r="K254" s="21" t="s">
        <v>5464</v>
      </c>
      <c r="L254" s="19" t="s">
        <v>6116</v>
      </c>
      <c r="M254" s="16" t="s">
        <v>469</v>
      </c>
      <c r="N254" s="18" t="s">
        <v>5416</v>
      </c>
      <c r="O254" s="18"/>
      <c r="P254" s="18">
        <f>VLOOKUP($A254,MasterData!$C$1:$I$1995,1,FALSE)</f>
        <v>7676</v>
      </c>
      <c r="Q254" s="18" t="str">
        <f t="shared" si="2"/>
        <v>PURNA2025-DKV2</v>
      </c>
    </row>
    <row r="255" ht="15.75" hidden="1" customHeight="1">
      <c r="A255" s="15">
        <v>7700.0</v>
      </c>
      <c r="B255" s="22" t="s">
        <v>6156</v>
      </c>
      <c r="C255" s="16" t="s">
        <v>6157</v>
      </c>
      <c r="D255" s="18" t="s">
        <v>6158</v>
      </c>
      <c r="E255" s="18" t="s">
        <v>472</v>
      </c>
      <c r="F255" s="19" t="str">
        <f t="shared" si="1"/>
        <v>PURNA2025-DKV2</v>
      </c>
      <c r="G255" s="19" t="s">
        <v>5408</v>
      </c>
      <c r="H255" s="20" t="s">
        <v>14</v>
      </c>
      <c r="I255" s="19" t="s">
        <v>5409</v>
      </c>
      <c r="J255" s="19" t="s">
        <v>5410</v>
      </c>
      <c r="K255" s="21" t="s">
        <v>5464</v>
      </c>
      <c r="L255" s="19" t="s">
        <v>6116</v>
      </c>
      <c r="M255" s="16" t="s">
        <v>471</v>
      </c>
      <c r="N255" s="18" t="s">
        <v>5416</v>
      </c>
      <c r="O255" s="18"/>
      <c r="P255" s="18">
        <f>VLOOKUP($A255,MasterData!$C$1:$I$1995,1,FALSE)</f>
        <v>7700</v>
      </c>
      <c r="Q255" s="18" t="str">
        <f t="shared" si="2"/>
        <v>PURNA2025-DKV2</v>
      </c>
    </row>
    <row r="256" ht="15.75" hidden="1" customHeight="1">
      <c r="A256" s="15">
        <v>7707.0</v>
      </c>
      <c r="B256" s="22" t="s">
        <v>6159</v>
      </c>
      <c r="C256" s="16" t="s">
        <v>6160</v>
      </c>
      <c r="D256" s="18" t="s">
        <v>6161</v>
      </c>
      <c r="E256" s="18" t="s">
        <v>474</v>
      </c>
      <c r="F256" s="19" t="str">
        <f t="shared" si="1"/>
        <v>PURNA2025-DKV2</v>
      </c>
      <c r="G256" s="19" t="s">
        <v>5408</v>
      </c>
      <c r="H256" s="20" t="s">
        <v>14</v>
      </c>
      <c r="I256" s="19" t="s">
        <v>5409</v>
      </c>
      <c r="J256" s="19" t="s">
        <v>5410</v>
      </c>
      <c r="K256" s="21" t="s">
        <v>5464</v>
      </c>
      <c r="L256" s="19" t="s">
        <v>6116</v>
      </c>
      <c r="M256" s="16" t="s">
        <v>473</v>
      </c>
      <c r="N256" s="18" t="s">
        <v>5416</v>
      </c>
      <c r="O256" s="18"/>
      <c r="P256" s="18">
        <f>VLOOKUP($A256,MasterData!$C$1:$I$1995,1,FALSE)</f>
        <v>7707</v>
      </c>
      <c r="Q256" s="18" t="str">
        <f t="shared" si="2"/>
        <v>PURNA2025-DKV2</v>
      </c>
    </row>
    <row r="257" ht="15.75" hidden="1" customHeight="1">
      <c r="A257" s="15">
        <v>7714.0</v>
      </c>
      <c r="B257" s="22" t="s">
        <v>6162</v>
      </c>
      <c r="C257" s="16" t="s">
        <v>6163</v>
      </c>
      <c r="D257" s="18" t="s">
        <v>6164</v>
      </c>
      <c r="E257" s="18" t="s">
        <v>476</v>
      </c>
      <c r="F257" s="19" t="str">
        <f t="shared" si="1"/>
        <v>PURNA2025-DKV2</v>
      </c>
      <c r="G257" s="19" t="s">
        <v>5408</v>
      </c>
      <c r="H257" s="20" t="s">
        <v>14</v>
      </c>
      <c r="I257" s="19" t="s">
        <v>5409</v>
      </c>
      <c r="J257" s="19" t="s">
        <v>5410</v>
      </c>
      <c r="K257" s="21" t="s">
        <v>5464</v>
      </c>
      <c r="L257" s="19" t="s">
        <v>6116</v>
      </c>
      <c r="M257" s="16" t="s">
        <v>475</v>
      </c>
      <c r="N257" s="18" t="s">
        <v>5416</v>
      </c>
      <c r="O257" s="18"/>
      <c r="P257" s="18">
        <f>VLOOKUP($A257,MasterData!$C$1:$I$1995,1,FALSE)</f>
        <v>7714</v>
      </c>
      <c r="Q257" s="18" t="str">
        <f t="shared" si="2"/>
        <v>PURNA2025-DKV2</v>
      </c>
    </row>
    <row r="258" ht="15.75" hidden="1" customHeight="1">
      <c r="A258" s="15">
        <v>7724.0</v>
      </c>
      <c r="B258" s="22" t="s">
        <v>6165</v>
      </c>
      <c r="C258" s="16" t="s">
        <v>6166</v>
      </c>
      <c r="D258" s="18" t="s">
        <v>6167</v>
      </c>
      <c r="E258" s="18" t="s">
        <v>478</v>
      </c>
      <c r="F258" s="19" t="str">
        <f t="shared" si="1"/>
        <v>PURNA2025-DKV2</v>
      </c>
      <c r="G258" s="19" t="s">
        <v>5408</v>
      </c>
      <c r="H258" s="20" t="s">
        <v>14</v>
      </c>
      <c r="I258" s="19" t="s">
        <v>5409</v>
      </c>
      <c r="J258" s="19" t="s">
        <v>5410</v>
      </c>
      <c r="K258" s="21" t="s">
        <v>5464</v>
      </c>
      <c r="L258" s="19" t="s">
        <v>6116</v>
      </c>
      <c r="M258" s="16" t="s">
        <v>477</v>
      </c>
      <c r="N258" s="18" t="s">
        <v>5416</v>
      </c>
      <c r="O258" s="18"/>
      <c r="P258" s="18">
        <f>VLOOKUP($A258,MasterData!$C$1:$I$1995,1,FALSE)</f>
        <v>7724</v>
      </c>
      <c r="Q258" s="18" t="str">
        <f t="shared" si="2"/>
        <v>PURNA2025-DKV2</v>
      </c>
    </row>
    <row r="259" ht="15.75" hidden="1" customHeight="1">
      <c r="A259" s="15">
        <v>7751.0</v>
      </c>
      <c r="B259" s="22" t="s">
        <v>6168</v>
      </c>
      <c r="C259" s="16" t="s">
        <v>6169</v>
      </c>
      <c r="D259" s="18" t="s">
        <v>6170</v>
      </c>
      <c r="E259" s="18" t="s">
        <v>480</v>
      </c>
      <c r="F259" s="19" t="str">
        <f t="shared" si="1"/>
        <v>PURNA2025-DKV2</v>
      </c>
      <c r="G259" s="19" t="s">
        <v>5408</v>
      </c>
      <c r="H259" s="20" t="s">
        <v>14</v>
      </c>
      <c r="I259" s="19" t="s">
        <v>5409</v>
      </c>
      <c r="J259" s="19" t="s">
        <v>5410</v>
      </c>
      <c r="K259" s="21" t="s">
        <v>5464</v>
      </c>
      <c r="L259" s="19" t="s">
        <v>6116</v>
      </c>
      <c r="M259" s="16" t="s">
        <v>479</v>
      </c>
      <c r="N259" s="18" t="s">
        <v>6171</v>
      </c>
      <c r="O259" s="18"/>
      <c r="P259" s="18">
        <f>VLOOKUP($A259,MasterData!$C$1:$I$1995,1,FALSE)</f>
        <v>7751</v>
      </c>
      <c r="Q259" s="18" t="str">
        <f t="shared" si="2"/>
        <v>PURNA2025-DKV2</v>
      </c>
    </row>
    <row r="260" ht="15.75" hidden="1" customHeight="1">
      <c r="A260" s="15">
        <v>7785.0</v>
      </c>
      <c r="B260" s="22" t="s">
        <v>6172</v>
      </c>
      <c r="C260" s="16" t="s">
        <v>6173</v>
      </c>
      <c r="D260" s="18" t="s">
        <v>6174</v>
      </c>
      <c r="E260" s="18" t="s">
        <v>482</v>
      </c>
      <c r="F260" s="19" t="str">
        <f t="shared" si="1"/>
        <v>PURNA2025-DKV2</v>
      </c>
      <c r="G260" s="19" t="s">
        <v>5408</v>
      </c>
      <c r="H260" s="20" t="s">
        <v>14</v>
      </c>
      <c r="I260" s="19" t="s">
        <v>5409</v>
      </c>
      <c r="J260" s="19" t="s">
        <v>5410</v>
      </c>
      <c r="K260" s="21" t="s">
        <v>5464</v>
      </c>
      <c r="L260" s="19" t="s">
        <v>6116</v>
      </c>
      <c r="M260" s="16" t="s">
        <v>481</v>
      </c>
      <c r="N260" s="18" t="s">
        <v>5416</v>
      </c>
      <c r="O260" s="18"/>
      <c r="P260" s="18">
        <f>VLOOKUP($A260,MasterData!$C$1:$I$1995,1,FALSE)</f>
        <v>7785</v>
      </c>
      <c r="Q260" s="18" t="str">
        <f t="shared" si="2"/>
        <v>PURNA2025-DKV2</v>
      </c>
    </row>
    <row r="261" ht="15.75" hidden="1" customHeight="1">
      <c r="A261" s="15">
        <v>7787.0</v>
      </c>
      <c r="B261" s="22" t="s">
        <v>6175</v>
      </c>
      <c r="C261" s="16" t="s">
        <v>6176</v>
      </c>
      <c r="D261" s="18" t="s">
        <v>6177</v>
      </c>
      <c r="E261" s="18" t="s">
        <v>484</v>
      </c>
      <c r="F261" s="19" t="str">
        <f t="shared" si="1"/>
        <v>PURNA2025-DKV2</v>
      </c>
      <c r="G261" s="19" t="s">
        <v>5408</v>
      </c>
      <c r="H261" s="20" t="s">
        <v>14</v>
      </c>
      <c r="I261" s="19" t="s">
        <v>5409</v>
      </c>
      <c r="J261" s="19" t="s">
        <v>5410</v>
      </c>
      <c r="K261" s="21" t="s">
        <v>5464</v>
      </c>
      <c r="L261" s="19" t="s">
        <v>6116</v>
      </c>
      <c r="M261" s="16" t="s">
        <v>483</v>
      </c>
      <c r="N261" s="18" t="s">
        <v>5416</v>
      </c>
      <c r="O261" s="18"/>
      <c r="P261" s="18">
        <f>VLOOKUP($A261,MasterData!$C$1:$I$1995,1,FALSE)</f>
        <v>7787</v>
      </c>
      <c r="Q261" s="18" t="str">
        <f t="shared" si="2"/>
        <v>PURNA2025-DKV2</v>
      </c>
    </row>
    <row r="262" ht="15.75" hidden="1" customHeight="1">
      <c r="A262" s="15">
        <v>7804.0</v>
      </c>
      <c r="B262" s="22" t="s">
        <v>6178</v>
      </c>
      <c r="C262" s="16" t="s">
        <v>6179</v>
      </c>
      <c r="D262" s="18" t="s">
        <v>6180</v>
      </c>
      <c r="E262" s="18" t="s">
        <v>486</v>
      </c>
      <c r="F262" s="19" t="str">
        <f t="shared" si="1"/>
        <v>PURNA2025-DKV2</v>
      </c>
      <c r="G262" s="19" t="s">
        <v>5408</v>
      </c>
      <c r="H262" s="20" t="s">
        <v>14</v>
      </c>
      <c r="I262" s="19" t="s">
        <v>5409</v>
      </c>
      <c r="J262" s="19" t="s">
        <v>5410</v>
      </c>
      <c r="K262" s="21" t="s">
        <v>5464</v>
      </c>
      <c r="L262" s="19" t="s">
        <v>6116</v>
      </c>
      <c r="M262" s="16" t="s">
        <v>485</v>
      </c>
      <c r="N262" s="18" t="s">
        <v>5416</v>
      </c>
      <c r="O262" s="18"/>
      <c r="P262" s="18">
        <f>VLOOKUP($A262,MasterData!$C$1:$I$1995,1,FALSE)</f>
        <v>7804</v>
      </c>
      <c r="Q262" s="18" t="str">
        <f t="shared" si="2"/>
        <v>PURNA2025-DKV2</v>
      </c>
    </row>
    <row r="263" ht="15.75" hidden="1" customHeight="1">
      <c r="A263" s="15">
        <v>7809.0</v>
      </c>
      <c r="B263" s="22" t="s">
        <v>6181</v>
      </c>
      <c r="C263" s="16" t="s">
        <v>6182</v>
      </c>
      <c r="D263" s="18" t="s">
        <v>6183</v>
      </c>
      <c r="E263" s="18" t="s">
        <v>488</v>
      </c>
      <c r="F263" s="19" t="str">
        <f t="shared" si="1"/>
        <v>PURNA2025-DKV2</v>
      </c>
      <c r="G263" s="19" t="s">
        <v>5408</v>
      </c>
      <c r="H263" s="20" t="s">
        <v>14</v>
      </c>
      <c r="I263" s="19" t="s">
        <v>5409</v>
      </c>
      <c r="J263" s="19" t="s">
        <v>5410</v>
      </c>
      <c r="K263" s="21" t="s">
        <v>5464</v>
      </c>
      <c r="L263" s="19" t="s">
        <v>6116</v>
      </c>
      <c r="M263" s="16" t="s">
        <v>487</v>
      </c>
      <c r="N263" s="18" t="s">
        <v>5416</v>
      </c>
      <c r="O263" s="18"/>
      <c r="P263" s="18">
        <f>VLOOKUP($A263,MasterData!$C$1:$I$1995,1,FALSE)</f>
        <v>7809</v>
      </c>
      <c r="Q263" s="18" t="str">
        <f t="shared" si="2"/>
        <v>PURNA2025-DKV2</v>
      </c>
    </row>
    <row r="264" ht="15.75" hidden="1" customHeight="1">
      <c r="A264" s="15">
        <v>7820.0</v>
      </c>
      <c r="B264" s="22" t="s">
        <v>6184</v>
      </c>
      <c r="C264" s="16" t="s">
        <v>6185</v>
      </c>
      <c r="D264" s="18" t="s">
        <v>6186</v>
      </c>
      <c r="E264" s="18" t="s">
        <v>490</v>
      </c>
      <c r="F264" s="19" t="str">
        <f t="shared" si="1"/>
        <v>PURNA2025-DKV2</v>
      </c>
      <c r="G264" s="19" t="s">
        <v>5408</v>
      </c>
      <c r="H264" s="20" t="s">
        <v>14</v>
      </c>
      <c r="I264" s="19" t="s">
        <v>5409</v>
      </c>
      <c r="J264" s="19" t="s">
        <v>5410</v>
      </c>
      <c r="K264" s="21" t="s">
        <v>5464</v>
      </c>
      <c r="L264" s="19" t="s">
        <v>6116</v>
      </c>
      <c r="M264" s="16" t="s">
        <v>489</v>
      </c>
      <c r="N264" s="18" t="s">
        <v>5416</v>
      </c>
      <c r="O264" s="18"/>
      <c r="P264" s="18">
        <f>VLOOKUP($A264,MasterData!$C$1:$I$1995,1,FALSE)</f>
        <v>7820</v>
      </c>
      <c r="Q264" s="18" t="str">
        <f t="shared" si="2"/>
        <v>PURNA2025-DKV2</v>
      </c>
    </row>
    <row r="265" ht="15.75" hidden="1" customHeight="1">
      <c r="A265" s="15">
        <v>7838.0</v>
      </c>
      <c r="B265" s="22" t="s">
        <v>6187</v>
      </c>
      <c r="C265" s="16" t="s">
        <v>6188</v>
      </c>
      <c r="D265" s="18" t="s">
        <v>6189</v>
      </c>
      <c r="E265" s="18" t="s">
        <v>492</v>
      </c>
      <c r="F265" s="19" t="str">
        <f t="shared" si="1"/>
        <v>PURNA2025-DKV2</v>
      </c>
      <c r="G265" s="19" t="s">
        <v>5408</v>
      </c>
      <c r="H265" s="20" t="s">
        <v>14</v>
      </c>
      <c r="I265" s="19" t="s">
        <v>5409</v>
      </c>
      <c r="J265" s="19" t="s">
        <v>5410</v>
      </c>
      <c r="K265" s="21" t="s">
        <v>5464</v>
      </c>
      <c r="L265" s="19" t="s">
        <v>6116</v>
      </c>
      <c r="M265" s="16" t="s">
        <v>491</v>
      </c>
      <c r="N265" s="18" t="s">
        <v>5416</v>
      </c>
      <c r="O265" s="18"/>
      <c r="P265" s="18">
        <f>VLOOKUP($A265,MasterData!$C$1:$I$1995,1,FALSE)</f>
        <v>7838</v>
      </c>
      <c r="Q265" s="18" t="str">
        <f t="shared" si="2"/>
        <v>PURNA2025-DKV2</v>
      </c>
    </row>
    <row r="266" ht="15.75" hidden="1" customHeight="1">
      <c r="A266" s="15">
        <v>7854.0</v>
      </c>
      <c r="B266" s="22" t="s">
        <v>6190</v>
      </c>
      <c r="C266" s="16" t="s">
        <v>6191</v>
      </c>
      <c r="D266" s="18" t="s">
        <v>6192</v>
      </c>
      <c r="E266" s="18" t="s">
        <v>494</v>
      </c>
      <c r="F266" s="19" t="str">
        <f t="shared" si="1"/>
        <v>PURNA2025-DKV2</v>
      </c>
      <c r="G266" s="19" t="s">
        <v>5408</v>
      </c>
      <c r="H266" s="20" t="s">
        <v>14</v>
      </c>
      <c r="I266" s="19" t="s">
        <v>5409</v>
      </c>
      <c r="J266" s="19" t="s">
        <v>5410</v>
      </c>
      <c r="K266" s="21" t="s">
        <v>5464</v>
      </c>
      <c r="L266" s="19" t="s">
        <v>6116</v>
      </c>
      <c r="M266" s="16" t="s">
        <v>493</v>
      </c>
      <c r="N266" s="18" t="s">
        <v>5416</v>
      </c>
      <c r="O266" s="18"/>
      <c r="P266" s="18">
        <f>VLOOKUP($A266,MasterData!$C$1:$I$1995,1,FALSE)</f>
        <v>7854</v>
      </c>
      <c r="Q266" s="18" t="str">
        <f t="shared" si="2"/>
        <v>PURNA2025-DKV2</v>
      </c>
    </row>
    <row r="267" ht="15.75" hidden="1" customHeight="1">
      <c r="A267" s="15">
        <v>7877.0</v>
      </c>
      <c r="B267" s="22" t="s">
        <v>6193</v>
      </c>
      <c r="C267" s="16" t="s">
        <v>6194</v>
      </c>
      <c r="D267" s="18" t="s">
        <v>6195</v>
      </c>
      <c r="E267" s="18" t="s">
        <v>496</v>
      </c>
      <c r="F267" s="19" t="str">
        <f t="shared" si="1"/>
        <v>PURNA2025-DKV2</v>
      </c>
      <c r="G267" s="19" t="s">
        <v>5408</v>
      </c>
      <c r="H267" s="20" t="s">
        <v>14</v>
      </c>
      <c r="I267" s="19" t="s">
        <v>5409</v>
      </c>
      <c r="J267" s="19" t="s">
        <v>5410</v>
      </c>
      <c r="K267" s="21" t="s">
        <v>5464</v>
      </c>
      <c r="L267" s="19" t="s">
        <v>6116</v>
      </c>
      <c r="M267" s="16" t="s">
        <v>495</v>
      </c>
      <c r="N267" s="18" t="s">
        <v>5416</v>
      </c>
      <c r="O267" s="18"/>
      <c r="P267" s="18">
        <f>VLOOKUP($A267,MasterData!$C$1:$I$1995,1,FALSE)</f>
        <v>7877</v>
      </c>
      <c r="Q267" s="18" t="str">
        <f t="shared" si="2"/>
        <v>PURNA2025-DKV2</v>
      </c>
    </row>
    <row r="268" ht="15.75" hidden="1" customHeight="1">
      <c r="A268" s="15">
        <v>7882.0</v>
      </c>
      <c r="B268" s="22" t="s">
        <v>6196</v>
      </c>
      <c r="C268" s="16" t="s">
        <v>6197</v>
      </c>
      <c r="D268" s="18" t="s">
        <v>6198</v>
      </c>
      <c r="E268" s="18" t="s">
        <v>498</v>
      </c>
      <c r="F268" s="19" t="str">
        <f t="shared" si="1"/>
        <v>PURNA2025-DKV2</v>
      </c>
      <c r="G268" s="19" t="s">
        <v>5408</v>
      </c>
      <c r="H268" s="20" t="s">
        <v>14</v>
      </c>
      <c r="I268" s="19" t="s">
        <v>5409</v>
      </c>
      <c r="J268" s="19" t="s">
        <v>5410</v>
      </c>
      <c r="K268" s="21" t="s">
        <v>5464</v>
      </c>
      <c r="L268" s="19" t="s">
        <v>6116</v>
      </c>
      <c r="M268" s="16" t="s">
        <v>497</v>
      </c>
      <c r="N268" s="18" t="s">
        <v>5416</v>
      </c>
      <c r="O268" s="18"/>
      <c r="P268" s="18">
        <f>VLOOKUP($A268,MasterData!$C$1:$I$1995,1,FALSE)</f>
        <v>7882</v>
      </c>
      <c r="Q268" s="18" t="str">
        <f t="shared" si="2"/>
        <v>PURNA2025-DKV2</v>
      </c>
    </row>
    <row r="269" ht="15.75" hidden="1" customHeight="1">
      <c r="A269" s="15">
        <v>7885.0</v>
      </c>
      <c r="B269" s="22" t="s">
        <v>6199</v>
      </c>
      <c r="C269" s="16" t="s">
        <v>6200</v>
      </c>
      <c r="D269" s="18" t="s">
        <v>6201</v>
      </c>
      <c r="E269" s="18" t="s">
        <v>500</v>
      </c>
      <c r="F269" s="19" t="str">
        <f t="shared" si="1"/>
        <v>PURNA2025-DKV2</v>
      </c>
      <c r="G269" s="19" t="s">
        <v>5408</v>
      </c>
      <c r="H269" s="20" t="s">
        <v>14</v>
      </c>
      <c r="I269" s="19" t="s">
        <v>5409</v>
      </c>
      <c r="J269" s="19" t="s">
        <v>5410</v>
      </c>
      <c r="K269" s="21" t="s">
        <v>5464</v>
      </c>
      <c r="L269" s="19" t="s">
        <v>6116</v>
      </c>
      <c r="M269" s="16" t="s">
        <v>499</v>
      </c>
      <c r="N269" s="18" t="s">
        <v>5416</v>
      </c>
      <c r="O269" s="18"/>
      <c r="P269" s="18">
        <f>VLOOKUP($A269,MasterData!$C$1:$I$1995,1,FALSE)</f>
        <v>7885</v>
      </c>
      <c r="Q269" s="18" t="str">
        <f t="shared" si="2"/>
        <v>PURNA2025-DKV2</v>
      </c>
    </row>
    <row r="270" ht="15.75" hidden="1" customHeight="1">
      <c r="A270" s="15">
        <v>7889.0</v>
      </c>
      <c r="B270" s="22" t="s">
        <v>6202</v>
      </c>
      <c r="C270" s="16" t="s">
        <v>6203</v>
      </c>
      <c r="D270" s="18" t="s">
        <v>6204</v>
      </c>
      <c r="E270" s="18" t="s">
        <v>502</v>
      </c>
      <c r="F270" s="19" t="str">
        <f t="shared" si="1"/>
        <v>PURNA2025-DKV2</v>
      </c>
      <c r="G270" s="19" t="s">
        <v>5408</v>
      </c>
      <c r="H270" s="20" t="s">
        <v>14</v>
      </c>
      <c r="I270" s="19" t="s">
        <v>5409</v>
      </c>
      <c r="J270" s="19" t="s">
        <v>5410</v>
      </c>
      <c r="K270" s="21" t="s">
        <v>5464</v>
      </c>
      <c r="L270" s="19" t="s">
        <v>6116</v>
      </c>
      <c r="M270" s="16" t="s">
        <v>501</v>
      </c>
      <c r="N270" s="18" t="s">
        <v>5416</v>
      </c>
      <c r="O270" s="18"/>
      <c r="P270" s="18">
        <f>VLOOKUP($A270,MasterData!$C$1:$I$1995,1,FALSE)</f>
        <v>7889</v>
      </c>
      <c r="Q270" s="18" t="str">
        <f t="shared" si="2"/>
        <v>PURNA2025-DKV2</v>
      </c>
    </row>
    <row r="271" ht="15.75" hidden="1" customHeight="1">
      <c r="A271" s="15">
        <v>7896.0</v>
      </c>
      <c r="B271" s="22" t="s">
        <v>6205</v>
      </c>
      <c r="C271" s="16" t="s">
        <v>6206</v>
      </c>
      <c r="D271" s="18" t="s">
        <v>6207</v>
      </c>
      <c r="E271" s="18" t="s">
        <v>504</v>
      </c>
      <c r="F271" s="19" t="str">
        <f t="shared" si="1"/>
        <v>PURNA2025-DKV2</v>
      </c>
      <c r="G271" s="19" t="s">
        <v>5408</v>
      </c>
      <c r="H271" s="20" t="s">
        <v>14</v>
      </c>
      <c r="I271" s="19" t="s">
        <v>5409</v>
      </c>
      <c r="J271" s="19" t="s">
        <v>5410</v>
      </c>
      <c r="K271" s="21" t="s">
        <v>5464</v>
      </c>
      <c r="L271" s="19" t="s">
        <v>6116</v>
      </c>
      <c r="M271" s="16" t="s">
        <v>503</v>
      </c>
      <c r="N271" s="18" t="s">
        <v>5416</v>
      </c>
      <c r="O271" s="18"/>
      <c r="P271" s="18">
        <f>VLOOKUP($A271,MasterData!$C$1:$I$1995,1,FALSE)</f>
        <v>7896</v>
      </c>
      <c r="Q271" s="18" t="str">
        <f t="shared" si="2"/>
        <v>PURNA2025-DKV2</v>
      </c>
    </row>
    <row r="272" ht="15.75" hidden="1" customHeight="1">
      <c r="A272" s="15">
        <v>7916.0</v>
      </c>
      <c r="B272" s="22" t="s">
        <v>6208</v>
      </c>
      <c r="C272" s="16" t="s">
        <v>6209</v>
      </c>
      <c r="D272" s="18" t="s">
        <v>6210</v>
      </c>
      <c r="E272" s="18" t="s">
        <v>506</v>
      </c>
      <c r="F272" s="19" t="str">
        <f t="shared" si="1"/>
        <v>PURNA2025-DKV2</v>
      </c>
      <c r="G272" s="19" t="s">
        <v>5408</v>
      </c>
      <c r="H272" s="20" t="s">
        <v>14</v>
      </c>
      <c r="I272" s="19" t="s">
        <v>5409</v>
      </c>
      <c r="J272" s="19" t="s">
        <v>5410</v>
      </c>
      <c r="K272" s="21" t="s">
        <v>5464</v>
      </c>
      <c r="L272" s="19" t="s">
        <v>6116</v>
      </c>
      <c r="M272" s="16" t="s">
        <v>505</v>
      </c>
      <c r="N272" s="18" t="s">
        <v>5416</v>
      </c>
      <c r="O272" s="18"/>
      <c r="P272" s="18">
        <f>VLOOKUP($A272,MasterData!$C$1:$I$1995,1,FALSE)</f>
        <v>7916</v>
      </c>
      <c r="Q272" s="18" t="str">
        <f t="shared" si="2"/>
        <v>PURNA2025-DKV2</v>
      </c>
    </row>
    <row r="273" ht="15.75" hidden="1" customHeight="1">
      <c r="A273" s="15">
        <v>7966.0</v>
      </c>
      <c r="B273" s="22" t="s">
        <v>6211</v>
      </c>
      <c r="C273" s="16" t="s">
        <v>6212</v>
      </c>
      <c r="D273" s="18" t="s">
        <v>6213</v>
      </c>
      <c r="E273" s="18" t="s">
        <v>508</v>
      </c>
      <c r="F273" s="19" t="str">
        <f t="shared" si="1"/>
        <v>PURNA2025-DKV2</v>
      </c>
      <c r="G273" s="19" t="s">
        <v>5408</v>
      </c>
      <c r="H273" s="20" t="s">
        <v>14</v>
      </c>
      <c r="I273" s="19" t="s">
        <v>5409</v>
      </c>
      <c r="J273" s="19" t="s">
        <v>5410</v>
      </c>
      <c r="K273" s="21" t="s">
        <v>5464</v>
      </c>
      <c r="L273" s="19" t="s">
        <v>6116</v>
      </c>
      <c r="M273" s="16" t="s">
        <v>507</v>
      </c>
      <c r="N273" s="18" t="s">
        <v>5416</v>
      </c>
      <c r="O273" s="18"/>
      <c r="P273" s="18">
        <f>VLOOKUP($A273,MasterData!$C$1:$I$1995,1,FALSE)</f>
        <v>7966</v>
      </c>
      <c r="Q273" s="18" t="str">
        <f t="shared" si="2"/>
        <v>PURNA2025-DKV2</v>
      </c>
    </row>
    <row r="274" ht="15.75" hidden="1" customHeight="1">
      <c r="A274" s="15">
        <v>7977.0</v>
      </c>
      <c r="B274" s="22" t="s">
        <v>6214</v>
      </c>
      <c r="C274" s="16" t="s">
        <v>6215</v>
      </c>
      <c r="D274" s="18" t="s">
        <v>6216</v>
      </c>
      <c r="E274" s="18" t="s">
        <v>510</v>
      </c>
      <c r="F274" s="19" t="str">
        <f t="shared" si="1"/>
        <v>PURNA2025-DKV2</v>
      </c>
      <c r="G274" s="19" t="s">
        <v>5408</v>
      </c>
      <c r="H274" s="20" t="s">
        <v>14</v>
      </c>
      <c r="I274" s="19" t="s">
        <v>5409</v>
      </c>
      <c r="J274" s="19" t="s">
        <v>5410</v>
      </c>
      <c r="K274" s="21" t="s">
        <v>5464</v>
      </c>
      <c r="L274" s="19" t="s">
        <v>6116</v>
      </c>
      <c r="M274" s="16" t="s">
        <v>509</v>
      </c>
      <c r="N274" s="18" t="s">
        <v>5416</v>
      </c>
      <c r="O274" s="18"/>
      <c r="P274" s="18">
        <f>VLOOKUP($A274,MasterData!$C$1:$I$1995,1,FALSE)</f>
        <v>7977</v>
      </c>
      <c r="Q274" s="18" t="str">
        <f t="shared" si="2"/>
        <v>PURNA2025-DKV2</v>
      </c>
    </row>
    <row r="275" ht="15.75" hidden="1" customHeight="1">
      <c r="A275" s="15">
        <v>8000.0</v>
      </c>
      <c r="B275" s="22" t="s">
        <v>6217</v>
      </c>
      <c r="C275" s="16" t="s">
        <v>6218</v>
      </c>
      <c r="D275" s="18" t="s">
        <v>6219</v>
      </c>
      <c r="E275" s="18" t="s">
        <v>512</v>
      </c>
      <c r="F275" s="19" t="str">
        <f t="shared" si="1"/>
        <v>PURNA2025-DKV2</v>
      </c>
      <c r="G275" s="19" t="s">
        <v>5408</v>
      </c>
      <c r="H275" s="20" t="s">
        <v>14</v>
      </c>
      <c r="I275" s="19" t="s">
        <v>5409</v>
      </c>
      <c r="J275" s="19" t="s">
        <v>5410</v>
      </c>
      <c r="K275" s="21" t="s">
        <v>5464</v>
      </c>
      <c r="L275" s="19" t="s">
        <v>6116</v>
      </c>
      <c r="M275" s="16" t="s">
        <v>511</v>
      </c>
      <c r="N275" s="18" t="s">
        <v>5416</v>
      </c>
      <c r="O275" s="18"/>
      <c r="P275" s="18">
        <f>VLOOKUP($A275,MasterData!$C$1:$I$1995,1,FALSE)</f>
        <v>8000</v>
      </c>
      <c r="Q275" s="18" t="str">
        <f t="shared" si="2"/>
        <v>PURNA2025-DKV2</v>
      </c>
    </row>
    <row r="276" ht="15.75" hidden="1" customHeight="1">
      <c r="A276" s="15">
        <v>8014.0</v>
      </c>
      <c r="B276" s="22" t="s">
        <v>6220</v>
      </c>
      <c r="C276" s="16" t="s">
        <v>6221</v>
      </c>
      <c r="D276" s="18" t="s">
        <v>6222</v>
      </c>
      <c r="E276" s="18" t="s">
        <v>514</v>
      </c>
      <c r="F276" s="19" t="str">
        <f t="shared" si="1"/>
        <v>PURNA2025-DKV2</v>
      </c>
      <c r="G276" s="19" t="s">
        <v>5408</v>
      </c>
      <c r="H276" s="20" t="s">
        <v>14</v>
      </c>
      <c r="I276" s="19" t="s">
        <v>5409</v>
      </c>
      <c r="J276" s="19" t="s">
        <v>5410</v>
      </c>
      <c r="K276" s="21" t="s">
        <v>5464</v>
      </c>
      <c r="L276" s="19" t="s">
        <v>6116</v>
      </c>
      <c r="M276" s="16" t="s">
        <v>513</v>
      </c>
      <c r="N276" s="18" t="s">
        <v>5416</v>
      </c>
      <c r="O276" s="18"/>
      <c r="P276" s="18">
        <f>VLOOKUP($A276,MasterData!$C$1:$I$1995,1,FALSE)</f>
        <v>8014</v>
      </c>
      <c r="Q276" s="18" t="str">
        <f t="shared" si="2"/>
        <v>PURNA2025-DKV2</v>
      </c>
    </row>
    <row r="277" ht="15.75" hidden="1" customHeight="1">
      <c r="A277" s="15">
        <v>7440.0</v>
      </c>
      <c r="B277" s="22" t="s">
        <v>6223</v>
      </c>
      <c r="C277" s="16" t="s">
        <v>6224</v>
      </c>
      <c r="D277" s="18" t="s">
        <v>6225</v>
      </c>
      <c r="E277" s="18" t="s">
        <v>516</v>
      </c>
      <c r="F277" s="19" t="str">
        <f t="shared" si="1"/>
        <v>PURNA2025-JKT1</v>
      </c>
      <c r="G277" s="19" t="s">
        <v>5408</v>
      </c>
      <c r="H277" s="20" t="s">
        <v>14</v>
      </c>
      <c r="I277" s="19" t="s">
        <v>5409</v>
      </c>
      <c r="J277" s="19" t="s">
        <v>5410</v>
      </c>
      <c r="K277" s="21" t="s">
        <v>5464</v>
      </c>
      <c r="L277" s="19" t="s">
        <v>6226</v>
      </c>
      <c r="M277" s="16" t="s">
        <v>515</v>
      </c>
      <c r="N277" s="18" t="s">
        <v>5416</v>
      </c>
      <c r="O277" s="18"/>
      <c r="P277" s="18">
        <f>VLOOKUP($A277,MasterData!$C$1:$I$1995,1,FALSE)</f>
        <v>7440</v>
      </c>
      <c r="Q277" s="18" t="str">
        <f t="shared" si="2"/>
        <v>PURNA2025-JKT1</v>
      </c>
    </row>
    <row r="278" ht="15.75" hidden="1" customHeight="1">
      <c r="A278" s="15">
        <v>7443.0</v>
      </c>
      <c r="B278" s="22" t="s">
        <v>6227</v>
      </c>
      <c r="C278" s="16" t="s">
        <v>6228</v>
      </c>
      <c r="D278" s="18" t="s">
        <v>6229</v>
      </c>
      <c r="E278" s="18" t="s">
        <v>518</v>
      </c>
      <c r="F278" s="19" t="str">
        <f t="shared" si="1"/>
        <v>PURNA2025-JKT1</v>
      </c>
      <c r="G278" s="19" t="s">
        <v>5408</v>
      </c>
      <c r="H278" s="20" t="s">
        <v>14</v>
      </c>
      <c r="I278" s="19" t="s">
        <v>5409</v>
      </c>
      <c r="J278" s="19" t="s">
        <v>5410</v>
      </c>
      <c r="K278" s="21" t="s">
        <v>5464</v>
      </c>
      <c r="L278" s="19" t="s">
        <v>6226</v>
      </c>
      <c r="M278" s="16" t="s">
        <v>517</v>
      </c>
      <c r="N278" s="18" t="s">
        <v>6230</v>
      </c>
      <c r="O278" s="18"/>
      <c r="P278" s="18">
        <f>VLOOKUP($A278,MasterData!$C$1:$I$1995,1,FALSE)</f>
        <v>7443</v>
      </c>
      <c r="Q278" s="18" t="str">
        <f t="shared" si="2"/>
        <v>PURNA2025-JKT1</v>
      </c>
    </row>
    <row r="279" ht="15.75" hidden="1" customHeight="1">
      <c r="A279" s="15">
        <v>7450.0</v>
      </c>
      <c r="B279" s="22" t="s">
        <v>6231</v>
      </c>
      <c r="C279" s="16" t="s">
        <v>6232</v>
      </c>
      <c r="D279" s="18" t="s">
        <v>6233</v>
      </c>
      <c r="E279" s="18" t="s">
        <v>520</v>
      </c>
      <c r="F279" s="19" t="str">
        <f t="shared" si="1"/>
        <v>PURNA2025-JKT1</v>
      </c>
      <c r="G279" s="19" t="s">
        <v>5408</v>
      </c>
      <c r="H279" s="20" t="s">
        <v>14</v>
      </c>
      <c r="I279" s="19" t="s">
        <v>5409</v>
      </c>
      <c r="J279" s="19" t="s">
        <v>5410</v>
      </c>
      <c r="K279" s="21" t="s">
        <v>5464</v>
      </c>
      <c r="L279" s="19" t="s">
        <v>6226</v>
      </c>
      <c r="M279" s="16" t="s">
        <v>519</v>
      </c>
      <c r="N279" s="18" t="s">
        <v>5416</v>
      </c>
      <c r="O279" s="18"/>
      <c r="P279" s="18">
        <f>VLOOKUP($A279,MasterData!$C$1:$I$1995,1,FALSE)</f>
        <v>7450</v>
      </c>
      <c r="Q279" s="18" t="str">
        <f t="shared" si="2"/>
        <v>PURNA2025-JKT1</v>
      </c>
    </row>
    <row r="280" ht="15.75" hidden="1" customHeight="1">
      <c r="A280" s="15">
        <v>7468.0</v>
      </c>
      <c r="B280" s="22" t="s">
        <v>6234</v>
      </c>
      <c r="C280" s="16" t="s">
        <v>6235</v>
      </c>
      <c r="D280" s="18" t="s">
        <v>6236</v>
      </c>
      <c r="E280" s="18" t="s">
        <v>522</v>
      </c>
      <c r="F280" s="19" t="str">
        <f t="shared" si="1"/>
        <v>PURNA2025-JKT1</v>
      </c>
      <c r="G280" s="19" t="s">
        <v>5408</v>
      </c>
      <c r="H280" s="20" t="s">
        <v>14</v>
      </c>
      <c r="I280" s="19" t="s">
        <v>5409</v>
      </c>
      <c r="J280" s="19" t="s">
        <v>5410</v>
      </c>
      <c r="K280" s="21" t="s">
        <v>5464</v>
      </c>
      <c r="L280" s="19" t="s">
        <v>6226</v>
      </c>
      <c r="M280" s="16" t="s">
        <v>521</v>
      </c>
      <c r="N280" s="18" t="s">
        <v>5416</v>
      </c>
      <c r="O280" s="18"/>
      <c r="P280" s="18">
        <f>VLOOKUP($A280,MasterData!$C$1:$I$1995,1,FALSE)</f>
        <v>7468</v>
      </c>
      <c r="Q280" s="18" t="str">
        <f t="shared" si="2"/>
        <v>PURNA2025-JKT1</v>
      </c>
    </row>
    <row r="281" ht="15.75" hidden="1" customHeight="1">
      <c r="A281" s="15">
        <v>7490.0</v>
      </c>
      <c r="B281" s="22" t="s">
        <v>6237</v>
      </c>
      <c r="C281" s="16" t="s">
        <v>6238</v>
      </c>
      <c r="D281" s="18" t="s">
        <v>6239</v>
      </c>
      <c r="E281" s="18" t="s">
        <v>524</v>
      </c>
      <c r="F281" s="19" t="str">
        <f t="shared" si="1"/>
        <v>PURNA2025-JKT1</v>
      </c>
      <c r="G281" s="19" t="s">
        <v>5408</v>
      </c>
      <c r="H281" s="20" t="s">
        <v>14</v>
      </c>
      <c r="I281" s="19" t="s">
        <v>5409</v>
      </c>
      <c r="J281" s="19" t="s">
        <v>5410</v>
      </c>
      <c r="K281" s="21" t="s">
        <v>5464</v>
      </c>
      <c r="L281" s="19" t="s">
        <v>6226</v>
      </c>
      <c r="M281" s="16" t="s">
        <v>523</v>
      </c>
      <c r="N281" s="18" t="s">
        <v>5416</v>
      </c>
      <c r="O281" s="18"/>
      <c r="P281" s="18">
        <f>VLOOKUP($A281,MasterData!$C$1:$I$1995,1,FALSE)</f>
        <v>7490</v>
      </c>
      <c r="Q281" s="18" t="str">
        <f t="shared" si="2"/>
        <v>PURNA2025-JKT1</v>
      </c>
    </row>
    <row r="282" ht="15.75" hidden="1" customHeight="1">
      <c r="A282" s="15">
        <v>7495.0</v>
      </c>
      <c r="B282" s="22" t="s">
        <v>6240</v>
      </c>
      <c r="C282" s="16" t="s">
        <v>6241</v>
      </c>
      <c r="D282" s="18" t="s">
        <v>6242</v>
      </c>
      <c r="E282" s="18" t="s">
        <v>526</v>
      </c>
      <c r="F282" s="19" t="str">
        <f t="shared" si="1"/>
        <v>PURNA2025-JKT1</v>
      </c>
      <c r="G282" s="19" t="s">
        <v>5408</v>
      </c>
      <c r="H282" s="20" t="s">
        <v>14</v>
      </c>
      <c r="I282" s="19" t="s">
        <v>5409</v>
      </c>
      <c r="J282" s="19" t="s">
        <v>5410</v>
      </c>
      <c r="K282" s="21" t="s">
        <v>5464</v>
      </c>
      <c r="L282" s="19" t="s">
        <v>6226</v>
      </c>
      <c r="M282" s="16" t="s">
        <v>525</v>
      </c>
      <c r="N282" s="18" t="s">
        <v>5416</v>
      </c>
      <c r="O282" s="18"/>
      <c r="P282" s="18">
        <f>VLOOKUP($A282,MasterData!$C$1:$I$1995,1,FALSE)</f>
        <v>7495</v>
      </c>
      <c r="Q282" s="18" t="str">
        <f t="shared" si="2"/>
        <v>PURNA2025-JKT1</v>
      </c>
    </row>
    <row r="283" ht="15.75" hidden="1" customHeight="1">
      <c r="A283" s="15">
        <v>7520.0</v>
      </c>
      <c r="B283" s="22" t="s">
        <v>6243</v>
      </c>
      <c r="C283" s="16" t="s">
        <v>6244</v>
      </c>
      <c r="D283" s="18" t="s">
        <v>6245</v>
      </c>
      <c r="E283" s="18" t="s">
        <v>528</v>
      </c>
      <c r="F283" s="19" t="str">
        <f t="shared" si="1"/>
        <v>PURNA2025-JKT1</v>
      </c>
      <c r="G283" s="19" t="s">
        <v>5408</v>
      </c>
      <c r="H283" s="20" t="s">
        <v>14</v>
      </c>
      <c r="I283" s="19" t="s">
        <v>5409</v>
      </c>
      <c r="J283" s="19" t="s">
        <v>5410</v>
      </c>
      <c r="K283" s="21" t="s">
        <v>5464</v>
      </c>
      <c r="L283" s="19" t="s">
        <v>6226</v>
      </c>
      <c r="M283" s="16" t="s">
        <v>527</v>
      </c>
      <c r="N283" s="18" t="s">
        <v>5416</v>
      </c>
      <c r="O283" s="18"/>
      <c r="P283" s="18">
        <f>VLOOKUP($A283,MasterData!$C$1:$I$1995,1,FALSE)</f>
        <v>7520</v>
      </c>
      <c r="Q283" s="18" t="str">
        <f t="shared" si="2"/>
        <v>PURNA2025-JKT1</v>
      </c>
    </row>
    <row r="284" ht="15.75" hidden="1" customHeight="1">
      <c r="A284" s="15">
        <v>7544.0</v>
      </c>
      <c r="B284" s="22" t="s">
        <v>6246</v>
      </c>
      <c r="C284" s="16" t="s">
        <v>6247</v>
      </c>
      <c r="D284" s="18" t="s">
        <v>6248</v>
      </c>
      <c r="E284" s="18" t="s">
        <v>530</v>
      </c>
      <c r="F284" s="19" t="str">
        <f t="shared" si="1"/>
        <v>PURNA2025-JKT1</v>
      </c>
      <c r="G284" s="19" t="s">
        <v>5408</v>
      </c>
      <c r="H284" s="20" t="s">
        <v>14</v>
      </c>
      <c r="I284" s="19" t="s">
        <v>5409</v>
      </c>
      <c r="J284" s="19" t="s">
        <v>5410</v>
      </c>
      <c r="K284" s="21" t="s">
        <v>5464</v>
      </c>
      <c r="L284" s="19" t="s">
        <v>6226</v>
      </c>
      <c r="M284" s="16" t="s">
        <v>529</v>
      </c>
      <c r="N284" s="18" t="s">
        <v>5416</v>
      </c>
      <c r="O284" s="18"/>
      <c r="P284" s="18">
        <f>VLOOKUP($A284,MasterData!$C$1:$I$1995,1,FALSE)</f>
        <v>7544</v>
      </c>
      <c r="Q284" s="18" t="str">
        <f t="shared" si="2"/>
        <v>PURNA2025-JKT1</v>
      </c>
    </row>
    <row r="285" ht="15.75" hidden="1" customHeight="1">
      <c r="A285" s="15">
        <v>7562.0</v>
      </c>
      <c r="B285" s="22" t="s">
        <v>6249</v>
      </c>
      <c r="C285" s="16" t="s">
        <v>6250</v>
      </c>
      <c r="D285" s="18" t="s">
        <v>6251</v>
      </c>
      <c r="E285" s="18" t="s">
        <v>532</v>
      </c>
      <c r="F285" s="19" t="str">
        <f t="shared" si="1"/>
        <v>PURNA2025-JKT1</v>
      </c>
      <c r="G285" s="19" t="s">
        <v>5408</v>
      </c>
      <c r="H285" s="20" t="s">
        <v>14</v>
      </c>
      <c r="I285" s="19" t="s">
        <v>5409</v>
      </c>
      <c r="J285" s="19" t="s">
        <v>5410</v>
      </c>
      <c r="K285" s="21" t="s">
        <v>5464</v>
      </c>
      <c r="L285" s="19" t="s">
        <v>6226</v>
      </c>
      <c r="M285" s="16" t="s">
        <v>531</v>
      </c>
      <c r="N285" s="18" t="s">
        <v>5416</v>
      </c>
      <c r="O285" s="18"/>
      <c r="P285" s="18">
        <f>VLOOKUP($A285,MasterData!$C$1:$I$1995,1,FALSE)</f>
        <v>7562</v>
      </c>
      <c r="Q285" s="18" t="str">
        <f t="shared" si="2"/>
        <v>PURNA2025-JKT1</v>
      </c>
    </row>
    <row r="286" ht="15.75" hidden="1" customHeight="1">
      <c r="A286" s="15">
        <v>7579.0</v>
      </c>
      <c r="B286" s="22" t="s">
        <v>6252</v>
      </c>
      <c r="C286" s="16" t="s">
        <v>6253</v>
      </c>
      <c r="D286" s="18" t="s">
        <v>6254</v>
      </c>
      <c r="E286" s="18" t="s">
        <v>534</v>
      </c>
      <c r="F286" s="19" t="str">
        <f t="shared" si="1"/>
        <v>PURNA2025-JKT1</v>
      </c>
      <c r="G286" s="19" t="s">
        <v>5408</v>
      </c>
      <c r="H286" s="20" t="s">
        <v>14</v>
      </c>
      <c r="I286" s="19" t="s">
        <v>5409</v>
      </c>
      <c r="J286" s="19" t="s">
        <v>5410</v>
      </c>
      <c r="K286" s="21" t="s">
        <v>5464</v>
      </c>
      <c r="L286" s="19" t="s">
        <v>6226</v>
      </c>
      <c r="M286" s="16" t="s">
        <v>533</v>
      </c>
      <c r="N286" s="18" t="s">
        <v>5416</v>
      </c>
      <c r="O286" s="18"/>
      <c r="P286" s="18">
        <f>VLOOKUP($A286,MasterData!$C$1:$I$1995,1,FALSE)</f>
        <v>7579</v>
      </c>
      <c r="Q286" s="18" t="str">
        <f t="shared" si="2"/>
        <v>PURNA2025-JKT1</v>
      </c>
    </row>
    <row r="287" ht="15.75" hidden="1" customHeight="1">
      <c r="A287" s="15">
        <v>7605.0</v>
      </c>
      <c r="B287" s="22" t="s">
        <v>6255</v>
      </c>
      <c r="C287" s="16" t="s">
        <v>6256</v>
      </c>
      <c r="D287" s="18" t="s">
        <v>6257</v>
      </c>
      <c r="E287" s="18" t="s">
        <v>536</v>
      </c>
      <c r="F287" s="19" t="str">
        <f t="shared" si="1"/>
        <v>PURNA2025-JKT1</v>
      </c>
      <c r="G287" s="19" t="s">
        <v>5408</v>
      </c>
      <c r="H287" s="20" t="s">
        <v>14</v>
      </c>
      <c r="I287" s="19" t="s">
        <v>5409</v>
      </c>
      <c r="J287" s="19" t="s">
        <v>5410</v>
      </c>
      <c r="K287" s="21" t="s">
        <v>5464</v>
      </c>
      <c r="L287" s="19" t="s">
        <v>6226</v>
      </c>
      <c r="M287" s="16" t="s">
        <v>535</v>
      </c>
      <c r="N287" s="18" t="s">
        <v>5416</v>
      </c>
      <c r="O287" s="18"/>
      <c r="P287" s="18">
        <f>VLOOKUP($A287,MasterData!$C$1:$I$1995,1,FALSE)</f>
        <v>7605</v>
      </c>
      <c r="Q287" s="18" t="str">
        <f t="shared" si="2"/>
        <v>PURNA2025-JKT1</v>
      </c>
    </row>
    <row r="288" ht="15.75" hidden="1" customHeight="1">
      <c r="A288" s="15">
        <v>7609.0</v>
      </c>
      <c r="B288" s="22" t="s">
        <v>6258</v>
      </c>
      <c r="C288" s="16" t="s">
        <v>6259</v>
      </c>
      <c r="D288" s="18" t="s">
        <v>6260</v>
      </c>
      <c r="E288" s="18" t="s">
        <v>538</v>
      </c>
      <c r="F288" s="19" t="str">
        <f t="shared" si="1"/>
        <v>PURNA2025-JKT1</v>
      </c>
      <c r="G288" s="19" t="s">
        <v>5408</v>
      </c>
      <c r="H288" s="20" t="s">
        <v>14</v>
      </c>
      <c r="I288" s="19" t="s">
        <v>5409</v>
      </c>
      <c r="J288" s="19" t="s">
        <v>5410</v>
      </c>
      <c r="K288" s="21" t="s">
        <v>5464</v>
      </c>
      <c r="L288" s="19" t="s">
        <v>6226</v>
      </c>
      <c r="M288" s="16" t="s">
        <v>537</v>
      </c>
      <c r="N288" s="18" t="s">
        <v>5416</v>
      </c>
      <c r="O288" s="18"/>
      <c r="P288" s="18">
        <f>VLOOKUP($A288,MasterData!$C$1:$I$1995,1,FALSE)</f>
        <v>7609</v>
      </c>
      <c r="Q288" s="18" t="str">
        <f t="shared" si="2"/>
        <v>PURNA2025-JKT1</v>
      </c>
    </row>
    <row r="289" ht="15.75" hidden="1" customHeight="1">
      <c r="A289" s="15">
        <v>7623.0</v>
      </c>
      <c r="B289" s="22" t="s">
        <v>6261</v>
      </c>
      <c r="C289" s="16" t="s">
        <v>6262</v>
      </c>
      <c r="D289" s="18" t="s">
        <v>6263</v>
      </c>
      <c r="E289" s="18" t="s">
        <v>540</v>
      </c>
      <c r="F289" s="19" t="str">
        <f t="shared" si="1"/>
        <v>PURNA2025-JKT1</v>
      </c>
      <c r="G289" s="19" t="s">
        <v>5408</v>
      </c>
      <c r="H289" s="20" t="s">
        <v>14</v>
      </c>
      <c r="I289" s="19" t="s">
        <v>5409</v>
      </c>
      <c r="J289" s="19" t="s">
        <v>5410</v>
      </c>
      <c r="K289" s="21" t="s">
        <v>5464</v>
      </c>
      <c r="L289" s="19" t="s">
        <v>6226</v>
      </c>
      <c r="M289" s="16" t="s">
        <v>539</v>
      </c>
      <c r="N289" s="18" t="s">
        <v>5416</v>
      </c>
      <c r="O289" s="18"/>
      <c r="P289" s="18">
        <f>VLOOKUP($A289,MasterData!$C$1:$I$1995,1,FALSE)</f>
        <v>7623</v>
      </c>
      <c r="Q289" s="18" t="str">
        <f t="shared" si="2"/>
        <v>PURNA2025-JKT1</v>
      </c>
    </row>
    <row r="290" ht="15.75" hidden="1" customHeight="1">
      <c r="A290" s="15">
        <v>7639.0</v>
      </c>
      <c r="B290" s="22" t="s">
        <v>6264</v>
      </c>
      <c r="C290" s="16" t="s">
        <v>6265</v>
      </c>
      <c r="D290" s="18" t="s">
        <v>6266</v>
      </c>
      <c r="E290" s="18" t="s">
        <v>542</v>
      </c>
      <c r="F290" s="19" t="str">
        <f t="shared" si="1"/>
        <v>PURNA2025-JKT1</v>
      </c>
      <c r="G290" s="19" t="s">
        <v>5408</v>
      </c>
      <c r="H290" s="20" t="s">
        <v>14</v>
      </c>
      <c r="I290" s="19" t="s">
        <v>5409</v>
      </c>
      <c r="J290" s="19" t="s">
        <v>5410</v>
      </c>
      <c r="K290" s="21" t="s">
        <v>5464</v>
      </c>
      <c r="L290" s="19" t="s">
        <v>6226</v>
      </c>
      <c r="M290" s="16" t="s">
        <v>541</v>
      </c>
      <c r="N290" s="18" t="s">
        <v>5416</v>
      </c>
      <c r="O290" s="18"/>
      <c r="P290" s="18">
        <f>VLOOKUP($A290,MasterData!$C$1:$I$1995,1,FALSE)</f>
        <v>7639</v>
      </c>
      <c r="Q290" s="18" t="str">
        <f t="shared" si="2"/>
        <v>PURNA2025-JKT1</v>
      </c>
    </row>
    <row r="291" ht="15.75" hidden="1" customHeight="1">
      <c r="A291" s="15">
        <v>7651.0</v>
      </c>
      <c r="B291" s="22" t="s">
        <v>6267</v>
      </c>
      <c r="C291" s="26" t="s">
        <v>6268</v>
      </c>
      <c r="D291" s="18" t="s">
        <v>6269</v>
      </c>
      <c r="E291" s="18" t="s">
        <v>544</v>
      </c>
      <c r="F291" s="19" t="str">
        <f t="shared" si="1"/>
        <v>PURNA2025-JKT1</v>
      </c>
      <c r="G291" s="19" t="s">
        <v>5408</v>
      </c>
      <c r="H291" s="20" t="s">
        <v>14</v>
      </c>
      <c r="I291" s="19" t="s">
        <v>5409</v>
      </c>
      <c r="J291" s="19" t="s">
        <v>5410</v>
      </c>
      <c r="K291" s="21" t="s">
        <v>5464</v>
      </c>
      <c r="L291" s="19" t="s">
        <v>6226</v>
      </c>
      <c r="M291" s="16" t="s">
        <v>543</v>
      </c>
      <c r="N291" s="18" t="s">
        <v>5416</v>
      </c>
      <c r="O291" s="18"/>
      <c r="P291" s="18">
        <f>VLOOKUP($A291,MasterData!$C$1:$I$1995,1,FALSE)</f>
        <v>7651</v>
      </c>
      <c r="Q291" s="18" t="str">
        <f t="shared" si="2"/>
        <v>PURNA2025-JKT1</v>
      </c>
    </row>
    <row r="292" ht="15.75" hidden="1" customHeight="1">
      <c r="A292" s="15">
        <v>7675.0</v>
      </c>
      <c r="B292" s="22" t="s">
        <v>6270</v>
      </c>
      <c r="C292" s="16" t="s">
        <v>6271</v>
      </c>
      <c r="D292" s="18" t="s">
        <v>6272</v>
      </c>
      <c r="E292" s="18" t="s">
        <v>546</v>
      </c>
      <c r="F292" s="19" t="str">
        <f t="shared" si="1"/>
        <v>PURNA2025-JKT1</v>
      </c>
      <c r="G292" s="19" t="s">
        <v>5408</v>
      </c>
      <c r="H292" s="20" t="s">
        <v>14</v>
      </c>
      <c r="I292" s="19" t="s">
        <v>5409</v>
      </c>
      <c r="J292" s="19" t="s">
        <v>5410</v>
      </c>
      <c r="K292" s="21" t="s">
        <v>5464</v>
      </c>
      <c r="L292" s="19" t="s">
        <v>6226</v>
      </c>
      <c r="M292" s="16" t="s">
        <v>545</v>
      </c>
      <c r="N292" s="18" t="s">
        <v>5416</v>
      </c>
      <c r="O292" s="18"/>
      <c r="P292" s="18">
        <f>VLOOKUP($A292,MasterData!$C$1:$I$1995,1,FALSE)</f>
        <v>7675</v>
      </c>
      <c r="Q292" s="18" t="str">
        <f t="shared" si="2"/>
        <v>PURNA2025-JKT1</v>
      </c>
    </row>
    <row r="293" ht="15.75" hidden="1" customHeight="1">
      <c r="A293" s="15">
        <v>7698.0</v>
      </c>
      <c r="B293" s="22" t="s">
        <v>6273</v>
      </c>
      <c r="C293" s="16" t="s">
        <v>6274</v>
      </c>
      <c r="D293" s="18" t="s">
        <v>6275</v>
      </c>
      <c r="E293" s="18" t="s">
        <v>548</v>
      </c>
      <c r="F293" s="19" t="str">
        <f t="shared" si="1"/>
        <v>PURNA2025-JKT1</v>
      </c>
      <c r="G293" s="19" t="s">
        <v>5408</v>
      </c>
      <c r="H293" s="20" t="s">
        <v>14</v>
      </c>
      <c r="I293" s="19" t="s">
        <v>5409</v>
      </c>
      <c r="J293" s="19" t="s">
        <v>5410</v>
      </c>
      <c r="K293" s="21" t="s">
        <v>5464</v>
      </c>
      <c r="L293" s="19" t="s">
        <v>6226</v>
      </c>
      <c r="M293" s="16" t="s">
        <v>547</v>
      </c>
      <c r="N293" s="18" t="s">
        <v>5416</v>
      </c>
      <c r="O293" s="18"/>
      <c r="P293" s="18">
        <f>VLOOKUP($A293,MasterData!$C$1:$I$1995,1,FALSE)</f>
        <v>7698</v>
      </c>
      <c r="Q293" s="18" t="str">
        <f t="shared" si="2"/>
        <v>PURNA2025-JKT1</v>
      </c>
    </row>
    <row r="294" ht="15.75" hidden="1" customHeight="1">
      <c r="A294" s="15">
        <v>7722.0</v>
      </c>
      <c r="B294" s="22" t="s">
        <v>6276</v>
      </c>
      <c r="C294" s="16" t="s">
        <v>6277</v>
      </c>
      <c r="D294" s="18" t="s">
        <v>6278</v>
      </c>
      <c r="E294" s="18" t="s">
        <v>550</v>
      </c>
      <c r="F294" s="19" t="str">
        <f t="shared" si="1"/>
        <v>PURNA2025-JKT1</v>
      </c>
      <c r="G294" s="19" t="s">
        <v>5408</v>
      </c>
      <c r="H294" s="20" t="s">
        <v>14</v>
      </c>
      <c r="I294" s="19" t="s">
        <v>5409</v>
      </c>
      <c r="J294" s="19" t="s">
        <v>5410</v>
      </c>
      <c r="K294" s="21" t="s">
        <v>5464</v>
      </c>
      <c r="L294" s="19" t="s">
        <v>6226</v>
      </c>
      <c r="M294" s="16" t="s">
        <v>549</v>
      </c>
      <c r="N294" s="18" t="s">
        <v>5416</v>
      </c>
      <c r="O294" s="18"/>
      <c r="P294" s="18">
        <f>VLOOKUP($A294,MasterData!$C$1:$I$1995,1,FALSE)</f>
        <v>7722</v>
      </c>
      <c r="Q294" s="18" t="str">
        <f t="shared" si="2"/>
        <v>PURNA2025-JKT1</v>
      </c>
    </row>
    <row r="295" ht="15.75" hidden="1" customHeight="1">
      <c r="A295" s="15">
        <v>7740.0</v>
      </c>
      <c r="B295" s="22" t="s">
        <v>6279</v>
      </c>
      <c r="C295" s="16" t="s">
        <v>6280</v>
      </c>
      <c r="D295" s="18" t="s">
        <v>6281</v>
      </c>
      <c r="E295" s="18" t="s">
        <v>552</v>
      </c>
      <c r="F295" s="19" t="str">
        <f t="shared" si="1"/>
        <v>PURNA2025-JKT1</v>
      </c>
      <c r="G295" s="19" t="s">
        <v>5408</v>
      </c>
      <c r="H295" s="20" t="s">
        <v>14</v>
      </c>
      <c r="I295" s="19" t="s">
        <v>5409</v>
      </c>
      <c r="J295" s="19" t="s">
        <v>5410</v>
      </c>
      <c r="K295" s="21" t="s">
        <v>5464</v>
      </c>
      <c r="L295" s="19" t="s">
        <v>6226</v>
      </c>
      <c r="M295" s="16" t="s">
        <v>551</v>
      </c>
      <c r="N295" s="18" t="s">
        <v>5416</v>
      </c>
      <c r="O295" s="18"/>
      <c r="P295" s="18">
        <f>VLOOKUP($A295,MasterData!$C$1:$I$1995,1,FALSE)</f>
        <v>7740</v>
      </c>
      <c r="Q295" s="18" t="str">
        <f t="shared" si="2"/>
        <v>PURNA2025-JKT1</v>
      </c>
    </row>
    <row r="296" ht="15.75" hidden="1" customHeight="1">
      <c r="A296" s="15">
        <v>7745.0</v>
      </c>
      <c r="B296" s="22" t="s">
        <v>6282</v>
      </c>
      <c r="C296" s="16" t="s">
        <v>6283</v>
      </c>
      <c r="D296" s="18" t="s">
        <v>6284</v>
      </c>
      <c r="E296" s="18" t="s">
        <v>554</v>
      </c>
      <c r="F296" s="19" t="str">
        <f t="shared" si="1"/>
        <v>PURNA2025-JKT1</v>
      </c>
      <c r="G296" s="19" t="s">
        <v>5408</v>
      </c>
      <c r="H296" s="20" t="s">
        <v>14</v>
      </c>
      <c r="I296" s="19" t="s">
        <v>5409</v>
      </c>
      <c r="J296" s="19" t="s">
        <v>5410</v>
      </c>
      <c r="K296" s="21" t="s">
        <v>5464</v>
      </c>
      <c r="L296" s="19" t="s">
        <v>6226</v>
      </c>
      <c r="M296" s="16" t="s">
        <v>553</v>
      </c>
      <c r="N296" s="18" t="s">
        <v>5416</v>
      </c>
      <c r="O296" s="18"/>
      <c r="P296" s="18">
        <f>VLOOKUP($A296,MasterData!$C$1:$I$1995,1,FALSE)</f>
        <v>7745</v>
      </c>
      <c r="Q296" s="18" t="str">
        <f t="shared" si="2"/>
        <v>PURNA2025-JKT1</v>
      </c>
    </row>
    <row r="297" ht="15.75" hidden="1" customHeight="1">
      <c r="A297" s="15">
        <v>7755.0</v>
      </c>
      <c r="B297" s="22" t="s">
        <v>6285</v>
      </c>
      <c r="C297" s="16" t="s">
        <v>6286</v>
      </c>
      <c r="D297" s="18" t="s">
        <v>6287</v>
      </c>
      <c r="E297" s="18" t="s">
        <v>556</v>
      </c>
      <c r="F297" s="19" t="str">
        <f t="shared" si="1"/>
        <v>PURNA2025-JKT1</v>
      </c>
      <c r="G297" s="19" t="s">
        <v>5408</v>
      </c>
      <c r="H297" s="20" t="s">
        <v>14</v>
      </c>
      <c r="I297" s="19" t="s">
        <v>5409</v>
      </c>
      <c r="J297" s="19" t="s">
        <v>5410</v>
      </c>
      <c r="K297" s="21" t="s">
        <v>5464</v>
      </c>
      <c r="L297" s="19" t="s">
        <v>6226</v>
      </c>
      <c r="M297" s="16" t="s">
        <v>555</v>
      </c>
      <c r="N297" s="18" t="s">
        <v>5416</v>
      </c>
      <c r="O297" s="18"/>
      <c r="P297" s="18">
        <f>VLOOKUP($A297,MasterData!$C$1:$I$1995,1,FALSE)</f>
        <v>7755</v>
      </c>
      <c r="Q297" s="18" t="str">
        <f t="shared" si="2"/>
        <v>PURNA2025-JKT1</v>
      </c>
    </row>
    <row r="298" ht="15.75" hidden="1" customHeight="1">
      <c r="A298" s="15">
        <v>7769.0</v>
      </c>
      <c r="B298" s="22" t="s">
        <v>6288</v>
      </c>
      <c r="C298" s="16" t="s">
        <v>6289</v>
      </c>
      <c r="D298" s="18" t="s">
        <v>6290</v>
      </c>
      <c r="E298" s="18" t="s">
        <v>558</v>
      </c>
      <c r="F298" s="19" t="str">
        <f t="shared" si="1"/>
        <v>PURNA2025-JKT1</v>
      </c>
      <c r="G298" s="19" t="s">
        <v>5408</v>
      </c>
      <c r="H298" s="20" t="s">
        <v>14</v>
      </c>
      <c r="I298" s="19" t="s">
        <v>5409</v>
      </c>
      <c r="J298" s="19" t="s">
        <v>5410</v>
      </c>
      <c r="K298" s="21" t="s">
        <v>5464</v>
      </c>
      <c r="L298" s="19" t="s">
        <v>6226</v>
      </c>
      <c r="M298" s="16" t="s">
        <v>557</v>
      </c>
      <c r="N298" s="18" t="s">
        <v>5416</v>
      </c>
      <c r="O298" s="18"/>
      <c r="P298" s="18">
        <f>VLOOKUP($A298,MasterData!$C$1:$I$1995,1,FALSE)</f>
        <v>7769</v>
      </c>
      <c r="Q298" s="18" t="str">
        <f t="shared" si="2"/>
        <v>PURNA2025-JKT1</v>
      </c>
    </row>
    <row r="299" ht="15.75" hidden="1" customHeight="1">
      <c r="A299" s="15">
        <v>7793.0</v>
      </c>
      <c r="B299" s="22" t="s">
        <v>6291</v>
      </c>
      <c r="C299" s="16" t="s">
        <v>6292</v>
      </c>
      <c r="D299" s="18" t="s">
        <v>6293</v>
      </c>
      <c r="E299" s="18" t="s">
        <v>560</v>
      </c>
      <c r="F299" s="19" t="str">
        <f t="shared" si="1"/>
        <v>PURNA2025-JKT1</v>
      </c>
      <c r="G299" s="19" t="s">
        <v>5408</v>
      </c>
      <c r="H299" s="20" t="s">
        <v>14</v>
      </c>
      <c r="I299" s="19" t="s">
        <v>5409</v>
      </c>
      <c r="J299" s="19" t="s">
        <v>5410</v>
      </c>
      <c r="K299" s="21" t="s">
        <v>5464</v>
      </c>
      <c r="L299" s="19" t="s">
        <v>6226</v>
      </c>
      <c r="M299" s="16" t="s">
        <v>559</v>
      </c>
      <c r="N299" s="18" t="s">
        <v>5416</v>
      </c>
      <c r="O299" s="18"/>
      <c r="P299" s="18">
        <f>VLOOKUP($A299,MasterData!$C$1:$I$1995,1,FALSE)</f>
        <v>7793</v>
      </c>
      <c r="Q299" s="18" t="str">
        <f t="shared" si="2"/>
        <v>PURNA2025-JKT1</v>
      </c>
    </row>
    <row r="300" ht="15.75" hidden="1" customHeight="1">
      <c r="A300" s="15">
        <v>7805.0</v>
      </c>
      <c r="B300" s="22" t="s">
        <v>6294</v>
      </c>
      <c r="C300" s="16" t="s">
        <v>6295</v>
      </c>
      <c r="D300" s="18" t="s">
        <v>6296</v>
      </c>
      <c r="E300" s="18" t="s">
        <v>562</v>
      </c>
      <c r="F300" s="19" t="str">
        <f t="shared" si="1"/>
        <v>PURNA2025-JKT1</v>
      </c>
      <c r="G300" s="19" t="s">
        <v>5408</v>
      </c>
      <c r="H300" s="20" t="s">
        <v>14</v>
      </c>
      <c r="I300" s="19" t="s">
        <v>5409</v>
      </c>
      <c r="J300" s="19" t="s">
        <v>5410</v>
      </c>
      <c r="K300" s="21" t="s">
        <v>5464</v>
      </c>
      <c r="L300" s="19" t="s">
        <v>6226</v>
      </c>
      <c r="M300" s="16" t="s">
        <v>561</v>
      </c>
      <c r="N300" s="18" t="s">
        <v>5416</v>
      </c>
      <c r="O300" s="18"/>
      <c r="P300" s="18">
        <f>VLOOKUP($A300,MasterData!$C$1:$I$1995,1,FALSE)</f>
        <v>7805</v>
      </c>
      <c r="Q300" s="18" t="str">
        <f t="shared" si="2"/>
        <v>PURNA2025-JKT1</v>
      </c>
    </row>
    <row r="301" ht="15.75" hidden="1" customHeight="1">
      <c r="A301" s="15">
        <v>7814.0</v>
      </c>
      <c r="B301" s="22" t="s">
        <v>6297</v>
      </c>
      <c r="C301" s="16" t="s">
        <v>6298</v>
      </c>
      <c r="D301" s="18" t="s">
        <v>6299</v>
      </c>
      <c r="E301" s="18" t="s">
        <v>564</v>
      </c>
      <c r="F301" s="19" t="str">
        <f t="shared" si="1"/>
        <v>PURNA2025-JKT1</v>
      </c>
      <c r="G301" s="19" t="s">
        <v>5408</v>
      </c>
      <c r="H301" s="20" t="s">
        <v>14</v>
      </c>
      <c r="I301" s="19" t="s">
        <v>5409</v>
      </c>
      <c r="J301" s="19" t="s">
        <v>5410</v>
      </c>
      <c r="K301" s="21" t="s">
        <v>5464</v>
      </c>
      <c r="L301" s="19" t="s">
        <v>6226</v>
      </c>
      <c r="M301" s="16" t="s">
        <v>563</v>
      </c>
      <c r="N301" s="18" t="s">
        <v>5416</v>
      </c>
      <c r="O301" s="18"/>
      <c r="P301" s="18">
        <f>VLOOKUP($A301,MasterData!$C$1:$I$1995,1,FALSE)</f>
        <v>7814</v>
      </c>
      <c r="Q301" s="18" t="str">
        <f t="shared" si="2"/>
        <v>PURNA2025-JKT1</v>
      </c>
    </row>
    <row r="302" ht="15.75" hidden="1" customHeight="1">
      <c r="A302" s="15">
        <v>7822.0</v>
      </c>
      <c r="B302" s="22" t="s">
        <v>6300</v>
      </c>
      <c r="C302" s="16" t="s">
        <v>6301</v>
      </c>
      <c r="D302" s="18" t="s">
        <v>6302</v>
      </c>
      <c r="E302" s="18" t="s">
        <v>566</v>
      </c>
      <c r="F302" s="19" t="str">
        <f t="shared" si="1"/>
        <v>PURNA2025-JKT1</v>
      </c>
      <c r="G302" s="19" t="s">
        <v>5408</v>
      </c>
      <c r="H302" s="20" t="s">
        <v>14</v>
      </c>
      <c r="I302" s="19" t="s">
        <v>5409</v>
      </c>
      <c r="J302" s="19" t="s">
        <v>5410</v>
      </c>
      <c r="K302" s="21" t="s">
        <v>5464</v>
      </c>
      <c r="L302" s="19" t="s">
        <v>6226</v>
      </c>
      <c r="M302" s="16" t="s">
        <v>565</v>
      </c>
      <c r="N302" s="18" t="s">
        <v>5416</v>
      </c>
      <c r="O302" s="18"/>
      <c r="P302" s="18">
        <f>VLOOKUP($A302,MasterData!$C$1:$I$1995,1,FALSE)</f>
        <v>7822</v>
      </c>
      <c r="Q302" s="18" t="str">
        <f t="shared" si="2"/>
        <v>PURNA2025-JKT1</v>
      </c>
    </row>
    <row r="303" ht="15.75" hidden="1" customHeight="1">
      <c r="A303" s="15">
        <v>7843.0</v>
      </c>
      <c r="B303" s="22" t="s">
        <v>6303</v>
      </c>
      <c r="C303" s="16" t="s">
        <v>6304</v>
      </c>
      <c r="D303" s="18" t="s">
        <v>6305</v>
      </c>
      <c r="E303" s="18" t="s">
        <v>568</v>
      </c>
      <c r="F303" s="19" t="str">
        <f t="shared" si="1"/>
        <v>PURNA2025-JKT1</v>
      </c>
      <c r="G303" s="19" t="s">
        <v>5408</v>
      </c>
      <c r="H303" s="20" t="s">
        <v>14</v>
      </c>
      <c r="I303" s="19" t="s">
        <v>5409</v>
      </c>
      <c r="J303" s="19" t="s">
        <v>5410</v>
      </c>
      <c r="K303" s="21" t="s">
        <v>5464</v>
      </c>
      <c r="L303" s="19" t="s">
        <v>6226</v>
      </c>
      <c r="M303" s="16" t="s">
        <v>567</v>
      </c>
      <c r="N303" s="18" t="s">
        <v>5416</v>
      </c>
      <c r="O303" s="18"/>
      <c r="P303" s="18">
        <f>VLOOKUP($A303,MasterData!$C$1:$I$1995,1,FALSE)</f>
        <v>7843</v>
      </c>
      <c r="Q303" s="18" t="str">
        <f t="shared" si="2"/>
        <v>PURNA2025-JKT1</v>
      </c>
    </row>
    <row r="304" ht="15.75" hidden="1" customHeight="1">
      <c r="A304" s="15">
        <v>7864.0</v>
      </c>
      <c r="B304" s="22" t="s">
        <v>6306</v>
      </c>
      <c r="C304" s="16" t="s">
        <v>6307</v>
      </c>
      <c r="D304" s="18" t="s">
        <v>6308</v>
      </c>
      <c r="E304" s="18" t="s">
        <v>570</v>
      </c>
      <c r="F304" s="19" t="str">
        <f t="shared" si="1"/>
        <v>PURNA2025-JKT1</v>
      </c>
      <c r="G304" s="19" t="s">
        <v>5408</v>
      </c>
      <c r="H304" s="20" t="s">
        <v>14</v>
      </c>
      <c r="I304" s="19" t="s">
        <v>5409</v>
      </c>
      <c r="J304" s="19" t="s">
        <v>5410</v>
      </c>
      <c r="K304" s="21" t="s">
        <v>5464</v>
      </c>
      <c r="L304" s="19" t="s">
        <v>6226</v>
      </c>
      <c r="M304" s="16" t="s">
        <v>569</v>
      </c>
      <c r="N304" s="18" t="s">
        <v>5416</v>
      </c>
      <c r="O304" s="18"/>
      <c r="P304" s="18">
        <f>VLOOKUP($A304,MasterData!$C$1:$I$1995,1,FALSE)</f>
        <v>7864</v>
      </c>
      <c r="Q304" s="18" t="str">
        <f t="shared" si="2"/>
        <v>PURNA2025-JKT1</v>
      </c>
    </row>
    <row r="305" ht="15.75" hidden="1" customHeight="1">
      <c r="A305" s="15">
        <v>7878.0</v>
      </c>
      <c r="B305" s="22" t="s">
        <v>6309</v>
      </c>
      <c r="C305" s="16" t="s">
        <v>6310</v>
      </c>
      <c r="D305" s="18" t="s">
        <v>6311</v>
      </c>
      <c r="E305" s="18" t="s">
        <v>572</v>
      </c>
      <c r="F305" s="19" t="str">
        <f t="shared" si="1"/>
        <v>PURNA2025-JKT1</v>
      </c>
      <c r="G305" s="19" t="s">
        <v>5408</v>
      </c>
      <c r="H305" s="20" t="s">
        <v>14</v>
      </c>
      <c r="I305" s="19" t="s">
        <v>5409</v>
      </c>
      <c r="J305" s="19" t="s">
        <v>5410</v>
      </c>
      <c r="K305" s="21" t="s">
        <v>5464</v>
      </c>
      <c r="L305" s="19" t="s">
        <v>6226</v>
      </c>
      <c r="M305" s="16" t="s">
        <v>571</v>
      </c>
      <c r="N305" s="18" t="s">
        <v>5416</v>
      </c>
      <c r="O305" s="18"/>
      <c r="P305" s="18">
        <f>VLOOKUP($A305,MasterData!$C$1:$I$1995,1,FALSE)</f>
        <v>7878</v>
      </c>
      <c r="Q305" s="18" t="str">
        <f t="shared" si="2"/>
        <v>PURNA2025-JKT1</v>
      </c>
    </row>
    <row r="306" ht="15.75" hidden="1" customHeight="1">
      <c r="A306" s="15">
        <v>7919.0</v>
      </c>
      <c r="B306" s="22" t="s">
        <v>6312</v>
      </c>
      <c r="C306" s="16" t="s">
        <v>6313</v>
      </c>
      <c r="D306" s="18" t="s">
        <v>6314</v>
      </c>
      <c r="E306" s="18" t="s">
        <v>574</v>
      </c>
      <c r="F306" s="19" t="str">
        <f t="shared" si="1"/>
        <v>PURNA2025-JKT1</v>
      </c>
      <c r="G306" s="19" t="s">
        <v>5408</v>
      </c>
      <c r="H306" s="20" t="s">
        <v>14</v>
      </c>
      <c r="I306" s="19" t="s">
        <v>5409</v>
      </c>
      <c r="J306" s="19" t="s">
        <v>5410</v>
      </c>
      <c r="K306" s="21" t="s">
        <v>5464</v>
      </c>
      <c r="L306" s="19" t="s">
        <v>6226</v>
      </c>
      <c r="M306" s="16" t="s">
        <v>573</v>
      </c>
      <c r="N306" s="18" t="s">
        <v>5416</v>
      </c>
      <c r="O306" s="18"/>
      <c r="P306" s="18">
        <f>VLOOKUP($A306,MasterData!$C$1:$I$1995,1,FALSE)</f>
        <v>7919</v>
      </c>
      <c r="Q306" s="18" t="str">
        <f t="shared" si="2"/>
        <v>PURNA2025-JKT1</v>
      </c>
    </row>
    <row r="307" ht="15.75" hidden="1" customHeight="1">
      <c r="A307" s="15">
        <v>7925.0</v>
      </c>
      <c r="B307" s="22" t="s">
        <v>6315</v>
      </c>
      <c r="C307" s="16" t="s">
        <v>6316</v>
      </c>
      <c r="D307" s="18" t="s">
        <v>6317</v>
      </c>
      <c r="E307" s="18" t="s">
        <v>576</v>
      </c>
      <c r="F307" s="19" t="str">
        <f t="shared" si="1"/>
        <v>PURNA2025-JKT1</v>
      </c>
      <c r="G307" s="19" t="s">
        <v>5408</v>
      </c>
      <c r="H307" s="20" t="s">
        <v>14</v>
      </c>
      <c r="I307" s="19" t="s">
        <v>5409</v>
      </c>
      <c r="J307" s="19" t="s">
        <v>5410</v>
      </c>
      <c r="K307" s="21" t="s">
        <v>5464</v>
      </c>
      <c r="L307" s="19" t="s">
        <v>6226</v>
      </c>
      <c r="M307" s="16" t="s">
        <v>575</v>
      </c>
      <c r="N307" s="18" t="s">
        <v>5416</v>
      </c>
      <c r="O307" s="18"/>
      <c r="P307" s="18">
        <f>VLOOKUP($A307,MasterData!$C$1:$I$1995,1,FALSE)</f>
        <v>7925</v>
      </c>
      <c r="Q307" s="18" t="str">
        <f t="shared" si="2"/>
        <v>PURNA2025-JKT1</v>
      </c>
    </row>
    <row r="308" ht="15.75" hidden="1" customHeight="1">
      <c r="A308" s="15">
        <v>7942.0</v>
      </c>
      <c r="B308" s="22" t="s">
        <v>6318</v>
      </c>
      <c r="C308" s="16" t="s">
        <v>6319</v>
      </c>
      <c r="D308" s="18" t="s">
        <v>6320</v>
      </c>
      <c r="E308" s="18" t="s">
        <v>578</v>
      </c>
      <c r="F308" s="19" t="str">
        <f t="shared" si="1"/>
        <v>PURNA2025-JKT1</v>
      </c>
      <c r="G308" s="19" t="s">
        <v>5408</v>
      </c>
      <c r="H308" s="20" t="s">
        <v>14</v>
      </c>
      <c r="I308" s="19" t="s">
        <v>5409</v>
      </c>
      <c r="J308" s="19" t="s">
        <v>5410</v>
      </c>
      <c r="K308" s="21" t="s">
        <v>5464</v>
      </c>
      <c r="L308" s="19" t="s">
        <v>6226</v>
      </c>
      <c r="M308" s="16" t="s">
        <v>577</v>
      </c>
      <c r="N308" s="18" t="s">
        <v>5416</v>
      </c>
      <c r="O308" s="18"/>
      <c r="P308" s="18">
        <f>VLOOKUP($A308,MasterData!$C$1:$I$1995,1,FALSE)</f>
        <v>7942</v>
      </c>
      <c r="Q308" s="18" t="str">
        <f t="shared" si="2"/>
        <v>PURNA2025-JKT1</v>
      </c>
    </row>
    <row r="309" ht="15.75" hidden="1" customHeight="1">
      <c r="A309" s="15">
        <v>7959.0</v>
      </c>
      <c r="B309" s="22" t="s">
        <v>6321</v>
      </c>
      <c r="C309" s="16" t="s">
        <v>6322</v>
      </c>
      <c r="D309" s="18" t="s">
        <v>6323</v>
      </c>
      <c r="E309" s="18" t="s">
        <v>580</v>
      </c>
      <c r="F309" s="19" t="str">
        <f t="shared" si="1"/>
        <v>PURNA2025-JKT1</v>
      </c>
      <c r="G309" s="19" t="s">
        <v>5408</v>
      </c>
      <c r="H309" s="20" t="s">
        <v>14</v>
      </c>
      <c r="I309" s="19" t="s">
        <v>5409</v>
      </c>
      <c r="J309" s="19" t="s">
        <v>5410</v>
      </c>
      <c r="K309" s="21" t="s">
        <v>5464</v>
      </c>
      <c r="L309" s="19" t="s">
        <v>6226</v>
      </c>
      <c r="M309" s="16" t="s">
        <v>579</v>
      </c>
      <c r="N309" s="18" t="s">
        <v>5416</v>
      </c>
      <c r="O309" s="18"/>
      <c r="P309" s="18">
        <f>VLOOKUP($A309,MasterData!$C$1:$I$1995,1,FALSE)</f>
        <v>7959</v>
      </c>
      <c r="Q309" s="18" t="str">
        <f t="shared" si="2"/>
        <v>PURNA2025-JKT1</v>
      </c>
    </row>
    <row r="310" ht="15.75" hidden="1" customHeight="1">
      <c r="A310" s="15">
        <v>7967.0</v>
      </c>
      <c r="B310" s="22" t="s">
        <v>6324</v>
      </c>
      <c r="C310" s="16" t="s">
        <v>6325</v>
      </c>
      <c r="D310" s="18" t="s">
        <v>6326</v>
      </c>
      <c r="E310" s="18" t="s">
        <v>582</v>
      </c>
      <c r="F310" s="19" t="str">
        <f t="shared" si="1"/>
        <v>PURNA2025-JKT1</v>
      </c>
      <c r="G310" s="19" t="s">
        <v>5408</v>
      </c>
      <c r="H310" s="20" t="s">
        <v>14</v>
      </c>
      <c r="I310" s="19" t="s">
        <v>5409</v>
      </c>
      <c r="J310" s="19" t="s">
        <v>5410</v>
      </c>
      <c r="K310" s="21" t="s">
        <v>5464</v>
      </c>
      <c r="L310" s="19" t="s">
        <v>6226</v>
      </c>
      <c r="M310" s="16" t="s">
        <v>581</v>
      </c>
      <c r="N310" s="18" t="s">
        <v>5416</v>
      </c>
      <c r="O310" s="18"/>
      <c r="P310" s="18">
        <f>VLOOKUP($A310,MasterData!$C$1:$I$1995,1,FALSE)</f>
        <v>7967</v>
      </c>
      <c r="Q310" s="18" t="str">
        <f t="shared" si="2"/>
        <v>PURNA2025-JKT1</v>
      </c>
    </row>
    <row r="311" ht="15.75" hidden="1" customHeight="1">
      <c r="A311" s="15">
        <v>7990.0</v>
      </c>
      <c r="B311" s="22" t="s">
        <v>6327</v>
      </c>
      <c r="C311" s="16" t="s">
        <v>6328</v>
      </c>
      <c r="D311" s="18" t="s">
        <v>6329</v>
      </c>
      <c r="E311" s="18" t="s">
        <v>584</v>
      </c>
      <c r="F311" s="19" t="str">
        <f t="shared" si="1"/>
        <v>PURNA2025-JKT1</v>
      </c>
      <c r="G311" s="19" t="s">
        <v>5408</v>
      </c>
      <c r="H311" s="20" t="s">
        <v>14</v>
      </c>
      <c r="I311" s="19" t="s">
        <v>5409</v>
      </c>
      <c r="J311" s="19" t="s">
        <v>5410</v>
      </c>
      <c r="K311" s="21" t="s">
        <v>5464</v>
      </c>
      <c r="L311" s="19" t="s">
        <v>6226</v>
      </c>
      <c r="M311" s="16" t="s">
        <v>583</v>
      </c>
      <c r="N311" s="18" t="s">
        <v>5416</v>
      </c>
      <c r="O311" s="18"/>
      <c r="P311" s="18">
        <f>VLOOKUP($A311,MasterData!$C$1:$I$1995,1,FALSE)</f>
        <v>7990</v>
      </c>
      <c r="Q311" s="18" t="str">
        <f t="shared" si="2"/>
        <v>PURNA2025-JKT1</v>
      </c>
    </row>
    <row r="312" ht="15.75" hidden="1" customHeight="1">
      <c r="A312" s="15">
        <v>7998.0</v>
      </c>
      <c r="B312" s="22" t="s">
        <v>6330</v>
      </c>
      <c r="C312" s="16" t="s">
        <v>6331</v>
      </c>
      <c r="D312" s="18" t="s">
        <v>6332</v>
      </c>
      <c r="E312" s="18" t="s">
        <v>586</v>
      </c>
      <c r="F312" s="19" t="str">
        <f t="shared" si="1"/>
        <v>PURNA2025-JKT1</v>
      </c>
      <c r="G312" s="19" t="s">
        <v>5408</v>
      </c>
      <c r="H312" s="20" t="s">
        <v>14</v>
      </c>
      <c r="I312" s="19" t="s">
        <v>5409</v>
      </c>
      <c r="J312" s="19" t="s">
        <v>5410</v>
      </c>
      <c r="K312" s="21" t="s">
        <v>5464</v>
      </c>
      <c r="L312" s="19" t="s">
        <v>6226</v>
      </c>
      <c r="M312" s="16" t="s">
        <v>585</v>
      </c>
      <c r="N312" s="18" t="s">
        <v>5416</v>
      </c>
      <c r="O312" s="18"/>
      <c r="P312" s="18">
        <f>VLOOKUP($A312,MasterData!$C$1:$I$1995,1,FALSE)</f>
        <v>7998</v>
      </c>
      <c r="Q312" s="18" t="str">
        <f t="shared" si="2"/>
        <v>PURNA2025-JKT1</v>
      </c>
    </row>
    <row r="313" ht="15.75" hidden="1" customHeight="1">
      <c r="A313" s="15">
        <v>7441.0</v>
      </c>
      <c r="B313" s="22" t="s">
        <v>6333</v>
      </c>
      <c r="C313" s="16" t="s">
        <v>6334</v>
      </c>
      <c r="D313" s="18" t="s">
        <v>6335</v>
      </c>
      <c r="E313" s="18" t="s">
        <v>588</v>
      </c>
      <c r="F313" s="19" t="str">
        <f t="shared" si="1"/>
        <v>PURNA2025-JKT2</v>
      </c>
      <c r="G313" s="19" t="s">
        <v>5408</v>
      </c>
      <c r="H313" s="20" t="s">
        <v>14</v>
      </c>
      <c r="I313" s="19" t="s">
        <v>5409</v>
      </c>
      <c r="J313" s="19" t="s">
        <v>5410</v>
      </c>
      <c r="K313" s="21" t="s">
        <v>5464</v>
      </c>
      <c r="L313" s="19" t="s">
        <v>6336</v>
      </c>
      <c r="M313" s="16" t="s">
        <v>587</v>
      </c>
      <c r="N313" s="18" t="s">
        <v>5416</v>
      </c>
      <c r="O313" s="18"/>
      <c r="P313" s="18">
        <f>VLOOKUP($A313,MasterData!$C$1:$I$1995,1,FALSE)</f>
        <v>7441</v>
      </c>
      <c r="Q313" s="18" t="str">
        <f t="shared" si="2"/>
        <v>PURNA2025-JKT2</v>
      </c>
    </row>
    <row r="314" ht="15.75" hidden="1" customHeight="1">
      <c r="A314" s="15">
        <v>7446.0</v>
      </c>
      <c r="B314" s="22" t="s">
        <v>6337</v>
      </c>
      <c r="C314" s="16" t="s">
        <v>6338</v>
      </c>
      <c r="D314" s="18" t="s">
        <v>6339</v>
      </c>
      <c r="E314" s="18" t="s">
        <v>590</v>
      </c>
      <c r="F314" s="19" t="str">
        <f t="shared" si="1"/>
        <v>PURNA2025-JKT2</v>
      </c>
      <c r="G314" s="19" t="s">
        <v>5408</v>
      </c>
      <c r="H314" s="20" t="s">
        <v>14</v>
      </c>
      <c r="I314" s="19" t="s">
        <v>5409</v>
      </c>
      <c r="J314" s="19" t="s">
        <v>5410</v>
      </c>
      <c r="K314" s="21" t="s">
        <v>5464</v>
      </c>
      <c r="L314" s="19" t="s">
        <v>6336</v>
      </c>
      <c r="M314" s="16" t="s">
        <v>589</v>
      </c>
      <c r="N314" s="18" t="s">
        <v>5416</v>
      </c>
      <c r="O314" s="18"/>
      <c r="P314" s="18">
        <f>VLOOKUP($A314,MasterData!$C$1:$I$1995,1,FALSE)</f>
        <v>7446</v>
      </c>
      <c r="Q314" s="18" t="str">
        <f t="shared" si="2"/>
        <v>PURNA2025-JKT2</v>
      </c>
    </row>
    <row r="315" ht="15.75" hidden="1" customHeight="1">
      <c r="A315" s="15">
        <v>7489.0</v>
      </c>
      <c r="B315" s="22" t="s">
        <v>6340</v>
      </c>
      <c r="C315" s="16" t="s">
        <v>6341</v>
      </c>
      <c r="D315" s="18" t="s">
        <v>6342</v>
      </c>
      <c r="E315" s="18" t="s">
        <v>592</v>
      </c>
      <c r="F315" s="19" t="str">
        <f t="shared" si="1"/>
        <v>PURNA2025-JKT2</v>
      </c>
      <c r="G315" s="19" t="s">
        <v>5408</v>
      </c>
      <c r="H315" s="20" t="s">
        <v>14</v>
      </c>
      <c r="I315" s="19" t="s">
        <v>5409</v>
      </c>
      <c r="J315" s="19" t="s">
        <v>5410</v>
      </c>
      <c r="K315" s="21" t="s">
        <v>5464</v>
      </c>
      <c r="L315" s="19" t="s">
        <v>6336</v>
      </c>
      <c r="M315" s="16" t="s">
        <v>591</v>
      </c>
      <c r="N315" s="18" t="s">
        <v>5416</v>
      </c>
      <c r="O315" s="18"/>
      <c r="P315" s="18">
        <f>VLOOKUP($A315,MasterData!$C$1:$I$1995,1,FALSE)</f>
        <v>7489</v>
      </c>
      <c r="Q315" s="18" t="str">
        <f t="shared" si="2"/>
        <v>PURNA2025-JKT2</v>
      </c>
    </row>
    <row r="316" ht="15.75" hidden="1" customHeight="1">
      <c r="A316" s="15">
        <v>7491.0</v>
      </c>
      <c r="B316" s="22" t="s">
        <v>6343</v>
      </c>
      <c r="C316" s="16" t="s">
        <v>6344</v>
      </c>
      <c r="D316" s="18" t="s">
        <v>6345</v>
      </c>
      <c r="E316" s="18" t="s">
        <v>594</v>
      </c>
      <c r="F316" s="19" t="str">
        <f t="shared" si="1"/>
        <v>PURNA2025-JKT2</v>
      </c>
      <c r="G316" s="19" t="s">
        <v>5408</v>
      </c>
      <c r="H316" s="20" t="s">
        <v>14</v>
      </c>
      <c r="I316" s="19" t="s">
        <v>5409</v>
      </c>
      <c r="J316" s="19" t="s">
        <v>5410</v>
      </c>
      <c r="K316" s="21" t="s">
        <v>5464</v>
      </c>
      <c r="L316" s="19" t="s">
        <v>6336</v>
      </c>
      <c r="M316" s="16" t="s">
        <v>593</v>
      </c>
      <c r="N316" s="18" t="s">
        <v>5416</v>
      </c>
      <c r="O316" s="18"/>
      <c r="P316" s="18">
        <f>VLOOKUP($A316,MasterData!$C$1:$I$1995,1,FALSE)</f>
        <v>7491</v>
      </c>
      <c r="Q316" s="18" t="str">
        <f t="shared" si="2"/>
        <v>PURNA2025-JKT2</v>
      </c>
    </row>
    <row r="317" ht="15.75" hidden="1" customHeight="1">
      <c r="A317" s="15">
        <v>7500.0</v>
      </c>
      <c r="B317" s="22" t="s">
        <v>6346</v>
      </c>
      <c r="C317" s="16" t="s">
        <v>6347</v>
      </c>
      <c r="D317" s="18" t="s">
        <v>6348</v>
      </c>
      <c r="E317" s="18" t="s">
        <v>596</v>
      </c>
      <c r="F317" s="19" t="str">
        <f t="shared" si="1"/>
        <v>PURNA2025-JKT2</v>
      </c>
      <c r="G317" s="19" t="s">
        <v>5408</v>
      </c>
      <c r="H317" s="20" t="s">
        <v>14</v>
      </c>
      <c r="I317" s="19" t="s">
        <v>5409</v>
      </c>
      <c r="J317" s="19" t="s">
        <v>5410</v>
      </c>
      <c r="K317" s="21" t="s">
        <v>5464</v>
      </c>
      <c r="L317" s="19" t="s">
        <v>6336</v>
      </c>
      <c r="M317" s="16" t="s">
        <v>595</v>
      </c>
      <c r="N317" s="18" t="s">
        <v>5416</v>
      </c>
      <c r="O317" s="18"/>
      <c r="P317" s="18">
        <f>VLOOKUP($A317,MasterData!$C$1:$I$1995,1,FALSE)</f>
        <v>7500</v>
      </c>
      <c r="Q317" s="18" t="str">
        <f t="shared" si="2"/>
        <v>PURNA2025-JKT2</v>
      </c>
    </row>
    <row r="318" ht="15.75" hidden="1" customHeight="1">
      <c r="A318" s="15">
        <v>7524.0</v>
      </c>
      <c r="B318" s="22" t="s">
        <v>6349</v>
      </c>
      <c r="C318" s="16" t="s">
        <v>6350</v>
      </c>
      <c r="D318" s="18" t="s">
        <v>6351</v>
      </c>
      <c r="E318" s="18" t="s">
        <v>598</v>
      </c>
      <c r="F318" s="19" t="str">
        <f t="shared" si="1"/>
        <v>PURNA2025-JKT2</v>
      </c>
      <c r="G318" s="19" t="s">
        <v>5408</v>
      </c>
      <c r="H318" s="20" t="s">
        <v>14</v>
      </c>
      <c r="I318" s="19" t="s">
        <v>5409</v>
      </c>
      <c r="J318" s="19" t="s">
        <v>5410</v>
      </c>
      <c r="K318" s="21" t="s">
        <v>5464</v>
      </c>
      <c r="L318" s="19" t="s">
        <v>6336</v>
      </c>
      <c r="M318" s="16" t="s">
        <v>597</v>
      </c>
      <c r="N318" s="18" t="s">
        <v>5416</v>
      </c>
      <c r="O318" s="18"/>
      <c r="P318" s="18">
        <f>VLOOKUP($A318,MasterData!$C$1:$I$1995,1,FALSE)</f>
        <v>7524</v>
      </c>
      <c r="Q318" s="18" t="str">
        <f t="shared" si="2"/>
        <v>PURNA2025-JKT2</v>
      </c>
    </row>
    <row r="319" ht="15.75" hidden="1" customHeight="1">
      <c r="A319" s="15">
        <v>7558.0</v>
      </c>
      <c r="B319" s="22" t="s">
        <v>6352</v>
      </c>
      <c r="C319" s="16" t="s">
        <v>6353</v>
      </c>
      <c r="D319" s="18" t="s">
        <v>6354</v>
      </c>
      <c r="E319" s="18" t="s">
        <v>600</v>
      </c>
      <c r="F319" s="19" t="str">
        <f t="shared" si="1"/>
        <v>PURNA2025-JKT2</v>
      </c>
      <c r="G319" s="19" t="s">
        <v>5408</v>
      </c>
      <c r="H319" s="20" t="s">
        <v>14</v>
      </c>
      <c r="I319" s="19" t="s">
        <v>5409</v>
      </c>
      <c r="J319" s="19" t="s">
        <v>5410</v>
      </c>
      <c r="K319" s="21" t="s">
        <v>5464</v>
      </c>
      <c r="L319" s="19" t="s">
        <v>6336</v>
      </c>
      <c r="M319" s="16" t="s">
        <v>599</v>
      </c>
      <c r="N319" s="18" t="s">
        <v>5416</v>
      </c>
      <c r="O319" s="18"/>
      <c r="P319" s="18">
        <f>VLOOKUP($A319,MasterData!$C$1:$I$1995,1,FALSE)</f>
        <v>7558</v>
      </c>
      <c r="Q319" s="18" t="str">
        <f t="shared" si="2"/>
        <v>PURNA2025-JKT2</v>
      </c>
    </row>
    <row r="320" ht="15.75" hidden="1" customHeight="1">
      <c r="A320" s="15">
        <v>7572.0</v>
      </c>
      <c r="B320" s="22" t="s">
        <v>6355</v>
      </c>
      <c r="C320" s="16" t="s">
        <v>6356</v>
      </c>
      <c r="D320" s="18" t="s">
        <v>6357</v>
      </c>
      <c r="E320" s="18" t="s">
        <v>602</v>
      </c>
      <c r="F320" s="19" t="str">
        <f t="shared" si="1"/>
        <v>PURNA2025-JKT2</v>
      </c>
      <c r="G320" s="19" t="s">
        <v>5408</v>
      </c>
      <c r="H320" s="20" t="s">
        <v>14</v>
      </c>
      <c r="I320" s="19" t="s">
        <v>5409</v>
      </c>
      <c r="J320" s="19" t="s">
        <v>5410</v>
      </c>
      <c r="K320" s="21" t="s">
        <v>5464</v>
      </c>
      <c r="L320" s="19" t="s">
        <v>6336</v>
      </c>
      <c r="M320" s="16" t="s">
        <v>601</v>
      </c>
      <c r="N320" s="18" t="s">
        <v>5416</v>
      </c>
      <c r="O320" s="18"/>
      <c r="P320" s="18">
        <f>VLOOKUP($A320,MasterData!$C$1:$I$1995,1,FALSE)</f>
        <v>7572</v>
      </c>
      <c r="Q320" s="18" t="str">
        <f t="shared" si="2"/>
        <v>PURNA2025-JKT2</v>
      </c>
    </row>
    <row r="321" ht="15.75" hidden="1" customHeight="1">
      <c r="A321" s="15">
        <v>7589.0</v>
      </c>
      <c r="B321" s="22" t="s">
        <v>6358</v>
      </c>
      <c r="C321" s="16" t="s">
        <v>6359</v>
      </c>
      <c r="D321" s="18" t="s">
        <v>6360</v>
      </c>
      <c r="E321" s="18" t="s">
        <v>604</v>
      </c>
      <c r="F321" s="19" t="str">
        <f t="shared" si="1"/>
        <v>PURNA2025-JKT2</v>
      </c>
      <c r="G321" s="19" t="s">
        <v>5408</v>
      </c>
      <c r="H321" s="20" t="s">
        <v>14</v>
      </c>
      <c r="I321" s="19" t="s">
        <v>5409</v>
      </c>
      <c r="J321" s="19" t="s">
        <v>5410</v>
      </c>
      <c r="K321" s="21" t="s">
        <v>5464</v>
      </c>
      <c r="L321" s="19" t="s">
        <v>6336</v>
      </c>
      <c r="M321" s="16" t="s">
        <v>603</v>
      </c>
      <c r="N321" s="18" t="s">
        <v>5416</v>
      </c>
      <c r="O321" s="18"/>
      <c r="P321" s="18">
        <f>VLOOKUP($A321,MasterData!$C$1:$I$1995,1,FALSE)</f>
        <v>7589</v>
      </c>
      <c r="Q321" s="18" t="str">
        <f t="shared" si="2"/>
        <v>PURNA2025-JKT2</v>
      </c>
    </row>
    <row r="322" ht="15.75" hidden="1" customHeight="1">
      <c r="A322" s="15">
        <v>7606.0</v>
      </c>
      <c r="B322" s="22" t="s">
        <v>6361</v>
      </c>
      <c r="C322" s="16" t="s">
        <v>6362</v>
      </c>
      <c r="D322" s="18" t="s">
        <v>6363</v>
      </c>
      <c r="E322" s="18" t="s">
        <v>606</v>
      </c>
      <c r="F322" s="19" t="str">
        <f t="shared" si="1"/>
        <v>PURNA2025-JKT2</v>
      </c>
      <c r="G322" s="19" t="s">
        <v>5408</v>
      </c>
      <c r="H322" s="20" t="s">
        <v>14</v>
      </c>
      <c r="I322" s="19" t="s">
        <v>5409</v>
      </c>
      <c r="J322" s="19" t="s">
        <v>5410</v>
      </c>
      <c r="K322" s="21" t="s">
        <v>5464</v>
      </c>
      <c r="L322" s="19" t="s">
        <v>6336</v>
      </c>
      <c r="M322" s="16" t="s">
        <v>605</v>
      </c>
      <c r="N322" s="18" t="s">
        <v>5416</v>
      </c>
      <c r="O322" s="18"/>
      <c r="P322" s="18">
        <f>VLOOKUP($A322,MasterData!$C$1:$I$1995,1,FALSE)</f>
        <v>7606</v>
      </c>
      <c r="Q322" s="18" t="str">
        <f t="shared" si="2"/>
        <v>PURNA2025-JKT2</v>
      </c>
    </row>
    <row r="323" ht="15.75" hidden="1" customHeight="1">
      <c r="A323" s="15">
        <v>7614.0</v>
      </c>
      <c r="B323" s="22" t="s">
        <v>6364</v>
      </c>
      <c r="C323" s="16" t="s">
        <v>6365</v>
      </c>
      <c r="D323" s="18" t="s">
        <v>6366</v>
      </c>
      <c r="E323" s="18" t="s">
        <v>608</v>
      </c>
      <c r="F323" s="19" t="str">
        <f t="shared" si="1"/>
        <v>PURNA2025-JKT2</v>
      </c>
      <c r="G323" s="19" t="s">
        <v>5408</v>
      </c>
      <c r="H323" s="20" t="s">
        <v>14</v>
      </c>
      <c r="I323" s="19" t="s">
        <v>5409</v>
      </c>
      <c r="J323" s="19" t="s">
        <v>5410</v>
      </c>
      <c r="K323" s="21" t="s">
        <v>5464</v>
      </c>
      <c r="L323" s="19" t="s">
        <v>6336</v>
      </c>
      <c r="M323" s="16" t="s">
        <v>607</v>
      </c>
      <c r="N323" s="18" t="s">
        <v>5416</v>
      </c>
      <c r="O323" s="18"/>
      <c r="P323" s="18">
        <f>VLOOKUP($A323,MasterData!$C$1:$I$1995,1,FALSE)</f>
        <v>7614</v>
      </c>
      <c r="Q323" s="18" t="str">
        <f t="shared" si="2"/>
        <v>PURNA2025-JKT2</v>
      </c>
    </row>
    <row r="324" ht="15.75" hidden="1" customHeight="1">
      <c r="A324" s="15">
        <v>7629.0</v>
      </c>
      <c r="B324" s="22" t="s">
        <v>6367</v>
      </c>
      <c r="C324" s="16" t="s">
        <v>6368</v>
      </c>
      <c r="D324" s="18" t="s">
        <v>6369</v>
      </c>
      <c r="E324" s="18" t="s">
        <v>610</v>
      </c>
      <c r="F324" s="19" t="str">
        <f t="shared" si="1"/>
        <v>PURNA2025-JKT2</v>
      </c>
      <c r="G324" s="19" t="s">
        <v>5408</v>
      </c>
      <c r="H324" s="20" t="s">
        <v>14</v>
      </c>
      <c r="I324" s="19" t="s">
        <v>5409</v>
      </c>
      <c r="J324" s="19" t="s">
        <v>5410</v>
      </c>
      <c r="K324" s="21" t="s">
        <v>5464</v>
      </c>
      <c r="L324" s="19" t="s">
        <v>6336</v>
      </c>
      <c r="M324" s="16" t="s">
        <v>609</v>
      </c>
      <c r="N324" s="18" t="s">
        <v>5416</v>
      </c>
      <c r="O324" s="18"/>
      <c r="P324" s="18">
        <f>VLOOKUP($A324,MasterData!$C$1:$I$1995,1,FALSE)</f>
        <v>7629</v>
      </c>
      <c r="Q324" s="18" t="str">
        <f t="shared" si="2"/>
        <v>PURNA2025-JKT2</v>
      </c>
    </row>
    <row r="325" ht="15.75" hidden="1" customHeight="1">
      <c r="A325" s="15">
        <v>7650.0</v>
      </c>
      <c r="B325" s="22" t="s">
        <v>6370</v>
      </c>
      <c r="C325" s="16" t="s">
        <v>6371</v>
      </c>
      <c r="D325" s="18" t="s">
        <v>6372</v>
      </c>
      <c r="E325" s="18" t="s">
        <v>612</v>
      </c>
      <c r="F325" s="19" t="str">
        <f t="shared" si="1"/>
        <v>PURNA2025-JKT2</v>
      </c>
      <c r="G325" s="19" t="s">
        <v>5408</v>
      </c>
      <c r="H325" s="20" t="s">
        <v>14</v>
      </c>
      <c r="I325" s="19" t="s">
        <v>5409</v>
      </c>
      <c r="J325" s="19" t="s">
        <v>5410</v>
      </c>
      <c r="K325" s="21" t="s">
        <v>5464</v>
      </c>
      <c r="L325" s="19" t="s">
        <v>6336</v>
      </c>
      <c r="M325" s="16" t="s">
        <v>611</v>
      </c>
      <c r="N325" s="18" t="s">
        <v>5416</v>
      </c>
      <c r="O325" s="18"/>
      <c r="P325" s="18">
        <f>VLOOKUP($A325,MasterData!$C$1:$I$1995,1,FALSE)</f>
        <v>7650</v>
      </c>
      <c r="Q325" s="18" t="str">
        <f t="shared" si="2"/>
        <v>PURNA2025-JKT2</v>
      </c>
    </row>
    <row r="326" ht="15.75" hidden="1" customHeight="1">
      <c r="A326" s="15">
        <v>7667.0</v>
      </c>
      <c r="B326" s="22" t="s">
        <v>6373</v>
      </c>
      <c r="C326" s="16" t="s">
        <v>6374</v>
      </c>
      <c r="D326" s="18" t="s">
        <v>6375</v>
      </c>
      <c r="E326" s="18" t="s">
        <v>614</v>
      </c>
      <c r="F326" s="19" t="str">
        <f t="shared" si="1"/>
        <v>PURNA2025-JKT2</v>
      </c>
      <c r="G326" s="19" t="s">
        <v>5408</v>
      </c>
      <c r="H326" s="20" t="s">
        <v>14</v>
      </c>
      <c r="I326" s="19" t="s">
        <v>5409</v>
      </c>
      <c r="J326" s="19" t="s">
        <v>5410</v>
      </c>
      <c r="K326" s="21" t="s">
        <v>5464</v>
      </c>
      <c r="L326" s="19" t="s">
        <v>6336</v>
      </c>
      <c r="M326" s="16" t="s">
        <v>613</v>
      </c>
      <c r="N326" s="18" t="s">
        <v>5416</v>
      </c>
      <c r="O326" s="18"/>
      <c r="P326" s="18">
        <f>VLOOKUP($A326,MasterData!$C$1:$I$1995,1,FALSE)</f>
        <v>7667</v>
      </c>
      <c r="Q326" s="18" t="str">
        <f t="shared" si="2"/>
        <v>PURNA2025-JKT2</v>
      </c>
    </row>
    <row r="327" ht="15.75" hidden="1" customHeight="1">
      <c r="A327" s="15">
        <v>7678.0</v>
      </c>
      <c r="B327" s="22" t="s">
        <v>6376</v>
      </c>
      <c r="C327" s="16" t="s">
        <v>6377</v>
      </c>
      <c r="D327" s="18" t="s">
        <v>6378</v>
      </c>
      <c r="E327" s="18" t="s">
        <v>616</v>
      </c>
      <c r="F327" s="19" t="str">
        <f t="shared" si="1"/>
        <v>PURNA2025-JKT2</v>
      </c>
      <c r="G327" s="19" t="s">
        <v>5408</v>
      </c>
      <c r="H327" s="20" t="s">
        <v>14</v>
      </c>
      <c r="I327" s="19" t="s">
        <v>5409</v>
      </c>
      <c r="J327" s="19" t="s">
        <v>5410</v>
      </c>
      <c r="K327" s="21" t="s">
        <v>5464</v>
      </c>
      <c r="L327" s="19" t="s">
        <v>6336</v>
      </c>
      <c r="M327" s="16" t="s">
        <v>615</v>
      </c>
      <c r="N327" s="18" t="s">
        <v>5416</v>
      </c>
      <c r="O327" s="18"/>
      <c r="P327" s="18">
        <f>VLOOKUP($A327,MasterData!$C$1:$I$1995,1,FALSE)</f>
        <v>7678</v>
      </c>
      <c r="Q327" s="18" t="str">
        <f t="shared" si="2"/>
        <v>PURNA2025-JKT2</v>
      </c>
    </row>
    <row r="328" ht="15.75" hidden="1" customHeight="1">
      <c r="A328" s="15">
        <v>7713.0</v>
      </c>
      <c r="B328" s="22" t="s">
        <v>6379</v>
      </c>
      <c r="C328" s="16" t="s">
        <v>6380</v>
      </c>
      <c r="D328" s="18" t="s">
        <v>6381</v>
      </c>
      <c r="E328" s="18" t="s">
        <v>618</v>
      </c>
      <c r="F328" s="19" t="str">
        <f t="shared" si="1"/>
        <v>PURNA2025-JKT2</v>
      </c>
      <c r="G328" s="19" t="s">
        <v>5408</v>
      </c>
      <c r="H328" s="20" t="s">
        <v>14</v>
      </c>
      <c r="I328" s="19" t="s">
        <v>5409</v>
      </c>
      <c r="J328" s="19" t="s">
        <v>5410</v>
      </c>
      <c r="K328" s="21" t="s">
        <v>5464</v>
      </c>
      <c r="L328" s="19" t="s">
        <v>6336</v>
      </c>
      <c r="M328" s="16" t="s">
        <v>617</v>
      </c>
      <c r="N328" s="18" t="s">
        <v>5416</v>
      </c>
      <c r="O328" s="18"/>
      <c r="P328" s="18">
        <f>VLOOKUP($A328,MasterData!$C$1:$I$1995,1,FALSE)</f>
        <v>7713</v>
      </c>
      <c r="Q328" s="18" t="str">
        <f t="shared" si="2"/>
        <v>PURNA2025-JKT2</v>
      </c>
    </row>
    <row r="329" ht="15.75" hidden="1" customHeight="1">
      <c r="A329" s="15">
        <v>7725.0</v>
      </c>
      <c r="B329" s="22" t="s">
        <v>6382</v>
      </c>
      <c r="C329" s="16" t="s">
        <v>6383</v>
      </c>
      <c r="D329" s="18" t="s">
        <v>6384</v>
      </c>
      <c r="E329" s="18" t="s">
        <v>620</v>
      </c>
      <c r="F329" s="19" t="str">
        <f t="shared" si="1"/>
        <v>PURNA2025-JKT2</v>
      </c>
      <c r="G329" s="19" t="s">
        <v>5408</v>
      </c>
      <c r="H329" s="20" t="s">
        <v>14</v>
      </c>
      <c r="I329" s="19" t="s">
        <v>5409</v>
      </c>
      <c r="J329" s="19" t="s">
        <v>5410</v>
      </c>
      <c r="K329" s="21" t="s">
        <v>5464</v>
      </c>
      <c r="L329" s="19" t="s">
        <v>6336</v>
      </c>
      <c r="M329" s="16" t="s">
        <v>619</v>
      </c>
      <c r="N329" s="18" t="s">
        <v>5416</v>
      </c>
      <c r="O329" s="18"/>
      <c r="P329" s="18">
        <f>VLOOKUP($A329,MasterData!$C$1:$I$1995,1,FALSE)</f>
        <v>7725</v>
      </c>
      <c r="Q329" s="18" t="str">
        <f t="shared" si="2"/>
        <v>PURNA2025-JKT2</v>
      </c>
    </row>
    <row r="330" ht="15.75" hidden="1" customHeight="1">
      <c r="A330" s="15">
        <v>7741.0</v>
      </c>
      <c r="B330" s="22" t="s">
        <v>6385</v>
      </c>
      <c r="C330" s="16" t="s">
        <v>6386</v>
      </c>
      <c r="D330" s="18" t="s">
        <v>6387</v>
      </c>
      <c r="E330" s="18" t="s">
        <v>622</v>
      </c>
      <c r="F330" s="19" t="str">
        <f t="shared" si="1"/>
        <v>PURNA2025-JKT2</v>
      </c>
      <c r="G330" s="19" t="s">
        <v>5408</v>
      </c>
      <c r="H330" s="20" t="s">
        <v>14</v>
      </c>
      <c r="I330" s="19" t="s">
        <v>5409</v>
      </c>
      <c r="J330" s="19" t="s">
        <v>5410</v>
      </c>
      <c r="K330" s="21" t="s">
        <v>5464</v>
      </c>
      <c r="L330" s="19" t="s">
        <v>6336</v>
      </c>
      <c r="M330" s="16" t="s">
        <v>621</v>
      </c>
      <c r="N330" s="18" t="s">
        <v>5416</v>
      </c>
      <c r="O330" s="18"/>
      <c r="P330" s="18">
        <f>VLOOKUP($A330,MasterData!$C$1:$I$1995,1,FALSE)</f>
        <v>7741</v>
      </c>
      <c r="Q330" s="18" t="str">
        <f t="shared" si="2"/>
        <v>PURNA2025-JKT2</v>
      </c>
    </row>
    <row r="331" ht="15.75" hidden="1" customHeight="1">
      <c r="A331" s="15">
        <v>7750.0</v>
      </c>
      <c r="B331" s="22" t="s">
        <v>6388</v>
      </c>
      <c r="C331" s="16" t="s">
        <v>6389</v>
      </c>
      <c r="D331" s="18" t="s">
        <v>6390</v>
      </c>
      <c r="E331" s="18" t="s">
        <v>624</v>
      </c>
      <c r="F331" s="19" t="str">
        <f t="shared" si="1"/>
        <v>PURNA2025-JKT2</v>
      </c>
      <c r="G331" s="19" t="s">
        <v>5408</v>
      </c>
      <c r="H331" s="20" t="s">
        <v>14</v>
      </c>
      <c r="I331" s="19" t="s">
        <v>5409</v>
      </c>
      <c r="J331" s="19" t="s">
        <v>5410</v>
      </c>
      <c r="K331" s="21" t="s">
        <v>5464</v>
      </c>
      <c r="L331" s="19" t="s">
        <v>6336</v>
      </c>
      <c r="M331" s="16" t="s">
        <v>623</v>
      </c>
      <c r="N331" s="18" t="s">
        <v>5416</v>
      </c>
      <c r="O331" s="18"/>
      <c r="P331" s="18">
        <f>VLOOKUP($A331,MasterData!$C$1:$I$1995,1,FALSE)</f>
        <v>7750</v>
      </c>
      <c r="Q331" s="18" t="str">
        <f t="shared" si="2"/>
        <v>PURNA2025-JKT2</v>
      </c>
    </row>
    <row r="332" ht="15.75" hidden="1" customHeight="1">
      <c r="A332" s="15">
        <v>7768.0</v>
      </c>
      <c r="B332" s="22" t="s">
        <v>6391</v>
      </c>
      <c r="C332" s="16" t="s">
        <v>6392</v>
      </c>
      <c r="D332" s="18" t="s">
        <v>6393</v>
      </c>
      <c r="E332" s="18" t="s">
        <v>626</v>
      </c>
      <c r="F332" s="19" t="str">
        <f t="shared" si="1"/>
        <v>PURNA2025-JKT2</v>
      </c>
      <c r="G332" s="19" t="s">
        <v>5408</v>
      </c>
      <c r="H332" s="20" t="s">
        <v>14</v>
      </c>
      <c r="I332" s="19" t="s">
        <v>5409</v>
      </c>
      <c r="J332" s="19" t="s">
        <v>5410</v>
      </c>
      <c r="K332" s="21" t="s">
        <v>5464</v>
      </c>
      <c r="L332" s="19" t="s">
        <v>6336</v>
      </c>
      <c r="M332" s="16" t="s">
        <v>625</v>
      </c>
      <c r="N332" s="18" t="s">
        <v>5416</v>
      </c>
      <c r="O332" s="18"/>
      <c r="P332" s="18">
        <f>VLOOKUP($A332,MasterData!$C$1:$I$1995,1,FALSE)</f>
        <v>7768</v>
      </c>
      <c r="Q332" s="18" t="str">
        <f t="shared" si="2"/>
        <v>PURNA2025-JKT2</v>
      </c>
    </row>
    <row r="333" ht="15.75" hidden="1" customHeight="1">
      <c r="A333" s="15">
        <v>7782.0</v>
      </c>
      <c r="B333" s="22" t="s">
        <v>6394</v>
      </c>
      <c r="C333" s="16" t="s">
        <v>6395</v>
      </c>
      <c r="D333" s="18" t="s">
        <v>6396</v>
      </c>
      <c r="E333" s="18" t="s">
        <v>628</v>
      </c>
      <c r="F333" s="19" t="str">
        <f t="shared" si="1"/>
        <v>PURNA2025-JKT2</v>
      </c>
      <c r="G333" s="19" t="s">
        <v>5408</v>
      </c>
      <c r="H333" s="20" t="s">
        <v>14</v>
      </c>
      <c r="I333" s="19" t="s">
        <v>5409</v>
      </c>
      <c r="J333" s="19" t="s">
        <v>5410</v>
      </c>
      <c r="K333" s="21" t="s">
        <v>5464</v>
      </c>
      <c r="L333" s="19" t="s">
        <v>6336</v>
      </c>
      <c r="M333" s="16" t="s">
        <v>627</v>
      </c>
      <c r="N333" s="18" t="s">
        <v>5416</v>
      </c>
      <c r="O333" s="18"/>
      <c r="P333" s="18">
        <f>VLOOKUP($A333,MasterData!$C$1:$I$1995,1,FALSE)</f>
        <v>7782</v>
      </c>
      <c r="Q333" s="18" t="str">
        <f t="shared" si="2"/>
        <v>PURNA2025-JKT2</v>
      </c>
    </row>
    <row r="334" ht="15.75" hidden="1" customHeight="1">
      <c r="A334" s="15">
        <v>7795.0</v>
      </c>
      <c r="B334" s="22" t="s">
        <v>6397</v>
      </c>
      <c r="C334" s="16" t="s">
        <v>6398</v>
      </c>
      <c r="D334" s="18" t="s">
        <v>6399</v>
      </c>
      <c r="E334" s="18" t="s">
        <v>630</v>
      </c>
      <c r="F334" s="19" t="str">
        <f t="shared" si="1"/>
        <v>PURNA2025-JKT2</v>
      </c>
      <c r="G334" s="19" t="s">
        <v>5408</v>
      </c>
      <c r="H334" s="20" t="s">
        <v>14</v>
      </c>
      <c r="I334" s="19" t="s">
        <v>5409</v>
      </c>
      <c r="J334" s="19" t="s">
        <v>5410</v>
      </c>
      <c r="K334" s="21" t="s">
        <v>5464</v>
      </c>
      <c r="L334" s="19" t="s">
        <v>6336</v>
      </c>
      <c r="M334" s="16" t="s">
        <v>629</v>
      </c>
      <c r="N334" s="18" t="s">
        <v>5416</v>
      </c>
      <c r="O334" s="18"/>
      <c r="P334" s="18">
        <f>VLOOKUP($A334,MasterData!$C$1:$I$1995,1,FALSE)</f>
        <v>7795</v>
      </c>
      <c r="Q334" s="18" t="str">
        <f t="shared" si="2"/>
        <v>PURNA2025-JKT2</v>
      </c>
    </row>
    <row r="335" ht="15.75" hidden="1" customHeight="1">
      <c r="A335" s="15">
        <v>7813.0</v>
      </c>
      <c r="B335" s="22" t="s">
        <v>6400</v>
      </c>
      <c r="C335" s="16" t="s">
        <v>6401</v>
      </c>
      <c r="D335" s="18" t="s">
        <v>6402</v>
      </c>
      <c r="E335" s="18" t="s">
        <v>632</v>
      </c>
      <c r="F335" s="19" t="str">
        <f t="shared" si="1"/>
        <v>PURNA2025-JKT2</v>
      </c>
      <c r="G335" s="19" t="s">
        <v>5408</v>
      </c>
      <c r="H335" s="20" t="s">
        <v>14</v>
      </c>
      <c r="I335" s="19" t="s">
        <v>5409</v>
      </c>
      <c r="J335" s="19" t="s">
        <v>5410</v>
      </c>
      <c r="K335" s="21" t="s">
        <v>5464</v>
      </c>
      <c r="L335" s="19" t="s">
        <v>6336</v>
      </c>
      <c r="M335" s="16" t="s">
        <v>631</v>
      </c>
      <c r="N335" s="18" t="s">
        <v>5416</v>
      </c>
      <c r="O335" s="18"/>
      <c r="P335" s="18">
        <f>VLOOKUP($A335,MasterData!$C$1:$I$1995,1,FALSE)</f>
        <v>7813</v>
      </c>
      <c r="Q335" s="18" t="str">
        <f t="shared" si="2"/>
        <v>PURNA2025-JKT2</v>
      </c>
    </row>
    <row r="336" ht="15.75" hidden="1" customHeight="1">
      <c r="A336" s="15">
        <v>7817.0</v>
      </c>
      <c r="B336" s="22" t="s">
        <v>6403</v>
      </c>
      <c r="C336" s="16" t="s">
        <v>6404</v>
      </c>
      <c r="D336" s="18" t="s">
        <v>6405</v>
      </c>
      <c r="E336" s="18" t="s">
        <v>634</v>
      </c>
      <c r="F336" s="19" t="str">
        <f t="shared" si="1"/>
        <v>PURNA2025-JKT2</v>
      </c>
      <c r="G336" s="19" t="s">
        <v>5408</v>
      </c>
      <c r="H336" s="20" t="s">
        <v>14</v>
      </c>
      <c r="I336" s="19" t="s">
        <v>5409</v>
      </c>
      <c r="J336" s="19" t="s">
        <v>5410</v>
      </c>
      <c r="K336" s="21" t="s">
        <v>5464</v>
      </c>
      <c r="L336" s="19" t="s">
        <v>6336</v>
      </c>
      <c r="M336" s="16" t="s">
        <v>633</v>
      </c>
      <c r="N336" s="18" t="s">
        <v>5416</v>
      </c>
      <c r="O336" s="18"/>
      <c r="P336" s="18">
        <f>VLOOKUP($A336,MasterData!$C$1:$I$1995,1,FALSE)</f>
        <v>7817</v>
      </c>
      <c r="Q336" s="18" t="str">
        <f t="shared" si="2"/>
        <v>PURNA2025-JKT2</v>
      </c>
    </row>
    <row r="337" ht="15.75" hidden="1" customHeight="1">
      <c r="A337" s="15">
        <v>7840.0</v>
      </c>
      <c r="B337" s="22" t="s">
        <v>6406</v>
      </c>
      <c r="C337" s="16" t="s">
        <v>6407</v>
      </c>
      <c r="D337" s="18" t="s">
        <v>6408</v>
      </c>
      <c r="E337" s="18" t="s">
        <v>636</v>
      </c>
      <c r="F337" s="19" t="str">
        <f t="shared" si="1"/>
        <v>PURNA2025-JKT2</v>
      </c>
      <c r="G337" s="19" t="s">
        <v>5408</v>
      </c>
      <c r="H337" s="20" t="s">
        <v>14</v>
      </c>
      <c r="I337" s="19" t="s">
        <v>5409</v>
      </c>
      <c r="J337" s="19" t="s">
        <v>5410</v>
      </c>
      <c r="K337" s="21" t="s">
        <v>5464</v>
      </c>
      <c r="L337" s="19" t="s">
        <v>6336</v>
      </c>
      <c r="M337" s="16" t="s">
        <v>635</v>
      </c>
      <c r="N337" s="18" t="s">
        <v>5416</v>
      </c>
      <c r="O337" s="18"/>
      <c r="P337" s="18">
        <f>VLOOKUP($A337,MasterData!$C$1:$I$1995,1,FALSE)</f>
        <v>7840</v>
      </c>
      <c r="Q337" s="18" t="str">
        <f t="shared" si="2"/>
        <v>PURNA2025-JKT2</v>
      </c>
    </row>
    <row r="338" ht="15.75" hidden="1" customHeight="1">
      <c r="A338" s="15">
        <v>7848.0</v>
      </c>
      <c r="B338" s="22" t="s">
        <v>6409</v>
      </c>
      <c r="C338" s="16" t="s">
        <v>6410</v>
      </c>
      <c r="D338" s="18" t="s">
        <v>6411</v>
      </c>
      <c r="E338" s="18" t="s">
        <v>638</v>
      </c>
      <c r="F338" s="19" t="str">
        <f t="shared" si="1"/>
        <v>PURNA2025-JKT2</v>
      </c>
      <c r="G338" s="19" t="s">
        <v>5408</v>
      </c>
      <c r="H338" s="20" t="s">
        <v>14</v>
      </c>
      <c r="I338" s="19" t="s">
        <v>5409</v>
      </c>
      <c r="J338" s="19" t="s">
        <v>5410</v>
      </c>
      <c r="K338" s="21" t="s">
        <v>5464</v>
      </c>
      <c r="L338" s="19" t="s">
        <v>6336</v>
      </c>
      <c r="M338" s="16" t="s">
        <v>637</v>
      </c>
      <c r="N338" s="18" t="s">
        <v>5416</v>
      </c>
      <c r="O338" s="18"/>
      <c r="P338" s="18">
        <f>VLOOKUP($A338,MasterData!$C$1:$I$1995,1,FALSE)</f>
        <v>7848</v>
      </c>
      <c r="Q338" s="18" t="str">
        <f t="shared" si="2"/>
        <v>PURNA2025-JKT2</v>
      </c>
    </row>
    <row r="339" ht="15.75" hidden="1" customHeight="1">
      <c r="A339" s="15">
        <v>7867.0</v>
      </c>
      <c r="B339" s="22" t="s">
        <v>6412</v>
      </c>
      <c r="C339" s="16" t="s">
        <v>6413</v>
      </c>
      <c r="D339" s="18" t="s">
        <v>6414</v>
      </c>
      <c r="E339" s="18" t="s">
        <v>640</v>
      </c>
      <c r="F339" s="19" t="str">
        <f t="shared" si="1"/>
        <v>PURNA2025-JKT2</v>
      </c>
      <c r="G339" s="19" t="s">
        <v>5408</v>
      </c>
      <c r="H339" s="20" t="s">
        <v>14</v>
      </c>
      <c r="I339" s="19" t="s">
        <v>5409</v>
      </c>
      <c r="J339" s="19" t="s">
        <v>5410</v>
      </c>
      <c r="K339" s="21" t="s">
        <v>5464</v>
      </c>
      <c r="L339" s="19" t="s">
        <v>6336</v>
      </c>
      <c r="M339" s="16" t="s">
        <v>639</v>
      </c>
      <c r="N339" s="18" t="s">
        <v>5416</v>
      </c>
      <c r="O339" s="18"/>
      <c r="P339" s="18">
        <f>VLOOKUP($A339,MasterData!$C$1:$I$1995,1,FALSE)</f>
        <v>7867</v>
      </c>
      <c r="Q339" s="18" t="str">
        <f t="shared" si="2"/>
        <v>PURNA2025-JKT2</v>
      </c>
    </row>
    <row r="340" ht="15.75" hidden="1" customHeight="1">
      <c r="A340" s="15">
        <v>7880.0</v>
      </c>
      <c r="B340" s="22" t="s">
        <v>6415</v>
      </c>
      <c r="C340" s="16" t="s">
        <v>6416</v>
      </c>
      <c r="D340" s="18" t="s">
        <v>6417</v>
      </c>
      <c r="E340" s="18" t="s">
        <v>642</v>
      </c>
      <c r="F340" s="19" t="str">
        <f t="shared" si="1"/>
        <v>PURNA2025-JKT2</v>
      </c>
      <c r="G340" s="19" t="s">
        <v>5408</v>
      </c>
      <c r="H340" s="20" t="s">
        <v>14</v>
      </c>
      <c r="I340" s="19" t="s">
        <v>5409</v>
      </c>
      <c r="J340" s="19" t="s">
        <v>5410</v>
      </c>
      <c r="K340" s="21" t="s">
        <v>5464</v>
      </c>
      <c r="L340" s="19" t="s">
        <v>6336</v>
      </c>
      <c r="M340" s="16" t="s">
        <v>641</v>
      </c>
      <c r="N340" s="18" t="s">
        <v>5416</v>
      </c>
      <c r="O340" s="18"/>
      <c r="P340" s="18">
        <f>VLOOKUP($A340,MasterData!$C$1:$I$1995,1,FALSE)</f>
        <v>7880</v>
      </c>
      <c r="Q340" s="18" t="str">
        <f t="shared" si="2"/>
        <v>PURNA2025-JKT2</v>
      </c>
    </row>
    <row r="341" ht="15.75" hidden="1" customHeight="1">
      <c r="A341" s="15">
        <v>7923.0</v>
      </c>
      <c r="B341" s="22" t="s">
        <v>6418</v>
      </c>
      <c r="C341" s="16" t="s">
        <v>6419</v>
      </c>
      <c r="D341" s="18" t="s">
        <v>6420</v>
      </c>
      <c r="E341" s="18" t="s">
        <v>644</v>
      </c>
      <c r="F341" s="19" t="str">
        <f t="shared" si="1"/>
        <v>PURNA2025-JKT2</v>
      </c>
      <c r="G341" s="19" t="s">
        <v>5408</v>
      </c>
      <c r="H341" s="20" t="s">
        <v>14</v>
      </c>
      <c r="I341" s="19" t="s">
        <v>5409</v>
      </c>
      <c r="J341" s="19" t="s">
        <v>5410</v>
      </c>
      <c r="K341" s="21" t="s">
        <v>5464</v>
      </c>
      <c r="L341" s="19" t="s">
        <v>6336</v>
      </c>
      <c r="M341" s="16" t="s">
        <v>643</v>
      </c>
      <c r="N341" s="18" t="s">
        <v>5416</v>
      </c>
      <c r="O341" s="18"/>
      <c r="P341" s="18">
        <f>VLOOKUP($A341,MasterData!$C$1:$I$1995,1,FALSE)</f>
        <v>7923</v>
      </c>
      <c r="Q341" s="18" t="str">
        <f t="shared" si="2"/>
        <v>PURNA2025-JKT2</v>
      </c>
    </row>
    <row r="342" ht="15.75" hidden="1" customHeight="1">
      <c r="A342" s="15">
        <v>7940.0</v>
      </c>
      <c r="B342" s="22" t="s">
        <v>6421</v>
      </c>
      <c r="C342" s="16" t="s">
        <v>6422</v>
      </c>
      <c r="D342" s="18" t="s">
        <v>6423</v>
      </c>
      <c r="E342" s="18" t="s">
        <v>646</v>
      </c>
      <c r="F342" s="19" t="str">
        <f t="shared" si="1"/>
        <v>PURNA2025-JKT2</v>
      </c>
      <c r="G342" s="19" t="s">
        <v>5408</v>
      </c>
      <c r="H342" s="20" t="s">
        <v>14</v>
      </c>
      <c r="I342" s="19" t="s">
        <v>5409</v>
      </c>
      <c r="J342" s="19" t="s">
        <v>5410</v>
      </c>
      <c r="K342" s="21" t="s">
        <v>5464</v>
      </c>
      <c r="L342" s="19" t="s">
        <v>6336</v>
      </c>
      <c r="M342" s="16" t="s">
        <v>645</v>
      </c>
      <c r="N342" s="18" t="s">
        <v>5416</v>
      </c>
      <c r="O342" s="18"/>
      <c r="P342" s="18">
        <f>VLOOKUP($A342,MasterData!$C$1:$I$1995,1,FALSE)</f>
        <v>7940</v>
      </c>
      <c r="Q342" s="18" t="str">
        <f t="shared" si="2"/>
        <v>PURNA2025-JKT2</v>
      </c>
    </row>
    <row r="343" ht="15.75" hidden="1" customHeight="1">
      <c r="A343" s="15">
        <v>7945.0</v>
      </c>
      <c r="B343" s="22" t="s">
        <v>6424</v>
      </c>
      <c r="C343" s="16" t="s">
        <v>6425</v>
      </c>
      <c r="D343" s="18" t="s">
        <v>6426</v>
      </c>
      <c r="E343" s="18" t="s">
        <v>648</v>
      </c>
      <c r="F343" s="19" t="str">
        <f t="shared" si="1"/>
        <v>PURNA2025-JKT2</v>
      </c>
      <c r="G343" s="19" t="s">
        <v>5408</v>
      </c>
      <c r="H343" s="20" t="s">
        <v>14</v>
      </c>
      <c r="I343" s="19" t="s">
        <v>5409</v>
      </c>
      <c r="J343" s="19" t="s">
        <v>5410</v>
      </c>
      <c r="K343" s="21" t="s">
        <v>5464</v>
      </c>
      <c r="L343" s="19" t="s">
        <v>6336</v>
      </c>
      <c r="M343" s="16" t="s">
        <v>647</v>
      </c>
      <c r="N343" s="18" t="s">
        <v>5416</v>
      </c>
      <c r="O343" s="18"/>
      <c r="P343" s="18">
        <f>VLOOKUP($A343,MasterData!$C$1:$I$1995,1,FALSE)</f>
        <v>7945</v>
      </c>
      <c r="Q343" s="18" t="str">
        <f t="shared" si="2"/>
        <v>PURNA2025-JKT2</v>
      </c>
    </row>
    <row r="344" ht="15.75" hidden="1" customHeight="1">
      <c r="A344" s="15">
        <v>7962.0</v>
      </c>
      <c r="B344" s="22" t="s">
        <v>6427</v>
      </c>
      <c r="C344" s="16" t="s">
        <v>6428</v>
      </c>
      <c r="D344" s="18" t="s">
        <v>6429</v>
      </c>
      <c r="E344" s="18" t="s">
        <v>650</v>
      </c>
      <c r="F344" s="19" t="str">
        <f t="shared" si="1"/>
        <v>PURNA2025-JKT2</v>
      </c>
      <c r="G344" s="19" t="s">
        <v>5408</v>
      </c>
      <c r="H344" s="20" t="s">
        <v>14</v>
      </c>
      <c r="I344" s="19" t="s">
        <v>5409</v>
      </c>
      <c r="J344" s="19" t="s">
        <v>5410</v>
      </c>
      <c r="K344" s="21" t="s">
        <v>5464</v>
      </c>
      <c r="L344" s="19" t="s">
        <v>6336</v>
      </c>
      <c r="M344" s="16" t="s">
        <v>649</v>
      </c>
      <c r="N344" s="18" t="s">
        <v>5416</v>
      </c>
      <c r="O344" s="18"/>
      <c r="P344" s="18">
        <f>VLOOKUP($A344,MasterData!$C$1:$I$1995,1,FALSE)</f>
        <v>7962</v>
      </c>
      <c r="Q344" s="18" t="str">
        <f t="shared" si="2"/>
        <v>PURNA2025-JKT2</v>
      </c>
    </row>
    <row r="345" ht="15.75" hidden="1" customHeight="1">
      <c r="A345" s="15">
        <v>7969.0</v>
      </c>
      <c r="B345" s="22" t="s">
        <v>6430</v>
      </c>
      <c r="C345" s="16" t="s">
        <v>6431</v>
      </c>
      <c r="D345" s="18" t="s">
        <v>6432</v>
      </c>
      <c r="E345" s="18" t="s">
        <v>652</v>
      </c>
      <c r="F345" s="19" t="str">
        <f t="shared" si="1"/>
        <v>PURNA2025-JKT2</v>
      </c>
      <c r="G345" s="19" t="s">
        <v>5408</v>
      </c>
      <c r="H345" s="20" t="s">
        <v>14</v>
      </c>
      <c r="I345" s="19" t="s">
        <v>5409</v>
      </c>
      <c r="J345" s="19" t="s">
        <v>5410</v>
      </c>
      <c r="K345" s="21" t="s">
        <v>5464</v>
      </c>
      <c r="L345" s="19" t="s">
        <v>6336</v>
      </c>
      <c r="M345" s="16" t="s">
        <v>651</v>
      </c>
      <c r="N345" s="18" t="s">
        <v>5416</v>
      </c>
      <c r="O345" s="18"/>
      <c r="P345" s="18">
        <f>VLOOKUP($A345,MasterData!$C$1:$I$1995,1,FALSE)</f>
        <v>7969</v>
      </c>
      <c r="Q345" s="18" t="str">
        <f t="shared" si="2"/>
        <v>PURNA2025-JKT2</v>
      </c>
    </row>
    <row r="346" ht="15.75" hidden="1" customHeight="1">
      <c r="A346" s="15">
        <v>7992.0</v>
      </c>
      <c r="B346" s="22" t="s">
        <v>6433</v>
      </c>
      <c r="C346" s="16" t="s">
        <v>6434</v>
      </c>
      <c r="D346" s="18" t="s">
        <v>6435</v>
      </c>
      <c r="E346" s="18" t="s">
        <v>654</v>
      </c>
      <c r="F346" s="19" t="str">
        <f t="shared" si="1"/>
        <v>PURNA2025-JKT2</v>
      </c>
      <c r="G346" s="19" t="s">
        <v>5408</v>
      </c>
      <c r="H346" s="20" t="s">
        <v>14</v>
      </c>
      <c r="I346" s="19" t="s">
        <v>5409</v>
      </c>
      <c r="J346" s="19" t="s">
        <v>5410</v>
      </c>
      <c r="K346" s="21" t="s">
        <v>5464</v>
      </c>
      <c r="L346" s="19" t="s">
        <v>6336</v>
      </c>
      <c r="M346" s="16" t="s">
        <v>653</v>
      </c>
      <c r="N346" s="18" t="s">
        <v>5416</v>
      </c>
      <c r="O346" s="18"/>
      <c r="P346" s="18">
        <f>VLOOKUP($A346,MasterData!$C$1:$I$1995,1,FALSE)</f>
        <v>7992</v>
      </c>
      <c r="Q346" s="18" t="str">
        <f t="shared" si="2"/>
        <v>PURNA2025-JKT2</v>
      </c>
    </row>
    <row r="347" ht="15.75" hidden="1" customHeight="1">
      <c r="A347" s="15">
        <v>8007.0</v>
      </c>
      <c r="B347" s="22" t="s">
        <v>6436</v>
      </c>
      <c r="C347" s="16" t="s">
        <v>6437</v>
      </c>
      <c r="D347" s="18" t="s">
        <v>6438</v>
      </c>
      <c r="E347" s="18" t="s">
        <v>656</v>
      </c>
      <c r="F347" s="19" t="str">
        <f t="shared" si="1"/>
        <v>PURNA2025-JKT2</v>
      </c>
      <c r="G347" s="19" t="s">
        <v>5408</v>
      </c>
      <c r="H347" s="20" t="s">
        <v>14</v>
      </c>
      <c r="I347" s="19" t="s">
        <v>5409</v>
      </c>
      <c r="J347" s="19" t="s">
        <v>5410</v>
      </c>
      <c r="K347" s="21" t="s">
        <v>5464</v>
      </c>
      <c r="L347" s="19" t="s">
        <v>6336</v>
      </c>
      <c r="M347" s="16" t="s">
        <v>655</v>
      </c>
      <c r="N347" s="18" t="s">
        <v>5416</v>
      </c>
      <c r="O347" s="18"/>
      <c r="P347" s="18">
        <f>VLOOKUP($A347,MasterData!$C$1:$I$1995,1,FALSE)</f>
        <v>8007</v>
      </c>
      <c r="Q347" s="18" t="str">
        <f t="shared" si="2"/>
        <v>PURNA2025-JKT2</v>
      </c>
    </row>
    <row r="348" ht="15.75" hidden="1" customHeight="1">
      <c r="A348" s="15">
        <v>7419.0</v>
      </c>
      <c r="B348" s="22" t="s">
        <v>6439</v>
      </c>
      <c r="C348" s="16" t="s">
        <v>6440</v>
      </c>
      <c r="D348" s="18" t="s">
        <v>6441</v>
      </c>
      <c r="E348" s="18" t="s">
        <v>658</v>
      </c>
      <c r="F348" s="19" t="str">
        <f t="shared" si="1"/>
        <v>PURNA2025-KLR1</v>
      </c>
      <c r="G348" s="19" t="s">
        <v>5408</v>
      </c>
      <c r="H348" s="20" t="s">
        <v>14</v>
      </c>
      <c r="I348" s="19" t="s">
        <v>5409</v>
      </c>
      <c r="J348" s="19" t="s">
        <v>5410</v>
      </c>
      <c r="K348" s="21" t="s">
        <v>5464</v>
      </c>
      <c r="L348" s="19" t="s">
        <v>6442</v>
      </c>
      <c r="M348" s="16" t="s">
        <v>657</v>
      </c>
      <c r="N348" s="18" t="s">
        <v>5416</v>
      </c>
      <c r="O348" s="18"/>
      <c r="P348" s="18">
        <f>VLOOKUP($A348,MasterData!$C$1:$I$1995,1,FALSE)</f>
        <v>7419</v>
      </c>
      <c r="Q348" s="18" t="str">
        <f t="shared" si="2"/>
        <v>PURNA2025-KLR1</v>
      </c>
    </row>
    <row r="349" ht="15.75" hidden="1" customHeight="1">
      <c r="A349" s="15">
        <v>7449.0</v>
      </c>
      <c r="B349" s="22" t="s">
        <v>6443</v>
      </c>
      <c r="C349" s="26" t="s">
        <v>6444</v>
      </c>
      <c r="D349" s="18" t="s">
        <v>6445</v>
      </c>
      <c r="E349" s="18" t="s">
        <v>660</v>
      </c>
      <c r="F349" s="19" t="str">
        <f t="shared" si="1"/>
        <v>PURNA2025-KLR1</v>
      </c>
      <c r="G349" s="19" t="s">
        <v>5408</v>
      </c>
      <c r="H349" s="20" t="s">
        <v>14</v>
      </c>
      <c r="I349" s="19" t="s">
        <v>5409</v>
      </c>
      <c r="J349" s="19" t="s">
        <v>5410</v>
      </c>
      <c r="K349" s="21" t="s">
        <v>5464</v>
      </c>
      <c r="L349" s="19" t="s">
        <v>6442</v>
      </c>
      <c r="M349" s="16" t="s">
        <v>659</v>
      </c>
      <c r="N349" s="18" t="s">
        <v>5416</v>
      </c>
      <c r="O349" s="18"/>
      <c r="P349" s="18">
        <f>VLOOKUP($A349,MasterData!$C$1:$I$1995,1,FALSE)</f>
        <v>7449</v>
      </c>
      <c r="Q349" s="18" t="str">
        <f t="shared" si="2"/>
        <v>PURNA2025-KLR1</v>
      </c>
    </row>
    <row r="350" ht="15.75" hidden="1" customHeight="1">
      <c r="A350" s="15">
        <v>7465.0</v>
      </c>
      <c r="B350" s="22" t="s">
        <v>6446</v>
      </c>
      <c r="C350" s="16" t="s">
        <v>6447</v>
      </c>
      <c r="D350" s="18" t="s">
        <v>6448</v>
      </c>
      <c r="E350" s="18" t="s">
        <v>662</v>
      </c>
      <c r="F350" s="19" t="str">
        <f t="shared" si="1"/>
        <v>PURNA2025-KLR1</v>
      </c>
      <c r="G350" s="19" t="s">
        <v>5408</v>
      </c>
      <c r="H350" s="20" t="s">
        <v>14</v>
      </c>
      <c r="I350" s="19" t="s">
        <v>5409</v>
      </c>
      <c r="J350" s="19" t="s">
        <v>5410</v>
      </c>
      <c r="K350" s="21" t="s">
        <v>5464</v>
      </c>
      <c r="L350" s="19" t="s">
        <v>6442</v>
      </c>
      <c r="M350" s="16" t="s">
        <v>661</v>
      </c>
      <c r="N350" s="18" t="s">
        <v>5416</v>
      </c>
      <c r="O350" s="18"/>
      <c r="P350" s="18">
        <f>VLOOKUP($A350,MasterData!$C$1:$I$1995,1,FALSE)</f>
        <v>7465</v>
      </c>
      <c r="Q350" s="18" t="str">
        <f t="shared" si="2"/>
        <v>PURNA2025-KLR1</v>
      </c>
    </row>
    <row r="351" ht="15.75" hidden="1" customHeight="1">
      <c r="A351" s="15">
        <v>7532.0</v>
      </c>
      <c r="B351" s="22" t="s">
        <v>6449</v>
      </c>
      <c r="C351" s="16" t="s">
        <v>6450</v>
      </c>
      <c r="D351" s="18" t="s">
        <v>6451</v>
      </c>
      <c r="E351" s="18" t="s">
        <v>664</v>
      </c>
      <c r="F351" s="19" t="str">
        <f t="shared" si="1"/>
        <v>PURNA2025-KLR1</v>
      </c>
      <c r="G351" s="19" t="s">
        <v>5408</v>
      </c>
      <c r="H351" s="20" t="s">
        <v>14</v>
      </c>
      <c r="I351" s="19" t="s">
        <v>5409</v>
      </c>
      <c r="J351" s="19" t="s">
        <v>5410</v>
      </c>
      <c r="K351" s="21" t="s">
        <v>5464</v>
      </c>
      <c r="L351" s="19" t="s">
        <v>6442</v>
      </c>
      <c r="M351" s="16" t="s">
        <v>663</v>
      </c>
      <c r="N351" s="18" t="s">
        <v>5416</v>
      </c>
      <c r="O351" s="18"/>
      <c r="P351" s="18">
        <f>VLOOKUP($A351,MasterData!$C$1:$I$1995,1,FALSE)</f>
        <v>7532</v>
      </c>
      <c r="Q351" s="18" t="str">
        <f t="shared" si="2"/>
        <v>PURNA2025-KLR1</v>
      </c>
    </row>
    <row r="352" ht="15.75" hidden="1" customHeight="1">
      <c r="A352" s="15">
        <v>7540.0</v>
      </c>
      <c r="B352" s="22" t="s">
        <v>6452</v>
      </c>
      <c r="C352" s="16" t="s">
        <v>6453</v>
      </c>
      <c r="D352" s="18" t="s">
        <v>6454</v>
      </c>
      <c r="E352" s="18" t="s">
        <v>666</v>
      </c>
      <c r="F352" s="19" t="str">
        <f t="shared" si="1"/>
        <v>PURNA2025-KLR1</v>
      </c>
      <c r="G352" s="19" t="s">
        <v>5408</v>
      </c>
      <c r="H352" s="20" t="s">
        <v>14</v>
      </c>
      <c r="I352" s="19" t="s">
        <v>5409</v>
      </c>
      <c r="J352" s="19" t="s">
        <v>5410</v>
      </c>
      <c r="K352" s="21" t="s">
        <v>5464</v>
      </c>
      <c r="L352" s="19" t="s">
        <v>6442</v>
      </c>
      <c r="M352" s="16" t="s">
        <v>665</v>
      </c>
      <c r="N352" s="18" t="s">
        <v>5416</v>
      </c>
      <c r="O352" s="18"/>
      <c r="P352" s="18">
        <f>VLOOKUP($A352,MasterData!$C$1:$I$1995,1,FALSE)</f>
        <v>7540</v>
      </c>
      <c r="Q352" s="18" t="str">
        <f t="shared" si="2"/>
        <v>PURNA2025-KLR1</v>
      </c>
    </row>
    <row r="353" ht="15.75" hidden="1" customHeight="1">
      <c r="A353" s="15">
        <v>7565.0</v>
      </c>
      <c r="B353" s="22" t="s">
        <v>6455</v>
      </c>
      <c r="C353" s="16" t="s">
        <v>6456</v>
      </c>
      <c r="D353" s="18" t="s">
        <v>6457</v>
      </c>
      <c r="E353" s="18" t="s">
        <v>668</v>
      </c>
      <c r="F353" s="19" t="str">
        <f t="shared" si="1"/>
        <v>PURNA2025-KLR1</v>
      </c>
      <c r="G353" s="19" t="s">
        <v>5408</v>
      </c>
      <c r="H353" s="20" t="s">
        <v>14</v>
      </c>
      <c r="I353" s="19" t="s">
        <v>5409</v>
      </c>
      <c r="J353" s="19" t="s">
        <v>5410</v>
      </c>
      <c r="K353" s="21" t="s">
        <v>5464</v>
      </c>
      <c r="L353" s="19" t="s">
        <v>6442</v>
      </c>
      <c r="M353" s="16" t="s">
        <v>667</v>
      </c>
      <c r="N353" s="18" t="s">
        <v>5416</v>
      </c>
      <c r="O353" s="18"/>
      <c r="P353" s="18">
        <f>VLOOKUP($A353,MasterData!$C$1:$I$1995,1,FALSE)</f>
        <v>7565</v>
      </c>
      <c r="Q353" s="18" t="str">
        <f t="shared" si="2"/>
        <v>PURNA2025-KLR1</v>
      </c>
    </row>
    <row r="354" ht="15.75" hidden="1" customHeight="1">
      <c r="A354" s="15">
        <v>7593.0</v>
      </c>
      <c r="B354" s="22" t="s">
        <v>6458</v>
      </c>
      <c r="C354" s="16" t="s">
        <v>6459</v>
      </c>
      <c r="D354" s="18" t="s">
        <v>6460</v>
      </c>
      <c r="E354" s="18" t="s">
        <v>670</v>
      </c>
      <c r="F354" s="19" t="str">
        <f t="shared" si="1"/>
        <v>PURNA2025-KLR1</v>
      </c>
      <c r="G354" s="19" t="s">
        <v>5408</v>
      </c>
      <c r="H354" s="20" t="s">
        <v>14</v>
      </c>
      <c r="I354" s="19" t="s">
        <v>5409</v>
      </c>
      <c r="J354" s="19" t="s">
        <v>5410</v>
      </c>
      <c r="K354" s="21" t="s">
        <v>5464</v>
      </c>
      <c r="L354" s="19" t="s">
        <v>6442</v>
      </c>
      <c r="M354" s="16" t="s">
        <v>669</v>
      </c>
      <c r="N354" s="18" t="s">
        <v>5416</v>
      </c>
      <c r="O354" s="18"/>
      <c r="P354" s="18">
        <f>VLOOKUP($A354,MasterData!$C$1:$I$1995,1,FALSE)</f>
        <v>7593</v>
      </c>
      <c r="Q354" s="18" t="str">
        <f t="shared" si="2"/>
        <v>PURNA2025-KLR1</v>
      </c>
    </row>
    <row r="355" ht="15.75" hidden="1" customHeight="1">
      <c r="A355" s="15">
        <v>7653.0</v>
      </c>
      <c r="B355" s="22" t="s">
        <v>6461</v>
      </c>
      <c r="C355" s="16" t="s">
        <v>6462</v>
      </c>
      <c r="D355" s="18" t="s">
        <v>6463</v>
      </c>
      <c r="E355" s="18" t="s">
        <v>672</v>
      </c>
      <c r="F355" s="19" t="str">
        <f t="shared" si="1"/>
        <v>PURNA2025-KLR1</v>
      </c>
      <c r="G355" s="19" t="s">
        <v>5408</v>
      </c>
      <c r="H355" s="20" t="s">
        <v>14</v>
      </c>
      <c r="I355" s="19" t="s">
        <v>5409</v>
      </c>
      <c r="J355" s="19" t="s">
        <v>5410</v>
      </c>
      <c r="K355" s="21" t="s">
        <v>5464</v>
      </c>
      <c r="L355" s="19" t="s">
        <v>6442</v>
      </c>
      <c r="M355" s="16" t="s">
        <v>671</v>
      </c>
      <c r="N355" s="18" t="s">
        <v>5416</v>
      </c>
      <c r="O355" s="18"/>
      <c r="P355" s="18">
        <f>VLOOKUP($A355,MasterData!$C$1:$I$1995,1,FALSE)</f>
        <v>7653</v>
      </c>
      <c r="Q355" s="18" t="str">
        <f t="shared" si="2"/>
        <v>PURNA2025-KLR1</v>
      </c>
    </row>
    <row r="356" ht="15.75" hidden="1" customHeight="1">
      <c r="A356" s="15">
        <v>7668.0</v>
      </c>
      <c r="B356" s="22" t="s">
        <v>6464</v>
      </c>
      <c r="C356" s="16" t="s">
        <v>6465</v>
      </c>
      <c r="D356" s="18" t="s">
        <v>6466</v>
      </c>
      <c r="E356" s="18" t="s">
        <v>674</v>
      </c>
      <c r="F356" s="19" t="str">
        <f t="shared" si="1"/>
        <v>PURNA2025-KLR1</v>
      </c>
      <c r="G356" s="19" t="s">
        <v>5408</v>
      </c>
      <c r="H356" s="20" t="s">
        <v>14</v>
      </c>
      <c r="I356" s="19" t="s">
        <v>5409</v>
      </c>
      <c r="J356" s="19" t="s">
        <v>5410</v>
      </c>
      <c r="K356" s="21" t="s">
        <v>5464</v>
      </c>
      <c r="L356" s="19" t="s">
        <v>6442</v>
      </c>
      <c r="M356" s="16" t="s">
        <v>673</v>
      </c>
      <c r="N356" s="18" t="s">
        <v>5416</v>
      </c>
      <c r="O356" s="18"/>
      <c r="P356" s="18">
        <f>VLOOKUP($A356,MasterData!$C$1:$I$1995,1,FALSE)</f>
        <v>7668</v>
      </c>
      <c r="Q356" s="18" t="str">
        <f t="shared" si="2"/>
        <v>PURNA2025-KLR1</v>
      </c>
    </row>
    <row r="357" ht="15.75" hidden="1" customHeight="1">
      <c r="A357" s="15">
        <v>7671.0</v>
      </c>
      <c r="B357" s="22" t="s">
        <v>6467</v>
      </c>
      <c r="C357" s="16" t="s">
        <v>6468</v>
      </c>
      <c r="D357" s="18" t="s">
        <v>6469</v>
      </c>
      <c r="E357" s="18" t="s">
        <v>676</v>
      </c>
      <c r="F357" s="19" t="str">
        <f t="shared" si="1"/>
        <v>PURNA2025-KLR1</v>
      </c>
      <c r="G357" s="19" t="s">
        <v>5408</v>
      </c>
      <c r="H357" s="20" t="s">
        <v>14</v>
      </c>
      <c r="I357" s="19" t="s">
        <v>5409</v>
      </c>
      <c r="J357" s="19" t="s">
        <v>5410</v>
      </c>
      <c r="K357" s="21" t="s">
        <v>5464</v>
      </c>
      <c r="L357" s="19" t="s">
        <v>6442</v>
      </c>
      <c r="M357" s="16" t="s">
        <v>675</v>
      </c>
      <c r="N357" s="18" t="s">
        <v>5416</v>
      </c>
      <c r="O357" s="18"/>
      <c r="P357" s="18">
        <f>VLOOKUP($A357,MasterData!$C$1:$I$1995,1,FALSE)</f>
        <v>7671</v>
      </c>
      <c r="Q357" s="18" t="str">
        <f t="shared" si="2"/>
        <v>PURNA2025-KLR1</v>
      </c>
    </row>
    <row r="358" ht="15.75" hidden="1" customHeight="1">
      <c r="A358" s="15">
        <v>7684.0</v>
      </c>
      <c r="B358" s="22" t="s">
        <v>6470</v>
      </c>
      <c r="C358" s="16" t="s">
        <v>6471</v>
      </c>
      <c r="D358" s="18" t="s">
        <v>6472</v>
      </c>
      <c r="E358" s="18" t="s">
        <v>678</v>
      </c>
      <c r="F358" s="19" t="str">
        <f t="shared" si="1"/>
        <v>PURNA2025-KLR1</v>
      </c>
      <c r="G358" s="19" t="s">
        <v>5408</v>
      </c>
      <c r="H358" s="20" t="s">
        <v>14</v>
      </c>
      <c r="I358" s="19" t="s">
        <v>5409</v>
      </c>
      <c r="J358" s="19" t="s">
        <v>5410</v>
      </c>
      <c r="K358" s="21" t="s">
        <v>5464</v>
      </c>
      <c r="L358" s="19" t="s">
        <v>6442</v>
      </c>
      <c r="M358" s="16" t="s">
        <v>677</v>
      </c>
      <c r="N358" s="18" t="s">
        <v>5416</v>
      </c>
      <c r="O358" s="18"/>
      <c r="P358" s="18">
        <f>VLOOKUP($A358,MasterData!$C$1:$I$1995,1,FALSE)</f>
        <v>7684</v>
      </c>
      <c r="Q358" s="18" t="str">
        <f t="shared" si="2"/>
        <v>PURNA2025-KLR1</v>
      </c>
    </row>
    <row r="359" ht="15.75" hidden="1" customHeight="1">
      <c r="A359" s="15">
        <v>7687.0</v>
      </c>
      <c r="B359" s="22" t="s">
        <v>6473</v>
      </c>
      <c r="C359" s="16" t="s">
        <v>6474</v>
      </c>
      <c r="D359" s="18" t="s">
        <v>6475</v>
      </c>
      <c r="E359" s="18" t="s">
        <v>680</v>
      </c>
      <c r="F359" s="19" t="str">
        <f t="shared" si="1"/>
        <v>PURNA2025-KLR1</v>
      </c>
      <c r="G359" s="19" t="s">
        <v>5408</v>
      </c>
      <c r="H359" s="20" t="s">
        <v>14</v>
      </c>
      <c r="I359" s="19" t="s">
        <v>5409</v>
      </c>
      <c r="J359" s="19" t="s">
        <v>5410</v>
      </c>
      <c r="K359" s="21" t="s">
        <v>5464</v>
      </c>
      <c r="L359" s="19" t="s">
        <v>6442</v>
      </c>
      <c r="M359" s="16" t="s">
        <v>679</v>
      </c>
      <c r="N359" s="18" t="s">
        <v>5416</v>
      </c>
      <c r="O359" s="18"/>
      <c r="P359" s="18">
        <f>VLOOKUP($A359,MasterData!$C$1:$I$1995,1,FALSE)</f>
        <v>7687</v>
      </c>
      <c r="Q359" s="18" t="str">
        <f t="shared" si="2"/>
        <v>PURNA2025-KLR1</v>
      </c>
    </row>
    <row r="360" ht="15.75" hidden="1" customHeight="1">
      <c r="A360" s="15">
        <v>7801.0</v>
      </c>
      <c r="B360" s="22" t="s">
        <v>6476</v>
      </c>
      <c r="C360" s="16" t="s">
        <v>6477</v>
      </c>
      <c r="D360" s="18" t="s">
        <v>6478</v>
      </c>
      <c r="E360" s="18" t="s">
        <v>682</v>
      </c>
      <c r="F360" s="19" t="str">
        <f t="shared" si="1"/>
        <v>PURNA2025-KLR1</v>
      </c>
      <c r="G360" s="19" t="s">
        <v>5408</v>
      </c>
      <c r="H360" s="20" t="s">
        <v>14</v>
      </c>
      <c r="I360" s="19" t="s">
        <v>5409</v>
      </c>
      <c r="J360" s="19" t="s">
        <v>5410</v>
      </c>
      <c r="K360" s="21" t="s">
        <v>5464</v>
      </c>
      <c r="L360" s="19" t="s">
        <v>6442</v>
      </c>
      <c r="M360" s="16" t="s">
        <v>681</v>
      </c>
      <c r="N360" s="18" t="s">
        <v>5416</v>
      </c>
      <c r="O360" s="18"/>
      <c r="P360" s="18">
        <f>VLOOKUP($A360,MasterData!$C$1:$I$1995,1,FALSE)</f>
        <v>7801</v>
      </c>
      <c r="Q360" s="18" t="str">
        <f t="shared" si="2"/>
        <v>PURNA2025-KLR1</v>
      </c>
    </row>
    <row r="361" ht="15.75" hidden="1" customHeight="1">
      <c r="A361" s="15">
        <v>7831.0</v>
      </c>
      <c r="B361" s="22" t="s">
        <v>6479</v>
      </c>
      <c r="C361" s="16" t="s">
        <v>6480</v>
      </c>
      <c r="D361" s="18" t="s">
        <v>6481</v>
      </c>
      <c r="E361" s="18" t="s">
        <v>684</v>
      </c>
      <c r="F361" s="19" t="str">
        <f t="shared" si="1"/>
        <v>PURNA2025-KLR1</v>
      </c>
      <c r="G361" s="19" t="s">
        <v>5408</v>
      </c>
      <c r="H361" s="20" t="s">
        <v>14</v>
      </c>
      <c r="I361" s="19" t="s">
        <v>5409</v>
      </c>
      <c r="J361" s="19" t="s">
        <v>5410</v>
      </c>
      <c r="K361" s="21" t="s">
        <v>5464</v>
      </c>
      <c r="L361" s="19" t="s">
        <v>6442</v>
      </c>
      <c r="M361" s="16" t="s">
        <v>683</v>
      </c>
      <c r="N361" s="18" t="s">
        <v>5416</v>
      </c>
      <c r="O361" s="18"/>
      <c r="P361" s="18">
        <f>VLOOKUP($A361,MasterData!$C$1:$I$1995,1,FALSE)</f>
        <v>7831</v>
      </c>
      <c r="Q361" s="18" t="str">
        <f t="shared" si="2"/>
        <v>PURNA2025-KLR1</v>
      </c>
    </row>
    <row r="362" ht="15.75" hidden="1" customHeight="1">
      <c r="A362" s="15">
        <v>7832.0</v>
      </c>
      <c r="B362" s="22" t="s">
        <v>6482</v>
      </c>
      <c r="C362" s="16" t="s">
        <v>6483</v>
      </c>
      <c r="D362" s="18" t="s">
        <v>6484</v>
      </c>
      <c r="E362" s="18" t="s">
        <v>686</v>
      </c>
      <c r="F362" s="19" t="str">
        <f t="shared" si="1"/>
        <v>PURNA2025-KLR1</v>
      </c>
      <c r="G362" s="19" t="s">
        <v>5408</v>
      </c>
      <c r="H362" s="20" t="s">
        <v>14</v>
      </c>
      <c r="I362" s="19" t="s">
        <v>5409</v>
      </c>
      <c r="J362" s="19" t="s">
        <v>5410</v>
      </c>
      <c r="K362" s="21" t="s">
        <v>5464</v>
      </c>
      <c r="L362" s="19" t="s">
        <v>6442</v>
      </c>
      <c r="M362" s="16" t="s">
        <v>685</v>
      </c>
      <c r="N362" s="18" t="s">
        <v>5416</v>
      </c>
      <c r="O362" s="18"/>
      <c r="P362" s="18">
        <f>VLOOKUP($A362,MasterData!$C$1:$I$1995,1,FALSE)</f>
        <v>7832</v>
      </c>
      <c r="Q362" s="18" t="str">
        <f t="shared" si="2"/>
        <v>PURNA2025-KLR1</v>
      </c>
    </row>
    <row r="363" ht="15.75" hidden="1" customHeight="1">
      <c r="A363" s="15">
        <v>7834.0</v>
      </c>
      <c r="B363" s="22" t="s">
        <v>6485</v>
      </c>
      <c r="C363" s="16" t="s">
        <v>6486</v>
      </c>
      <c r="D363" s="18" t="s">
        <v>6487</v>
      </c>
      <c r="E363" s="18" t="s">
        <v>688</v>
      </c>
      <c r="F363" s="19" t="str">
        <f t="shared" si="1"/>
        <v>PURNA2025-KLR1</v>
      </c>
      <c r="G363" s="19" t="s">
        <v>5408</v>
      </c>
      <c r="H363" s="20" t="s">
        <v>14</v>
      </c>
      <c r="I363" s="19" t="s">
        <v>5409</v>
      </c>
      <c r="J363" s="19" t="s">
        <v>5410</v>
      </c>
      <c r="K363" s="21" t="s">
        <v>5464</v>
      </c>
      <c r="L363" s="19" t="s">
        <v>6442</v>
      </c>
      <c r="M363" s="16" t="s">
        <v>687</v>
      </c>
      <c r="N363" s="18" t="s">
        <v>5416</v>
      </c>
      <c r="O363" s="18"/>
      <c r="P363" s="18">
        <f>VLOOKUP($A363,MasterData!$C$1:$I$1995,1,FALSE)</f>
        <v>7834</v>
      </c>
      <c r="Q363" s="18" t="str">
        <f t="shared" si="2"/>
        <v>PURNA2025-KLR1</v>
      </c>
    </row>
    <row r="364" ht="15.75" hidden="1" customHeight="1">
      <c r="A364" s="15">
        <v>7850.0</v>
      </c>
      <c r="B364" s="22" t="s">
        <v>6488</v>
      </c>
      <c r="C364" s="16" t="s">
        <v>6489</v>
      </c>
      <c r="D364" s="18" t="s">
        <v>6490</v>
      </c>
      <c r="E364" s="18" t="s">
        <v>690</v>
      </c>
      <c r="F364" s="19" t="str">
        <f t="shared" si="1"/>
        <v>PURNA2025-KLR1</v>
      </c>
      <c r="G364" s="19" t="s">
        <v>5408</v>
      </c>
      <c r="H364" s="20" t="s">
        <v>14</v>
      </c>
      <c r="I364" s="19" t="s">
        <v>5409</v>
      </c>
      <c r="J364" s="19" t="s">
        <v>5410</v>
      </c>
      <c r="K364" s="21" t="s">
        <v>5464</v>
      </c>
      <c r="L364" s="19" t="s">
        <v>6442</v>
      </c>
      <c r="M364" s="16" t="s">
        <v>689</v>
      </c>
      <c r="N364" s="18" t="s">
        <v>5416</v>
      </c>
      <c r="O364" s="18"/>
      <c r="P364" s="18">
        <f>VLOOKUP($A364,MasterData!$C$1:$I$1995,1,FALSE)</f>
        <v>7850</v>
      </c>
      <c r="Q364" s="18" t="str">
        <f t="shared" si="2"/>
        <v>PURNA2025-KLR1</v>
      </c>
    </row>
    <row r="365" ht="15.75" hidden="1" customHeight="1">
      <c r="A365" s="15">
        <v>7853.0</v>
      </c>
      <c r="B365" s="22" t="s">
        <v>6491</v>
      </c>
      <c r="C365" s="16" t="s">
        <v>6492</v>
      </c>
      <c r="D365" s="18" t="s">
        <v>6493</v>
      </c>
      <c r="E365" s="18" t="s">
        <v>692</v>
      </c>
      <c r="F365" s="19" t="str">
        <f t="shared" si="1"/>
        <v>PURNA2025-KLR1</v>
      </c>
      <c r="G365" s="19" t="s">
        <v>5408</v>
      </c>
      <c r="H365" s="20" t="s">
        <v>14</v>
      </c>
      <c r="I365" s="19" t="s">
        <v>5409</v>
      </c>
      <c r="J365" s="19" t="s">
        <v>5410</v>
      </c>
      <c r="K365" s="21" t="s">
        <v>5464</v>
      </c>
      <c r="L365" s="19" t="s">
        <v>6442</v>
      </c>
      <c r="M365" s="16" t="s">
        <v>691</v>
      </c>
      <c r="N365" s="18" t="s">
        <v>5416</v>
      </c>
      <c r="O365" s="18"/>
      <c r="P365" s="18">
        <f>VLOOKUP($A365,MasterData!$C$1:$I$1995,1,FALSE)</f>
        <v>7853</v>
      </c>
      <c r="Q365" s="18" t="str">
        <f t="shared" si="2"/>
        <v>PURNA2025-KLR1</v>
      </c>
    </row>
    <row r="366" ht="15.75" hidden="1" customHeight="1">
      <c r="A366" s="15">
        <v>7857.0</v>
      </c>
      <c r="B366" s="22" t="s">
        <v>6494</v>
      </c>
      <c r="C366" s="16" t="s">
        <v>6495</v>
      </c>
      <c r="D366" s="18" t="s">
        <v>6496</v>
      </c>
      <c r="E366" s="18" t="s">
        <v>694</v>
      </c>
      <c r="F366" s="19" t="str">
        <f t="shared" si="1"/>
        <v>PURNA2025-KLR1</v>
      </c>
      <c r="G366" s="19" t="s">
        <v>5408</v>
      </c>
      <c r="H366" s="20" t="s">
        <v>14</v>
      </c>
      <c r="I366" s="19" t="s">
        <v>5409</v>
      </c>
      <c r="J366" s="19" t="s">
        <v>5410</v>
      </c>
      <c r="K366" s="21" t="s">
        <v>5464</v>
      </c>
      <c r="L366" s="19" t="s">
        <v>6442</v>
      </c>
      <c r="M366" s="16" t="s">
        <v>693</v>
      </c>
      <c r="N366" s="18" t="s">
        <v>5416</v>
      </c>
      <c r="O366" s="18"/>
      <c r="P366" s="18">
        <f>VLOOKUP($A366,MasterData!$C$1:$I$1995,1,FALSE)</f>
        <v>7857</v>
      </c>
      <c r="Q366" s="18" t="str">
        <f t="shared" si="2"/>
        <v>PURNA2025-KLR1</v>
      </c>
    </row>
    <row r="367" ht="15.75" hidden="1" customHeight="1">
      <c r="A367" s="15">
        <v>7862.0</v>
      </c>
      <c r="B367" s="22" t="s">
        <v>6497</v>
      </c>
      <c r="C367" s="16" t="s">
        <v>6498</v>
      </c>
      <c r="D367" s="18" t="s">
        <v>6499</v>
      </c>
      <c r="E367" s="18" t="s">
        <v>696</v>
      </c>
      <c r="F367" s="19" t="str">
        <f t="shared" si="1"/>
        <v>PURNA2025-KLR1</v>
      </c>
      <c r="G367" s="19" t="s">
        <v>5408</v>
      </c>
      <c r="H367" s="20" t="s">
        <v>14</v>
      </c>
      <c r="I367" s="19" t="s">
        <v>5409</v>
      </c>
      <c r="J367" s="19" t="s">
        <v>5410</v>
      </c>
      <c r="K367" s="21" t="s">
        <v>5464</v>
      </c>
      <c r="L367" s="19" t="s">
        <v>6442</v>
      </c>
      <c r="M367" s="16" t="s">
        <v>695</v>
      </c>
      <c r="N367" s="18" t="s">
        <v>5416</v>
      </c>
      <c r="O367" s="18"/>
      <c r="P367" s="18">
        <f>VLOOKUP($A367,MasterData!$C$1:$I$1995,1,FALSE)</f>
        <v>7862</v>
      </c>
      <c r="Q367" s="18" t="str">
        <f t="shared" si="2"/>
        <v>PURNA2025-KLR1</v>
      </c>
    </row>
    <row r="368" ht="15.75" hidden="1" customHeight="1">
      <c r="A368" s="15">
        <v>7911.0</v>
      </c>
      <c r="B368" s="22" t="s">
        <v>6500</v>
      </c>
      <c r="C368" s="16" t="s">
        <v>6501</v>
      </c>
      <c r="D368" s="18" t="s">
        <v>6502</v>
      </c>
      <c r="E368" s="18" t="s">
        <v>698</v>
      </c>
      <c r="F368" s="19" t="str">
        <f t="shared" si="1"/>
        <v>PURNA2025-KLR1</v>
      </c>
      <c r="G368" s="19" t="s">
        <v>5408</v>
      </c>
      <c r="H368" s="20" t="s">
        <v>14</v>
      </c>
      <c r="I368" s="19" t="s">
        <v>5409</v>
      </c>
      <c r="J368" s="19" t="s">
        <v>5410</v>
      </c>
      <c r="K368" s="21" t="s">
        <v>5464</v>
      </c>
      <c r="L368" s="19" t="s">
        <v>6442</v>
      </c>
      <c r="M368" s="16" t="s">
        <v>697</v>
      </c>
      <c r="N368" s="18" t="s">
        <v>5416</v>
      </c>
      <c r="O368" s="18"/>
      <c r="P368" s="18">
        <f>VLOOKUP($A368,MasterData!$C$1:$I$1995,1,FALSE)</f>
        <v>7911</v>
      </c>
      <c r="Q368" s="18" t="str">
        <f t="shared" si="2"/>
        <v>PURNA2025-KLR1</v>
      </c>
    </row>
    <row r="369" ht="15.75" hidden="1" customHeight="1">
      <c r="A369" s="15">
        <v>7938.0</v>
      </c>
      <c r="B369" s="22" t="s">
        <v>6503</v>
      </c>
      <c r="C369" s="16" t="s">
        <v>6504</v>
      </c>
      <c r="D369" s="18" t="s">
        <v>6505</v>
      </c>
      <c r="E369" s="18" t="s">
        <v>700</v>
      </c>
      <c r="F369" s="19" t="str">
        <f t="shared" si="1"/>
        <v>PURNA2025-KLR1</v>
      </c>
      <c r="G369" s="19" t="s">
        <v>5408</v>
      </c>
      <c r="H369" s="20" t="s">
        <v>14</v>
      </c>
      <c r="I369" s="19" t="s">
        <v>5409</v>
      </c>
      <c r="J369" s="19" t="s">
        <v>5410</v>
      </c>
      <c r="K369" s="21" t="s">
        <v>5464</v>
      </c>
      <c r="L369" s="19" t="s">
        <v>6442</v>
      </c>
      <c r="M369" s="16" t="s">
        <v>699</v>
      </c>
      <c r="N369" s="18" t="s">
        <v>5416</v>
      </c>
      <c r="O369" s="18"/>
      <c r="P369" s="18">
        <f>VLOOKUP($A369,MasterData!$C$1:$I$1995,1,FALSE)</f>
        <v>7938</v>
      </c>
      <c r="Q369" s="18" t="str">
        <f t="shared" si="2"/>
        <v>PURNA2025-KLR1</v>
      </c>
    </row>
    <row r="370" ht="15.75" hidden="1" customHeight="1">
      <c r="A370" s="15">
        <v>7943.0</v>
      </c>
      <c r="B370" s="22" t="s">
        <v>6506</v>
      </c>
      <c r="C370" s="16" t="s">
        <v>6507</v>
      </c>
      <c r="D370" s="18" t="s">
        <v>6508</v>
      </c>
      <c r="E370" s="18" t="s">
        <v>702</v>
      </c>
      <c r="F370" s="19" t="str">
        <f t="shared" si="1"/>
        <v>PURNA2025-KLR1</v>
      </c>
      <c r="G370" s="19" t="s">
        <v>5408</v>
      </c>
      <c r="H370" s="20" t="s">
        <v>14</v>
      </c>
      <c r="I370" s="19" t="s">
        <v>5409</v>
      </c>
      <c r="J370" s="19" t="s">
        <v>5410</v>
      </c>
      <c r="K370" s="21" t="s">
        <v>5464</v>
      </c>
      <c r="L370" s="19" t="s">
        <v>6442</v>
      </c>
      <c r="M370" s="16" t="s">
        <v>701</v>
      </c>
      <c r="N370" s="18" t="s">
        <v>5416</v>
      </c>
      <c r="O370" s="18"/>
      <c r="P370" s="18">
        <f>VLOOKUP($A370,MasterData!$C$1:$I$1995,1,FALSE)</f>
        <v>7943</v>
      </c>
      <c r="Q370" s="18" t="str">
        <f t="shared" si="2"/>
        <v>PURNA2025-KLR1</v>
      </c>
    </row>
    <row r="371" ht="15.75" hidden="1" customHeight="1">
      <c r="A371" s="15">
        <v>7948.0</v>
      </c>
      <c r="B371" s="22" t="s">
        <v>6509</v>
      </c>
      <c r="C371" s="16" t="s">
        <v>6510</v>
      </c>
      <c r="D371" s="18" t="s">
        <v>6511</v>
      </c>
      <c r="E371" s="18" t="s">
        <v>704</v>
      </c>
      <c r="F371" s="19" t="str">
        <f t="shared" si="1"/>
        <v>PURNA2025-KLR1</v>
      </c>
      <c r="G371" s="19" t="s">
        <v>5408</v>
      </c>
      <c r="H371" s="20" t="s">
        <v>14</v>
      </c>
      <c r="I371" s="19" t="s">
        <v>5409</v>
      </c>
      <c r="J371" s="19" t="s">
        <v>5410</v>
      </c>
      <c r="K371" s="21" t="s">
        <v>5464</v>
      </c>
      <c r="L371" s="19" t="s">
        <v>6442</v>
      </c>
      <c r="M371" s="16" t="s">
        <v>703</v>
      </c>
      <c r="N371" s="18" t="s">
        <v>5416</v>
      </c>
      <c r="O371" s="18"/>
      <c r="P371" s="18">
        <f>VLOOKUP($A371,MasterData!$C$1:$I$1995,1,FALSE)</f>
        <v>7948</v>
      </c>
      <c r="Q371" s="18" t="str">
        <f t="shared" si="2"/>
        <v>PURNA2025-KLR1</v>
      </c>
    </row>
    <row r="372" ht="15.75" hidden="1" customHeight="1">
      <c r="A372" s="15">
        <v>7949.0</v>
      </c>
      <c r="B372" s="22" t="s">
        <v>6512</v>
      </c>
      <c r="C372" s="16" t="s">
        <v>6513</v>
      </c>
      <c r="D372" s="18" t="s">
        <v>6514</v>
      </c>
      <c r="E372" s="18" t="s">
        <v>706</v>
      </c>
      <c r="F372" s="19" t="str">
        <f t="shared" si="1"/>
        <v>PURNA2025-KLR1</v>
      </c>
      <c r="G372" s="19" t="s">
        <v>5408</v>
      </c>
      <c r="H372" s="20" t="s">
        <v>14</v>
      </c>
      <c r="I372" s="19" t="s">
        <v>5409</v>
      </c>
      <c r="J372" s="19" t="s">
        <v>5410</v>
      </c>
      <c r="K372" s="21" t="s">
        <v>5464</v>
      </c>
      <c r="L372" s="19" t="s">
        <v>6442</v>
      </c>
      <c r="M372" s="16" t="s">
        <v>705</v>
      </c>
      <c r="N372" s="18" t="s">
        <v>5416</v>
      </c>
      <c r="O372" s="18"/>
      <c r="P372" s="18">
        <f>VLOOKUP($A372,MasterData!$C$1:$I$1995,1,FALSE)</f>
        <v>7949</v>
      </c>
      <c r="Q372" s="18" t="str">
        <f t="shared" si="2"/>
        <v>PURNA2025-KLR1</v>
      </c>
    </row>
    <row r="373" ht="15.75" hidden="1" customHeight="1">
      <c r="A373" s="15">
        <v>7980.0</v>
      </c>
      <c r="B373" s="22" t="s">
        <v>6515</v>
      </c>
      <c r="C373" s="16" t="s">
        <v>6516</v>
      </c>
      <c r="D373" s="18" t="s">
        <v>6517</v>
      </c>
      <c r="E373" s="18" t="s">
        <v>708</v>
      </c>
      <c r="F373" s="19" t="str">
        <f t="shared" si="1"/>
        <v>PURNA2025-KLR1</v>
      </c>
      <c r="G373" s="19" t="s">
        <v>5408</v>
      </c>
      <c r="H373" s="20" t="s">
        <v>14</v>
      </c>
      <c r="I373" s="19" t="s">
        <v>5409</v>
      </c>
      <c r="J373" s="19" t="s">
        <v>5410</v>
      </c>
      <c r="K373" s="21" t="s">
        <v>5464</v>
      </c>
      <c r="L373" s="19" t="s">
        <v>6442</v>
      </c>
      <c r="M373" s="16" t="s">
        <v>707</v>
      </c>
      <c r="N373" s="18" t="s">
        <v>5416</v>
      </c>
      <c r="O373" s="18"/>
      <c r="P373" s="18">
        <f>VLOOKUP($A373,MasterData!$C$1:$I$1995,1,FALSE)</f>
        <v>7980</v>
      </c>
      <c r="Q373" s="18" t="str">
        <f t="shared" si="2"/>
        <v>PURNA2025-KLR1</v>
      </c>
    </row>
    <row r="374" ht="15.75" hidden="1" customHeight="1">
      <c r="A374" s="15">
        <v>7982.0</v>
      </c>
      <c r="B374" s="22" t="s">
        <v>6518</v>
      </c>
      <c r="C374" s="16" t="s">
        <v>6519</v>
      </c>
      <c r="D374" s="18" t="s">
        <v>6520</v>
      </c>
      <c r="E374" s="18" t="s">
        <v>710</v>
      </c>
      <c r="F374" s="19" t="str">
        <f t="shared" si="1"/>
        <v>PURNA2025-KLR1</v>
      </c>
      <c r="G374" s="19" t="s">
        <v>5408</v>
      </c>
      <c r="H374" s="20" t="s">
        <v>14</v>
      </c>
      <c r="I374" s="19" t="s">
        <v>5409</v>
      </c>
      <c r="J374" s="19" t="s">
        <v>5410</v>
      </c>
      <c r="K374" s="21" t="s">
        <v>5464</v>
      </c>
      <c r="L374" s="19" t="s">
        <v>6442</v>
      </c>
      <c r="M374" s="16" t="s">
        <v>709</v>
      </c>
      <c r="N374" s="18" t="s">
        <v>5416</v>
      </c>
      <c r="O374" s="18"/>
      <c r="P374" s="18">
        <f>VLOOKUP($A374,MasterData!$C$1:$I$1995,1,FALSE)</f>
        <v>7982</v>
      </c>
      <c r="Q374" s="18" t="str">
        <f t="shared" si="2"/>
        <v>PURNA2025-KLR1</v>
      </c>
    </row>
    <row r="375" ht="15.75" hidden="1" customHeight="1">
      <c r="A375" s="15">
        <v>8002.0</v>
      </c>
      <c r="B375" s="22" t="s">
        <v>6521</v>
      </c>
      <c r="C375" s="16" t="s">
        <v>6522</v>
      </c>
      <c r="D375" s="18" t="s">
        <v>6523</v>
      </c>
      <c r="E375" s="18" t="s">
        <v>712</v>
      </c>
      <c r="F375" s="19" t="str">
        <f t="shared" si="1"/>
        <v>PURNA2025-KLR1</v>
      </c>
      <c r="G375" s="19" t="s">
        <v>5408</v>
      </c>
      <c r="H375" s="20" t="s">
        <v>14</v>
      </c>
      <c r="I375" s="19" t="s">
        <v>5409</v>
      </c>
      <c r="J375" s="19" t="s">
        <v>5410</v>
      </c>
      <c r="K375" s="21" t="s">
        <v>5464</v>
      </c>
      <c r="L375" s="19" t="s">
        <v>6442</v>
      </c>
      <c r="M375" s="16" t="s">
        <v>711</v>
      </c>
      <c r="N375" s="18" t="s">
        <v>5416</v>
      </c>
      <c r="O375" s="18"/>
      <c r="P375" s="18">
        <f>VLOOKUP($A375,MasterData!$C$1:$I$1995,1,FALSE)</f>
        <v>8002</v>
      </c>
      <c r="Q375" s="18" t="str">
        <f t="shared" si="2"/>
        <v>PURNA2025-KLR1</v>
      </c>
    </row>
    <row r="376" ht="15.75" hidden="1" customHeight="1">
      <c r="A376" s="15">
        <v>8005.0</v>
      </c>
      <c r="B376" s="22" t="s">
        <v>6524</v>
      </c>
      <c r="C376" s="16" t="s">
        <v>6525</v>
      </c>
      <c r="D376" s="18" t="s">
        <v>6526</v>
      </c>
      <c r="E376" s="18" t="s">
        <v>714</v>
      </c>
      <c r="F376" s="19" t="str">
        <f t="shared" si="1"/>
        <v>PURNA2025-KLR1</v>
      </c>
      <c r="G376" s="19" t="s">
        <v>5408</v>
      </c>
      <c r="H376" s="20" t="s">
        <v>14</v>
      </c>
      <c r="I376" s="19" t="s">
        <v>5409</v>
      </c>
      <c r="J376" s="19" t="s">
        <v>5410</v>
      </c>
      <c r="K376" s="21" t="s">
        <v>5464</v>
      </c>
      <c r="L376" s="19" t="s">
        <v>6442</v>
      </c>
      <c r="M376" s="16" t="s">
        <v>713</v>
      </c>
      <c r="N376" s="18" t="s">
        <v>5416</v>
      </c>
      <c r="O376" s="18"/>
      <c r="P376" s="18">
        <f>VLOOKUP($A376,MasterData!$C$1:$I$1995,1,FALSE)</f>
        <v>8005</v>
      </c>
      <c r="Q376" s="18" t="str">
        <f t="shared" si="2"/>
        <v>PURNA2025-KLR1</v>
      </c>
    </row>
    <row r="377" ht="15.75" hidden="1" customHeight="1">
      <c r="A377" s="15">
        <v>8013.0</v>
      </c>
      <c r="B377" s="22" t="s">
        <v>6527</v>
      </c>
      <c r="C377" s="16" t="s">
        <v>6528</v>
      </c>
      <c r="D377" s="18" t="s">
        <v>6529</v>
      </c>
      <c r="E377" s="18" t="s">
        <v>716</v>
      </c>
      <c r="F377" s="19" t="str">
        <f t="shared" si="1"/>
        <v>PURNA2025-KLR1</v>
      </c>
      <c r="G377" s="19" t="s">
        <v>5408</v>
      </c>
      <c r="H377" s="20" t="s">
        <v>14</v>
      </c>
      <c r="I377" s="19" t="s">
        <v>5409</v>
      </c>
      <c r="J377" s="19" t="s">
        <v>5410</v>
      </c>
      <c r="K377" s="21" t="s">
        <v>5464</v>
      </c>
      <c r="L377" s="19" t="s">
        <v>6442</v>
      </c>
      <c r="M377" s="16" t="s">
        <v>715</v>
      </c>
      <c r="N377" s="18" t="s">
        <v>5416</v>
      </c>
      <c r="O377" s="18"/>
      <c r="P377" s="18">
        <f>VLOOKUP($A377,MasterData!$C$1:$I$1995,1,FALSE)</f>
        <v>8013</v>
      </c>
      <c r="Q377" s="18" t="str">
        <f t="shared" si="2"/>
        <v>PURNA2025-KLR1</v>
      </c>
    </row>
    <row r="378" ht="15.75" hidden="1" customHeight="1">
      <c r="A378" s="15">
        <v>8015.0</v>
      </c>
      <c r="B378" s="22" t="s">
        <v>6530</v>
      </c>
      <c r="C378" s="16" t="s">
        <v>6531</v>
      </c>
      <c r="D378" s="18" t="s">
        <v>6532</v>
      </c>
      <c r="E378" s="18" t="s">
        <v>718</v>
      </c>
      <c r="F378" s="19" t="str">
        <f t="shared" si="1"/>
        <v>PURNA2025-KLR1</v>
      </c>
      <c r="G378" s="19" t="s">
        <v>5408</v>
      </c>
      <c r="H378" s="20" t="s">
        <v>14</v>
      </c>
      <c r="I378" s="19" t="s">
        <v>5409</v>
      </c>
      <c r="J378" s="19" t="s">
        <v>5410</v>
      </c>
      <c r="K378" s="21" t="s">
        <v>5464</v>
      </c>
      <c r="L378" s="19" t="s">
        <v>6442</v>
      </c>
      <c r="M378" s="16" t="s">
        <v>717</v>
      </c>
      <c r="N378" s="18" t="s">
        <v>5416</v>
      </c>
      <c r="O378" s="18"/>
      <c r="P378" s="18">
        <f>VLOOKUP($A378,MasterData!$C$1:$I$1995,1,FALSE)</f>
        <v>8015</v>
      </c>
      <c r="Q378" s="18" t="str">
        <f t="shared" si="2"/>
        <v>PURNA2025-KLR1</v>
      </c>
    </row>
    <row r="379" ht="15.75" hidden="1" customHeight="1">
      <c r="A379" s="15">
        <v>7414.0</v>
      </c>
      <c r="B379" s="22" t="s">
        <v>6533</v>
      </c>
      <c r="C379" s="16" t="s">
        <v>6534</v>
      </c>
      <c r="D379" s="18" t="s">
        <v>6535</v>
      </c>
      <c r="E379" s="18" t="s">
        <v>724</v>
      </c>
      <c r="F379" s="19" t="str">
        <f t="shared" si="1"/>
        <v>PURNA2025-OTO1</v>
      </c>
      <c r="G379" s="19" t="s">
        <v>5408</v>
      </c>
      <c r="H379" s="20" t="s">
        <v>14</v>
      </c>
      <c r="I379" s="19" t="s">
        <v>5409</v>
      </c>
      <c r="J379" s="19" t="s">
        <v>5410</v>
      </c>
      <c r="K379" s="21" t="s">
        <v>5464</v>
      </c>
      <c r="L379" s="19" t="s">
        <v>6536</v>
      </c>
      <c r="M379" s="16" t="s">
        <v>723</v>
      </c>
      <c r="N379" s="18" t="s">
        <v>5416</v>
      </c>
      <c r="O379" s="18"/>
      <c r="P379" s="18">
        <f>VLOOKUP($A379,MasterData!$C$1:$I$1995,1,FALSE)</f>
        <v>7414</v>
      </c>
      <c r="Q379" s="18" t="str">
        <f t="shared" si="2"/>
        <v>PURNA2025-OTO1</v>
      </c>
    </row>
    <row r="380" ht="15.75" hidden="1" customHeight="1">
      <c r="A380" s="15">
        <v>7421.0</v>
      </c>
      <c r="B380" s="22" t="s">
        <v>6537</v>
      </c>
      <c r="C380" s="16" t="s">
        <v>6538</v>
      </c>
      <c r="D380" s="18" t="s">
        <v>6539</v>
      </c>
      <c r="E380" s="18" t="s">
        <v>726</v>
      </c>
      <c r="F380" s="19" t="str">
        <f t="shared" si="1"/>
        <v>PURNA2025-OTO1</v>
      </c>
      <c r="G380" s="19" t="s">
        <v>5408</v>
      </c>
      <c r="H380" s="20" t="s">
        <v>14</v>
      </c>
      <c r="I380" s="19" t="s">
        <v>5409</v>
      </c>
      <c r="J380" s="19" t="s">
        <v>5410</v>
      </c>
      <c r="K380" s="21" t="s">
        <v>5464</v>
      </c>
      <c r="L380" s="19" t="s">
        <v>6536</v>
      </c>
      <c r="M380" s="16" t="s">
        <v>725</v>
      </c>
      <c r="N380" s="18" t="s">
        <v>5416</v>
      </c>
      <c r="O380" s="18"/>
      <c r="P380" s="18">
        <f>VLOOKUP($A380,MasterData!$C$1:$I$1995,1,FALSE)</f>
        <v>7421</v>
      </c>
      <c r="Q380" s="18" t="str">
        <f t="shared" si="2"/>
        <v>PURNA2025-OTO1</v>
      </c>
    </row>
    <row r="381" ht="15.75" hidden="1" customHeight="1">
      <c r="A381" s="15">
        <v>7427.0</v>
      </c>
      <c r="B381" s="22" t="s">
        <v>6540</v>
      </c>
      <c r="C381" s="16" t="s">
        <v>6541</v>
      </c>
      <c r="D381" s="18" t="s">
        <v>6542</v>
      </c>
      <c r="E381" s="18" t="s">
        <v>728</v>
      </c>
      <c r="F381" s="19" t="str">
        <f t="shared" si="1"/>
        <v>PURNA2025-OTO1</v>
      </c>
      <c r="G381" s="19" t="s">
        <v>5408</v>
      </c>
      <c r="H381" s="20" t="s">
        <v>14</v>
      </c>
      <c r="I381" s="19" t="s">
        <v>5409</v>
      </c>
      <c r="J381" s="19" t="s">
        <v>5410</v>
      </c>
      <c r="K381" s="21" t="s">
        <v>5464</v>
      </c>
      <c r="L381" s="19" t="s">
        <v>6536</v>
      </c>
      <c r="M381" s="16" t="s">
        <v>727</v>
      </c>
      <c r="N381" s="18" t="s">
        <v>5416</v>
      </c>
      <c r="O381" s="18"/>
      <c r="P381" s="18">
        <f>VLOOKUP($A381,MasterData!$C$1:$I$1995,1,FALSE)</f>
        <v>7427</v>
      </c>
      <c r="Q381" s="18" t="str">
        <f t="shared" si="2"/>
        <v>PURNA2025-OTO1</v>
      </c>
    </row>
    <row r="382" ht="15.75" hidden="1" customHeight="1">
      <c r="A382" s="15">
        <v>7437.0</v>
      </c>
      <c r="B382" s="22" t="s">
        <v>6543</v>
      </c>
      <c r="C382" s="16" t="s">
        <v>6544</v>
      </c>
      <c r="D382" s="18" t="s">
        <v>6545</v>
      </c>
      <c r="E382" s="18" t="s">
        <v>730</v>
      </c>
      <c r="F382" s="19" t="str">
        <f t="shared" si="1"/>
        <v>PURNA2025-OTO1</v>
      </c>
      <c r="G382" s="19" t="s">
        <v>5408</v>
      </c>
      <c r="H382" s="20" t="s">
        <v>14</v>
      </c>
      <c r="I382" s="19" t="s">
        <v>5409</v>
      </c>
      <c r="J382" s="19" t="s">
        <v>5410</v>
      </c>
      <c r="K382" s="21" t="s">
        <v>5464</v>
      </c>
      <c r="L382" s="19" t="s">
        <v>6536</v>
      </c>
      <c r="M382" s="16" t="s">
        <v>729</v>
      </c>
      <c r="N382" s="18" t="s">
        <v>5416</v>
      </c>
      <c r="O382" s="18"/>
      <c r="P382" s="18">
        <f>VLOOKUP($A382,MasterData!$C$1:$I$1995,1,FALSE)</f>
        <v>7437</v>
      </c>
      <c r="Q382" s="18" t="str">
        <f t="shared" si="2"/>
        <v>PURNA2025-OTO1</v>
      </c>
    </row>
    <row r="383" ht="15.75" hidden="1" customHeight="1">
      <c r="A383" s="15">
        <v>7464.0</v>
      </c>
      <c r="B383" s="22" t="s">
        <v>6546</v>
      </c>
      <c r="C383" s="16" t="s">
        <v>6547</v>
      </c>
      <c r="D383" s="18" t="s">
        <v>6548</v>
      </c>
      <c r="E383" s="18" t="s">
        <v>732</v>
      </c>
      <c r="F383" s="19" t="str">
        <f t="shared" si="1"/>
        <v>PURNA2025-OTO1</v>
      </c>
      <c r="G383" s="19" t="s">
        <v>5408</v>
      </c>
      <c r="H383" s="20" t="s">
        <v>14</v>
      </c>
      <c r="I383" s="19" t="s">
        <v>5409</v>
      </c>
      <c r="J383" s="19" t="s">
        <v>5410</v>
      </c>
      <c r="K383" s="21" t="s">
        <v>5464</v>
      </c>
      <c r="L383" s="19" t="s">
        <v>6536</v>
      </c>
      <c r="M383" s="16" t="s">
        <v>731</v>
      </c>
      <c r="N383" s="18" t="s">
        <v>5416</v>
      </c>
      <c r="O383" s="18"/>
      <c r="P383" s="18">
        <f>VLOOKUP($A383,MasterData!$C$1:$I$1995,1,FALSE)</f>
        <v>7464</v>
      </c>
      <c r="Q383" s="18" t="str">
        <f t="shared" si="2"/>
        <v>PURNA2025-OTO1</v>
      </c>
    </row>
    <row r="384" ht="15.75" hidden="1" customHeight="1">
      <c r="A384" s="15">
        <v>7475.0</v>
      </c>
      <c r="B384" s="22" t="s">
        <v>6549</v>
      </c>
      <c r="C384" s="16" t="s">
        <v>6550</v>
      </c>
      <c r="D384" s="18" t="s">
        <v>6551</v>
      </c>
      <c r="E384" s="18" t="s">
        <v>734</v>
      </c>
      <c r="F384" s="19" t="str">
        <f t="shared" si="1"/>
        <v>PURNA2025-OTO1</v>
      </c>
      <c r="G384" s="19" t="s">
        <v>5408</v>
      </c>
      <c r="H384" s="20" t="s">
        <v>14</v>
      </c>
      <c r="I384" s="19" t="s">
        <v>5409</v>
      </c>
      <c r="J384" s="19" t="s">
        <v>5410</v>
      </c>
      <c r="K384" s="21" t="s">
        <v>5464</v>
      </c>
      <c r="L384" s="19" t="s">
        <v>6536</v>
      </c>
      <c r="M384" s="16" t="s">
        <v>733</v>
      </c>
      <c r="N384" s="18" t="s">
        <v>5416</v>
      </c>
      <c r="O384" s="18"/>
      <c r="P384" s="18">
        <f>VLOOKUP($A384,MasterData!$C$1:$I$1995,1,FALSE)</f>
        <v>7475</v>
      </c>
      <c r="Q384" s="18" t="str">
        <f t="shared" si="2"/>
        <v>PURNA2025-OTO1</v>
      </c>
    </row>
    <row r="385" ht="15.75" hidden="1" customHeight="1">
      <c r="A385" s="15">
        <v>7485.0</v>
      </c>
      <c r="B385" s="22" t="s">
        <v>6552</v>
      </c>
      <c r="C385" s="16" t="s">
        <v>6553</v>
      </c>
      <c r="D385" s="18" t="s">
        <v>6554</v>
      </c>
      <c r="E385" s="18" t="s">
        <v>736</v>
      </c>
      <c r="F385" s="19" t="str">
        <f t="shared" si="1"/>
        <v>PURNA2025-OTO1</v>
      </c>
      <c r="G385" s="19" t="s">
        <v>5408</v>
      </c>
      <c r="H385" s="20" t="s">
        <v>14</v>
      </c>
      <c r="I385" s="19" t="s">
        <v>5409</v>
      </c>
      <c r="J385" s="19" t="s">
        <v>5410</v>
      </c>
      <c r="K385" s="21" t="s">
        <v>5464</v>
      </c>
      <c r="L385" s="19" t="s">
        <v>6536</v>
      </c>
      <c r="M385" s="16" t="s">
        <v>735</v>
      </c>
      <c r="N385" s="18" t="s">
        <v>5416</v>
      </c>
      <c r="O385" s="18"/>
      <c r="P385" s="18">
        <f>VLOOKUP($A385,MasterData!$C$1:$I$1995,1,FALSE)</f>
        <v>7485</v>
      </c>
      <c r="Q385" s="18" t="str">
        <f t="shared" si="2"/>
        <v>PURNA2025-OTO1</v>
      </c>
    </row>
    <row r="386" ht="15.75" hidden="1" customHeight="1">
      <c r="A386" s="15">
        <v>7512.0</v>
      </c>
      <c r="B386" s="22" t="s">
        <v>6555</v>
      </c>
      <c r="C386" s="16" t="s">
        <v>6556</v>
      </c>
      <c r="D386" s="18" t="s">
        <v>6557</v>
      </c>
      <c r="E386" s="18" t="s">
        <v>738</v>
      </c>
      <c r="F386" s="19" t="str">
        <f t="shared" si="1"/>
        <v>PURNA2025-OTO1</v>
      </c>
      <c r="G386" s="19" t="s">
        <v>5408</v>
      </c>
      <c r="H386" s="20" t="s">
        <v>14</v>
      </c>
      <c r="I386" s="19" t="s">
        <v>5409</v>
      </c>
      <c r="J386" s="19" t="s">
        <v>5410</v>
      </c>
      <c r="K386" s="21" t="s">
        <v>5464</v>
      </c>
      <c r="L386" s="19" t="s">
        <v>6536</v>
      </c>
      <c r="M386" s="16" t="s">
        <v>737</v>
      </c>
      <c r="N386" s="18" t="s">
        <v>5416</v>
      </c>
      <c r="O386" s="18"/>
      <c r="P386" s="18">
        <f>VLOOKUP($A386,MasterData!$C$1:$I$1995,1,FALSE)</f>
        <v>7512</v>
      </c>
      <c r="Q386" s="18" t="str">
        <f t="shared" si="2"/>
        <v>PURNA2025-OTO1</v>
      </c>
    </row>
    <row r="387" ht="15.75" hidden="1" customHeight="1">
      <c r="A387" s="15">
        <v>7543.0</v>
      </c>
      <c r="B387" s="22" t="s">
        <v>6558</v>
      </c>
      <c r="C387" s="16" t="s">
        <v>6559</v>
      </c>
      <c r="D387" s="18" t="s">
        <v>6560</v>
      </c>
      <c r="E387" s="18" t="s">
        <v>740</v>
      </c>
      <c r="F387" s="19" t="str">
        <f t="shared" si="1"/>
        <v>PURNA2025-OTO1</v>
      </c>
      <c r="G387" s="19" t="s">
        <v>5408</v>
      </c>
      <c r="H387" s="20" t="s">
        <v>14</v>
      </c>
      <c r="I387" s="19" t="s">
        <v>5409</v>
      </c>
      <c r="J387" s="19" t="s">
        <v>5410</v>
      </c>
      <c r="K387" s="21" t="s">
        <v>5464</v>
      </c>
      <c r="L387" s="19" t="s">
        <v>6536</v>
      </c>
      <c r="M387" s="16" t="s">
        <v>739</v>
      </c>
      <c r="N387" s="18" t="s">
        <v>5416</v>
      </c>
      <c r="O387" s="18"/>
      <c r="P387" s="18">
        <f>VLOOKUP($A387,MasterData!$C$1:$I$1995,1,FALSE)</f>
        <v>7543</v>
      </c>
      <c r="Q387" s="18" t="str">
        <f t="shared" si="2"/>
        <v>PURNA2025-OTO1</v>
      </c>
    </row>
    <row r="388" ht="15.75" hidden="1" customHeight="1">
      <c r="A388" s="15">
        <v>7550.0</v>
      </c>
      <c r="B388" s="22" t="s">
        <v>6561</v>
      </c>
      <c r="C388" s="16" t="s">
        <v>6562</v>
      </c>
      <c r="D388" s="18" t="s">
        <v>6563</v>
      </c>
      <c r="E388" s="18" t="s">
        <v>742</v>
      </c>
      <c r="F388" s="19" t="str">
        <f t="shared" si="1"/>
        <v>PURNA2025-OTO1</v>
      </c>
      <c r="G388" s="19" t="s">
        <v>5408</v>
      </c>
      <c r="H388" s="20" t="s">
        <v>14</v>
      </c>
      <c r="I388" s="19" t="s">
        <v>5409</v>
      </c>
      <c r="J388" s="19" t="s">
        <v>5410</v>
      </c>
      <c r="K388" s="21" t="s">
        <v>5464</v>
      </c>
      <c r="L388" s="19" t="s">
        <v>6536</v>
      </c>
      <c r="M388" s="16" t="s">
        <v>741</v>
      </c>
      <c r="N388" s="18" t="s">
        <v>5416</v>
      </c>
      <c r="O388" s="18"/>
      <c r="P388" s="18">
        <f>VLOOKUP($A388,MasterData!$C$1:$I$1995,1,FALSE)</f>
        <v>7550</v>
      </c>
      <c r="Q388" s="18" t="str">
        <f t="shared" si="2"/>
        <v>PURNA2025-OTO1</v>
      </c>
    </row>
    <row r="389" ht="15.75" hidden="1" customHeight="1">
      <c r="A389" s="15">
        <v>7569.0</v>
      </c>
      <c r="B389" s="22" t="s">
        <v>6564</v>
      </c>
      <c r="C389" s="16" t="s">
        <v>6565</v>
      </c>
      <c r="D389" s="18" t="s">
        <v>6566</v>
      </c>
      <c r="E389" s="18" t="s">
        <v>744</v>
      </c>
      <c r="F389" s="19" t="str">
        <f t="shared" si="1"/>
        <v>PURNA2025-OTO1</v>
      </c>
      <c r="G389" s="19" t="s">
        <v>5408</v>
      </c>
      <c r="H389" s="20" t="s">
        <v>14</v>
      </c>
      <c r="I389" s="19" t="s">
        <v>5409</v>
      </c>
      <c r="J389" s="19" t="s">
        <v>5410</v>
      </c>
      <c r="K389" s="21" t="s">
        <v>5464</v>
      </c>
      <c r="L389" s="19" t="s">
        <v>6536</v>
      </c>
      <c r="M389" s="16" t="s">
        <v>743</v>
      </c>
      <c r="N389" s="18" t="s">
        <v>5416</v>
      </c>
      <c r="O389" s="18"/>
      <c r="P389" s="18">
        <f>VLOOKUP($A389,MasterData!$C$1:$I$1995,1,FALSE)</f>
        <v>7569</v>
      </c>
      <c r="Q389" s="18" t="str">
        <f t="shared" si="2"/>
        <v>PURNA2025-OTO1</v>
      </c>
    </row>
    <row r="390" ht="15.75" hidden="1" customHeight="1">
      <c r="A390" s="15">
        <v>7578.0</v>
      </c>
      <c r="B390" s="22" t="s">
        <v>6567</v>
      </c>
      <c r="C390" s="16" t="s">
        <v>6568</v>
      </c>
      <c r="D390" s="18" t="s">
        <v>6569</v>
      </c>
      <c r="E390" s="18" t="s">
        <v>746</v>
      </c>
      <c r="F390" s="19" t="str">
        <f t="shared" si="1"/>
        <v>PURNA2025-OTO1</v>
      </c>
      <c r="G390" s="19" t="s">
        <v>5408</v>
      </c>
      <c r="H390" s="20" t="s">
        <v>14</v>
      </c>
      <c r="I390" s="19" t="s">
        <v>5409</v>
      </c>
      <c r="J390" s="19" t="s">
        <v>5410</v>
      </c>
      <c r="K390" s="21" t="s">
        <v>5464</v>
      </c>
      <c r="L390" s="19" t="s">
        <v>6536</v>
      </c>
      <c r="M390" s="16" t="s">
        <v>745</v>
      </c>
      <c r="N390" s="18" t="s">
        <v>5416</v>
      </c>
      <c r="O390" s="18"/>
      <c r="P390" s="18">
        <f>VLOOKUP($A390,MasterData!$C$1:$I$1995,1,FALSE)</f>
        <v>7578</v>
      </c>
      <c r="Q390" s="18" t="str">
        <f t="shared" si="2"/>
        <v>PURNA2025-OTO1</v>
      </c>
    </row>
    <row r="391" ht="15.75" hidden="1" customHeight="1">
      <c r="A391" s="15">
        <v>7595.0</v>
      </c>
      <c r="B391" s="22" t="s">
        <v>6570</v>
      </c>
      <c r="C391" s="16" t="s">
        <v>6571</v>
      </c>
      <c r="D391" s="18" t="s">
        <v>6572</v>
      </c>
      <c r="E391" s="18" t="s">
        <v>748</v>
      </c>
      <c r="F391" s="19" t="str">
        <f t="shared" si="1"/>
        <v>PURNA2025-OTO1</v>
      </c>
      <c r="G391" s="19" t="s">
        <v>5408</v>
      </c>
      <c r="H391" s="20" t="s">
        <v>14</v>
      </c>
      <c r="I391" s="19" t="s">
        <v>5409</v>
      </c>
      <c r="J391" s="19" t="s">
        <v>5410</v>
      </c>
      <c r="K391" s="21" t="s">
        <v>5464</v>
      </c>
      <c r="L391" s="19" t="s">
        <v>6536</v>
      </c>
      <c r="M391" s="16" t="s">
        <v>747</v>
      </c>
      <c r="N391" s="18" t="s">
        <v>5416</v>
      </c>
      <c r="O391" s="18"/>
      <c r="P391" s="18">
        <f>VLOOKUP($A391,MasterData!$C$1:$I$1995,1,FALSE)</f>
        <v>7595</v>
      </c>
      <c r="Q391" s="18" t="str">
        <f t="shared" si="2"/>
        <v>PURNA2025-OTO1</v>
      </c>
    </row>
    <row r="392" ht="15.75" hidden="1" customHeight="1">
      <c r="A392" s="15">
        <v>7009.0</v>
      </c>
      <c r="B392" s="22" t="s">
        <v>6573</v>
      </c>
      <c r="C392" s="16" t="s">
        <v>6574</v>
      </c>
      <c r="D392" s="18" t="s">
        <v>6575</v>
      </c>
      <c r="E392" s="18" t="s">
        <v>720</v>
      </c>
      <c r="F392" s="19" t="str">
        <f t="shared" si="1"/>
        <v>PURNA2025-OTO1</v>
      </c>
      <c r="G392" s="19" t="s">
        <v>5408</v>
      </c>
      <c r="H392" s="20" t="s">
        <v>14</v>
      </c>
      <c r="I392" s="19" t="s">
        <v>5409</v>
      </c>
      <c r="J392" s="19" t="s">
        <v>5410</v>
      </c>
      <c r="K392" s="21" t="s">
        <v>6576</v>
      </c>
      <c r="L392" s="19" t="s">
        <v>6536</v>
      </c>
      <c r="M392" s="16" t="s">
        <v>719</v>
      </c>
      <c r="N392" s="18" t="s">
        <v>5416</v>
      </c>
      <c r="O392" s="18"/>
      <c r="P392" s="18">
        <f>VLOOKUP($A392,MasterData!$C$1:$I$1995,1,FALSE)</f>
        <v>7009</v>
      </c>
      <c r="Q392" s="18" t="str">
        <f t="shared" si="2"/>
        <v>PURNA2025-OTO1</v>
      </c>
    </row>
    <row r="393" ht="15.75" hidden="1" customHeight="1">
      <c r="A393" s="15">
        <v>7645.0</v>
      </c>
      <c r="B393" s="22" t="s">
        <v>6577</v>
      </c>
      <c r="C393" s="16" t="s">
        <v>6578</v>
      </c>
      <c r="D393" s="18" t="s">
        <v>6579</v>
      </c>
      <c r="E393" s="18" t="s">
        <v>750</v>
      </c>
      <c r="F393" s="19" t="str">
        <f t="shared" si="1"/>
        <v>PURNA2025-OTO1</v>
      </c>
      <c r="G393" s="19" t="s">
        <v>5408</v>
      </c>
      <c r="H393" s="20" t="s">
        <v>14</v>
      </c>
      <c r="I393" s="19" t="s">
        <v>5409</v>
      </c>
      <c r="J393" s="19" t="s">
        <v>5410</v>
      </c>
      <c r="K393" s="21" t="s">
        <v>5464</v>
      </c>
      <c r="L393" s="19" t="s">
        <v>6536</v>
      </c>
      <c r="M393" s="16" t="s">
        <v>749</v>
      </c>
      <c r="N393" s="18" t="s">
        <v>5416</v>
      </c>
      <c r="O393" s="18"/>
      <c r="P393" s="18">
        <f>VLOOKUP($A393,MasterData!$C$1:$I$1995,1,FALSE)</f>
        <v>7645</v>
      </c>
      <c r="Q393" s="18" t="str">
        <f t="shared" si="2"/>
        <v>PURNA2025-OTO1</v>
      </c>
    </row>
    <row r="394" ht="15.75" hidden="1" customHeight="1">
      <c r="A394" s="15">
        <v>7053.0</v>
      </c>
      <c r="B394" s="22" t="s">
        <v>6580</v>
      </c>
      <c r="C394" s="16" t="s">
        <v>6581</v>
      </c>
      <c r="D394" s="18" t="s">
        <v>6582</v>
      </c>
      <c r="E394" s="18" t="s">
        <v>722</v>
      </c>
      <c r="F394" s="19" t="str">
        <f t="shared" si="1"/>
        <v>PURNA2025-OTO1</v>
      </c>
      <c r="G394" s="19" t="s">
        <v>5408</v>
      </c>
      <c r="H394" s="20" t="s">
        <v>14</v>
      </c>
      <c r="I394" s="19" t="s">
        <v>5409</v>
      </c>
      <c r="J394" s="19" t="s">
        <v>5410</v>
      </c>
      <c r="K394" s="21" t="s">
        <v>6576</v>
      </c>
      <c r="L394" s="19" t="s">
        <v>6536</v>
      </c>
      <c r="M394" s="16" t="s">
        <v>721</v>
      </c>
      <c r="N394" s="18" t="s">
        <v>5416</v>
      </c>
      <c r="O394" s="18"/>
      <c r="P394" s="18">
        <f>VLOOKUP($A394,MasterData!$C$1:$I$1995,1,FALSE)</f>
        <v>7053</v>
      </c>
      <c r="Q394" s="18" t="str">
        <f t="shared" si="2"/>
        <v>PURNA2025-OTO1</v>
      </c>
    </row>
    <row r="395" ht="15.75" hidden="1" customHeight="1">
      <c r="A395" s="15">
        <v>7694.0</v>
      </c>
      <c r="B395" s="22" t="s">
        <v>6583</v>
      </c>
      <c r="C395" s="16" t="s">
        <v>6584</v>
      </c>
      <c r="D395" s="18" t="s">
        <v>6585</v>
      </c>
      <c r="E395" s="18" t="s">
        <v>752</v>
      </c>
      <c r="F395" s="19" t="str">
        <f t="shared" si="1"/>
        <v>PURNA2025-OTO1</v>
      </c>
      <c r="G395" s="19" t="s">
        <v>5408</v>
      </c>
      <c r="H395" s="20" t="s">
        <v>14</v>
      </c>
      <c r="I395" s="19" t="s">
        <v>5409</v>
      </c>
      <c r="J395" s="19" t="s">
        <v>5410</v>
      </c>
      <c r="K395" s="21" t="s">
        <v>5464</v>
      </c>
      <c r="L395" s="19" t="s">
        <v>6536</v>
      </c>
      <c r="M395" s="16" t="s">
        <v>751</v>
      </c>
      <c r="N395" s="18" t="s">
        <v>5416</v>
      </c>
      <c r="O395" s="18"/>
      <c r="P395" s="18">
        <f>VLOOKUP($A395,MasterData!$C$1:$I$1995,1,FALSE)</f>
        <v>7694</v>
      </c>
      <c r="Q395" s="18" t="str">
        <f t="shared" si="2"/>
        <v>PURNA2025-OTO1</v>
      </c>
    </row>
    <row r="396" ht="15.75" hidden="1" customHeight="1">
      <c r="A396" s="15">
        <v>7711.0</v>
      </c>
      <c r="B396" s="22" t="s">
        <v>6586</v>
      </c>
      <c r="C396" s="16" t="s">
        <v>6587</v>
      </c>
      <c r="D396" s="18" t="s">
        <v>6588</v>
      </c>
      <c r="E396" s="18" t="s">
        <v>754</v>
      </c>
      <c r="F396" s="19" t="str">
        <f t="shared" si="1"/>
        <v>PURNA2025-OTO1</v>
      </c>
      <c r="G396" s="19" t="s">
        <v>5408</v>
      </c>
      <c r="H396" s="20" t="s">
        <v>14</v>
      </c>
      <c r="I396" s="19" t="s">
        <v>5409</v>
      </c>
      <c r="J396" s="19" t="s">
        <v>5410</v>
      </c>
      <c r="K396" s="21" t="s">
        <v>5464</v>
      </c>
      <c r="L396" s="19" t="s">
        <v>6536</v>
      </c>
      <c r="M396" s="16" t="s">
        <v>753</v>
      </c>
      <c r="N396" s="18" t="s">
        <v>5416</v>
      </c>
      <c r="O396" s="18"/>
      <c r="P396" s="18">
        <f>VLOOKUP($A396,MasterData!$C$1:$I$1995,1,FALSE)</f>
        <v>7711</v>
      </c>
      <c r="Q396" s="18" t="str">
        <f t="shared" si="2"/>
        <v>PURNA2025-OTO1</v>
      </c>
    </row>
    <row r="397" ht="15.75" hidden="1" customHeight="1">
      <c r="A397" s="15">
        <v>7737.0</v>
      </c>
      <c r="B397" s="22" t="s">
        <v>6589</v>
      </c>
      <c r="C397" s="16" t="s">
        <v>6590</v>
      </c>
      <c r="D397" s="18" t="s">
        <v>6591</v>
      </c>
      <c r="E397" s="18" t="s">
        <v>756</v>
      </c>
      <c r="F397" s="19" t="str">
        <f t="shared" si="1"/>
        <v>PURNA2025-OTO1</v>
      </c>
      <c r="G397" s="19" t="s">
        <v>5408</v>
      </c>
      <c r="H397" s="20" t="s">
        <v>14</v>
      </c>
      <c r="I397" s="19" t="s">
        <v>5409</v>
      </c>
      <c r="J397" s="19" t="s">
        <v>5410</v>
      </c>
      <c r="K397" s="21" t="s">
        <v>5464</v>
      </c>
      <c r="L397" s="19" t="s">
        <v>6536</v>
      </c>
      <c r="M397" s="16" t="s">
        <v>755</v>
      </c>
      <c r="N397" s="18" t="s">
        <v>5416</v>
      </c>
      <c r="O397" s="18"/>
      <c r="P397" s="18">
        <f>VLOOKUP($A397,MasterData!$C$1:$I$1995,1,FALSE)</f>
        <v>7737</v>
      </c>
      <c r="Q397" s="18" t="str">
        <f t="shared" si="2"/>
        <v>PURNA2025-OTO1</v>
      </c>
    </row>
    <row r="398" ht="15.75" hidden="1" customHeight="1">
      <c r="A398" s="15">
        <v>7739.0</v>
      </c>
      <c r="B398" s="22" t="s">
        <v>6592</v>
      </c>
      <c r="C398" s="16" t="s">
        <v>6593</v>
      </c>
      <c r="D398" s="18" t="s">
        <v>6594</v>
      </c>
      <c r="E398" s="18" t="s">
        <v>757</v>
      </c>
      <c r="F398" s="19" t="str">
        <f t="shared" si="1"/>
        <v>PURNA2025-OTO1</v>
      </c>
      <c r="G398" s="19" t="s">
        <v>5408</v>
      </c>
      <c r="H398" s="20" t="s">
        <v>14</v>
      </c>
      <c r="I398" s="19" t="s">
        <v>5409</v>
      </c>
      <c r="J398" s="19" t="s">
        <v>5410</v>
      </c>
      <c r="K398" s="21" t="s">
        <v>5464</v>
      </c>
      <c r="L398" s="19" t="s">
        <v>6536</v>
      </c>
      <c r="M398" s="16"/>
      <c r="N398" s="18" t="s">
        <v>5416</v>
      </c>
      <c r="O398" s="18"/>
      <c r="P398" s="18">
        <f>VLOOKUP($A398,MasterData!$C$1:$I$1995,1,FALSE)</f>
        <v>7739</v>
      </c>
      <c r="Q398" s="18" t="str">
        <f t="shared" si="2"/>
        <v>PURNA2025-OTO1</v>
      </c>
    </row>
    <row r="399" ht="15.75" hidden="1" customHeight="1">
      <c r="A399" s="15">
        <v>7744.0</v>
      </c>
      <c r="B399" s="22" t="s">
        <v>6595</v>
      </c>
      <c r="C399" s="16" t="s">
        <v>6596</v>
      </c>
      <c r="D399" s="18" t="s">
        <v>6597</v>
      </c>
      <c r="E399" s="18" t="s">
        <v>759</v>
      </c>
      <c r="F399" s="19" t="str">
        <f t="shared" si="1"/>
        <v>PURNA2025-OTO1</v>
      </c>
      <c r="G399" s="19" t="s">
        <v>5408</v>
      </c>
      <c r="H399" s="20" t="s">
        <v>14</v>
      </c>
      <c r="I399" s="19" t="s">
        <v>5409</v>
      </c>
      <c r="J399" s="19" t="s">
        <v>5410</v>
      </c>
      <c r="K399" s="21" t="s">
        <v>5464</v>
      </c>
      <c r="L399" s="19" t="s">
        <v>6536</v>
      </c>
      <c r="M399" s="16" t="s">
        <v>758</v>
      </c>
      <c r="N399" s="18" t="s">
        <v>5416</v>
      </c>
      <c r="O399" s="18"/>
      <c r="P399" s="18">
        <f>VLOOKUP($A399,MasterData!$C$1:$I$1995,1,FALSE)</f>
        <v>7744</v>
      </c>
      <c r="Q399" s="18" t="str">
        <f t="shared" si="2"/>
        <v>PURNA2025-OTO1</v>
      </c>
    </row>
    <row r="400" ht="15.75" hidden="1" customHeight="1">
      <c r="A400" s="15">
        <v>7761.0</v>
      </c>
      <c r="B400" s="22" t="s">
        <v>6598</v>
      </c>
      <c r="C400" s="16" t="s">
        <v>6599</v>
      </c>
      <c r="D400" s="18" t="s">
        <v>6600</v>
      </c>
      <c r="E400" s="18" t="s">
        <v>761</v>
      </c>
      <c r="F400" s="19" t="str">
        <f t="shared" si="1"/>
        <v>PURNA2025-OTO1</v>
      </c>
      <c r="G400" s="19" t="s">
        <v>5408</v>
      </c>
      <c r="H400" s="20" t="s">
        <v>14</v>
      </c>
      <c r="I400" s="19" t="s">
        <v>5409</v>
      </c>
      <c r="J400" s="19" t="s">
        <v>5410</v>
      </c>
      <c r="K400" s="21" t="s">
        <v>5464</v>
      </c>
      <c r="L400" s="19" t="s">
        <v>6536</v>
      </c>
      <c r="M400" s="16" t="s">
        <v>760</v>
      </c>
      <c r="N400" s="18" t="s">
        <v>5416</v>
      </c>
      <c r="O400" s="18"/>
      <c r="P400" s="18">
        <f>VLOOKUP($A400,MasterData!$C$1:$I$1995,1,FALSE)</f>
        <v>7761</v>
      </c>
      <c r="Q400" s="18" t="str">
        <f t="shared" si="2"/>
        <v>PURNA2025-OTO1</v>
      </c>
    </row>
    <row r="401" ht="15.75" hidden="1" customHeight="1">
      <c r="A401" s="15">
        <v>7765.0</v>
      </c>
      <c r="B401" s="22" t="s">
        <v>6601</v>
      </c>
      <c r="C401" s="16" t="s">
        <v>6602</v>
      </c>
      <c r="D401" s="18" t="s">
        <v>6603</v>
      </c>
      <c r="E401" s="18" t="s">
        <v>763</v>
      </c>
      <c r="F401" s="19" t="str">
        <f t="shared" si="1"/>
        <v>PURNA2025-OTO1</v>
      </c>
      <c r="G401" s="19" t="s">
        <v>5408</v>
      </c>
      <c r="H401" s="20" t="s">
        <v>14</v>
      </c>
      <c r="I401" s="19" t="s">
        <v>5409</v>
      </c>
      <c r="J401" s="19" t="s">
        <v>5410</v>
      </c>
      <c r="K401" s="21" t="s">
        <v>5464</v>
      </c>
      <c r="L401" s="19" t="s">
        <v>6536</v>
      </c>
      <c r="M401" s="16" t="s">
        <v>762</v>
      </c>
      <c r="N401" s="18" t="s">
        <v>5416</v>
      </c>
      <c r="O401" s="18"/>
      <c r="P401" s="18">
        <f>VLOOKUP($A401,MasterData!$C$1:$I$1995,1,FALSE)</f>
        <v>7765</v>
      </c>
      <c r="Q401" s="18" t="str">
        <f t="shared" si="2"/>
        <v>PURNA2025-OTO1</v>
      </c>
    </row>
    <row r="402" ht="15.75" hidden="1" customHeight="1">
      <c r="A402" s="15">
        <v>7789.0</v>
      </c>
      <c r="B402" s="22" t="s">
        <v>6604</v>
      </c>
      <c r="C402" s="16" t="s">
        <v>6605</v>
      </c>
      <c r="D402" s="18" t="s">
        <v>6606</v>
      </c>
      <c r="E402" s="18" t="s">
        <v>765</v>
      </c>
      <c r="F402" s="19" t="str">
        <f t="shared" si="1"/>
        <v>PURNA2025-OTO1</v>
      </c>
      <c r="G402" s="19" t="s">
        <v>5408</v>
      </c>
      <c r="H402" s="20" t="s">
        <v>14</v>
      </c>
      <c r="I402" s="19" t="s">
        <v>5409</v>
      </c>
      <c r="J402" s="19" t="s">
        <v>5410</v>
      </c>
      <c r="K402" s="21" t="s">
        <v>5464</v>
      </c>
      <c r="L402" s="19" t="s">
        <v>6536</v>
      </c>
      <c r="M402" s="16" t="s">
        <v>764</v>
      </c>
      <c r="N402" s="18" t="s">
        <v>5416</v>
      </c>
      <c r="O402" s="18"/>
      <c r="P402" s="18">
        <f>VLOOKUP($A402,MasterData!$C$1:$I$1995,1,FALSE)</f>
        <v>7789</v>
      </c>
      <c r="Q402" s="18" t="str">
        <f t="shared" si="2"/>
        <v>PURNA2025-OTO1</v>
      </c>
    </row>
    <row r="403" ht="15.75" hidden="1" customHeight="1">
      <c r="A403" s="15">
        <v>7796.0</v>
      </c>
      <c r="B403" s="22" t="s">
        <v>6607</v>
      </c>
      <c r="C403" s="16" t="s">
        <v>6608</v>
      </c>
      <c r="D403" s="18" t="s">
        <v>6609</v>
      </c>
      <c r="E403" s="18" t="s">
        <v>767</v>
      </c>
      <c r="F403" s="19" t="str">
        <f t="shared" si="1"/>
        <v>PURNA2025-OTO1</v>
      </c>
      <c r="G403" s="19" t="s">
        <v>5408</v>
      </c>
      <c r="H403" s="20" t="s">
        <v>14</v>
      </c>
      <c r="I403" s="19" t="s">
        <v>5409</v>
      </c>
      <c r="J403" s="19" t="s">
        <v>5410</v>
      </c>
      <c r="K403" s="21" t="s">
        <v>5464</v>
      </c>
      <c r="L403" s="19" t="s">
        <v>6536</v>
      </c>
      <c r="M403" s="16" t="s">
        <v>766</v>
      </c>
      <c r="N403" s="18" t="s">
        <v>5416</v>
      </c>
      <c r="O403" s="18"/>
      <c r="P403" s="18">
        <f>VLOOKUP($A403,MasterData!$C$1:$I$1995,1,FALSE)</f>
        <v>7796</v>
      </c>
      <c r="Q403" s="18" t="str">
        <f t="shared" si="2"/>
        <v>PURNA2025-OTO1</v>
      </c>
    </row>
    <row r="404" ht="15.75" hidden="1" customHeight="1">
      <c r="A404" s="15">
        <v>7839.0</v>
      </c>
      <c r="B404" s="22" t="s">
        <v>6610</v>
      </c>
      <c r="C404" s="16" t="s">
        <v>6611</v>
      </c>
      <c r="D404" s="18" t="s">
        <v>6612</v>
      </c>
      <c r="E404" s="18" t="s">
        <v>769</v>
      </c>
      <c r="F404" s="19" t="str">
        <f t="shared" si="1"/>
        <v>PURNA2025-OTO1</v>
      </c>
      <c r="G404" s="19" t="s">
        <v>5408</v>
      </c>
      <c r="H404" s="20" t="s">
        <v>14</v>
      </c>
      <c r="I404" s="19" t="s">
        <v>5409</v>
      </c>
      <c r="J404" s="19" t="s">
        <v>5410</v>
      </c>
      <c r="K404" s="21" t="s">
        <v>5464</v>
      </c>
      <c r="L404" s="19" t="s">
        <v>6536</v>
      </c>
      <c r="M404" s="16" t="s">
        <v>768</v>
      </c>
      <c r="N404" s="18" t="s">
        <v>5416</v>
      </c>
      <c r="O404" s="18"/>
      <c r="P404" s="18">
        <f>VLOOKUP($A404,MasterData!$C$1:$I$1995,1,FALSE)</f>
        <v>7839</v>
      </c>
      <c r="Q404" s="18" t="str">
        <f t="shared" si="2"/>
        <v>PURNA2025-OTO1</v>
      </c>
    </row>
    <row r="405" ht="15.75" hidden="1" customHeight="1">
      <c r="A405" s="15">
        <v>7868.0</v>
      </c>
      <c r="B405" s="22" t="s">
        <v>6613</v>
      </c>
      <c r="C405" s="16" t="s">
        <v>6614</v>
      </c>
      <c r="D405" s="18" t="s">
        <v>6615</v>
      </c>
      <c r="E405" s="18" t="s">
        <v>771</v>
      </c>
      <c r="F405" s="19" t="str">
        <f t="shared" si="1"/>
        <v>PURNA2025-OTO1</v>
      </c>
      <c r="G405" s="19" t="s">
        <v>5408</v>
      </c>
      <c r="H405" s="20" t="s">
        <v>14</v>
      </c>
      <c r="I405" s="19" t="s">
        <v>5409</v>
      </c>
      <c r="J405" s="19" t="s">
        <v>5410</v>
      </c>
      <c r="K405" s="21" t="s">
        <v>5464</v>
      </c>
      <c r="L405" s="19" t="s">
        <v>6536</v>
      </c>
      <c r="M405" s="16" t="s">
        <v>770</v>
      </c>
      <c r="N405" s="18" t="s">
        <v>5416</v>
      </c>
      <c r="O405" s="18"/>
      <c r="P405" s="18">
        <f>VLOOKUP($A405,MasterData!$C$1:$I$1995,1,FALSE)</f>
        <v>7868</v>
      </c>
      <c r="Q405" s="18" t="str">
        <f t="shared" si="2"/>
        <v>PURNA2025-OTO1</v>
      </c>
    </row>
    <row r="406" ht="15.75" hidden="1" customHeight="1">
      <c r="A406" s="15">
        <v>7872.0</v>
      </c>
      <c r="B406" s="22" t="s">
        <v>6616</v>
      </c>
      <c r="C406" s="16" t="s">
        <v>6617</v>
      </c>
      <c r="D406" s="18" t="s">
        <v>6618</v>
      </c>
      <c r="E406" s="18" t="s">
        <v>773</v>
      </c>
      <c r="F406" s="19" t="str">
        <f t="shared" si="1"/>
        <v>PURNA2025-OTO1</v>
      </c>
      <c r="G406" s="19" t="s">
        <v>5408</v>
      </c>
      <c r="H406" s="20" t="s">
        <v>14</v>
      </c>
      <c r="I406" s="19" t="s">
        <v>5409</v>
      </c>
      <c r="J406" s="19" t="s">
        <v>5410</v>
      </c>
      <c r="K406" s="21" t="s">
        <v>5464</v>
      </c>
      <c r="L406" s="19" t="s">
        <v>6536</v>
      </c>
      <c r="M406" s="16" t="s">
        <v>772</v>
      </c>
      <c r="N406" s="18" t="s">
        <v>5416</v>
      </c>
      <c r="O406" s="18"/>
      <c r="P406" s="18">
        <f>VLOOKUP($A406,MasterData!$C$1:$I$1995,1,FALSE)</f>
        <v>7872</v>
      </c>
      <c r="Q406" s="18" t="str">
        <f t="shared" si="2"/>
        <v>PURNA2025-OTO1</v>
      </c>
    </row>
    <row r="407" ht="15.75" hidden="1" customHeight="1">
      <c r="A407" s="15">
        <v>7895.0</v>
      </c>
      <c r="B407" s="22" t="s">
        <v>6619</v>
      </c>
      <c r="C407" s="16" t="s">
        <v>6620</v>
      </c>
      <c r="D407" s="18" t="s">
        <v>6621</v>
      </c>
      <c r="E407" s="18" t="s">
        <v>775</v>
      </c>
      <c r="F407" s="19" t="str">
        <f t="shared" si="1"/>
        <v>PURNA2025-OTO1</v>
      </c>
      <c r="G407" s="19" t="s">
        <v>5408</v>
      </c>
      <c r="H407" s="20" t="s">
        <v>14</v>
      </c>
      <c r="I407" s="19" t="s">
        <v>5409</v>
      </c>
      <c r="J407" s="19" t="s">
        <v>5410</v>
      </c>
      <c r="K407" s="21" t="s">
        <v>5464</v>
      </c>
      <c r="L407" s="19" t="s">
        <v>6536</v>
      </c>
      <c r="M407" s="16" t="s">
        <v>774</v>
      </c>
      <c r="N407" s="18" t="s">
        <v>5416</v>
      </c>
      <c r="O407" s="18"/>
      <c r="P407" s="18">
        <f>VLOOKUP($A407,MasterData!$C$1:$I$1995,1,FALSE)</f>
        <v>7895</v>
      </c>
      <c r="Q407" s="18" t="str">
        <f t="shared" si="2"/>
        <v>PURNA2025-OTO1</v>
      </c>
    </row>
    <row r="408" ht="15.75" hidden="1" customHeight="1">
      <c r="A408" s="15">
        <v>7910.0</v>
      </c>
      <c r="B408" s="22" t="s">
        <v>6622</v>
      </c>
      <c r="C408" s="16" t="s">
        <v>6623</v>
      </c>
      <c r="D408" s="18" t="s">
        <v>6624</v>
      </c>
      <c r="E408" s="18" t="s">
        <v>777</v>
      </c>
      <c r="F408" s="19" t="str">
        <f t="shared" si="1"/>
        <v>PURNA2025-OTO1</v>
      </c>
      <c r="G408" s="19" t="s">
        <v>5408</v>
      </c>
      <c r="H408" s="20" t="s">
        <v>14</v>
      </c>
      <c r="I408" s="19" t="s">
        <v>5409</v>
      </c>
      <c r="J408" s="19" t="s">
        <v>5410</v>
      </c>
      <c r="K408" s="21" t="s">
        <v>5464</v>
      </c>
      <c r="L408" s="19" t="s">
        <v>6536</v>
      </c>
      <c r="M408" s="16" t="s">
        <v>776</v>
      </c>
      <c r="N408" s="18" t="s">
        <v>5416</v>
      </c>
      <c r="O408" s="18"/>
      <c r="P408" s="18">
        <f>VLOOKUP($A408,MasterData!$C$1:$I$1995,1,FALSE)</f>
        <v>7910</v>
      </c>
      <c r="Q408" s="18" t="str">
        <f t="shared" si="2"/>
        <v>PURNA2025-OTO1</v>
      </c>
    </row>
    <row r="409" ht="15.75" hidden="1" customHeight="1">
      <c r="A409" s="15">
        <v>7926.0</v>
      </c>
      <c r="B409" s="22" t="s">
        <v>6625</v>
      </c>
      <c r="C409" s="16" t="s">
        <v>6626</v>
      </c>
      <c r="D409" s="18" t="s">
        <v>6627</v>
      </c>
      <c r="E409" s="18" t="s">
        <v>779</v>
      </c>
      <c r="F409" s="19" t="str">
        <f t="shared" si="1"/>
        <v>PURNA2025-OTO1</v>
      </c>
      <c r="G409" s="19" t="s">
        <v>5408</v>
      </c>
      <c r="H409" s="20" t="s">
        <v>14</v>
      </c>
      <c r="I409" s="19" t="s">
        <v>5409</v>
      </c>
      <c r="J409" s="19" t="s">
        <v>5410</v>
      </c>
      <c r="K409" s="21" t="s">
        <v>5464</v>
      </c>
      <c r="L409" s="19" t="s">
        <v>6536</v>
      </c>
      <c r="M409" s="16" t="s">
        <v>778</v>
      </c>
      <c r="N409" s="18" t="s">
        <v>5416</v>
      </c>
      <c r="O409" s="18"/>
      <c r="P409" s="18">
        <f>VLOOKUP($A409,MasterData!$C$1:$I$1995,1,FALSE)</f>
        <v>7926</v>
      </c>
      <c r="Q409" s="18" t="str">
        <f t="shared" si="2"/>
        <v>PURNA2025-OTO1</v>
      </c>
    </row>
    <row r="410" ht="15.75" hidden="1" customHeight="1">
      <c r="A410" s="15">
        <v>7963.0</v>
      </c>
      <c r="B410" s="22" t="s">
        <v>6628</v>
      </c>
      <c r="C410" s="16" t="s">
        <v>6629</v>
      </c>
      <c r="D410" s="18" t="s">
        <v>6630</v>
      </c>
      <c r="E410" s="18" t="s">
        <v>781</v>
      </c>
      <c r="F410" s="19" t="str">
        <f t="shared" si="1"/>
        <v>PURNA2025-OTO1</v>
      </c>
      <c r="G410" s="19" t="s">
        <v>5408</v>
      </c>
      <c r="H410" s="20" t="s">
        <v>14</v>
      </c>
      <c r="I410" s="19" t="s">
        <v>5409</v>
      </c>
      <c r="J410" s="19" t="s">
        <v>5410</v>
      </c>
      <c r="K410" s="21" t="s">
        <v>5464</v>
      </c>
      <c r="L410" s="19" t="s">
        <v>6536</v>
      </c>
      <c r="M410" s="16" t="s">
        <v>780</v>
      </c>
      <c r="N410" s="18" t="s">
        <v>5416</v>
      </c>
      <c r="O410" s="18"/>
      <c r="P410" s="18">
        <f>VLOOKUP($A410,MasterData!$C$1:$I$1995,1,FALSE)</f>
        <v>7963</v>
      </c>
      <c r="Q410" s="18" t="str">
        <f t="shared" si="2"/>
        <v>PURNA2025-OTO1</v>
      </c>
    </row>
    <row r="411" ht="15.75" hidden="1" customHeight="1">
      <c r="A411" s="15">
        <v>7986.0</v>
      </c>
      <c r="B411" s="22" t="s">
        <v>6631</v>
      </c>
      <c r="C411" s="16" t="s">
        <v>6632</v>
      </c>
      <c r="D411" s="18" t="s">
        <v>6633</v>
      </c>
      <c r="E411" s="18" t="s">
        <v>783</v>
      </c>
      <c r="F411" s="19" t="str">
        <f t="shared" si="1"/>
        <v>PURNA2025-OTO1</v>
      </c>
      <c r="G411" s="19" t="s">
        <v>5408</v>
      </c>
      <c r="H411" s="20" t="s">
        <v>14</v>
      </c>
      <c r="I411" s="19" t="s">
        <v>5409</v>
      </c>
      <c r="J411" s="19" t="s">
        <v>5410</v>
      </c>
      <c r="K411" s="21" t="s">
        <v>5464</v>
      </c>
      <c r="L411" s="19" t="s">
        <v>6536</v>
      </c>
      <c r="M411" s="16" t="s">
        <v>782</v>
      </c>
      <c r="N411" s="18" t="s">
        <v>5416</v>
      </c>
      <c r="O411" s="18"/>
      <c r="P411" s="18">
        <f>VLOOKUP($A411,MasterData!$C$1:$I$1995,1,FALSE)</f>
        <v>7986</v>
      </c>
      <c r="Q411" s="18" t="str">
        <f t="shared" si="2"/>
        <v>PURNA2025-OTO1</v>
      </c>
    </row>
    <row r="412" ht="15.75" hidden="1" customHeight="1">
      <c r="A412" s="15">
        <v>7416.0</v>
      </c>
      <c r="B412" s="22" t="s">
        <v>6634</v>
      </c>
      <c r="C412" s="16" t="s">
        <v>6635</v>
      </c>
      <c r="D412" s="18" t="s">
        <v>6636</v>
      </c>
      <c r="E412" s="18" t="s">
        <v>785</v>
      </c>
      <c r="F412" s="19" t="str">
        <f t="shared" si="1"/>
        <v>PURNA2025-OTO2</v>
      </c>
      <c r="G412" s="19" t="s">
        <v>5408</v>
      </c>
      <c r="H412" s="20" t="s">
        <v>14</v>
      </c>
      <c r="I412" s="19" t="s">
        <v>5409</v>
      </c>
      <c r="J412" s="19" t="s">
        <v>5410</v>
      </c>
      <c r="K412" s="21" t="s">
        <v>5464</v>
      </c>
      <c r="L412" s="19" t="s">
        <v>6637</v>
      </c>
      <c r="M412" s="16" t="s">
        <v>784</v>
      </c>
      <c r="N412" s="18" t="s">
        <v>5416</v>
      </c>
      <c r="O412" s="18"/>
      <c r="P412" s="18">
        <f>VLOOKUP($A412,MasterData!$C$1:$I$1995,1,FALSE)</f>
        <v>7416</v>
      </c>
      <c r="Q412" s="18" t="str">
        <f t="shared" si="2"/>
        <v>PURNA2025-OTO2</v>
      </c>
    </row>
    <row r="413" ht="15.75" hidden="1" customHeight="1">
      <c r="A413" s="15">
        <v>7424.0</v>
      </c>
      <c r="B413" s="22" t="s">
        <v>6638</v>
      </c>
      <c r="C413" s="16" t="s">
        <v>6639</v>
      </c>
      <c r="D413" s="18" t="s">
        <v>6640</v>
      </c>
      <c r="E413" s="18" t="s">
        <v>787</v>
      </c>
      <c r="F413" s="19" t="str">
        <f t="shared" si="1"/>
        <v>PURNA2025-OTO2</v>
      </c>
      <c r="G413" s="19" t="s">
        <v>5408</v>
      </c>
      <c r="H413" s="20" t="s">
        <v>14</v>
      </c>
      <c r="I413" s="19" t="s">
        <v>5409</v>
      </c>
      <c r="J413" s="19" t="s">
        <v>5410</v>
      </c>
      <c r="K413" s="21" t="s">
        <v>5464</v>
      </c>
      <c r="L413" s="19" t="s">
        <v>6637</v>
      </c>
      <c r="M413" s="16" t="s">
        <v>786</v>
      </c>
      <c r="N413" s="18" t="s">
        <v>5416</v>
      </c>
      <c r="O413" s="18"/>
      <c r="P413" s="18">
        <f>VLOOKUP($A413,MasterData!$C$1:$I$1995,1,FALSE)</f>
        <v>7424</v>
      </c>
      <c r="Q413" s="18" t="str">
        <f t="shared" si="2"/>
        <v>PURNA2025-OTO2</v>
      </c>
    </row>
    <row r="414" ht="15.75" hidden="1" customHeight="1">
      <c r="A414" s="15">
        <v>7471.0</v>
      </c>
      <c r="B414" s="22" t="s">
        <v>6641</v>
      </c>
      <c r="C414" s="16" t="s">
        <v>6642</v>
      </c>
      <c r="D414" s="18" t="s">
        <v>6643</v>
      </c>
      <c r="E414" s="18" t="s">
        <v>789</v>
      </c>
      <c r="F414" s="19" t="str">
        <f t="shared" si="1"/>
        <v>PURNA2025-OTO2</v>
      </c>
      <c r="G414" s="19" t="s">
        <v>5408</v>
      </c>
      <c r="H414" s="20" t="s">
        <v>14</v>
      </c>
      <c r="I414" s="19" t="s">
        <v>5409</v>
      </c>
      <c r="J414" s="19" t="s">
        <v>5410</v>
      </c>
      <c r="K414" s="21" t="s">
        <v>5464</v>
      </c>
      <c r="L414" s="19" t="s">
        <v>6637</v>
      </c>
      <c r="M414" s="16" t="s">
        <v>788</v>
      </c>
      <c r="N414" s="18" t="s">
        <v>5416</v>
      </c>
      <c r="O414" s="18"/>
      <c r="P414" s="18">
        <f>VLOOKUP($A414,MasterData!$C$1:$I$1995,1,FALSE)</f>
        <v>7471</v>
      </c>
      <c r="Q414" s="18" t="str">
        <f t="shared" si="2"/>
        <v>PURNA2025-OTO2</v>
      </c>
    </row>
    <row r="415" ht="15.75" hidden="1" customHeight="1">
      <c r="A415" s="15">
        <v>7479.0</v>
      </c>
      <c r="B415" s="22" t="s">
        <v>6644</v>
      </c>
      <c r="C415" s="16" t="s">
        <v>6645</v>
      </c>
      <c r="D415" s="18" t="s">
        <v>6646</v>
      </c>
      <c r="E415" s="18" t="s">
        <v>791</v>
      </c>
      <c r="F415" s="19" t="str">
        <f t="shared" si="1"/>
        <v>PURNA2025-OTO2</v>
      </c>
      <c r="G415" s="19" t="s">
        <v>5408</v>
      </c>
      <c r="H415" s="20" t="s">
        <v>14</v>
      </c>
      <c r="I415" s="19" t="s">
        <v>5409</v>
      </c>
      <c r="J415" s="19" t="s">
        <v>5410</v>
      </c>
      <c r="K415" s="21" t="s">
        <v>5464</v>
      </c>
      <c r="L415" s="19" t="s">
        <v>6637</v>
      </c>
      <c r="M415" s="16" t="s">
        <v>790</v>
      </c>
      <c r="N415" s="18" t="s">
        <v>5416</v>
      </c>
      <c r="O415" s="18"/>
      <c r="P415" s="18">
        <f>VLOOKUP($A415,MasterData!$C$1:$I$1995,1,FALSE)</f>
        <v>7479</v>
      </c>
      <c r="Q415" s="18" t="str">
        <f t="shared" si="2"/>
        <v>PURNA2025-OTO2</v>
      </c>
    </row>
    <row r="416" ht="15.75" hidden="1" customHeight="1">
      <c r="A416" s="15">
        <v>7506.0</v>
      </c>
      <c r="B416" s="22" t="s">
        <v>6647</v>
      </c>
      <c r="C416" s="16" t="s">
        <v>6648</v>
      </c>
      <c r="D416" s="18" t="s">
        <v>6649</v>
      </c>
      <c r="E416" s="18" t="s">
        <v>793</v>
      </c>
      <c r="F416" s="19" t="str">
        <f t="shared" si="1"/>
        <v>PURNA2025-OTO2</v>
      </c>
      <c r="G416" s="19" t="s">
        <v>5408</v>
      </c>
      <c r="H416" s="20" t="s">
        <v>14</v>
      </c>
      <c r="I416" s="19" t="s">
        <v>5409</v>
      </c>
      <c r="J416" s="19" t="s">
        <v>5410</v>
      </c>
      <c r="K416" s="21" t="s">
        <v>5464</v>
      </c>
      <c r="L416" s="19" t="s">
        <v>6637</v>
      </c>
      <c r="M416" s="16" t="s">
        <v>792</v>
      </c>
      <c r="N416" s="18" t="s">
        <v>5416</v>
      </c>
      <c r="O416" s="18"/>
      <c r="P416" s="18">
        <f>VLOOKUP($A416,MasterData!$C$1:$I$1995,1,FALSE)</f>
        <v>7506</v>
      </c>
      <c r="Q416" s="18" t="str">
        <f t="shared" si="2"/>
        <v>PURNA2025-OTO2</v>
      </c>
    </row>
    <row r="417" ht="15.75" hidden="1" customHeight="1">
      <c r="A417" s="15">
        <v>8634.0</v>
      </c>
      <c r="B417" s="22" t="s">
        <v>6650</v>
      </c>
      <c r="C417" s="16" t="s">
        <v>6651</v>
      </c>
      <c r="D417" s="18" t="s">
        <v>6652</v>
      </c>
      <c r="E417" s="18" t="s">
        <v>843</v>
      </c>
      <c r="F417" s="19" t="str">
        <f t="shared" si="1"/>
        <v>PURNA2025-OTO2</v>
      </c>
      <c r="G417" s="19" t="s">
        <v>5408</v>
      </c>
      <c r="H417" s="20" t="s">
        <v>14</v>
      </c>
      <c r="I417" s="19" t="s">
        <v>5409</v>
      </c>
      <c r="J417" s="19" t="s">
        <v>5410</v>
      </c>
      <c r="K417" s="21" t="s">
        <v>5415</v>
      </c>
      <c r="L417" s="19" t="s">
        <v>6637</v>
      </c>
      <c r="M417" s="16" t="s">
        <v>842</v>
      </c>
      <c r="N417" s="18" t="s">
        <v>5416</v>
      </c>
      <c r="O417" s="18">
        <v>0.0</v>
      </c>
      <c r="P417" s="18">
        <f>VLOOKUP($A417,MasterData!$C$1:$I$1995,1,FALSE)</f>
        <v>8634</v>
      </c>
      <c r="Q417" s="18" t="str">
        <f t="shared" si="2"/>
        <v>PURNA2025-OTO2</v>
      </c>
    </row>
    <row r="418" ht="15.75" hidden="1" customHeight="1">
      <c r="A418" s="15">
        <v>7514.0</v>
      </c>
      <c r="B418" s="22" t="s">
        <v>6653</v>
      </c>
      <c r="C418" s="16" t="s">
        <v>6654</v>
      </c>
      <c r="D418" s="18" t="s">
        <v>6655</v>
      </c>
      <c r="E418" s="18" t="s">
        <v>795</v>
      </c>
      <c r="F418" s="19" t="str">
        <f t="shared" si="1"/>
        <v>PURNA2025-OTO2</v>
      </c>
      <c r="G418" s="19" t="s">
        <v>5408</v>
      </c>
      <c r="H418" s="20" t="s">
        <v>14</v>
      </c>
      <c r="I418" s="19" t="s">
        <v>5409</v>
      </c>
      <c r="J418" s="19" t="s">
        <v>5410</v>
      </c>
      <c r="K418" s="21" t="s">
        <v>5464</v>
      </c>
      <c r="L418" s="19" t="s">
        <v>6637</v>
      </c>
      <c r="M418" s="16" t="s">
        <v>794</v>
      </c>
      <c r="N418" s="18" t="s">
        <v>5416</v>
      </c>
      <c r="O418" s="18"/>
      <c r="P418" s="18">
        <f>VLOOKUP($A418,MasterData!$C$1:$I$1995,1,FALSE)</f>
        <v>7514</v>
      </c>
      <c r="Q418" s="18" t="str">
        <f t="shared" si="2"/>
        <v>PURNA2025-OTO2</v>
      </c>
    </row>
    <row r="419" ht="15.75" hidden="1" customHeight="1">
      <c r="A419" s="15">
        <v>8633.0</v>
      </c>
      <c r="B419" s="22" t="s">
        <v>6656</v>
      </c>
      <c r="C419" s="16" t="s">
        <v>6657</v>
      </c>
      <c r="D419" s="18" t="s">
        <v>6658</v>
      </c>
      <c r="E419" s="18" t="s">
        <v>841</v>
      </c>
      <c r="F419" s="19" t="str">
        <f t="shared" si="1"/>
        <v>PURNA2025-OTO2</v>
      </c>
      <c r="G419" s="19" t="s">
        <v>5408</v>
      </c>
      <c r="H419" s="20" t="s">
        <v>14</v>
      </c>
      <c r="I419" s="19" t="s">
        <v>5409</v>
      </c>
      <c r="J419" s="19" t="s">
        <v>5410</v>
      </c>
      <c r="K419" s="21" t="s">
        <v>6659</v>
      </c>
      <c r="L419" s="19" t="s">
        <v>6637</v>
      </c>
      <c r="M419" s="16" t="s">
        <v>840</v>
      </c>
      <c r="N419" s="18" t="s">
        <v>5416</v>
      </c>
      <c r="O419" s="18">
        <v>0.0</v>
      </c>
      <c r="P419" s="18">
        <f>VLOOKUP($A419,MasterData!$C$1:$I$1995,1,FALSE)</f>
        <v>8633</v>
      </c>
      <c r="Q419" s="18" t="str">
        <f t="shared" si="2"/>
        <v>PURNA2025-OTO2</v>
      </c>
    </row>
    <row r="420" ht="15.75" hidden="1" customHeight="1">
      <c r="A420" s="15">
        <v>7527.0</v>
      </c>
      <c r="B420" s="22" t="s">
        <v>6660</v>
      </c>
      <c r="C420" s="16" t="s">
        <v>6661</v>
      </c>
      <c r="D420" s="18" t="s">
        <v>6662</v>
      </c>
      <c r="E420" s="18" t="s">
        <v>797</v>
      </c>
      <c r="F420" s="19" t="str">
        <f t="shared" si="1"/>
        <v>PURNA2025-OTO2</v>
      </c>
      <c r="G420" s="19" t="s">
        <v>5408</v>
      </c>
      <c r="H420" s="20" t="s">
        <v>14</v>
      </c>
      <c r="I420" s="19" t="s">
        <v>5409</v>
      </c>
      <c r="J420" s="19" t="s">
        <v>5410</v>
      </c>
      <c r="K420" s="21" t="s">
        <v>5464</v>
      </c>
      <c r="L420" s="19" t="s">
        <v>6637</v>
      </c>
      <c r="M420" s="16" t="s">
        <v>796</v>
      </c>
      <c r="N420" s="18" t="s">
        <v>5416</v>
      </c>
      <c r="O420" s="18"/>
      <c r="P420" s="18">
        <f>VLOOKUP($A420,MasterData!$C$1:$I$1995,1,FALSE)</f>
        <v>7527</v>
      </c>
      <c r="Q420" s="18" t="str">
        <f t="shared" si="2"/>
        <v>PURNA2025-OTO2</v>
      </c>
    </row>
    <row r="421" ht="15.75" hidden="1" customHeight="1">
      <c r="A421" s="15">
        <v>7552.0</v>
      </c>
      <c r="B421" s="22" t="s">
        <v>6663</v>
      </c>
      <c r="C421" s="16" t="s">
        <v>6664</v>
      </c>
      <c r="D421" s="18" t="s">
        <v>6665</v>
      </c>
      <c r="E421" s="18" t="s">
        <v>799</v>
      </c>
      <c r="F421" s="19" t="str">
        <f t="shared" si="1"/>
        <v>PURNA2025-OTO2</v>
      </c>
      <c r="G421" s="19" t="s">
        <v>5408</v>
      </c>
      <c r="H421" s="20" t="s">
        <v>14</v>
      </c>
      <c r="I421" s="19" t="s">
        <v>5409</v>
      </c>
      <c r="J421" s="19" t="s">
        <v>5410</v>
      </c>
      <c r="K421" s="21" t="s">
        <v>5464</v>
      </c>
      <c r="L421" s="19" t="s">
        <v>6637</v>
      </c>
      <c r="M421" s="16" t="s">
        <v>798</v>
      </c>
      <c r="N421" s="18" t="s">
        <v>5416</v>
      </c>
      <c r="O421" s="18"/>
      <c r="P421" s="18">
        <f>VLOOKUP($A421,MasterData!$C$1:$I$1995,1,FALSE)</f>
        <v>7552</v>
      </c>
      <c r="Q421" s="18" t="str">
        <f t="shared" si="2"/>
        <v>PURNA2025-OTO2</v>
      </c>
    </row>
    <row r="422" ht="15.75" hidden="1" customHeight="1">
      <c r="A422" s="15">
        <v>7576.0</v>
      </c>
      <c r="B422" s="22" t="s">
        <v>6666</v>
      </c>
      <c r="C422" s="16" t="s">
        <v>6667</v>
      </c>
      <c r="D422" s="18" t="s">
        <v>6668</v>
      </c>
      <c r="E422" s="18" t="s">
        <v>801</v>
      </c>
      <c r="F422" s="19" t="str">
        <f t="shared" si="1"/>
        <v>PURNA2025-OTO2</v>
      </c>
      <c r="G422" s="19" t="s">
        <v>5408</v>
      </c>
      <c r="H422" s="20" t="s">
        <v>14</v>
      </c>
      <c r="I422" s="19" t="s">
        <v>5409</v>
      </c>
      <c r="J422" s="19" t="s">
        <v>5410</v>
      </c>
      <c r="K422" s="21" t="s">
        <v>5464</v>
      </c>
      <c r="L422" s="19" t="s">
        <v>6637</v>
      </c>
      <c r="M422" s="16" t="s">
        <v>800</v>
      </c>
      <c r="N422" s="18" t="s">
        <v>5416</v>
      </c>
      <c r="O422" s="18"/>
      <c r="P422" s="18">
        <f>VLOOKUP($A422,MasterData!$C$1:$I$1995,1,FALSE)</f>
        <v>7576</v>
      </c>
      <c r="Q422" s="18" t="str">
        <f t="shared" si="2"/>
        <v>PURNA2025-OTO2</v>
      </c>
    </row>
    <row r="423" ht="15.75" hidden="1" customHeight="1">
      <c r="A423" s="15">
        <v>7580.0</v>
      </c>
      <c r="B423" s="22" t="s">
        <v>6669</v>
      </c>
      <c r="C423" s="16" t="s">
        <v>6670</v>
      </c>
      <c r="D423" s="18" t="s">
        <v>6671</v>
      </c>
      <c r="E423" s="18" t="s">
        <v>803</v>
      </c>
      <c r="F423" s="19" t="str">
        <f t="shared" si="1"/>
        <v>PURNA2025-OTO2</v>
      </c>
      <c r="G423" s="19" t="s">
        <v>5408</v>
      </c>
      <c r="H423" s="20" t="s">
        <v>14</v>
      </c>
      <c r="I423" s="19" t="s">
        <v>5409</v>
      </c>
      <c r="J423" s="19" t="s">
        <v>5410</v>
      </c>
      <c r="K423" s="21" t="s">
        <v>5464</v>
      </c>
      <c r="L423" s="19" t="s">
        <v>6637</v>
      </c>
      <c r="M423" s="16" t="s">
        <v>802</v>
      </c>
      <c r="N423" s="18" t="s">
        <v>5416</v>
      </c>
      <c r="O423" s="18"/>
      <c r="P423" s="18">
        <f>VLOOKUP($A423,MasterData!$C$1:$I$1995,1,FALSE)</f>
        <v>7580</v>
      </c>
      <c r="Q423" s="18" t="str">
        <f t="shared" si="2"/>
        <v>PURNA2025-OTO2</v>
      </c>
    </row>
    <row r="424" ht="15.75" hidden="1" customHeight="1">
      <c r="A424" s="15">
        <v>7599.0</v>
      </c>
      <c r="B424" s="22" t="s">
        <v>6672</v>
      </c>
      <c r="C424" s="16" t="s">
        <v>6673</v>
      </c>
      <c r="D424" s="18" t="s">
        <v>6674</v>
      </c>
      <c r="E424" s="18" t="s">
        <v>805</v>
      </c>
      <c r="F424" s="19" t="str">
        <f t="shared" si="1"/>
        <v>PURNA2025-OTO2</v>
      </c>
      <c r="G424" s="19" t="s">
        <v>5408</v>
      </c>
      <c r="H424" s="20" t="s">
        <v>14</v>
      </c>
      <c r="I424" s="19" t="s">
        <v>5409</v>
      </c>
      <c r="J424" s="19" t="s">
        <v>5410</v>
      </c>
      <c r="K424" s="21" t="s">
        <v>5464</v>
      </c>
      <c r="L424" s="19" t="s">
        <v>6637</v>
      </c>
      <c r="M424" s="16" t="s">
        <v>804</v>
      </c>
      <c r="N424" s="18" t="s">
        <v>5416</v>
      </c>
      <c r="O424" s="18"/>
      <c r="P424" s="18">
        <f>VLOOKUP($A424,MasterData!$C$1:$I$1995,1,FALSE)</f>
        <v>7599</v>
      </c>
      <c r="Q424" s="18" t="str">
        <f t="shared" si="2"/>
        <v>PURNA2025-OTO2</v>
      </c>
    </row>
    <row r="425" ht="15.75" hidden="1" customHeight="1">
      <c r="A425" s="15">
        <v>7626.0</v>
      </c>
      <c r="B425" s="22" t="s">
        <v>6675</v>
      </c>
      <c r="C425" s="16" t="s">
        <v>6676</v>
      </c>
      <c r="D425" s="18" t="s">
        <v>6677</v>
      </c>
      <c r="E425" s="18" t="s">
        <v>807</v>
      </c>
      <c r="F425" s="19" t="str">
        <f t="shared" si="1"/>
        <v>PURNA2025-OTO2</v>
      </c>
      <c r="G425" s="19" t="s">
        <v>5408</v>
      </c>
      <c r="H425" s="20" t="s">
        <v>14</v>
      </c>
      <c r="I425" s="19" t="s">
        <v>5409</v>
      </c>
      <c r="J425" s="19" t="s">
        <v>5410</v>
      </c>
      <c r="K425" s="21" t="s">
        <v>5464</v>
      </c>
      <c r="L425" s="19" t="s">
        <v>6637</v>
      </c>
      <c r="M425" s="16" t="s">
        <v>806</v>
      </c>
      <c r="N425" s="18" t="s">
        <v>5416</v>
      </c>
      <c r="O425" s="18"/>
      <c r="P425" s="18">
        <f>VLOOKUP($A425,MasterData!$C$1:$I$1995,1,FALSE)</f>
        <v>7626</v>
      </c>
      <c r="Q425" s="18" t="str">
        <f t="shared" si="2"/>
        <v>PURNA2025-OTO2</v>
      </c>
    </row>
    <row r="426" ht="15.75" hidden="1" customHeight="1">
      <c r="A426" s="15">
        <v>7640.0</v>
      </c>
      <c r="B426" s="22" t="s">
        <v>6678</v>
      </c>
      <c r="C426" s="26" t="s">
        <v>6679</v>
      </c>
      <c r="D426" s="18" t="s">
        <v>6680</v>
      </c>
      <c r="E426" s="18" t="s">
        <v>809</v>
      </c>
      <c r="F426" s="19" t="str">
        <f t="shared" si="1"/>
        <v>PURNA2025-OTO2</v>
      </c>
      <c r="G426" s="19" t="s">
        <v>5408</v>
      </c>
      <c r="H426" s="20" t="s">
        <v>14</v>
      </c>
      <c r="I426" s="19" t="s">
        <v>5409</v>
      </c>
      <c r="J426" s="19" t="s">
        <v>5410</v>
      </c>
      <c r="K426" s="21" t="s">
        <v>5464</v>
      </c>
      <c r="L426" s="19" t="s">
        <v>6637</v>
      </c>
      <c r="M426" s="16" t="s">
        <v>808</v>
      </c>
      <c r="N426" s="18" t="s">
        <v>5416</v>
      </c>
      <c r="O426" s="18"/>
      <c r="P426" s="18">
        <f>VLOOKUP($A426,MasterData!$C$1:$I$1995,1,FALSE)</f>
        <v>7640</v>
      </c>
      <c r="Q426" s="18" t="str">
        <f t="shared" si="2"/>
        <v>PURNA2025-OTO2</v>
      </c>
    </row>
    <row r="427" ht="15.75" hidden="1" customHeight="1">
      <c r="A427" s="15">
        <v>7686.0</v>
      </c>
      <c r="B427" s="22" t="s">
        <v>6681</v>
      </c>
      <c r="C427" s="16" t="s">
        <v>6682</v>
      </c>
      <c r="D427" s="18" t="s">
        <v>6683</v>
      </c>
      <c r="E427" s="18" t="s">
        <v>811</v>
      </c>
      <c r="F427" s="19" t="str">
        <f t="shared" si="1"/>
        <v>PURNA2025-OTO2</v>
      </c>
      <c r="G427" s="19" t="s">
        <v>5408</v>
      </c>
      <c r="H427" s="20" t="s">
        <v>14</v>
      </c>
      <c r="I427" s="19" t="s">
        <v>5409</v>
      </c>
      <c r="J427" s="19" t="s">
        <v>5410</v>
      </c>
      <c r="K427" s="21" t="s">
        <v>5464</v>
      </c>
      <c r="L427" s="19" t="s">
        <v>6637</v>
      </c>
      <c r="M427" s="16" t="s">
        <v>810</v>
      </c>
      <c r="N427" s="18" t="s">
        <v>5416</v>
      </c>
      <c r="O427" s="18"/>
      <c r="P427" s="18">
        <f>VLOOKUP($A427,MasterData!$C$1:$I$1995,1,FALSE)</f>
        <v>7686</v>
      </c>
      <c r="Q427" s="18" t="str">
        <f t="shared" si="2"/>
        <v>PURNA2025-OTO2</v>
      </c>
    </row>
    <row r="428" ht="15.75" hidden="1" customHeight="1">
      <c r="A428" s="15">
        <v>7721.0</v>
      </c>
      <c r="B428" s="22" t="s">
        <v>6684</v>
      </c>
      <c r="C428" s="16" t="s">
        <v>6685</v>
      </c>
      <c r="D428" s="18" t="s">
        <v>6686</v>
      </c>
      <c r="E428" s="18" t="s">
        <v>813</v>
      </c>
      <c r="F428" s="19" t="str">
        <f t="shared" si="1"/>
        <v>PURNA2025-OTO2</v>
      </c>
      <c r="G428" s="19" t="s">
        <v>5408</v>
      </c>
      <c r="H428" s="20" t="s">
        <v>14</v>
      </c>
      <c r="I428" s="19" t="s">
        <v>5409</v>
      </c>
      <c r="J428" s="19" t="s">
        <v>5410</v>
      </c>
      <c r="K428" s="21" t="s">
        <v>5464</v>
      </c>
      <c r="L428" s="19" t="s">
        <v>6637</v>
      </c>
      <c r="M428" s="16" t="s">
        <v>812</v>
      </c>
      <c r="N428" s="18" t="s">
        <v>5416</v>
      </c>
      <c r="O428" s="18"/>
      <c r="P428" s="18">
        <f>VLOOKUP($A428,MasterData!$C$1:$I$1995,1,FALSE)</f>
        <v>7721</v>
      </c>
      <c r="Q428" s="18" t="str">
        <f t="shared" si="2"/>
        <v>PURNA2025-OTO2</v>
      </c>
    </row>
    <row r="429" ht="15.75" hidden="1" customHeight="1">
      <c r="A429" s="15">
        <v>7738.0</v>
      </c>
      <c r="B429" s="22" t="s">
        <v>6687</v>
      </c>
      <c r="C429" s="16" t="s">
        <v>6688</v>
      </c>
      <c r="D429" s="18" t="s">
        <v>6689</v>
      </c>
      <c r="E429" s="18" t="s">
        <v>815</v>
      </c>
      <c r="F429" s="19" t="str">
        <f t="shared" si="1"/>
        <v>PURNA2025-OTO2</v>
      </c>
      <c r="G429" s="19" t="s">
        <v>5408</v>
      </c>
      <c r="H429" s="20" t="s">
        <v>14</v>
      </c>
      <c r="I429" s="19" t="s">
        <v>5409</v>
      </c>
      <c r="J429" s="19" t="s">
        <v>5410</v>
      </c>
      <c r="K429" s="21" t="s">
        <v>5464</v>
      </c>
      <c r="L429" s="19" t="s">
        <v>6637</v>
      </c>
      <c r="M429" s="16" t="s">
        <v>814</v>
      </c>
      <c r="N429" s="18" t="s">
        <v>5416</v>
      </c>
      <c r="O429" s="18"/>
      <c r="P429" s="18">
        <f>VLOOKUP($A429,MasterData!$C$1:$I$1995,1,FALSE)</f>
        <v>7738</v>
      </c>
      <c r="Q429" s="18" t="str">
        <f t="shared" si="2"/>
        <v>PURNA2025-OTO2</v>
      </c>
    </row>
    <row r="430" ht="15.75" hidden="1" customHeight="1">
      <c r="A430" s="15">
        <v>7770.0</v>
      </c>
      <c r="B430" s="22" t="s">
        <v>6690</v>
      </c>
      <c r="C430" s="16" t="s">
        <v>6691</v>
      </c>
      <c r="D430" s="18" t="s">
        <v>6692</v>
      </c>
      <c r="E430" s="18" t="s">
        <v>817</v>
      </c>
      <c r="F430" s="19" t="str">
        <f t="shared" si="1"/>
        <v>PURNA2025-OTO2</v>
      </c>
      <c r="G430" s="19" t="s">
        <v>5408</v>
      </c>
      <c r="H430" s="20" t="s">
        <v>14</v>
      </c>
      <c r="I430" s="19" t="s">
        <v>5409</v>
      </c>
      <c r="J430" s="19" t="s">
        <v>5410</v>
      </c>
      <c r="K430" s="21" t="s">
        <v>5464</v>
      </c>
      <c r="L430" s="19" t="s">
        <v>6637</v>
      </c>
      <c r="M430" s="16" t="s">
        <v>816</v>
      </c>
      <c r="N430" s="18" t="s">
        <v>5416</v>
      </c>
      <c r="O430" s="18"/>
      <c r="P430" s="18">
        <f>VLOOKUP($A430,MasterData!$C$1:$I$1995,1,FALSE)</f>
        <v>7770</v>
      </c>
      <c r="Q430" s="18" t="str">
        <f t="shared" si="2"/>
        <v>PURNA2025-OTO2</v>
      </c>
    </row>
    <row r="431" ht="15.75" hidden="1" customHeight="1">
      <c r="A431" s="15">
        <v>7775.0</v>
      </c>
      <c r="B431" s="22" t="s">
        <v>6693</v>
      </c>
      <c r="C431" s="16" t="s">
        <v>6694</v>
      </c>
      <c r="D431" s="18" t="s">
        <v>6695</v>
      </c>
      <c r="E431" s="18" t="s">
        <v>819</v>
      </c>
      <c r="F431" s="19" t="str">
        <f t="shared" si="1"/>
        <v>PURNA2025-OTO2</v>
      </c>
      <c r="G431" s="19" t="s">
        <v>5408</v>
      </c>
      <c r="H431" s="20" t="s">
        <v>14</v>
      </c>
      <c r="I431" s="19" t="s">
        <v>5409</v>
      </c>
      <c r="J431" s="19" t="s">
        <v>5410</v>
      </c>
      <c r="K431" s="21" t="s">
        <v>5464</v>
      </c>
      <c r="L431" s="19" t="s">
        <v>6637</v>
      </c>
      <c r="M431" s="16" t="s">
        <v>818</v>
      </c>
      <c r="N431" s="18" t="s">
        <v>5416</v>
      </c>
      <c r="O431" s="18"/>
      <c r="P431" s="18">
        <f>VLOOKUP($A431,MasterData!$C$1:$I$1995,1,FALSE)</f>
        <v>7775</v>
      </c>
      <c r="Q431" s="18" t="str">
        <f t="shared" si="2"/>
        <v>PURNA2025-OTO2</v>
      </c>
    </row>
    <row r="432" ht="15.75" hidden="1" customHeight="1">
      <c r="A432" s="15">
        <v>7783.0</v>
      </c>
      <c r="B432" s="22" t="s">
        <v>6696</v>
      </c>
      <c r="C432" s="26" t="s">
        <v>6697</v>
      </c>
      <c r="D432" s="18" t="s">
        <v>6698</v>
      </c>
      <c r="E432" s="18" t="s">
        <v>821</v>
      </c>
      <c r="F432" s="19" t="str">
        <f t="shared" si="1"/>
        <v>PURNA2025-OTO2</v>
      </c>
      <c r="G432" s="19" t="s">
        <v>5408</v>
      </c>
      <c r="H432" s="20" t="s">
        <v>14</v>
      </c>
      <c r="I432" s="19" t="s">
        <v>5409</v>
      </c>
      <c r="J432" s="19" t="s">
        <v>5410</v>
      </c>
      <c r="K432" s="21" t="s">
        <v>5464</v>
      </c>
      <c r="L432" s="19" t="s">
        <v>6637</v>
      </c>
      <c r="M432" s="16" t="s">
        <v>820</v>
      </c>
      <c r="N432" s="18" t="s">
        <v>5416</v>
      </c>
      <c r="O432" s="18"/>
      <c r="P432" s="18">
        <f>VLOOKUP($A432,MasterData!$C$1:$I$1995,1,FALSE)</f>
        <v>7783</v>
      </c>
      <c r="Q432" s="18" t="str">
        <f t="shared" si="2"/>
        <v>PURNA2025-OTO2</v>
      </c>
    </row>
    <row r="433" ht="15.75" hidden="1" customHeight="1">
      <c r="A433" s="15">
        <v>7790.0</v>
      </c>
      <c r="B433" s="22" t="s">
        <v>6699</v>
      </c>
      <c r="C433" s="16" t="s">
        <v>6700</v>
      </c>
      <c r="D433" s="18" t="s">
        <v>6701</v>
      </c>
      <c r="E433" s="18" t="s">
        <v>823</v>
      </c>
      <c r="F433" s="19" t="str">
        <f t="shared" si="1"/>
        <v>PURNA2025-OTO2</v>
      </c>
      <c r="G433" s="19" t="s">
        <v>5408</v>
      </c>
      <c r="H433" s="20" t="s">
        <v>14</v>
      </c>
      <c r="I433" s="19" t="s">
        <v>5409</v>
      </c>
      <c r="J433" s="19" t="s">
        <v>5410</v>
      </c>
      <c r="K433" s="21" t="s">
        <v>5464</v>
      </c>
      <c r="L433" s="19" t="s">
        <v>6637</v>
      </c>
      <c r="M433" s="16" t="s">
        <v>822</v>
      </c>
      <c r="N433" s="18" t="s">
        <v>5416</v>
      </c>
      <c r="O433" s="18"/>
      <c r="P433" s="18">
        <f>VLOOKUP($A433,MasterData!$C$1:$I$1995,1,FALSE)</f>
        <v>7790</v>
      </c>
      <c r="Q433" s="18" t="str">
        <f t="shared" si="2"/>
        <v>PURNA2025-OTO2</v>
      </c>
    </row>
    <row r="434" ht="15.75" hidden="1" customHeight="1">
      <c r="A434" s="15">
        <v>7842.0</v>
      </c>
      <c r="B434" s="22" t="s">
        <v>6702</v>
      </c>
      <c r="C434" s="16" t="s">
        <v>6703</v>
      </c>
      <c r="D434" s="18" t="s">
        <v>6704</v>
      </c>
      <c r="E434" s="18" t="s">
        <v>825</v>
      </c>
      <c r="F434" s="19" t="str">
        <f t="shared" si="1"/>
        <v>PURNA2025-OTO2</v>
      </c>
      <c r="G434" s="19" t="s">
        <v>5408</v>
      </c>
      <c r="H434" s="20" t="s">
        <v>14</v>
      </c>
      <c r="I434" s="19" t="s">
        <v>5409</v>
      </c>
      <c r="J434" s="19" t="s">
        <v>5410</v>
      </c>
      <c r="K434" s="21" t="s">
        <v>5464</v>
      </c>
      <c r="L434" s="19" t="s">
        <v>6637</v>
      </c>
      <c r="M434" s="16" t="s">
        <v>824</v>
      </c>
      <c r="N434" s="18" t="s">
        <v>5416</v>
      </c>
      <c r="O434" s="18"/>
      <c r="P434" s="18">
        <f>VLOOKUP($A434,MasterData!$C$1:$I$1995,1,FALSE)</f>
        <v>7842</v>
      </c>
      <c r="Q434" s="18" t="str">
        <f t="shared" si="2"/>
        <v>PURNA2025-OTO2</v>
      </c>
    </row>
    <row r="435" ht="15.75" hidden="1" customHeight="1">
      <c r="A435" s="15">
        <v>7869.0</v>
      </c>
      <c r="B435" s="22" t="s">
        <v>6705</v>
      </c>
      <c r="C435" s="16" t="s">
        <v>6706</v>
      </c>
      <c r="D435" s="18" t="s">
        <v>6707</v>
      </c>
      <c r="E435" s="18" t="s">
        <v>827</v>
      </c>
      <c r="F435" s="19" t="str">
        <f t="shared" si="1"/>
        <v>PURNA2025-OTO2</v>
      </c>
      <c r="G435" s="19" t="s">
        <v>5408</v>
      </c>
      <c r="H435" s="20" t="s">
        <v>14</v>
      </c>
      <c r="I435" s="19" t="s">
        <v>5409</v>
      </c>
      <c r="J435" s="19" t="s">
        <v>5410</v>
      </c>
      <c r="K435" s="21" t="s">
        <v>5464</v>
      </c>
      <c r="L435" s="19" t="s">
        <v>6637</v>
      </c>
      <c r="M435" s="16" t="s">
        <v>826</v>
      </c>
      <c r="N435" s="18" t="s">
        <v>5416</v>
      </c>
      <c r="O435" s="18"/>
      <c r="P435" s="18">
        <f>VLOOKUP($A435,MasterData!$C$1:$I$1995,1,FALSE)</f>
        <v>7869</v>
      </c>
      <c r="Q435" s="18" t="str">
        <f t="shared" si="2"/>
        <v>PURNA2025-OTO2</v>
      </c>
    </row>
    <row r="436" ht="15.75" hidden="1" customHeight="1">
      <c r="A436" s="15">
        <v>7874.0</v>
      </c>
      <c r="B436" s="22" t="s">
        <v>6708</v>
      </c>
      <c r="C436" s="16" t="s">
        <v>6709</v>
      </c>
      <c r="D436" s="18" t="s">
        <v>6710</v>
      </c>
      <c r="E436" s="18" t="s">
        <v>829</v>
      </c>
      <c r="F436" s="19" t="str">
        <f t="shared" si="1"/>
        <v>PURNA2025-OTO2</v>
      </c>
      <c r="G436" s="19" t="s">
        <v>5408</v>
      </c>
      <c r="H436" s="20" t="s">
        <v>14</v>
      </c>
      <c r="I436" s="19" t="s">
        <v>5409</v>
      </c>
      <c r="J436" s="19" t="s">
        <v>5410</v>
      </c>
      <c r="K436" s="21" t="s">
        <v>5464</v>
      </c>
      <c r="L436" s="19" t="s">
        <v>6637</v>
      </c>
      <c r="M436" s="16" t="s">
        <v>828</v>
      </c>
      <c r="N436" s="18" t="s">
        <v>5416</v>
      </c>
      <c r="O436" s="18"/>
      <c r="P436" s="18">
        <f>VLOOKUP($A436,MasterData!$C$1:$I$1995,1,FALSE)</f>
        <v>7874</v>
      </c>
      <c r="Q436" s="18" t="str">
        <f t="shared" si="2"/>
        <v>PURNA2025-OTO2</v>
      </c>
    </row>
    <row r="437" ht="15.75" hidden="1" customHeight="1">
      <c r="A437" s="15">
        <v>7903.0</v>
      </c>
      <c r="B437" s="22" t="s">
        <v>6711</v>
      </c>
      <c r="C437" s="16" t="s">
        <v>6712</v>
      </c>
      <c r="D437" s="18" t="s">
        <v>6713</v>
      </c>
      <c r="E437" s="18" t="s">
        <v>831</v>
      </c>
      <c r="F437" s="19" t="str">
        <f t="shared" si="1"/>
        <v>PURNA2025-OTO2</v>
      </c>
      <c r="G437" s="19" t="s">
        <v>5408</v>
      </c>
      <c r="H437" s="20" t="s">
        <v>14</v>
      </c>
      <c r="I437" s="19" t="s">
        <v>5409</v>
      </c>
      <c r="J437" s="19" t="s">
        <v>5410</v>
      </c>
      <c r="K437" s="21" t="s">
        <v>5464</v>
      </c>
      <c r="L437" s="19" t="s">
        <v>6637</v>
      </c>
      <c r="M437" s="16" t="s">
        <v>830</v>
      </c>
      <c r="N437" s="18" t="s">
        <v>5416</v>
      </c>
      <c r="O437" s="18"/>
      <c r="P437" s="18">
        <f>VLOOKUP($A437,MasterData!$C$1:$I$1995,1,FALSE)</f>
        <v>7903</v>
      </c>
      <c r="Q437" s="18" t="str">
        <f t="shared" si="2"/>
        <v>PURNA2025-OTO2</v>
      </c>
    </row>
    <row r="438" ht="15.75" hidden="1" customHeight="1">
      <c r="A438" s="15">
        <v>7914.0</v>
      </c>
      <c r="B438" s="22" t="s">
        <v>6714</v>
      </c>
      <c r="C438" s="16" t="s">
        <v>6715</v>
      </c>
      <c r="D438" s="18" t="s">
        <v>6716</v>
      </c>
      <c r="E438" s="18" t="s">
        <v>833</v>
      </c>
      <c r="F438" s="19" t="str">
        <f t="shared" si="1"/>
        <v>PURNA2025-OTO2</v>
      </c>
      <c r="G438" s="19" t="s">
        <v>5408</v>
      </c>
      <c r="H438" s="20" t="s">
        <v>14</v>
      </c>
      <c r="I438" s="19" t="s">
        <v>5409</v>
      </c>
      <c r="J438" s="19" t="s">
        <v>5410</v>
      </c>
      <c r="K438" s="21" t="s">
        <v>5464</v>
      </c>
      <c r="L438" s="19" t="s">
        <v>6637</v>
      </c>
      <c r="M438" s="16" t="s">
        <v>832</v>
      </c>
      <c r="N438" s="18" t="s">
        <v>5416</v>
      </c>
      <c r="O438" s="18"/>
      <c r="P438" s="18">
        <f>VLOOKUP($A438,MasterData!$C$1:$I$1995,1,FALSE)</f>
        <v>7914</v>
      </c>
      <c r="Q438" s="18" t="str">
        <f t="shared" si="2"/>
        <v>PURNA2025-OTO2</v>
      </c>
    </row>
    <row r="439" ht="15.75" hidden="1" customHeight="1">
      <c r="A439" s="15">
        <v>7932.0</v>
      </c>
      <c r="B439" s="22" t="s">
        <v>6717</v>
      </c>
      <c r="C439" s="16" t="s">
        <v>6718</v>
      </c>
      <c r="D439" s="18" t="s">
        <v>6719</v>
      </c>
      <c r="E439" s="18" t="s">
        <v>835</v>
      </c>
      <c r="F439" s="19" t="str">
        <f t="shared" si="1"/>
        <v>PURNA2025-OTO2</v>
      </c>
      <c r="G439" s="19" t="s">
        <v>5408</v>
      </c>
      <c r="H439" s="20" t="s">
        <v>14</v>
      </c>
      <c r="I439" s="19" t="s">
        <v>5409</v>
      </c>
      <c r="J439" s="19" t="s">
        <v>5410</v>
      </c>
      <c r="K439" s="21" t="s">
        <v>5464</v>
      </c>
      <c r="L439" s="19" t="s">
        <v>6637</v>
      </c>
      <c r="M439" s="16" t="s">
        <v>834</v>
      </c>
      <c r="N439" s="18" t="s">
        <v>5416</v>
      </c>
      <c r="O439" s="18"/>
      <c r="P439" s="18">
        <f>VLOOKUP($A439,MasterData!$C$1:$I$1995,1,FALSE)</f>
        <v>7932</v>
      </c>
      <c r="Q439" s="18" t="str">
        <f t="shared" si="2"/>
        <v>PURNA2025-OTO2</v>
      </c>
    </row>
    <row r="440" ht="15.75" hidden="1" customHeight="1">
      <c r="A440" s="15">
        <v>7970.0</v>
      </c>
      <c r="B440" s="22" t="s">
        <v>6720</v>
      </c>
      <c r="C440" s="16" t="s">
        <v>6721</v>
      </c>
      <c r="D440" s="18" t="s">
        <v>6722</v>
      </c>
      <c r="E440" s="18" t="s">
        <v>837</v>
      </c>
      <c r="F440" s="19" t="str">
        <f t="shared" si="1"/>
        <v>PURNA2025-OTO2</v>
      </c>
      <c r="G440" s="19" t="s">
        <v>5408</v>
      </c>
      <c r="H440" s="20" t="s">
        <v>14</v>
      </c>
      <c r="I440" s="19" t="s">
        <v>5409</v>
      </c>
      <c r="J440" s="19" t="s">
        <v>5410</v>
      </c>
      <c r="K440" s="21" t="s">
        <v>5464</v>
      </c>
      <c r="L440" s="19" t="s">
        <v>6637</v>
      </c>
      <c r="M440" s="16" t="s">
        <v>836</v>
      </c>
      <c r="N440" s="18" t="s">
        <v>5416</v>
      </c>
      <c r="O440" s="18"/>
      <c r="P440" s="18">
        <f>VLOOKUP($A440,MasterData!$C$1:$I$1995,1,FALSE)</f>
        <v>7970</v>
      </c>
      <c r="Q440" s="18" t="str">
        <f t="shared" si="2"/>
        <v>PURNA2025-OTO2</v>
      </c>
    </row>
    <row r="441" ht="15.75" hidden="1" customHeight="1">
      <c r="A441" s="15">
        <v>7999.0</v>
      </c>
      <c r="B441" s="22" t="s">
        <v>6723</v>
      </c>
      <c r="C441" s="16" t="s">
        <v>6724</v>
      </c>
      <c r="D441" s="18" t="s">
        <v>6725</v>
      </c>
      <c r="E441" s="18" t="s">
        <v>839</v>
      </c>
      <c r="F441" s="19" t="str">
        <f t="shared" si="1"/>
        <v>PURNA2025-OTO2</v>
      </c>
      <c r="G441" s="19" t="s">
        <v>5408</v>
      </c>
      <c r="H441" s="20" t="s">
        <v>14</v>
      </c>
      <c r="I441" s="19" t="s">
        <v>5409</v>
      </c>
      <c r="J441" s="19" t="s">
        <v>5410</v>
      </c>
      <c r="K441" s="21" t="s">
        <v>5464</v>
      </c>
      <c r="L441" s="19" t="s">
        <v>6637</v>
      </c>
      <c r="M441" s="16" t="s">
        <v>838</v>
      </c>
      <c r="N441" s="18" t="s">
        <v>5416</v>
      </c>
      <c r="O441" s="18"/>
      <c r="P441" s="18">
        <f>VLOOKUP($A441,MasterData!$C$1:$I$1995,1,FALSE)</f>
        <v>7999</v>
      </c>
      <c r="Q441" s="18" t="str">
        <f t="shared" si="2"/>
        <v>PURNA2025-OTO2</v>
      </c>
    </row>
    <row r="442" ht="15.75" hidden="1" customHeight="1">
      <c r="A442" s="15">
        <v>7418.0</v>
      </c>
      <c r="B442" s="22" t="s">
        <v>6726</v>
      </c>
      <c r="C442" s="16" t="s">
        <v>6727</v>
      </c>
      <c r="D442" s="18" t="s">
        <v>6728</v>
      </c>
      <c r="E442" s="18" t="s">
        <v>845</v>
      </c>
      <c r="F442" s="19" t="str">
        <f t="shared" si="1"/>
        <v>PURNA2025-OTO3</v>
      </c>
      <c r="G442" s="19" t="s">
        <v>5408</v>
      </c>
      <c r="H442" s="20" t="s">
        <v>14</v>
      </c>
      <c r="I442" s="19" t="s">
        <v>5409</v>
      </c>
      <c r="J442" s="19" t="s">
        <v>5410</v>
      </c>
      <c r="K442" s="21" t="s">
        <v>5464</v>
      </c>
      <c r="L442" s="19" t="s">
        <v>6729</v>
      </c>
      <c r="M442" s="16" t="s">
        <v>844</v>
      </c>
      <c r="N442" s="18" t="s">
        <v>5416</v>
      </c>
      <c r="O442" s="18"/>
      <c r="P442" s="18">
        <f>VLOOKUP($A442,MasterData!$C$1:$I$1995,1,FALSE)</f>
        <v>7418</v>
      </c>
      <c r="Q442" s="18" t="str">
        <f t="shared" si="2"/>
        <v>PURNA2025-OTO3</v>
      </c>
    </row>
    <row r="443" ht="15.75" hidden="1" customHeight="1">
      <c r="A443" s="15">
        <v>7426.0</v>
      </c>
      <c r="B443" s="22" t="s">
        <v>6730</v>
      </c>
      <c r="C443" s="16" t="s">
        <v>6731</v>
      </c>
      <c r="D443" s="18" t="s">
        <v>6732</v>
      </c>
      <c r="E443" s="18" t="s">
        <v>847</v>
      </c>
      <c r="F443" s="19" t="str">
        <f t="shared" si="1"/>
        <v>PURNA2025-OTO3</v>
      </c>
      <c r="G443" s="19" t="s">
        <v>5408</v>
      </c>
      <c r="H443" s="20" t="s">
        <v>14</v>
      </c>
      <c r="I443" s="19" t="s">
        <v>5409</v>
      </c>
      <c r="J443" s="19" t="s">
        <v>5410</v>
      </c>
      <c r="K443" s="21" t="s">
        <v>5464</v>
      </c>
      <c r="L443" s="19" t="s">
        <v>6729</v>
      </c>
      <c r="M443" s="16" t="s">
        <v>846</v>
      </c>
      <c r="N443" s="18" t="s">
        <v>5416</v>
      </c>
      <c r="O443" s="18"/>
      <c r="P443" s="18">
        <f>VLOOKUP($A443,MasterData!$C$1:$I$1995,1,FALSE)</f>
        <v>7426</v>
      </c>
      <c r="Q443" s="18" t="str">
        <f t="shared" si="2"/>
        <v>PURNA2025-OTO3</v>
      </c>
    </row>
    <row r="444" ht="15.75" hidden="1" customHeight="1">
      <c r="A444" s="15">
        <v>7454.0</v>
      </c>
      <c r="B444" s="22" t="s">
        <v>6733</v>
      </c>
      <c r="C444" s="16" t="s">
        <v>6734</v>
      </c>
      <c r="D444" s="18" t="s">
        <v>6735</v>
      </c>
      <c r="E444" s="18" t="s">
        <v>849</v>
      </c>
      <c r="F444" s="19" t="str">
        <f t="shared" si="1"/>
        <v>PURNA2025-OTO3</v>
      </c>
      <c r="G444" s="19" t="s">
        <v>5408</v>
      </c>
      <c r="H444" s="20" t="s">
        <v>14</v>
      </c>
      <c r="I444" s="19" t="s">
        <v>5409</v>
      </c>
      <c r="J444" s="19" t="s">
        <v>5410</v>
      </c>
      <c r="K444" s="21" t="s">
        <v>5464</v>
      </c>
      <c r="L444" s="19" t="s">
        <v>6729</v>
      </c>
      <c r="M444" s="16" t="s">
        <v>848</v>
      </c>
      <c r="N444" s="18" t="s">
        <v>5416</v>
      </c>
      <c r="O444" s="18"/>
      <c r="P444" s="18">
        <f>VLOOKUP($A444,MasterData!$C$1:$I$1995,1,FALSE)</f>
        <v>7454</v>
      </c>
      <c r="Q444" s="18" t="str">
        <f t="shared" si="2"/>
        <v>PURNA2025-OTO3</v>
      </c>
    </row>
    <row r="445" ht="15.75" hidden="1" customHeight="1">
      <c r="A445" s="15">
        <v>7474.0</v>
      </c>
      <c r="B445" s="22" t="s">
        <v>6736</v>
      </c>
      <c r="C445" s="16" t="s">
        <v>6737</v>
      </c>
      <c r="D445" s="18" t="s">
        <v>6738</v>
      </c>
      <c r="E445" s="18" t="s">
        <v>851</v>
      </c>
      <c r="F445" s="19" t="str">
        <f t="shared" si="1"/>
        <v>PURNA2025-OTO3</v>
      </c>
      <c r="G445" s="19" t="s">
        <v>5408</v>
      </c>
      <c r="H445" s="20" t="s">
        <v>14</v>
      </c>
      <c r="I445" s="19" t="s">
        <v>5409</v>
      </c>
      <c r="J445" s="19" t="s">
        <v>5410</v>
      </c>
      <c r="K445" s="21" t="s">
        <v>5464</v>
      </c>
      <c r="L445" s="19" t="s">
        <v>6729</v>
      </c>
      <c r="M445" s="16" t="s">
        <v>850</v>
      </c>
      <c r="N445" s="18" t="s">
        <v>5416</v>
      </c>
      <c r="O445" s="18"/>
      <c r="P445" s="18">
        <f>VLOOKUP($A445,MasterData!$C$1:$I$1995,1,FALSE)</f>
        <v>7474</v>
      </c>
      <c r="Q445" s="18" t="str">
        <f t="shared" si="2"/>
        <v>PURNA2025-OTO3</v>
      </c>
    </row>
    <row r="446" ht="15.75" hidden="1" customHeight="1">
      <c r="A446" s="15">
        <v>7480.0</v>
      </c>
      <c r="B446" s="22" t="s">
        <v>6739</v>
      </c>
      <c r="C446" s="16" t="s">
        <v>6740</v>
      </c>
      <c r="D446" s="18" t="s">
        <v>6741</v>
      </c>
      <c r="E446" s="18" t="s">
        <v>853</v>
      </c>
      <c r="F446" s="19" t="str">
        <f t="shared" si="1"/>
        <v>PURNA2025-OTO3</v>
      </c>
      <c r="G446" s="19" t="s">
        <v>5408</v>
      </c>
      <c r="H446" s="20" t="s">
        <v>14</v>
      </c>
      <c r="I446" s="19" t="s">
        <v>5409</v>
      </c>
      <c r="J446" s="19" t="s">
        <v>5410</v>
      </c>
      <c r="K446" s="21" t="s">
        <v>5464</v>
      </c>
      <c r="L446" s="19" t="s">
        <v>6729</v>
      </c>
      <c r="M446" s="16" t="s">
        <v>852</v>
      </c>
      <c r="N446" s="18" t="s">
        <v>5416</v>
      </c>
      <c r="O446" s="18"/>
      <c r="P446" s="18">
        <f>VLOOKUP($A446,MasterData!$C$1:$I$1995,1,FALSE)</f>
        <v>7480</v>
      </c>
      <c r="Q446" s="18" t="str">
        <f t="shared" si="2"/>
        <v>PURNA2025-OTO3</v>
      </c>
    </row>
    <row r="447" ht="15.75" hidden="1" customHeight="1">
      <c r="A447" s="15">
        <v>7507.0</v>
      </c>
      <c r="B447" s="22" t="s">
        <v>6742</v>
      </c>
      <c r="C447" s="16" t="s">
        <v>6743</v>
      </c>
      <c r="D447" s="18" t="s">
        <v>6744</v>
      </c>
      <c r="E447" s="18" t="s">
        <v>855</v>
      </c>
      <c r="F447" s="19" t="str">
        <f t="shared" si="1"/>
        <v>PURNA2025-OTO3</v>
      </c>
      <c r="G447" s="19" t="s">
        <v>5408</v>
      </c>
      <c r="H447" s="20" t="s">
        <v>14</v>
      </c>
      <c r="I447" s="19" t="s">
        <v>5409</v>
      </c>
      <c r="J447" s="19" t="s">
        <v>5410</v>
      </c>
      <c r="K447" s="21" t="s">
        <v>5464</v>
      </c>
      <c r="L447" s="19" t="s">
        <v>6729</v>
      </c>
      <c r="M447" s="16" t="s">
        <v>854</v>
      </c>
      <c r="N447" s="18" t="s">
        <v>5416</v>
      </c>
      <c r="O447" s="18"/>
      <c r="P447" s="18">
        <f>VLOOKUP($A447,MasterData!$C$1:$I$1995,1,FALSE)</f>
        <v>7507</v>
      </c>
      <c r="Q447" s="18" t="str">
        <f t="shared" si="2"/>
        <v>PURNA2025-OTO3</v>
      </c>
    </row>
    <row r="448" ht="15.75" hidden="1" customHeight="1">
      <c r="A448" s="15">
        <v>7517.0</v>
      </c>
      <c r="B448" s="22" t="s">
        <v>6745</v>
      </c>
      <c r="C448" s="16" t="s">
        <v>6746</v>
      </c>
      <c r="D448" s="18" t="s">
        <v>6747</v>
      </c>
      <c r="E448" s="18" t="s">
        <v>857</v>
      </c>
      <c r="F448" s="19" t="str">
        <f t="shared" si="1"/>
        <v>PURNA2025-OTO3</v>
      </c>
      <c r="G448" s="19" t="s">
        <v>5408</v>
      </c>
      <c r="H448" s="20" t="s">
        <v>14</v>
      </c>
      <c r="I448" s="19" t="s">
        <v>5409</v>
      </c>
      <c r="J448" s="19" t="s">
        <v>5410</v>
      </c>
      <c r="K448" s="21" t="s">
        <v>5464</v>
      </c>
      <c r="L448" s="19" t="s">
        <v>6729</v>
      </c>
      <c r="M448" s="16" t="s">
        <v>856</v>
      </c>
      <c r="N448" s="18" t="s">
        <v>5416</v>
      </c>
      <c r="O448" s="18"/>
      <c r="P448" s="18">
        <f>VLOOKUP($A448,MasterData!$C$1:$I$1995,1,FALSE)</f>
        <v>7517</v>
      </c>
      <c r="Q448" s="18" t="str">
        <f t="shared" si="2"/>
        <v>PURNA2025-OTO3</v>
      </c>
    </row>
    <row r="449" ht="15.75" hidden="1" customHeight="1">
      <c r="A449" s="15">
        <v>7531.0</v>
      </c>
      <c r="B449" s="22" t="s">
        <v>6748</v>
      </c>
      <c r="C449" s="16" t="s">
        <v>6749</v>
      </c>
      <c r="D449" s="18" t="s">
        <v>6750</v>
      </c>
      <c r="E449" s="18" t="s">
        <v>859</v>
      </c>
      <c r="F449" s="19" t="str">
        <f t="shared" si="1"/>
        <v>PURNA2025-OTO3</v>
      </c>
      <c r="G449" s="19" t="s">
        <v>5408</v>
      </c>
      <c r="H449" s="20" t="s">
        <v>14</v>
      </c>
      <c r="I449" s="19" t="s">
        <v>5409</v>
      </c>
      <c r="J449" s="19" t="s">
        <v>5410</v>
      </c>
      <c r="K449" s="21" t="s">
        <v>5464</v>
      </c>
      <c r="L449" s="19" t="s">
        <v>6729</v>
      </c>
      <c r="M449" s="16" t="s">
        <v>858</v>
      </c>
      <c r="N449" s="18" t="s">
        <v>5416</v>
      </c>
      <c r="O449" s="18"/>
      <c r="P449" s="18">
        <f>VLOOKUP($A449,MasterData!$C$1:$I$1995,1,FALSE)</f>
        <v>7531</v>
      </c>
      <c r="Q449" s="18" t="str">
        <f t="shared" si="2"/>
        <v>PURNA2025-OTO3</v>
      </c>
    </row>
    <row r="450" ht="15.75" hidden="1" customHeight="1">
      <c r="A450" s="15">
        <v>7546.0</v>
      </c>
      <c r="B450" s="22" t="s">
        <v>6751</v>
      </c>
      <c r="C450" s="16" t="s">
        <v>6752</v>
      </c>
      <c r="D450" s="18" t="s">
        <v>6753</v>
      </c>
      <c r="E450" s="18" t="s">
        <v>861</v>
      </c>
      <c r="F450" s="19" t="str">
        <f t="shared" si="1"/>
        <v>PURNA2025-OTO3</v>
      </c>
      <c r="G450" s="19" t="s">
        <v>5408</v>
      </c>
      <c r="H450" s="20" t="s">
        <v>14</v>
      </c>
      <c r="I450" s="19" t="s">
        <v>5409</v>
      </c>
      <c r="J450" s="19" t="s">
        <v>5410</v>
      </c>
      <c r="K450" s="21" t="s">
        <v>5464</v>
      </c>
      <c r="L450" s="19" t="s">
        <v>6729</v>
      </c>
      <c r="M450" s="16" t="s">
        <v>860</v>
      </c>
      <c r="N450" s="18" t="s">
        <v>5416</v>
      </c>
      <c r="O450" s="18"/>
      <c r="P450" s="18">
        <f>VLOOKUP($A450,MasterData!$C$1:$I$1995,1,FALSE)</f>
        <v>7546</v>
      </c>
      <c r="Q450" s="18" t="str">
        <f t="shared" si="2"/>
        <v>PURNA2025-OTO3</v>
      </c>
    </row>
    <row r="451" ht="15.75" hidden="1" customHeight="1">
      <c r="A451" s="15">
        <v>7553.0</v>
      </c>
      <c r="B451" s="22" t="s">
        <v>6754</v>
      </c>
      <c r="C451" s="16" t="s">
        <v>6755</v>
      </c>
      <c r="D451" s="18" t="s">
        <v>6756</v>
      </c>
      <c r="E451" s="18" t="s">
        <v>863</v>
      </c>
      <c r="F451" s="19" t="str">
        <f t="shared" si="1"/>
        <v>PURNA2025-OTO3</v>
      </c>
      <c r="G451" s="19" t="s">
        <v>5408</v>
      </c>
      <c r="H451" s="20" t="s">
        <v>14</v>
      </c>
      <c r="I451" s="19" t="s">
        <v>5409</v>
      </c>
      <c r="J451" s="19" t="s">
        <v>5410</v>
      </c>
      <c r="K451" s="21" t="s">
        <v>5464</v>
      </c>
      <c r="L451" s="19" t="s">
        <v>6729</v>
      </c>
      <c r="M451" s="16" t="s">
        <v>862</v>
      </c>
      <c r="N451" s="18" t="s">
        <v>5416</v>
      </c>
      <c r="O451" s="18"/>
      <c r="P451" s="18">
        <f>VLOOKUP($A451,MasterData!$C$1:$I$1995,1,FALSE)</f>
        <v>7553</v>
      </c>
      <c r="Q451" s="18" t="str">
        <f t="shared" si="2"/>
        <v>PURNA2025-OTO3</v>
      </c>
    </row>
    <row r="452" ht="15.75" hidden="1" customHeight="1">
      <c r="A452" s="15">
        <v>7577.0</v>
      </c>
      <c r="B452" s="22" t="s">
        <v>6757</v>
      </c>
      <c r="C452" s="16" t="s">
        <v>6758</v>
      </c>
      <c r="D452" s="18" t="s">
        <v>6759</v>
      </c>
      <c r="E452" s="18" t="s">
        <v>865</v>
      </c>
      <c r="F452" s="19" t="str">
        <f t="shared" si="1"/>
        <v>PURNA2025-OTO3</v>
      </c>
      <c r="G452" s="19" t="s">
        <v>5408</v>
      </c>
      <c r="H452" s="20" t="s">
        <v>14</v>
      </c>
      <c r="I452" s="19" t="s">
        <v>5409</v>
      </c>
      <c r="J452" s="19" t="s">
        <v>5410</v>
      </c>
      <c r="K452" s="21" t="s">
        <v>5464</v>
      </c>
      <c r="L452" s="19" t="s">
        <v>6729</v>
      </c>
      <c r="M452" s="16" t="s">
        <v>864</v>
      </c>
      <c r="N452" s="18" t="s">
        <v>5416</v>
      </c>
      <c r="O452" s="18"/>
      <c r="P452" s="18">
        <f>VLOOKUP($A452,MasterData!$C$1:$I$1995,1,FALSE)</f>
        <v>7577</v>
      </c>
      <c r="Q452" s="18" t="str">
        <f t="shared" si="2"/>
        <v>PURNA2025-OTO3</v>
      </c>
    </row>
    <row r="453" ht="15.75" hidden="1" customHeight="1">
      <c r="A453" s="15">
        <v>7588.0</v>
      </c>
      <c r="B453" s="22" t="s">
        <v>6760</v>
      </c>
      <c r="C453" s="16" t="s">
        <v>6761</v>
      </c>
      <c r="D453" s="18" t="s">
        <v>6762</v>
      </c>
      <c r="E453" s="18" t="s">
        <v>867</v>
      </c>
      <c r="F453" s="19" t="str">
        <f t="shared" si="1"/>
        <v>PURNA2025-OTO3</v>
      </c>
      <c r="G453" s="19" t="s">
        <v>5408</v>
      </c>
      <c r="H453" s="20" t="s">
        <v>14</v>
      </c>
      <c r="I453" s="19" t="s">
        <v>5409</v>
      </c>
      <c r="J453" s="19" t="s">
        <v>5410</v>
      </c>
      <c r="K453" s="21" t="s">
        <v>5464</v>
      </c>
      <c r="L453" s="19" t="s">
        <v>6729</v>
      </c>
      <c r="M453" s="16" t="s">
        <v>866</v>
      </c>
      <c r="N453" s="18" t="s">
        <v>5416</v>
      </c>
      <c r="O453" s="18"/>
      <c r="P453" s="18">
        <f>VLOOKUP($A453,MasterData!$C$1:$I$1995,1,FALSE)</f>
        <v>7588</v>
      </c>
      <c r="Q453" s="18" t="str">
        <f t="shared" si="2"/>
        <v>PURNA2025-OTO3</v>
      </c>
    </row>
    <row r="454" ht="15.75" hidden="1" customHeight="1">
      <c r="A454" s="15">
        <v>7600.0</v>
      </c>
      <c r="B454" s="22" t="s">
        <v>6763</v>
      </c>
      <c r="C454" s="16" t="s">
        <v>6764</v>
      </c>
      <c r="D454" s="18" t="s">
        <v>6765</v>
      </c>
      <c r="E454" s="18" t="s">
        <v>869</v>
      </c>
      <c r="F454" s="19" t="str">
        <f t="shared" si="1"/>
        <v>PURNA2025-OTO3</v>
      </c>
      <c r="G454" s="19" t="s">
        <v>5408</v>
      </c>
      <c r="H454" s="20" t="s">
        <v>14</v>
      </c>
      <c r="I454" s="19" t="s">
        <v>5409</v>
      </c>
      <c r="J454" s="19" t="s">
        <v>5410</v>
      </c>
      <c r="K454" s="21" t="s">
        <v>5464</v>
      </c>
      <c r="L454" s="19" t="s">
        <v>6729</v>
      </c>
      <c r="M454" s="16" t="s">
        <v>868</v>
      </c>
      <c r="N454" s="18" t="s">
        <v>5416</v>
      </c>
      <c r="O454" s="18"/>
      <c r="P454" s="18">
        <f>VLOOKUP($A454,MasterData!$C$1:$I$1995,1,FALSE)</f>
        <v>7600</v>
      </c>
      <c r="Q454" s="18" t="str">
        <f t="shared" si="2"/>
        <v>PURNA2025-OTO3</v>
      </c>
    </row>
    <row r="455" ht="15.75" hidden="1" customHeight="1">
      <c r="A455" s="15">
        <v>7628.0</v>
      </c>
      <c r="B455" s="22" t="s">
        <v>6766</v>
      </c>
      <c r="C455" s="16" t="s">
        <v>6767</v>
      </c>
      <c r="D455" s="18" t="s">
        <v>6768</v>
      </c>
      <c r="E455" s="18" t="s">
        <v>871</v>
      </c>
      <c r="F455" s="19" t="str">
        <f t="shared" si="1"/>
        <v>PURNA2025-OTO3</v>
      </c>
      <c r="G455" s="19" t="s">
        <v>5408</v>
      </c>
      <c r="H455" s="20" t="s">
        <v>14</v>
      </c>
      <c r="I455" s="19" t="s">
        <v>5409</v>
      </c>
      <c r="J455" s="19" t="s">
        <v>5410</v>
      </c>
      <c r="K455" s="21" t="s">
        <v>5464</v>
      </c>
      <c r="L455" s="19" t="s">
        <v>6729</v>
      </c>
      <c r="M455" s="16" t="s">
        <v>870</v>
      </c>
      <c r="N455" s="18" t="s">
        <v>5416</v>
      </c>
      <c r="O455" s="18"/>
      <c r="P455" s="18">
        <f>VLOOKUP($A455,MasterData!$C$1:$I$1995,1,FALSE)</f>
        <v>7628</v>
      </c>
      <c r="Q455" s="18" t="str">
        <f t="shared" si="2"/>
        <v>PURNA2025-OTO3</v>
      </c>
    </row>
    <row r="456" ht="15.75" hidden="1" customHeight="1">
      <c r="A456" s="15">
        <v>7642.0</v>
      </c>
      <c r="B456" s="22" t="s">
        <v>6769</v>
      </c>
      <c r="C456" s="16" t="s">
        <v>6770</v>
      </c>
      <c r="D456" s="18" t="s">
        <v>6771</v>
      </c>
      <c r="E456" s="18" t="s">
        <v>873</v>
      </c>
      <c r="F456" s="19" t="str">
        <f t="shared" si="1"/>
        <v>PURNA2025-OTO3</v>
      </c>
      <c r="G456" s="19" t="s">
        <v>5408</v>
      </c>
      <c r="H456" s="20" t="s">
        <v>14</v>
      </c>
      <c r="I456" s="19" t="s">
        <v>5409</v>
      </c>
      <c r="J456" s="19" t="s">
        <v>5410</v>
      </c>
      <c r="K456" s="21" t="s">
        <v>5464</v>
      </c>
      <c r="L456" s="19" t="s">
        <v>6729</v>
      </c>
      <c r="M456" s="16" t="s">
        <v>872</v>
      </c>
      <c r="N456" s="18" t="s">
        <v>5416</v>
      </c>
      <c r="O456" s="18"/>
      <c r="P456" s="18">
        <f>VLOOKUP($A456,MasterData!$C$1:$I$1995,1,FALSE)</f>
        <v>7642</v>
      </c>
      <c r="Q456" s="18" t="str">
        <f t="shared" si="2"/>
        <v>PURNA2025-OTO3</v>
      </c>
    </row>
    <row r="457" ht="15.75" hidden="1" customHeight="1">
      <c r="A457" s="15">
        <v>7691.0</v>
      </c>
      <c r="B457" s="22" t="s">
        <v>6772</v>
      </c>
      <c r="C457" s="16" t="s">
        <v>6773</v>
      </c>
      <c r="D457" s="18" t="s">
        <v>6774</v>
      </c>
      <c r="E457" s="18" t="s">
        <v>875</v>
      </c>
      <c r="F457" s="19" t="str">
        <f t="shared" si="1"/>
        <v>PURNA2025-OTO3</v>
      </c>
      <c r="G457" s="19" t="s">
        <v>5408</v>
      </c>
      <c r="H457" s="20" t="s">
        <v>14</v>
      </c>
      <c r="I457" s="19" t="s">
        <v>5409</v>
      </c>
      <c r="J457" s="19" t="s">
        <v>5410</v>
      </c>
      <c r="K457" s="21" t="s">
        <v>5464</v>
      </c>
      <c r="L457" s="19" t="s">
        <v>6729</v>
      </c>
      <c r="M457" s="16" t="s">
        <v>874</v>
      </c>
      <c r="N457" s="18" t="s">
        <v>5416</v>
      </c>
      <c r="O457" s="18"/>
      <c r="P457" s="18">
        <f>VLOOKUP($A457,MasterData!$C$1:$I$1995,1,FALSE)</f>
        <v>7691</v>
      </c>
      <c r="Q457" s="18" t="str">
        <f t="shared" si="2"/>
        <v>PURNA2025-OTO3</v>
      </c>
    </row>
    <row r="458" ht="15.75" hidden="1" customHeight="1">
      <c r="A458" s="15">
        <v>7709.0</v>
      </c>
      <c r="B458" s="22" t="s">
        <v>6775</v>
      </c>
      <c r="C458" s="16" t="s">
        <v>6776</v>
      </c>
      <c r="D458" s="18" t="s">
        <v>6777</v>
      </c>
      <c r="E458" s="18" t="s">
        <v>877</v>
      </c>
      <c r="F458" s="19" t="str">
        <f t="shared" si="1"/>
        <v>PURNA2025-OTO3</v>
      </c>
      <c r="G458" s="19" t="s">
        <v>5408</v>
      </c>
      <c r="H458" s="20" t="s">
        <v>14</v>
      </c>
      <c r="I458" s="19" t="s">
        <v>5409</v>
      </c>
      <c r="J458" s="19" t="s">
        <v>5410</v>
      </c>
      <c r="K458" s="21" t="s">
        <v>5464</v>
      </c>
      <c r="L458" s="19" t="s">
        <v>6729</v>
      </c>
      <c r="M458" s="16" t="s">
        <v>876</v>
      </c>
      <c r="N458" s="18" t="s">
        <v>5416</v>
      </c>
      <c r="O458" s="18"/>
      <c r="P458" s="18">
        <f>VLOOKUP($A458,MasterData!$C$1:$I$1995,1,FALSE)</f>
        <v>7709</v>
      </c>
      <c r="Q458" s="18" t="str">
        <f t="shared" si="2"/>
        <v>PURNA2025-OTO3</v>
      </c>
    </row>
    <row r="459" ht="15.75" hidden="1" customHeight="1">
      <c r="A459" s="15">
        <v>7732.0</v>
      </c>
      <c r="B459" s="22" t="s">
        <v>6778</v>
      </c>
      <c r="C459" s="16" t="s">
        <v>6779</v>
      </c>
      <c r="D459" s="18" t="s">
        <v>6780</v>
      </c>
      <c r="E459" s="18" t="s">
        <v>879</v>
      </c>
      <c r="F459" s="19" t="str">
        <f t="shared" si="1"/>
        <v>PURNA2025-OTO3</v>
      </c>
      <c r="G459" s="19" t="s">
        <v>5408</v>
      </c>
      <c r="H459" s="20" t="s">
        <v>14</v>
      </c>
      <c r="I459" s="19" t="s">
        <v>5409</v>
      </c>
      <c r="J459" s="19" t="s">
        <v>5410</v>
      </c>
      <c r="K459" s="21" t="s">
        <v>5464</v>
      </c>
      <c r="L459" s="19" t="s">
        <v>6729</v>
      </c>
      <c r="M459" s="16" t="s">
        <v>878</v>
      </c>
      <c r="N459" s="18" t="s">
        <v>5416</v>
      </c>
      <c r="O459" s="18"/>
      <c r="P459" s="18">
        <f>VLOOKUP($A459,MasterData!$C$1:$I$1995,1,FALSE)</f>
        <v>7732</v>
      </c>
      <c r="Q459" s="18" t="str">
        <f t="shared" si="2"/>
        <v>PURNA2025-OTO3</v>
      </c>
    </row>
    <row r="460" ht="15.75" hidden="1" customHeight="1">
      <c r="A460" s="15">
        <v>7743.0</v>
      </c>
      <c r="B460" s="22" t="s">
        <v>6781</v>
      </c>
      <c r="C460" s="16" t="s">
        <v>6782</v>
      </c>
      <c r="D460" s="18" t="s">
        <v>6783</v>
      </c>
      <c r="E460" s="18" t="s">
        <v>881</v>
      </c>
      <c r="F460" s="19" t="str">
        <f t="shared" si="1"/>
        <v>PURNA2025-OTO3</v>
      </c>
      <c r="G460" s="19" t="s">
        <v>5408</v>
      </c>
      <c r="H460" s="20" t="s">
        <v>14</v>
      </c>
      <c r="I460" s="19" t="s">
        <v>5409</v>
      </c>
      <c r="J460" s="19" t="s">
        <v>5410</v>
      </c>
      <c r="K460" s="21" t="s">
        <v>5464</v>
      </c>
      <c r="L460" s="19" t="s">
        <v>6729</v>
      </c>
      <c r="M460" s="16" t="s">
        <v>880</v>
      </c>
      <c r="N460" s="18" t="s">
        <v>5416</v>
      </c>
      <c r="O460" s="18"/>
      <c r="P460" s="18">
        <f>VLOOKUP($A460,MasterData!$C$1:$I$1995,1,FALSE)</f>
        <v>7743</v>
      </c>
      <c r="Q460" s="18" t="str">
        <f t="shared" si="2"/>
        <v>PURNA2025-OTO3</v>
      </c>
    </row>
    <row r="461" ht="15.75" hidden="1" customHeight="1">
      <c r="A461" s="15">
        <v>7760.0</v>
      </c>
      <c r="B461" s="22" t="s">
        <v>6784</v>
      </c>
      <c r="C461" s="26" t="s">
        <v>6785</v>
      </c>
      <c r="D461" s="18" t="s">
        <v>6786</v>
      </c>
      <c r="E461" s="18" t="s">
        <v>883</v>
      </c>
      <c r="F461" s="19" t="str">
        <f t="shared" si="1"/>
        <v>PURNA2025-OTO3</v>
      </c>
      <c r="G461" s="19" t="s">
        <v>5408</v>
      </c>
      <c r="H461" s="20" t="s">
        <v>14</v>
      </c>
      <c r="I461" s="19" t="s">
        <v>5409</v>
      </c>
      <c r="J461" s="19" t="s">
        <v>5410</v>
      </c>
      <c r="K461" s="21" t="s">
        <v>5464</v>
      </c>
      <c r="L461" s="19" t="s">
        <v>6729</v>
      </c>
      <c r="M461" s="16" t="s">
        <v>882</v>
      </c>
      <c r="N461" s="18" t="s">
        <v>5416</v>
      </c>
      <c r="O461" s="18"/>
      <c r="P461" s="18">
        <f>VLOOKUP($A461,MasterData!$C$1:$I$1995,1,FALSE)</f>
        <v>7760</v>
      </c>
      <c r="Q461" s="18" t="str">
        <f t="shared" si="2"/>
        <v>PURNA2025-OTO3</v>
      </c>
    </row>
    <row r="462" ht="15.75" hidden="1" customHeight="1">
      <c r="A462" s="15">
        <v>7763.0</v>
      </c>
      <c r="B462" s="22" t="s">
        <v>6787</v>
      </c>
      <c r="C462" s="16" t="s">
        <v>6788</v>
      </c>
      <c r="D462" s="18" t="s">
        <v>6789</v>
      </c>
      <c r="E462" s="18" t="s">
        <v>885</v>
      </c>
      <c r="F462" s="19" t="str">
        <f t="shared" si="1"/>
        <v>PURNA2025-OTO3</v>
      </c>
      <c r="G462" s="19" t="s">
        <v>5408</v>
      </c>
      <c r="H462" s="20" t="s">
        <v>14</v>
      </c>
      <c r="I462" s="19" t="s">
        <v>5409</v>
      </c>
      <c r="J462" s="19" t="s">
        <v>5410</v>
      </c>
      <c r="K462" s="21" t="s">
        <v>5464</v>
      </c>
      <c r="L462" s="19" t="s">
        <v>6729</v>
      </c>
      <c r="M462" s="16" t="s">
        <v>884</v>
      </c>
      <c r="N462" s="18" t="s">
        <v>5416</v>
      </c>
      <c r="O462" s="18"/>
      <c r="P462" s="18">
        <f>VLOOKUP($A462,MasterData!$C$1:$I$1995,1,FALSE)</f>
        <v>7763</v>
      </c>
      <c r="Q462" s="18" t="str">
        <f t="shared" si="2"/>
        <v>PURNA2025-OTO3</v>
      </c>
    </row>
    <row r="463" ht="15.75" hidden="1" customHeight="1">
      <c r="A463" s="15">
        <v>7777.0</v>
      </c>
      <c r="B463" s="22" t="s">
        <v>6790</v>
      </c>
      <c r="C463" s="16" t="s">
        <v>6791</v>
      </c>
      <c r="D463" s="18" t="s">
        <v>6792</v>
      </c>
      <c r="E463" s="18" t="s">
        <v>887</v>
      </c>
      <c r="F463" s="19" t="str">
        <f t="shared" si="1"/>
        <v>PURNA2025-OTO3</v>
      </c>
      <c r="G463" s="19" t="s">
        <v>5408</v>
      </c>
      <c r="H463" s="20" t="s">
        <v>14</v>
      </c>
      <c r="I463" s="19" t="s">
        <v>5409</v>
      </c>
      <c r="J463" s="19" t="s">
        <v>5410</v>
      </c>
      <c r="K463" s="21" t="s">
        <v>5464</v>
      </c>
      <c r="L463" s="19" t="s">
        <v>6729</v>
      </c>
      <c r="M463" s="16" t="s">
        <v>886</v>
      </c>
      <c r="N463" s="18" t="s">
        <v>5416</v>
      </c>
      <c r="O463" s="18"/>
      <c r="P463" s="18">
        <f>VLOOKUP($A463,MasterData!$C$1:$I$1995,1,FALSE)</f>
        <v>7777</v>
      </c>
      <c r="Q463" s="18" t="str">
        <f t="shared" si="2"/>
        <v>PURNA2025-OTO3</v>
      </c>
    </row>
    <row r="464" ht="15.75" hidden="1" customHeight="1">
      <c r="A464" s="15">
        <v>7784.0</v>
      </c>
      <c r="B464" s="22" t="s">
        <v>6793</v>
      </c>
      <c r="C464" s="16" t="s">
        <v>6794</v>
      </c>
      <c r="D464" s="18" t="s">
        <v>6795</v>
      </c>
      <c r="E464" s="18" t="s">
        <v>889</v>
      </c>
      <c r="F464" s="19" t="str">
        <f t="shared" si="1"/>
        <v>PURNA2025-OTO3</v>
      </c>
      <c r="G464" s="19" t="s">
        <v>5408</v>
      </c>
      <c r="H464" s="20" t="s">
        <v>14</v>
      </c>
      <c r="I464" s="19" t="s">
        <v>5409</v>
      </c>
      <c r="J464" s="19" t="s">
        <v>5410</v>
      </c>
      <c r="K464" s="21" t="s">
        <v>5464</v>
      </c>
      <c r="L464" s="19" t="s">
        <v>6729</v>
      </c>
      <c r="M464" s="16" t="s">
        <v>888</v>
      </c>
      <c r="N464" s="18" t="s">
        <v>5416</v>
      </c>
      <c r="O464" s="18"/>
      <c r="P464" s="18">
        <f>VLOOKUP($A464,MasterData!$C$1:$I$1995,1,FALSE)</f>
        <v>7784</v>
      </c>
      <c r="Q464" s="18" t="str">
        <f t="shared" si="2"/>
        <v>PURNA2025-OTO3</v>
      </c>
    </row>
    <row r="465" ht="15.75" hidden="1" customHeight="1">
      <c r="A465" s="15">
        <v>7794.0</v>
      </c>
      <c r="B465" s="22" t="s">
        <v>6796</v>
      </c>
      <c r="C465" s="16" t="s">
        <v>6797</v>
      </c>
      <c r="D465" s="18" t="s">
        <v>6798</v>
      </c>
      <c r="E465" s="18" t="s">
        <v>891</v>
      </c>
      <c r="F465" s="19" t="str">
        <f t="shared" si="1"/>
        <v>PURNA2025-OTO3</v>
      </c>
      <c r="G465" s="19" t="s">
        <v>5408</v>
      </c>
      <c r="H465" s="20" t="s">
        <v>14</v>
      </c>
      <c r="I465" s="19" t="s">
        <v>5409</v>
      </c>
      <c r="J465" s="19" t="s">
        <v>5410</v>
      </c>
      <c r="K465" s="21" t="s">
        <v>5464</v>
      </c>
      <c r="L465" s="19" t="s">
        <v>6729</v>
      </c>
      <c r="M465" s="16" t="s">
        <v>890</v>
      </c>
      <c r="N465" s="18" t="s">
        <v>5416</v>
      </c>
      <c r="O465" s="18"/>
      <c r="P465" s="18">
        <f>VLOOKUP($A465,MasterData!$C$1:$I$1995,1,FALSE)</f>
        <v>7794</v>
      </c>
      <c r="Q465" s="18" t="str">
        <f t="shared" si="2"/>
        <v>PURNA2025-OTO3</v>
      </c>
    </row>
    <row r="466" ht="15.75" hidden="1" customHeight="1">
      <c r="A466" s="15">
        <v>7797.0</v>
      </c>
      <c r="B466" s="22" t="s">
        <v>6799</v>
      </c>
      <c r="C466" s="16" t="s">
        <v>6800</v>
      </c>
      <c r="D466" s="18" t="s">
        <v>6801</v>
      </c>
      <c r="E466" s="18" t="s">
        <v>893</v>
      </c>
      <c r="F466" s="19" t="str">
        <f t="shared" si="1"/>
        <v>PURNA2025-OTO3</v>
      </c>
      <c r="G466" s="19" t="s">
        <v>5408</v>
      </c>
      <c r="H466" s="20" t="s">
        <v>14</v>
      </c>
      <c r="I466" s="19" t="s">
        <v>5409</v>
      </c>
      <c r="J466" s="19" t="s">
        <v>5410</v>
      </c>
      <c r="K466" s="21" t="s">
        <v>5464</v>
      </c>
      <c r="L466" s="19" t="s">
        <v>6729</v>
      </c>
      <c r="M466" s="16" t="s">
        <v>892</v>
      </c>
      <c r="N466" s="18" t="s">
        <v>5416</v>
      </c>
      <c r="O466" s="18"/>
      <c r="P466" s="18">
        <f>VLOOKUP($A466,MasterData!$C$1:$I$1995,1,FALSE)</f>
        <v>7797</v>
      </c>
      <c r="Q466" s="18" t="str">
        <f t="shared" si="2"/>
        <v>PURNA2025-OTO3</v>
      </c>
    </row>
    <row r="467" ht="15.75" hidden="1" customHeight="1">
      <c r="A467" s="15">
        <v>7870.0</v>
      </c>
      <c r="B467" s="22" t="s">
        <v>6802</v>
      </c>
      <c r="C467" s="16" t="s">
        <v>6803</v>
      </c>
      <c r="D467" s="18" t="s">
        <v>6804</v>
      </c>
      <c r="E467" s="18" t="s">
        <v>895</v>
      </c>
      <c r="F467" s="19" t="str">
        <f t="shared" si="1"/>
        <v>PURNA2025-OTO3</v>
      </c>
      <c r="G467" s="19" t="s">
        <v>5408</v>
      </c>
      <c r="H467" s="20" t="s">
        <v>14</v>
      </c>
      <c r="I467" s="19" t="s">
        <v>5409</v>
      </c>
      <c r="J467" s="19" t="s">
        <v>5410</v>
      </c>
      <c r="K467" s="21" t="s">
        <v>5464</v>
      </c>
      <c r="L467" s="19" t="s">
        <v>6729</v>
      </c>
      <c r="M467" s="16" t="s">
        <v>894</v>
      </c>
      <c r="N467" s="18" t="s">
        <v>5416</v>
      </c>
      <c r="O467" s="18"/>
      <c r="P467" s="18">
        <f>VLOOKUP($A467,MasterData!$C$1:$I$1995,1,FALSE)</f>
        <v>7870</v>
      </c>
      <c r="Q467" s="18" t="str">
        <f t="shared" si="2"/>
        <v>PURNA2025-OTO3</v>
      </c>
    </row>
    <row r="468" ht="15.75" hidden="1" customHeight="1">
      <c r="A468" s="15">
        <v>7886.0</v>
      </c>
      <c r="B468" s="22" t="s">
        <v>6805</v>
      </c>
      <c r="C468" s="16" t="s">
        <v>6806</v>
      </c>
      <c r="D468" s="18" t="s">
        <v>6807</v>
      </c>
      <c r="E468" s="18" t="s">
        <v>897</v>
      </c>
      <c r="F468" s="19" t="str">
        <f t="shared" si="1"/>
        <v>PURNA2025-OTO3</v>
      </c>
      <c r="G468" s="19" t="s">
        <v>5408</v>
      </c>
      <c r="H468" s="20" t="s">
        <v>14</v>
      </c>
      <c r="I468" s="19" t="s">
        <v>5409</v>
      </c>
      <c r="J468" s="19" t="s">
        <v>5410</v>
      </c>
      <c r="K468" s="21" t="s">
        <v>5464</v>
      </c>
      <c r="L468" s="19" t="s">
        <v>6729</v>
      </c>
      <c r="M468" s="16" t="s">
        <v>896</v>
      </c>
      <c r="N468" s="18" t="s">
        <v>5416</v>
      </c>
      <c r="O468" s="18"/>
      <c r="P468" s="18">
        <f>VLOOKUP($A468,MasterData!$C$1:$I$1995,1,FALSE)</f>
        <v>7886</v>
      </c>
      <c r="Q468" s="18" t="str">
        <f t="shared" si="2"/>
        <v>PURNA2025-OTO3</v>
      </c>
    </row>
    <row r="469" ht="15.75" hidden="1" customHeight="1">
      <c r="A469" s="15">
        <v>7906.0</v>
      </c>
      <c r="B469" s="22" t="s">
        <v>6808</v>
      </c>
      <c r="C469" s="16" t="s">
        <v>6809</v>
      </c>
      <c r="D469" s="18" t="s">
        <v>6810</v>
      </c>
      <c r="E469" s="18" t="s">
        <v>899</v>
      </c>
      <c r="F469" s="19" t="str">
        <f t="shared" si="1"/>
        <v>PURNA2025-OTO3</v>
      </c>
      <c r="G469" s="19" t="s">
        <v>5408</v>
      </c>
      <c r="H469" s="20" t="s">
        <v>14</v>
      </c>
      <c r="I469" s="19" t="s">
        <v>5409</v>
      </c>
      <c r="J469" s="19" t="s">
        <v>5410</v>
      </c>
      <c r="K469" s="21" t="s">
        <v>5464</v>
      </c>
      <c r="L469" s="19" t="s">
        <v>6729</v>
      </c>
      <c r="M469" s="16" t="s">
        <v>898</v>
      </c>
      <c r="N469" s="18" t="s">
        <v>5416</v>
      </c>
      <c r="O469" s="18"/>
      <c r="P469" s="18">
        <f>VLOOKUP($A469,MasterData!$C$1:$I$1995,1,FALSE)</f>
        <v>7906</v>
      </c>
      <c r="Q469" s="18" t="str">
        <f t="shared" si="2"/>
        <v>PURNA2025-OTO3</v>
      </c>
    </row>
    <row r="470" ht="15.75" hidden="1" customHeight="1">
      <c r="A470" s="15">
        <v>7924.0</v>
      </c>
      <c r="B470" s="22" t="s">
        <v>6811</v>
      </c>
      <c r="C470" s="16" t="s">
        <v>6812</v>
      </c>
      <c r="D470" s="18" t="s">
        <v>6813</v>
      </c>
      <c r="E470" s="18" t="s">
        <v>901</v>
      </c>
      <c r="F470" s="19" t="str">
        <f t="shared" si="1"/>
        <v>PURNA2025-OTO3</v>
      </c>
      <c r="G470" s="19" t="s">
        <v>5408</v>
      </c>
      <c r="H470" s="20" t="s">
        <v>14</v>
      </c>
      <c r="I470" s="19" t="s">
        <v>5409</v>
      </c>
      <c r="J470" s="19" t="s">
        <v>5410</v>
      </c>
      <c r="K470" s="21" t="s">
        <v>5464</v>
      </c>
      <c r="L470" s="19" t="s">
        <v>6729</v>
      </c>
      <c r="M470" s="16" t="s">
        <v>900</v>
      </c>
      <c r="N470" s="18" t="s">
        <v>5416</v>
      </c>
      <c r="O470" s="18"/>
      <c r="P470" s="18">
        <f>VLOOKUP($A470,MasterData!$C$1:$I$1995,1,FALSE)</f>
        <v>7924</v>
      </c>
      <c r="Q470" s="18" t="str">
        <f t="shared" si="2"/>
        <v>PURNA2025-OTO3</v>
      </c>
    </row>
    <row r="471" ht="15.75" hidden="1" customHeight="1">
      <c r="A471" s="15">
        <v>7961.0</v>
      </c>
      <c r="B471" s="22" t="s">
        <v>6814</v>
      </c>
      <c r="C471" s="16" t="s">
        <v>6815</v>
      </c>
      <c r="D471" s="18" t="s">
        <v>6816</v>
      </c>
      <c r="E471" s="18" t="s">
        <v>903</v>
      </c>
      <c r="F471" s="19" t="str">
        <f t="shared" si="1"/>
        <v>PURNA2025-OTO3</v>
      </c>
      <c r="G471" s="19" t="s">
        <v>5408</v>
      </c>
      <c r="H471" s="20" t="s">
        <v>14</v>
      </c>
      <c r="I471" s="19" t="s">
        <v>5409</v>
      </c>
      <c r="J471" s="19" t="s">
        <v>5410</v>
      </c>
      <c r="K471" s="21" t="s">
        <v>5464</v>
      </c>
      <c r="L471" s="19" t="s">
        <v>6729</v>
      </c>
      <c r="M471" s="16" t="s">
        <v>902</v>
      </c>
      <c r="N471" s="18" t="s">
        <v>5416</v>
      </c>
      <c r="O471" s="18"/>
      <c r="P471" s="18">
        <f>VLOOKUP($A471,MasterData!$C$1:$I$1995,1,FALSE)</f>
        <v>7961</v>
      </c>
      <c r="Q471" s="18" t="str">
        <f t="shared" si="2"/>
        <v>PURNA2025-OTO3</v>
      </c>
    </row>
    <row r="472" ht="15.75" hidden="1" customHeight="1">
      <c r="A472" s="15">
        <v>7981.0</v>
      </c>
      <c r="B472" s="22" t="s">
        <v>6817</v>
      </c>
      <c r="C472" s="16" t="s">
        <v>6818</v>
      </c>
      <c r="D472" s="18" t="s">
        <v>6819</v>
      </c>
      <c r="E472" s="18" t="s">
        <v>905</v>
      </c>
      <c r="F472" s="19" t="str">
        <f t="shared" si="1"/>
        <v>PURNA2025-OTO3</v>
      </c>
      <c r="G472" s="19" t="s">
        <v>5408</v>
      </c>
      <c r="H472" s="20" t="s">
        <v>14</v>
      </c>
      <c r="I472" s="19" t="s">
        <v>5409</v>
      </c>
      <c r="J472" s="19" t="s">
        <v>5410</v>
      </c>
      <c r="K472" s="21" t="s">
        <v>5464</v>
      </c>
      <c r="L472" s="19" t="s">
        <v>6729</v>
      </c>
      <c r="M472" s="16" t="s">
        <v>904</v>
      </c>
      <c r="N472" s="18" t="s">
        <v>5416</v>
      </c>
      <c r="O472" s="18"/>
      <c r="P472" s="18">
        <f>VLOOKUP($A472,MasterData!$C$1:$I$1995,1,FALSE)</f>
        <v>7981</v>
      </c>
      <c r="Q472" s="18" t="str">
        <f t="shared" si="2"/>
        <v>PURNA2025-OTO3</v>
      </c>
    </row>
    <row r="473" ht="15.75" hidden="1" customHeight="1">
      <c r="A473" s="15">
        <v>7994.0</v>
      </c>
      <c r="B473" s="22" t="s">
        <v>6820</v>
      </c>
      <c r="C473" s="16" t="s">
        <v>6821</v>
      </c>
      <c r="D473" s="18" t="s">
        <v>6822</v>
      </c>
      <c r="E473" s="18" t="s">
        <v>907</v>
      </c>
      <c r="F473" s="19" t="str">
        <f t="shared" si="1"/>
        <v>PURNA2025-OTO3</v>
      </c>
      <c r="G473" s="19" t="s">
        <v>5408</v>
      </c>
      <c r="H473" s="20" t="s">
        <v>14</v>
      </c>
      <c r="I473" s="19" t="s">
        <v>5409</v>
      </c>
      <c r="J473" s="19" t="s">
        <v>5410</v>
      </c>
      <c r="K473" s="21" t="s">
        <v>5464</v>
      </c>
      <c r="L473" s="19" t="s">
        <v>6729</v>
      </c>
      <c r="M473" s="16" t="s">
        <v>906</v>
      </c>
      <c r="N473" s="18" t="s">
        <v>5416</v>
      </c>
      <c r="O473" s="18"/>
      <c r="P473" s="18">
        <f>VLOOKUP($A473,MasterData!$C$1:$I$1995,1,FALSE)</f>
        <v>7994</v>
      </c>
      <c r="Q473" s="18" t="str">
        <f t="shared" si="2"/>
        <v>PURNA2025-OTO3</v>
      </c>
    </row>
    <row r="474" ht="15.75" hidden="1" customHeight="1">
      <c r="A474" s="15">
        <v>6799.0</v>
      </c>
      <c r="B474" s="22" t="s">
        <v>6823</v>
      </c>
      <c r="C474" s="16" t="s">
        <v>6824</v>
      </c>
      <c r="D474" s="18" t="s">
        <v>6825</v>
      </c>
      <c r="E474" s="18" t="s">
        <v>909</v>
      </c>
      <c r="F474" s="19" t="str">
        <f t="shared" si="1"/>
        <v>PURNA2025-OTO4</v>
      </c>
      <c r="G474" s="19" t="s">
        <v>5408</v>
      </c>
      <c r="H474" s="20" t="s">
        <v>14</v>
      </c>
      <c r="I474" s="19" t="s">
        <v>5409</v>
      </c>
      <c r="J474" s="19" t="s">
        <v>5410</v>
      </c>
      <c r="K474" s="21" t="s">
        <v>6576</v>
      </c>
      <c r="L474" s="19" t="s">
        <v>6826</v>
      </c>
      <c r="M474" s="16" t="s">
        <v>908</v>
      </c>
      <c r="N474" s="18" t="s">
        <v>5416</v>
      </c>
      <c r="O474" s="18"/>
      <c r="P474" s="18">
        <f>VLOOKUP($A474,MasterData!$C$1:$I$1995,1,FALSE)</f>
        <v>6799</v>
      </c>
      <c r="Q474" s="18" t="str">
        <f t="shared" si="2"/>
        <v>PURNA2025-OTO4</v>
      </c>
    </row>
    <row r="475" ht="15.75" hidden="1" customHeight="1">
      <c r="A475" s="15">
        <v>7415.0</v>
      </c>
      <c r="B475" s="22" t="s">
        <v>6827</v>
      </c>
      <c r="C475" s="16" t="s">
        <v>6828</v>
      </c>
      <c r="D475" s="18" t="s">
        <v>6829</v>
      </c>
      <c r="E475" s="18" t="s">
        <v>913</v>
      </c>
      <c r="F475" s="19" t="str">
        <f t="shared" si="1"/>
        <v>PURNA2025-OTO4</v>
      </c>
      <c r="G475" s="19" t="s">
        <v>5408</v>
      </c>
      <c r="H475" s="20" t="s">
        <v>14</v>
      </c>
      <c r="I475" s="19" t="s">
        <v>5409</v>
      </c>
      <c r="J475" s="19" t="s">
        <v>5410</v>
      </c>
      <c r="K475" s="21" t="s">
        <v>5464</v>
      </c>
      <c r="L475" s="19" t="s">
        <v>6826</v>
      </c>
      <c r="M475" s="16" t="s">
        <v>912</v>
      </c>
      <c r="N475" s="18" t="s">
        <v>5416</v>
      </c>
      <c r="O475" s="18"/>
      <c r="P475" s="18">
        <f>VLOOKUP($A475,MasterData!$C$1:$I$1995,1,FALSE)</f>
        <v>7415</v>
      </c>
      <c r="Q475" s="18" t="str">
        <f t="shared" si="2"/>
        <v>PURNA2025-OTO4</v>
      </c>
    </row>
    <row r="476" ht="15.75" hidden="1" customHeight="1">
      <c r="A476" s="15">
        <v>7428.0</v>
      </c>
      <c r="B476" s="22" t="s">
        <v>6830</v>
      </c>
      <c r="C476" s="16" t="s">
        <v>6831</v>
      </c>
      <c r="D476" s="18" t="s">
        <v>6832</v>
      </c>
      <c r="E476" s="18" t="s">
        <v>915</v>
      </c>
      <c r="F476" s="19" t="str">
        <f t="shared" si="1"/>
        <v>PURNA2025-OTO4</v>
      </c>
      <c r="G476" s="19" t="s">
        <v>5408</v>
      </c>
      <c r="H476" s="20" t="s">
        <v>14</v>
      </c>
      <c r="I476" s="19" t="s">
        <v>5409</v>
      </c>
      <c r="J476" s="19" t="s">
        <v>5410</v>
      </c>
      <c r="K476" s="21" t="s">
        <v>5464</v>
      </c>
      <c r="L476" s="19" t="s">
        <v>6826</v>
      </c>
      <c r="M476" s="16" t="s">
        <v>914</v>
      </c>
      <c r="N476" s="18" t="s">
        <v>5416</v>
      </c>
      <c r="O476" s="18"/>
      <c r="P476" s="18">
        <f>VLOOKUP($A476,MasterData!$C$1:$I$1995,1,FALSE)</f>
        <v>7428</v>
      </c>
      <c r="Q476" s="18" t="str">
        <f t="shared" si="2"/>
        <v>PURNA2025-OTO4</v>
      </c>
    </row>
    <row r="477" ht="15.75" hidden="1" customHeight="1">
      <c r="A477" s="15">
        <v>7430.0</v>
      </c>
      <c r="B477" s="22" t="s">
        <v>6833</v>
      </c>
      <c r="C477" s="16" t="s">
        <v>6834</v>
      </c>
      <c r="D477" s="18" t="s">
        <v>6835</v>
      </c>
      <c r="E477" s="18" t="s">
        <v>917</v>
      </c>
      <c r="F477" s="19" t="str">
        <f t="shared" si="1"/>
        <v>PURNA2025-OTO4</v>
      </c>
      <c r="G477" s="19" t="s">
        <v>5408</v>
      </c>
      <c r="H477" s="20" t="s">
        <v>14</v>
      </c>
      <c r="I477" s="19" t="s">
        <v>5409</v>
      </c>
      <c r="J477" s="19" t="s">
        <v>5410</v>
      </c>
      <c r="K477" s="21" t="s">
        <v>5464</v>
      </c>
      <c r="L477" s="19" t="s">
        <v>6826</v>
      </c>
      <c r="M477" s="16" t="s">
        <v>916</v>
      </c>
      <c r="N477" s="18" t="s">
        <v>5416</v>
      </c>
      <c r="O477" s="18"/>
      <c r="P477" s="18">
        <f>VLOOKUP($A477,MasterData!$C$1:$I$1995,1,FALSE)</f>
        <v>7430</v>
      </c>
      <c r="Q477" s="18" t="str">
        <f t="shared" si="2"/>
        <v>PURNA2025-OTO4</v>
      </c>
    </row>
    <row r="478" ht="15.75" hidden="1" customHeight="1">
      <c r="A478" s="15">
        <v>7445.0</v>
      </c>
      <c r="B478" s="22" t="s">
        <v>6836</v>
      </c>
      <c r="C478" s="16" t="s">
        <v>6837</v>
      </c>
      <c r="D478" s="18" t="s">
        <v>6838</v>
      </c>
      <c r="E478" s="18" t="s">
        <v>919</v>
      </c>
      <c r="F478" s="19" t="str">
        <f t="shared" si="1"/>
        <v>PURNA2025-OTO4</v>
      </c>
      <c r="G478" s="19" t="s">
        <v>5408</v>
      </c>
      <c r="H478" s="20" t="s">
        <v>14</v>
      </c>
      <c r="I478" s="19" t="s">
        <v>5409</v>
      </c>
      <c r="J478" s="19" t="s">
        <v>5410</v>
      </c>
      <c r="K478" s="21" t="s">
        <v>5464</v>
      </c>
      <c r="L478" s="19" t="s">
        <v>6826</v>
      </c>
      <c r="M478" s="16" t="s">
        <v>918</v>
      </c>
      <c r="N478" s="18" t="s">
        <v>5416</v>
      </c>
      <c r="O478" s="18"/>
      <c r="P478" s="18">
        <f>VLOOKUP($A478,MasterData!$C$1:$I$1995,1,FALSE)</f>
        <v>7445</v>
      </c>
      <c r="Q478" s="18" t="str">
        <f t="shared" si="2"/>
        <v>PURNA2025-OTO4</v>
      </c>
    </row>
    <row r="479" ht="15.75" hidden="1" customHeight="1">
      <c r="A479" s="15">
        <v>7448.0</v>
      </c>
      <c r="B479" s="22" t="s">
        <v>6839</v>
      </c>
      <c r="C479" s="16" t="s">
        <v>6840</v>
      </c>
      <c r="D479" s="18" t="s">
        <v>6841</v>
      </c>
      <c r="E479" s="18" t="s">
        <v>921</v>
      </c>
      <c r="F479" s="19" t="str">
        <f t="shared" si="1"/>
        <v>PURNA2025-OTO4</v>
      </c>
      <c r="G479" s="19" t="s">
        <v>5408</v>
      </c>
      <c r="H479" s="20" t="s">
        <v>14</v>
      </c>
      <c r="I479" s="19" t="s">
        <v>5409</v>
      </c>
      <c r="J479" s="19" t="s">
        <v>5410</v>
      </c>
      <c r="K479" s="21" t="s">
        <v>5464</v>
      </c>
      <c r="L479" s="19" t="s">
        <v>6826</v>
      </c>
      <c r="M479" s="16" t="s">
        <v>920</v>
      </c>
      <c r="N479" s="18" t="s">
        <v>5416</v>
      </c>
      <c r="O479" s="18"/>
      <c r="P479" s="18">
        <f>VLOOKUP($A479,MasterData!$C$1:$I$1995,1,FALSE)</f>
        <v>7448</v>
      </c>
      <c r="Q479" s="18" t="str">
        <f t="shared" si="2"/>
        <v>PURNA2025-OTO4</v>
      </c>
    </row>
    <row r="480" ht="15.75" hidden="1" customHeight="1">
      <c r="A480" s="15">
        <v>7488.0</v>
      </c>
      <c r="B480" s="22" t="s">
        <v>6842</v>
      </c>
      <c r="C480" s="16" t="s">
        <v>6843</v>
      </c>
      <c r="D480" s="18" t="s">
        <v>6844</v>
      </c>
      <c r="E480" s="18" t="s">
        <v>923</v>
      </c>
      <c r="F480" s="19" t="str">
        <f t="shared" si="1"/>
        <v>PURNA2025-OTO4</v>
      </c>
      <c r="G480" s="19" t="s">
        <v>5408</v>
      </c>
      <c r="H480" s="20" t="s">
        <v>14</v>
      </c>
      <c r="I480" s="19" t="s">
        <v>5409</v>
      </c>
      <c r="J480" s="19" t="s">
        <v>5410</v>
      </c>
      <c r="K480" s="21" t="s">
        <v>5464</v>
      </c>
      <c r="L480" s="19" t="s">
        <v>6826</v>
      </c>
      <c r="M480" s="16" t="s">
        <v>922</v>
      </c>
      <c r="N480" s="18" t="s">
        <v>5416</v>
      </c>
      <c r="O480" s="18"/>
      <c r="P480" s="18">
        <f>VLOOKUP($A480,MasterData!$C$1:$I$1995,1,FALSE)</f>
        <v>7488</v>
      </c>
      <c r="Q480" s="18" t="str">
        <f t="shared" si="2"/>
        <v>PURNA2025-OTO4</v>
      </c>
    </row>
    <row r="481" ht="15.75" hidden="1" customHeight="1">
      <c r="A481" s="15">
        <v>7515.0</v>
      </c>
      <c r="B481" s="22" t="s">
        <v>6845</v>
      </c>
      <c r="C481" s="16" t="s">
        <v>6846</v>
      </c>
      <c r="D481" s="18" t="s">
        <v>6847</v>
      </c>
      <c r="E481" s="18" t="s">
        <v>925</v>
      </c>
      <c r="F481" s="19" t="str">
        <f t="shared" si="1"/>
        <v>PURNA2025-OTO4</v>
      </c>
      <c r="G481" s="19" t="s">
        <v>5408</v>
      </c>
      <c r="H481" s="20" t="s">
        <v>14</v>
      </c>
      <c r="I481" s="19" t="s">
        <v>5409</v>
      </c>
      <c r="J481" s="19" t="s">
        <v>5410</v>
      </c>
      <c r="K481" s="21" t="s">
        <v>5464</v>
      </c>
      <c r="L481" s="19" t="s">
        <v>6826</v>
      </c>
      <c r="M481" s="16" t="s">
        <v>924</v>
      </c>
      <c r="N481" s="18" t="s">
        <v>5416</v>
      </c>
      <c r="O481" s="18"/>
      <c r="P481" s="18">
        <f>VLOOKUP($A481,MasterData!$C$1:$I$1995,1,FALSE)</f>
        <v>7515</v>
      </c>
      <c r="Q481" s="18" t="str">
        <f t="shared" si="2"/>
        <v>PURNA2025-OTO4</v>
      </c>
    </row>
    <row r="482" ht="15.75" hidden="1" customHeight="1">
      <c r="A482" s="15">
        <v>7556.0</v>
      </c>
      <c r="B482" s="22" t="s">
        <v>6848</v>
      </c>
      <c r="C482" s="16" t="s">
        <v>6849</v>
      </c>
      <c r="D482" s="18" t="s">
        <v>6850</v>
      </c>
      <c r="E482" s="18" t="s">
        <v>927</v>
      </c>
      <c r="F482" s="19" t="str">
        <f t="shared" si="1"/>
        <v>PURNA2025-OTO4</v>
      </c>
      <c r="G482" s="19" t="s">
        <v>5408</v>
      </c>
      <c r="H482" s="20" t="s">
        <v>14</v>
      </c>
      <c r="I482" s="19" t="s">
        <v>5409</v>
      </c>
      <c r="J482" s="19" t="s">
        <v>5410</v>
      </c>
      <c r="K482" s="21" t="s">
        <v>5464</v>
      </c>
      <c r="L482" s="19" t="s">
        <v>6826</v>
      </c>
      <c r="M482" s="16" t="s">
        <v>926</v>
      </c>
      <c r="N482" s="18" t="s">
        <v>5416</v>
      </c>
      <c r="O482" s="18"/>
      <c r="P482" s="18">
        <f>VLOOKUP($A482,MasterData!$C$1:$I$1995,1,FALSE)</f>
        <v>7556</v>
      </c>
      <c r="Q482" s="18" t="str">
        <f t="shared" si="2"/>
        <v>PURNA2025-OTO4</v>
      </c>
    </row>
    <row r="483" ht="15.75" hidden="1" customHeight="1">
      <c r="A483" s="15">
        <v>7603.0</v>
      </c>
      <c r="B483" s="22" t="s">
        <v>6851</v>
      </c>
      <c r="C483" s="16" t="s">
        <v>6852</v>
      </c>
      <c r="D483" s="18" t="s">
        <v>6853</v>
      </c>
      <c r="E483" s="18" t="s">
        <v>929</v>
      </c>
      <c r="F483" s="19" t="str">
        <f t="shared" si="1"/>
        <v>PURNA2025-OTO4</v>
      </c>
      <c r="G483" s="19" t="s">
        <v>5408</v>
      </c>
      <c r="H483" s="20" t="s">
        <v>14</v>
      </c>
      <c r="I483" s="19" t="s">
        <v>5409</v>
      </c>
      <c r="J483" s="19" t="s">
        <v>5410</v>
      </c>
      <c r="K483" s="21" t="s">
        <v>5464</v>
      </c>
      <c r="L483" s="19" t="s">
        <v>6826</v>
      </c>
      <c r="M483" s="16" t="s">
        <v>928</v>
      </c>
      <c r="N483" s="18" t="s">
        <v>5416</v>
      </c>
      <c r="O483" s="18"/>
      <c r="P483" s="18">
        <f>VLOOKUP($A483,MasterData!$C$1:$I$1995,1,FALSE)</f>
        <v>7603</v>
      </c>
      <c r="Q483" s="18" t="str">
        <f t="shared" si="2"/>
        <v>PURNA2025-OTO4</v>
      </c>
    </row>
    <row r="484" ht="15.75" hidden="1" customHeight="1">
      <c r="A484" s="15">
        <v>7620.0</v>
      </c>
      <c r="B484" s="22" t="s">
        <v>6854</v>
      </c>
      <c r="C484" s="16" t="s">
        <v>6855</v>
      </c>
      <c r="D484" s="18" t="s">
        <v>6856</v>
      </c>
      <c r="E484" s="18" t="s">
        <v>931</v>
      </c>
      <c r="F484" s="19" t="str">
        <f t="shared" si="1"/>
        <v>PURNA2025-OTO4</v>
      </c>
      <c r="G484" s="19" t="s">
        <v>5408</v>
      </c>
      <c r="H484" s="20" t="s">
        <v>14</v>
      </c>
      <c r="I484" s="19" t="s">
        <v>5409</v>
      </c>
      <c r="J484" s="19" t="s">
        <v>5410</v>
      </c>
      <c r="K484" s="21" t="s">
        <v>5464</v>
      </c>
      <c r="L484" s="19" t="s">
        <v>6826</v>
      </c>
      <c r="M484" s="16" t="s">
        <v>930</v>
      </c>
      <c r="N484" s="18" t="s">
        <v>5416</v>
      </c>
      <c r="O484" s="18"/>
      <c r="P484" s="18">
        <f>VLOOKUP($A484,MasterData!$C$1:$I$1995,1,FALSE)</f>
        <v>7620</v>
      </c>
      <c r="Q484" s="18" t="str">
        <f t="shared" si="2"/>
        <v>PURNA2025-OTO4</v>
      </c>
    </row>
    <row r="485" ht="15.75" hidden="1" customHeight="1">
      <c r="A485" s="15">
        <v>7643.0</v>
      </c>
      <c r="B485" s="22" t="s">
        <v>6857</v>
      </c>
      <c r="C485" s="16" t="s">
        <v>6858</v>
      </c>
      <c r="D485" s="18" t="s">
        <v>6859</v>
      </c>
      <c r="E485" s="18" t="s">
        <v>933</v>
      </c>
      <c r="F485" s="19" t="str">
        <f t="shared" si="1"/>
        <v>PURNA2025-OTO4</v>
      </c>
      <c r="G485" s="19" t="s">
        <v>5408</v>
      </c>
      <c r="H485" s="20" t="s">
        <v>14</v>
      </c>
      <c r="I485" s="19" t="s">
        <v>5409</v>
      </c>
      <c r="J485" s="19" t="s">
        <v>5410</v>
      </c>
      <c r="K485" s="21" t="s">
        <v>5464</v>
      </c>
      <c r="L485" s="19" t="s">
        <v>6826</v>
      </c>
      <c r="M485" s="16" t="s">
        <v>932</v>
      </c>
      <c r="N485" s="18" t="s">
        <v>5416</v>
      </c>
      <c r="O485" s="18"/>
      <c r="P485" s="18">
        <f>VLOOKUP($A485,MasterData!$C$1:$I$1995,1,FALSE)</f>
        <v>7643</v>
      </c>
      <c r="Q485" s="18" t="str">
        <f t="shared" si="2"/>
        <v>PURNA2025-OTO4</v>
      </c>
    </row>
    <row r="486" ht="15.75" hidden="1" customHeight="1">
      <c r="A486" s="15">
        <v>7657.0</v>
      </c>
      <c r="B486" s="22" t="s">
        <v>6860</v>
      </c>
      <c r="C486" s="16" t="s">
        <v>6861</v>
      </c>
      <c r="D486" s="18" t="s">
        <v>6862</v>
      </c>
      <c r="E486" s="18" t="s">
        <v>935</v>
      </c>
      <c r="F486" s="19" t="str">
        <f t="shared" si="1"/>
        <v>PURNA2025-OTO4</v>
      </c>
      <c r="G486" s="19" t="s">
        <v>5408</v>
      </c>
      <c r="H486" s="20" t="s">
        <v>14</v>
      </c>
      <c r="I486" s="19" t="s">
        <v>5409</v>
      </c>
      <c r="J486" s="19" t="s">
        <v>5410</v>
      </c>
      <c r="K486" s="21" t="s">
        <v>5464</v>
      </c>
      <c r="L486" s="19" t="s">
        <v>6826</v>
      </c>
      <c r="M486" s="16" t="s">
        <v>934</v>
      </c>
      <c r="N486" s="18" t="s">
        <v>5416</v>
      </c>
      <c r="O486" s="18"/>
      <c r="P486" s="18">
        <f>VLOOKUP($A486,MasterData!$C$1:$I$1995,1,FALSE)</f>
        <v>7657</v>
      </c>
      <c r="Q486" s="18" t="str">
        <f t="shared" si="2"/>
        <v>PURNA2025-OTO4</v>
      </c>
    </row>
    <row r="487" ht="15.75" hidden="1" customHeight="1">
      <c r="A487" s="15">
        <v>7680.0</v>
      </c>
      <c r="B487" s="22" t="s">
        <v>6863</v>
      </c>
      <c r="C487" s="16" t="s">
        <v>6864</v>
      </c>
      <c r="D487" s="18" t="s">
        <v>6865</v>
      </c>
      <c r="E487" s="18" t="s">
        <v>937</v>
      </c>
      <c r="F487" s="19" t="str">
        <f t="shared" si="1"/>
        <v>PURNA2025-OTO4</v>
      </c>
      <c r="G487" s="19" t="s">
        <v>5408</v>
      </c>
      <c r="H487" s="20" t="s">
        <v>14</v>
      </c>
      <c r="I487" s="19" t="s">
        <v>5409</v>
      </c>
      <c r="J487" s="19" t="s">
        <v>5410</v>
      </c>
      <c r="K487" s="21" t="s">
        <v>5464</v>
      </c>
      <c r="L487" s="19" t="s">
        <v>6826</v>
      </c>
      <c r="M487" s="16" t="s">
        <v>936</v>
      </c>
      <c r="N487" s="18" t="s">
        <v>5416</v>
      </c>
      <c r="O487" s="18"/>
      <c r="P487" s="18">
        <f>VLOOKUP($A487,MasterData!$C$1:$I$1995,1,FALSE)</f>
        <v>7680</v>
      </c>
      <c r="Q487" s="18" t="str">
        <f t="shared" si="2"/>
        <v>PURNA2025-OTO4</v>
      </c>
    </row>
    <row r="488" ht="15.75" hidden="1" customHeight="1">
      <c r="A488" s="15">
        <v>7702.0</v>
      </c>
      <c r="B488" s="22" t="s">
        <v>6866</v>
      </c>
      <c r="C488" s="16" t="s">
        <v>6867</v>
      </c>
      <c r="D488" s="18" t="s">
        <v>6868</v>
      </c>
      <c r="E488" s="18" t="s">
        <v>939</v>
      </c>
      <c r="F488" s="19" t="str">
        <f t="shared" si="1"/>
        <v>PURNA2025-OTO4</v>
      </c>
      <c r="G488" s="19" t="s">
        <v>5408</v>
      </c>
      <c r="H488" s="20" t="s">
        <v>14</v>
      </c>
      <c r="I488" s="19" t="s">
        <v>5409</v>
      </c>
      <c r="J488" s="19" t="s">
        <v>5410</v>
      </c>
      <c r="K488" s="21" t="s">
        <v>5464</v>
      </c>
      <c r="L488" s="19" t="s">
        <v>6826</v>
      </c>
      <c r="M488" s="16" t="s">
        <v>938</v>
      </c>
      <c r="N488" s="18" t="s">
        <v>5416</v>
      </c>
      <c r="O488" s="18"/>
      <c r="P488" s="18">
        <f>VLOOKUP($A488,MasterData!$C$1:$I$1995,1,FALSE)</f>
        <v>7702</v>
      </c>
      <c r="Q488" s="18" t="str">
        <f t="shared" si="2"/>
        <v>PURNA2025-OTO4</v>
      </c>
    </row>
    <row r="489" ht="15.75" hidden="1" customHeight="1">
      <c r="A489" s="15">
        <v>7735.0</v>
      </c>
      <c r="B489" s="22" t="s">
        <v>6869</v>
      </c>
      <c r="C489" s="16" t="s">
        <v>6870</v>
      </c>
      <c r="D489" s="18" t="s">
        <v>6871</v>
      </c>
      <c r="E489" s="18" t="s">
        <v>941</v>
      </c>
      <c r="F489" s="19" t="str">
        <f t="shared" si="1"/>
        <v>PURNA2025-OTO4</v>
      </c>
      <c r="G489" s="19" t="s">
        <v>5408</v>
      </c>
      <c r="H489" s="20" t="s">
        <v>14</v>
      </c>
      <c r="I489" s="19" t="s">
        <v>5409</v>
      </c>
      <c r="J489" s="19" t="s">
        <v>5410</v>
      </c>
      <c r="K489" s="21" t="s">
        <v>5464</v>
      </c>
      <c r="L489" s="19" t="s">
        <v>6826</v>
      </c>
      <c r="M489" s="16" t="s">
        <v>940</v>
      </c>
      <c r="N489" s="18" t="s">
        <v>5416</v>
      </c>
      <c r="O489" s="18"/>
      <c r="P489" s="18">
        <f>VLOOKUP($A489,MasterData!$C$1:$I$1995,1,FALSE)</f>
        <v>7735</v>
      </c>
      <c r="Q489" s="18" t="str">
        <f t="shared" si="2"/>
        <v>PURNA2025-OTO4</v>
      </c>
    </row>
    <row r="490" ht="15.75" hidden="1" customHeight="1">
      <c r="A490" s="15">
        <v>7758.0</v>
      </c>
      <c r="B490" s="22" t="s">
        <v>6872</v>
      </c>
      <c r="C490" s="16" t="s">
        <v>6873</v>
      </c>
      <c r="D490" s="18" t="s">
        <v>6874</v>
      </c>
      <c r="E490" s="18" t="s">
        <v>943</v>
      </c>
      <c r="F490" s="19" t="str">
        <f t="shared" si="1"/>
        <v>PURNA2025-OTO4</v>
      </c>
      <c r="G490" s="19" t="s">
        <v>5408</v>
      </c>
      <c r="H490" s="20" t="s">
        <v>14</v>
      </c>
      <c r="I490" s="19" t="s">
        <v>5409</v>
      </c>
      <c r="J490" s="19" t="s">
        <v>5410</v>
      </c>
      <c r="K490" s="21" t="s">
        <v>5464</v>
      </c>
      <c r="L490" s="19" t="s">
        <v>6826</v>
      </c>
      <c r="M490" s="16" t="s">
        <v>942</v>
      </c>
      <c r="N490" s="18" t="s">
        <v>5416</v>
      </c>
      <c r="O490" s="18"/>
      <c r="P490" s="18">
        <f>VLOOKUP($A490,MasterData!$C$1:$I$1995,1,FALSE)</f>
        <v>7758</v>
      </c>
      <c r="Q490" s="18" t="str">
        <f t="shared" si="2"/>
        <v>PURNA2025-OTO4</v>
      </c>
    </row>
    <row r="491" ht="15.75" hidden="1" customHeight="1">
      <c r="A491" s="15">
        <v>7773.0</v>
      </c>
      <c r="B491" s="22" t="s">
        <v>6875</v>
      </c>
      <c r="C491" s="16" t="s">
        <v>6876</v>
      </c>
      <c r="D491" s="18" t="s">
        <v>6877</v>
      </c>
      <c r="E491" s="18" t="s">
        <v>945</v>
      </c>
      <c r="F491" s="19" t="str">
        <f t="shared" si="1"/>
        <v>PURNA2025-OTO4</v>
      </c>
      <c r="G491" s="19" t="s">
        <v>5408</v>
      </c>
      <c r="H491" s="20" t="s">
        <v>14</v>
      </c>
      <c r="I491" s="19" t="s">
        <v>5409</v>
      </c>
      <c r="J491" s="19" t="s">
        <v>5410</v>
      </c>
      <c r="K491" s="21" t="s">
        <v>5464</v>
      </c>
      <c r="L491" s="19" t="s">
        <v>6826</v>
      </c>
      <c r="M491" s="16" t="s">
        <v>944</v>
      </c>
      <c r="N491" s="18" t="s">
        <v>5416</v>
      </c>
      <c r="O491" s="18"/>
      <c r="P491" s="18">
        <f>VLOOKUP($A491,MasterData!$C$1:$I$1995,1,FALSE)</f>
        <v>7773</v>
      </c>
      <c r="Q491" s="18" t="str">
        <f t="shared" si="2"/>
        <v>PURNA2025-OTO4</v>
      </c>
    </row>
    <row r="492" ht="15.75" hidden="1" customHeight="1">
      <c r="A492" s="15">
        <v>7791.0</v>
      </c>
      <c r="B492" s="22" t="s">
        <v>6878</v>
      </c>
      <c r="C492" s="16" t="s">
        <v>6879</v>
      </c>
      <c r="D492" s="18" t="s">
        <v>6880</v>
      </c>
      <c r="E492" s="18" t="s">
        <v>947</v>
      </c>
      <c r="F492" s="19" t="str">
        <f t="shared" si="1"/>
        <v>PURNA2025-OTO4</v>
      </c>
      <c r="G492" s="19" t="s">
        <v>5408</v>
      </c>
      <c r="H492" s="20" t="s">
        <v>14</v>
      </c>
      <c r="I492" s="19" t="s">
        <v>5409</v>
      </c>
      <c r="J492" s="19" t="s">
        <v>5410</v>
      </c>
      <c r="K492" s="21" t="s">
        <v>5464</v>
      </c>
      <c r="L492" s="19" t="s">
        <v>6826</v>
      </c>
      <c r="M492" s="16" t="s">
        <v>946</v>
      </c>
      <c r="N492" s="18" t="s">
        <v>5416</v>
      </c>
      <c r="O492" s="18"/>
      <c r="P492" s="18">
        <f>VLOOKUP($A492,MasterData!$C$1:$I$1995,1,FALSE)</f>
        <v>7791</v>
      </c>
      <c r="Q492" s="18" t="str">
        <f t="shared" si="2"/>
        <v>PURNA2025-OTO4</v>
      </c>
    </row>
    <row r="493" ht="15.75" hidden="1" customHeight="1">
      <c r="A493" s="15">
        <v>7803.0</v>
      </c>
      <c r="B493" s="22" t="s">
        <v>6881</v>
      </c>
      <c r="C493" s="16" t="s">
        <v>6882</v>
      </c>
      <c r="D493" s="18" t="s">
        <v>6883</v>
      </c>
      <c r="E493" s="18" t="s">
        <v>949</v>
      </c>
      <c r="F493" s="19" t="str">
        <f t="shared" si="1"/>
        <v>PURNA2025-OTO4</v>
      </c>
      <c r="G493" s="19" t="s">
        <v>5408</v>
      </c>
      <c r="H493" s="20" t="s">
        <v>14</v>
      </c>
      <c r="I493" s="19" t="s">
        <v>5409</v>
      </c>
      <c r="J493" s="19" t="s">
        <v>5410</v>
      </c>
      <c r="K493" s="21" t="s">
        <v>5464</v>
      </c>
      <c r="L493" s="19" t="s">
        <v>6826</v>
      </c>
      <c r="M493" s="16" t="s">
        <v>948</v>
      </c>
      <c r="N493" s="18" t="s">
        <v>5416</v>
      </c>
      <c r="O493" s="18"/>
      <c r="P493" s="18">
        <f>VLOOKUP($A493,MasterData!$C$1:$I$1995,1,FALSE)</f>
        <v>7803</v>
      </c>
      <c r="Q493" s="18" t="str">
        <f t="shared" si="2"/>
        <v>PURNA2025-OTO4</v>
      </c>
    </row>
    <row r="494" ht="15.75" hidden="1" customHeight="1">
      <c r="A494" s="15">
        <v>7810.0</v>
      </c>
      <c r="B494" s="22" t="s">
        <v>6884</v>
      </c>
      <c r="C494" s="16" t="s">
        <v>6885</v>
      </c>
      <c r="D494" s="18" t="s">
        <v>6886</v>
      </c>
      <c r="E494" s="18" t="s">
        <v>951</v>
      </c>
      <c r="F494" s="19" t="str">
        <f t="shared" si="1"/>
        <v>PURNA2025-OTO4</v>
      </c>
      <c r="G494" s="19" t="s">
        <v>5408</v>
      </c>
      <c r="H494" s="20" t="s">
        <v>14</v>
      </c>
      <c r="I494" s="19" t="s">
        <v>5409</v>
      </c>
      <c r="J494" s="19" t="s">
        <v>5410</v>
      </c>
      <c r="K494" s="21" t="s">
        <v>5464</v>
      </c>
      <c r="L494" s="19" t="s">
        <v>6826</v>
      </c>
      <c r="M494" s="16" t="s">
        <v>950</v>
      </c>
      <c r="N494" s="18" t="s">
        <v>5416</v>
      </c>
      <c r="O494" s="18"/>
      <c r="P494" s="18">
        <f>VLOOKUP($A494,MasterData!$C$1:$I$1995,1,FALSE)</f>
        <v>7810</v>
      </c>
      <c r="Q494" s="18" t="str">
        <f t="shared" si="2"/>
        <v>PURNA2025-OTO4</v>
      </c>
    </row>
    <row r="495" ht="15.75" hidden="1" customHeight="1">
      <c r="A495" s="15">
        <v>7860.0</v>
      </c>
      <c r="B495" s="22" t="s">
        <v>6887</v>
      </c>
      <c r="C495" s="16" t="s">
        <v>6888</v>
      </c>
      <c r="D495" s="18" t="s">
        <v>6889</v>
      </c>
      <c r="E495" s="18" t="s">
        <v>953</v>
      </c>
      <c r="F495" s="19" t="str">
        <f t="shared" si="1"/>
        <v>PURNA2025-OTO4</v>
      </c>
      <c r="G495" s="19" t="s">
        <v>5408</v>
      </c>
      <c r="H495" s="20" t="s">
        <v>14</v>
      </c>
      <c r="I495" s="19" t="s">
        <v>5409</v>
      </c>
      <c r="J495" s="19" t="s">
        <v>5410</v>
      </c>
      <c r="K495" s="21" t="s">
        <v>5464</v>
      </c>
      <c r="L495" s="19" t="s">
        <v>6826</v>
      </c>
      <c r="M495" s="16" t="s">
        <v>952</v>
      </c>
      <c r="N495" s="18" t="s">
        <v>5416</v>
      </c>
      <c r="O495" s="18"/>
      <c r="P495" s="18">
        <f>VLOOKUP($A495,MasterData!$C$1:$I$1995,1,FALSE)</f>
        <v>7860</v>
      </c>
      <c r="Q495" s="18" t="str">
        <f t="shared" si="2"/>
        <v>PURNA2025-OTO4</v>
      </c>
    </row>
    <row r="496" ht="15.75" hidden="1" customHeight="1">
      <c r="A496" s="15">
        <v>7890.0</v>
      </c>
      <c r="B496" s="22" t="s">
        <v>6890</v>
      </c>
      <c r="C496" s="16" t="s">
        <v>6891</v>
      </c>
      <c r="D496" s="18" t="s">
        <v>6892</v>
      </c>
      <c r="E496" s="18" t="s">
        <v>955</v>
      </c>
      <c r="F496" s="19" t="str">
        <f t="shared" si="1"/>
        <v>PURNA2025-OTO4</v>
      </c>
      <c r="G496" s="19" t="s">
        <v>5408</v>
      </c>
      <c r="H496" s="20" t="s">
        <v>14</v>
      </c>
      <c r="I496" s="19" t="s">
        <v>5409</v>
      </c>
      <c r="J496" s="19" t="s">
        <v>5410</v>
      </c>
      <c r="K496" s="21" t="s">
        <v>5464</v>
      </c>
      <c r="L496" s="19" t="s">
        <v>6826</v>
      </c>
      <c r="M496" s="16" t="s">
        <v>954</v>
      </c>
      <c r="N496" s="18" t="s">
        <v>5416</v>
      </c>
      <c r="O496" s="18"/>
      <c r="P496" s="18">
        <f>VLOOKUP($A496,MasterData!$C$1:$I$1995,1,FALSE)</f>
        <v>7890</v>
      </c>
      <c r="Q496" s="18" t="str">
        <f t="shared" si="2"/>
        <v>PURNA2025-OTO4</v>
      </c>
    </row>
    <row r="497" ht="15.75" hidden="1" customHeight="1">
      <c r="A497" s="15">
        <v>7301.0</v>
      </c>
      <c r="B497" s="22" t="s">
        <v>6893</v>
      </c>
      <c r="C497" s="16" t="s">
        <v>6894</v>
      </c>
      <c r="D497" s="18" t="s">
        <v>6895</v>
      </c>
      <c r="E497" s="18" t="s">
        <v>911</v>
      </c>
      <c r="F497" s="19" t="str">
        <f t="shared" si="1"/>
        <v>PURNA2025-OTO4</v>
      </c>
      <c r="G497" s="19" t="s">
        <v>5408</v>
      </c>
      <c r="H497" s="20" t="s">
        <v>14</v>
      </c>
      <c r="I497" s="19" t="s">
        <v>5409</v>
      </c>
      <c r="J497" s="19" t="s">
        <v>5410</v>
      </c>
      <c r="K497" s="21" t="s">
        <v>6576</v>
      </c>
      <c r="L497" s="19" t="s">
        <v>6826</v>
      </c>
      <c r="M497" s="16" t="s">
        <v>910</v>
      </c>
      <c r="N497" s="18" t="s">
        <v>5416</v>
      </c>
      <c r="O497" s="18"/>
      <c r="P497" s="18">
        <f>VLOOKUP($A497,MasterData!$C$1:$I$1995,1,FALSE)</f>
        <v>7301</v>
      </c>
      <c r="Q497" s="18" t="str">
        <f t="shared" si="2"/>
        <v>PURNA2025-OTO4</v>
      </c>
    </row>
    <row r="498" ht="15.75" hidden="1" customHeight="1">
      <c r="A498" s="15">
        <v>7983.0</v>
      </c>
      <c r="B498" s="22" t="s">
        <v>6896</v>
      </c>
      <c r="C498" s="16" t="s">
        <v>6897</v>
      </c>
      <c r="D498" s="18" t="s">
        <v>6898</v>
      </c>
      <c r="E498" s="18" t="s">
        <v>957</v>
      </c>
      <c r="F498" s="19" t="str">
        <f t="shared" si="1"/>
        <v>PURNA2025-OTO4</v>
      </c>
      <c r="G498" s="19" t="s">
        <v>5408</v>
      </c>
      <c r="H498" s="20" t="s">
        <v>14</v>
      </c>
      <c r="I498" s="19" t="s">
        <v>5409</v>
      </c>
      <c r="J498" s="19" t="s">
        <v>5410</v>
      </c>
      <c r="K498" s="21" t="s">
        <v>5464</v>
      </c>
      <c r="L498" s="19" t="s">
        <v>6826</v>
      </c>
      <c r="M498" s="16" t="s">
        <v>956</v>
      </c>
      <c r="N498" s="18" t="s">
        <v>5416</v>
      </c>
      <c r="O498" s="18"/>
      <c r="P498" s="18">
        <f>VLOOKUP($A498,MasterData!$C$1:$I$1995,1,FALSE)</f>
        <v>7983</v>
      </c>
      <c r="Q498" s="18" t="str">
        <f t="shared" si="2"/>
        <v>PURNA2025-OTO4</v>
      </c>
    </row>
    <row r="499" ht="15.75" hidden="1" customHeight="1">
      <c r="A499" s="15">
        <v>7997.0</v>
      </c>
      <c r="B499" s="22" t="s">
        <v>6899</v>
      </c>
      <c r="C499" s="16" t="s">
        <v>6900</v>
      </c>
      <c r="D499" s="18" t="s">
        <v>6901</v>
      </c>
      <c r="E499" s="18" t="s">
        <v>959</v>
      </c>
      <c r="F499" s="19" t="str">
        <f t="shared" si="1"/>
        <v>PURNA2025-OTO4</v>
      </c>
      <c r="G499" s="19" t="s">
        <v>5408</v>
      </c>
      <c r="H499" s="20" t="s">
        <v>14</v>
      </c>
      <c r="I499" s="19" t="s">
        <v>5409</v>
      </c>
      <c r="J499" s="19" t="s">
        <v>5410</v>
      </c>
      <c r="K499" s="21" t="s">
        <v>5464</v>
      </c>
      <c r="L499" s="19" t="s">
        <v>6826</v>
      </c>
      <c r="M499" s="16" t="s">
        <v>958</v>
      </c>
      <c r="N499" s="18" t="s">
        <v>5416</v>
      </c>
      <c r="O499" s="18"/>
      <c r="P499" s="18">
        <f>VLOOKUP($A499,MasterData!$C$1:$I$1995,1,FALSE)</f>
        <v>7997</v>
      </c>
      <c r="Q499" s="18" t="str">
        <f t="shared" si="2"/>
        <v>PURNA2025-OTO4</v>
      </c>
    </row>
    <row r="500" ht="15.75" hidden="1" customHeight="1">
      <c r="A500" s="15">
        <v>7429.0</v>
      </c>
      <c r="B500" s="22" t="s">
        <v>6902</v>
      </c>
      <c r="C500" s="16" t="s">
        <v>6903</v>
      </c>
      <c r="D500" s="18" t="s">
        <v>6904</v>
      </c>
      <c r="E500" s="18" t="s">
        <v>965</v>
      </c>
      <c r="F500" s="19" t="str">
        <f t="shared" si="1"/>
        <v>PURNA2025-OTO5</v>
      </c>
      <c r="G500" s="19" t="s">
        <v>5408</v>
      </c>
      <c r="H500" s="20" t="s">
        <v>14</v>
      </c>
      <c r="I500" s="19" t="s">
        <v>5409</v>
      </c>
      <c r="J500" s="19" t="s">
        <v>5410</v>
      </c>
      <c r="K500" s="21" t="s">
        <v>5464</v>
      </c>
      <c r="L500" s="19" t="s">
        <v>6905</v>
      </c>
      <c r="M500" s="16" t="s">
        <v>964</v>
      </c>
      <c r="N500" s="18" t="s">
        <v>5416</v>
      </c>
      <c r="O500" s="18"/>
      <c r="P500" s="18">
        <f>VLOOKUP($A500,MasterData!$C$1:$I$1995,1,FALSE)</f>
        <v>7429</v>
      </c>
      <c r="Q500" s="18" t="str">
        <f t="shared" si="2"/>
        <v>PURNA2025-OTO5</v>
      </c>
    </row>
    <row r="501" ht="15.75" hidden="1" customHeight="1">
      <c r="A501" s="15">
        <v>7431.0</v>
      </c>
      <c r="B501" s="22" t="s">
        <v>6906</v>
      </c>
      <c r="C501" s="16" t="s">
        <v>6907</v>
      </c>
      <c r="D501" s="18" t="s">
        <v>6908</v>
      </c>
      <c r="E501" s="18" t="s">
        <v>967</v>
      </c>
      <c r="F501" s="19" t="str">
        <f t="shared" si="1"/>
        <v>PURNA2025-OTO5</v>
      </c>
      <c r="G501" s="19" t="s">
        <v>5408</v>
      </c>
      <c r="H501" s="20" t="s">
        <v>14</v>
      </c>
      <c r="I501" s="19" t="s">
        <v>5409</v>
      </c>
      <c r="J501" s="19" t="s">
        <v>5410</v>
      </c>
      <c r="K501" s="21" t="s">
        <v>5464</v>
      </c>
      <c r="L501" s="19" t="s">
        <v>6905</v>
      </c>
      <c r="M501" s="16" t="s">
        <v>966</v>
      </c>
      <c r="N501" s="18" t="s">
        <v>5416</v>
      </c>
      <c r="O501" s="18"/>
      <c r="P501" s="18">
        <f>VLOOKUP($A501,MasterData!$C$1:$I$1995,1,FALSE)</f>
        <v>7431</v>
      </c>
      <c r="Q501" s="18" t="str">
        <f t="shared" si="2"/>
        <v>PURNA2025-OTO5</v>
      </c>
    </row>
    <row r="502" ht="15.75" hidden="1" customHeight="1">
      <c r="A502" s="15">
        <v>6835.0</v>
      </c>
      <c r="B502" s="22" t="s">
        <v>6909</v>
      </c>
      <c r="C502" s="16" t="s">
        <v>6910</v>
      </c>
      <c r="D502" s="18" t="s">
        <v>6911</v>
      </c>
      <c r="E502" s="18" t="s">
        <v>961</v>
      </c>
      <c r="F502" s="19" t="str">
        <f t="shared" si="1"/>
        <v>PURNA2025-OTO5</v>
      </c>
      <c r="G502" s="19" t="s">
        <v>5408</v>
      </c>
      <c r="H502" s="20" t="s">
        <v>14</v>
      </c>
      <c r="I502" s="19" t="s">
        <v>5409</v>
      </c>
      <c r="J502" s="19" t="s">
        <v>5410</v>
      </c>
      <c r="K502" s="21" t="s">
        <v>6576</v>
      </c>
      <c r="L502" s="19" t="s">
        <v>6905</v>
      </c>
      <c r="M502" s="16" t="s">
        <v>960</v>
      </c>
      <c r="N502" s="18" t="s">
        <v>5416</v>
      </c>
      <c r="O502" s="18"/>
      <c r="P502" s="18">
        <f>VLOOKUP($A502,MasterData!$C$1:$I$1995,1,FALSE)</f>
        <v>6835</v>
      </c>
      <c r="Q502" s="18" t="str">
        <f t="shared" si="2"/>
        <v>PURNA2025-OTO5</v>
      </c>
    </row>
    <row r="503" ht="15.75" hidden="1" customHeight="1">
      <c r="A503" s="15">
        <v>7447.0</v>
      </c>
      <c r="B503" s="22" t="s">
        <v>6912</v>
      </c>
      <c r="C503" s="16" t="s">
        <v>6913</v>
      </c>
      <c r="D503" s="18" t="s">
        <v>6914</v>
      </c>
      <c r="E503" s="18" t="s">
        <v>969</v>
      </c>
      <c r="F503" s="19" t="str">
        <f t="shared" si="1"/>
        <v>PURNA2025-OTO5</v>
      </c>
      <c r="G503" s="19" t="s">
        <v>5408</v>
      </c>
      <c r="H503" s="20" t="s">
        <v>14</v>
      </c>
      <c r="I503" s="19" t="s">
        <v>5409</v>
      </c>
      <c r="J503" s="19" t="s">
        <v>5410</v>
      </c>
      <c r="K503" s="21" t="s">
        <v>5464</v>
      </c>
      <c r="L503" s="19" t="s">
        <v>6905</v>
      </c>
      <c r="M503" s="16" t="s">
        <v>968</v>
      </c>
      <c r="N503" s="18" t="s">
        <v>5416</v>
      </c>
      <c r="O503" s="18"/>
      <c r="P503" s="18">
        <f>VLOOKUP($A503,MasterData!$C$1:$I$1995,1,FALSE)</f>
        <v>7447</v>
      </c>
      <c r="Q503" s="18" t="str">
        <f t="shared" si="2"/>
        <v>PURNA2025-OTO5</v>
      </c>
    </row>
    <row r="504" ht="15.75" hidden="1" customHeight="1">
      <c r="A504" s="15">
        <v>7467.0</v>
      </c>
      <c r="B504" s="22" t="s">
        <v>6915</v>
      </c>
      <c r="C504" s="16" t="s">
        <v>6916</v>
      </c>
      <c r="D504" s="18" t="s">
        <v>6917</v>
      </c>
      <c r="E504" s="18" t="s">
        <v>971</v>
      </c>
      <c r="F504" s="19" t="str">
        <f t="shared" si="1"/>
        <v>PURNA2025-OTO5</v>
      </c>
      <c r="G504" s="19" t="s">
        <v>5408</v>
      </c>
      <c r="H504" s="20" t="s">
        <v>14</v>
      </c>
      <c r="I504" s="19" t="s">
        <v>5409</v>
      </c>
      <c r="J504" s="19" t="s">
        <v>5410</v>
      </c>
      <c r="K504" s="21" t="s">
        <v>5464</v>
      </c>
      <c r="L504" s="19" t="s">
        <v>6905</v>
      </c>
      <c r="M504" s="16" t="s">
        <v>970</v>
      </c>
      <c r="N504" s="18" t="s">
        <v>5416</v>
      </c>
      <c r="O504" s="18"/>
      <c r="P504" s="18">
        <f>VLOOKUP($A504,MasterData!$C$1:$I$1995,1,FALSE)</f>
        <v>7467</v>
      </c>
      <c r="Q504" s="18" t="str">
        <f t="shared" si="2"/>
        <v>PURNA2025-OTO5</v>
      </c>
    </row>
    <row r="505" ht="15.75" hidden="1" customHeight="1">
      <c r="A505" s="15">
        <v>7483.0</v>
      </c>
      <c r="B505" s="22" t="s">
        <v>6918</v>
      </c>
      <c r="C505" s="16" t="s">
        <v>6919</v>
      </c>
      <c r="D505" s="18" t="s">
        <v>6920</v>
      </c>
      <c r="E505" s="18" t="s">
        <v>973</v>
      </c>
      <c r="F505" s="19" t="str">
        <f t="shared" si="1"/>
        <v>PURNA2025-OTO5</v>
      </c>
      <c r="G505" s="19" t="s">
        <v>5408</v>
      </c>
      <c r="H505" s="20" t="s">
        <v>14</v>
      </c>
      <c r="I505" s="19" t="s">
        <v>5409</v>
      </c>
      <c r="J505" s="19" t="s">
        <v>5410</v>
      </c>
      <c r="K505" s="21" t="s">
        <v>5464</v>
      </c>
      <c r="L505" s="19" t="s">
        <v>6905</v>
      </c>
      <c r="M505" s="16" t="s">
        <v>972</v>
      </c>
      <c r="N505" s="18" t="s">
        <v>5416</v>
      </c>
      <c r="O505" s="18"/>
      <c r="P505" s="18">
        <f>VLOOKUP($A505,MasterData!$C$1:$I$1995,1,FALSE)</f>
        <v>7483</v>
      </c>
      <c r="Q505" s="18" t="str">
        <f t="shared" si="2"/>
        <v>PURNA2025-OTO5</v>
      </c>
    </row>
    <row r="506" ht="15.75" hidden="1" customHeight="1">
      <c r="A506" s="15">
        <v>7487.0</v>
      </c>
      <c r="B506" s="22" t="s">
        <v>6921</v>
      </c>
      <c r="C506" s="16" t="s">
        <v>6922</v>
      </c>
      <c r="D506" s="18" t="s">
        <v>6923</v>
      </c>
      <c r="E506" s="18" t="s">
        <v>975</v>
      </c>
      <c r="F506" s="19" t="str">
        <f t="shared" si="1"/>
        <v>PURNA2025-OTO5</v>
      </c>
      <c r="G506" s="19" t="s">
        <v>5408</v>
      </c>
      <c r="H506" s="20" t="s">
        <v>14</v>
      </c>
      <c r="I506" s="19" t="s">
        <v>5409</v>
      </c>
      <c r="J506" s="19" t="s">
        <v>5410</v>
      </c>
      <c r="K506" s="21" t="s">
        <v>5464</v>
      </c>
      <c r="L506" s="19" t="s">
        <v>6905</v>
      </c>
      <c r="M506" s="16" t="s">
        <v>974</v>
      </c>
      <c r="N506" s="18" t="s">
        <v>5416</v>
      </c>
      <c r="O506" s="18"/>
      <c r="P506" s="18">
        <f>VLOOKUP($A506,MasterData!$C$1:$I$1995,1,FALSE)</f>
        <v>7487</v>
      </c>
      <c r="Q506" s="18" t="str">
        <f t="shared" si="2"/>
        <v>PURNA2025-OTO5</v>
      </c>
    </row>
    <row r="507" ht="15.75" hidden="1" customHeight="1">
      <c r="A507" s="15">
        <v>7511.0</v>
      </c>
      <c r="B507" s="22" t="s">
        <v>6924</v>
      </c>
      <c r="C507" s="16" t="s">
        <v>6925</v>
      </c>
      <c r="D507" s="18" t="s">
        <v>6926</v>
      </c>
      <c r="E507" s="18" t="s">
        <v>977</v>
      </c>
      <c r="F507" s="19" t="str">
        <f t="shared" si="1"/>
        <v>PURNA2025-OTO5</v>
      </c>
      <c r="G507" s="19" t="s">
        <v>5408</v>
      </c>
      <c r="H507" s="20" t="s">
        <v>14</v>
      </c>
      <c r="I507" s="19" t="s">
        <v>5409</v>
      </c>
      <c r="J507" s="19" t="s">
        <v>5410</v>
      </c>
      <c r="K507" s="21" t="s">
        <v>5464</v>
      </c>
      <c r="L507" s="19" t="s">
        <v>6905</v>
      </c>
      <c r="M507" s="16" t="s">
        <v>976</v>
      </c>
      <c r="N507" s="18" t="s">
        <v>5416</v>
      </c>
      <c r="O507" s="18"/>
      <c r="P507" s="18">
        <f>VLOOKUP($A507,MasterData!$C$1:$I$1995,1,FALSE)</f>
        <v>7511</v>
      </c>
      <c r="Q507" s="18" t="str">
        <f t="shared" si="2"/>
        <v>PURNA2025-OTO5</v>
      </c>
    </row>
    <row r="508" ht="15.75" hidden="1" customHeight="1">
      <c r="A508" s="15">
        <v>7548.0</v>
      </c>
      <c r="B508" s="22" t="s">
        <v>6927</v>
      </c>
      <c r="C508" s="16" t="s">
        <v>6928</v>
      </c>
      <c r="D508" s="18" t="s">
        <v>6929</v>
      </c>
      <c r="E508" s="18" t="s">
        <v>979</v>
      </c>
      <c r="F508" s="19" t="str">
        <f t="shared" si="1"/>
        <v>PURNA2025-OTO5</v>
      </c>
      <c r="G508" s="19" t="s">
        <v>5408</v>
      </c>
      <c r="H508" s="20" t="s">
        <v>14</v>
      </c>
      <c r="I508" s="19" t="s">
        <v>5409</v>
      </c>
      <c r="J508" s="19" t="s">
        <v>5410</v>
      </c>
      <c r="K508" s="21" t="s">
        <v>5464</v>
      </c>
      <c r="L508" s="19" t="s">
        <v>6905</v>
      </c>
      <c r="M508" s="16" t="s">
        <v>978</v>
      </c>
      <c r="N508" s="18" t="s">
        <v>5416</v>
      </c>
      <c r="O508" s="18"/>
      <c r="P508" s="18">
        <f>VLOOKUP($A508,MasterData!$C$1:$I$1995,1,FALSE)</f>
        <v>7548</v>
      </c>
      <c r="Q508" s="18" t="str">
        <f t="shared" si="2"/>
        <v>PURNA2025-OTO5</v>
      </c>
    </row>
    <row r="509" ht="15.75" hidden="1" customHeight="1">
      <c r="A509" s="15">
        <v>7559.0</v>
      </c>
      <c r="B509" s="22" t="s">
        <v>6930</v>
      </c>
      <c r="C509" s="16" t="s">
        <v>6931</v>
      </c>
      <c r="D509" s="18" t="s">
        <v>6932</v>
      </c>
      <c r="E509" s="18" t="s">
        <v>981</v>
      </c>
      <c r="F509" s="19" t="str">
        <f t="shared" si="1"/>
        <v>PURNA2025-OTO5</v>
      </c>
      <c r="G509" s="19" t="s">
        <v>5408</v>
      </c>
      <c r="H509" s="20" t="s">
        <v>14</v>
      </c>
      <c r="I509" s="19" t="s">
        <v>5409</v>
      </c>
      <c r="J509" s="19" t="s">
        <v>5410</v>
      </c>
      <c r="K509" s="21" t="s">
        <v>5464</v>
      </c>
      <c r="L509" s="19" t="s">
        <v>6905</v>
      </c>
      <c r="M509" s="16" t="s">
        <v>980</v>
      </c>
      <c r="N509" s="18" t="s">
        <v>5416</v>
      </c>
      <c r="O509" s="18"/>
      <c r="P509" s="18">
        <f>VLOOKUP($A509,MasterData!$C$1:$I$1995,1,FALSE)</f>
        <v>7559</v>
      </c>
      <c r="Q509" s="18" t="str">
        <f t="shared" si="2"/>
        <v>PURNA2025-OTO5</v>
      </c>
    </row>
    <row r="510" ht="15.75" hidden="1" customHeight="1">
      <c r="A510" s="15">
        <v>7601.0</v>
      </c>
      <c r="B510" s="22" t="s">
        <v>6933</v>
      </c>
      <c r="C510" s="16" t="s">
        <v>6934</v>
      </c>
      <c r="D510" s="18" t="s">
        <v>6935</v>
      </c>
      <c r="E510" s="18" t="s">
        <v>983</v>
      </c>
      <c r="F510" s="19" t="str">
        <f t="shared" si="1"/>
        <v>PURNA2025-OTO5</v>
      </c>
      <c r="G510" s="19" t="s">
        <v>5408</v>
      </c>
      <c r="H510" s="20" t="s">
        <v>14</v>
      </c>
      <c r="I510" s="19" t="s">
        <v>5409</v>
      </c>
      <c r="J510" s="19" t="s">
        <v>5410</v>
      </c>
      <c r="K510" s="21" t="s">
        <v>5464</v>
      </c>
      <c r="L510" s="19" t="s">
        <v>6905</v>
      </c>
      <c r="M510" s="16" t="s">
        <v>982</v>
      </c>
      <c r="N510" s="18" t="s">
        <v>5416</v>
      </c>
      <c r="O510" s="18"/>
      <c r="P510" s="18">
        <f>VLOOKUP($A510,MasterData!$C$1:$I$1995,1,FALSE)</f>
        <v>7601</v>
      </c>
      <c r="Q510" s="18" t="str">
        <f t="shared" si="2"/>
        <v>PURNA2025-OTO5</v>
      </c>
    </row>
    <row r="511" ht="15.75" hidden="1" customHeight="1">
      <c r="A511" s="15">
        <v>7616.0</v>
      </c>
      <c r="B511" s="22" t="s">
        <v>6936</v>
      </c>
      <c r="C511" s="16" t="s">
        <v>6937</v>
      </c>
      <c r="D511" s="18" t="s">
        <v>6938</v>
      </c>
      <c r="E511" s="18" t="s">
        <v>985</v>
      </c>
      <c r="F511" s="19" t="str">
        <f t="shared" si="1"/>
        <v>PURNA2025-OTO5</v>
      </c>
      <c r="G511" s="19" t="s">
        <v>5408</v>
      </c>
      <c r="H511" s="20" t="s">
        <v>14</v>
      </c>
      <c r="I511" s="19" t="s">
        <v>5409</v>
      </c>
      <c r="J511" s="19" t="s">
        <v>5410</v>
      </c>
      <c r="K511" s="21" t="s">
        <v>5464</v>
      </c>
      <c r="L511" s="19" t="s">
        <v>6905</v>
      </c>
      <c r="M511" s="16" t="s">
        <v>984</v>
      </c>
      <c r="N511" s="18" t="s">
        <v>5416</v>
      </c>
      <c r="O511" s="18"/>
      <c r="P511" s="18">
        <f>VLOOKUP($A511,MasterData!$C$1:$I$1995,1,FALSE)</f>
        <v>7616</v>
      </c>
      <c r="Q511" s="18" t="str">
        <f t="shared" si="2"/>
        <v>PURNA2025-OTO5</v>
      </c>
    </row>
    <row r="512" ht="15.75" hidden="1" customHeight="1">
      <c r="A512" s="15">
        <v>7621.0</v>
      </c>
      <c r="B512" s="22" t="s">
        <v>6939</v>
      </c>
      <c r="C512" s="16" t="s">
        <v>6940</v>
      </c>
      <c r="D512" s="18" t="s">
        <v>6941</v>
      </c>
      <c r="E512" s="18" t="s">
        <v>987</v>
      </c>
      <c r="F512" s="19" t="str">
        <f t="shared" si="1"/>
        <v>PURNA2025-OTO5</v>
      </c>
      <c r="G512" s="19" t="s">
        <v>5408</v>
      </c>
      <c r="H512" s="20" t="s">
        <v>14</v>
      </c>
      <c r="I512" s="19" t="s">
        <v>5409</v>
      </c>
      <c r="J512" s="19" t="s">
        <v>5410</v>
      </c>
      <c r="K512" s="21" t="s">
        <v>5464</v>
      </c>
      <c r="L512" s="19" t="s">
        <v>6905</v>
      </c>
      <c r="M512" s="16" t="s">
        <v>986</v>
      </c>
      <c r="N512" s="18" t="s">
        <v>5416</v>
      </c>
      <c r="O512" s="18"/>
      <c r="P512" s="18">
        <f>VLOOKUP($A512,MasterData!$C$1:$I$1995,1,FALSE)</f>
        <v>7621</v>
      </c>
      <c r="Q512" s="18" t="str">
        <f t="shared" si="2"/>
        <v>PURNA2025-OTO5</v>
      </c>
    </row>
    <row r="513" ht="15.75" hidden="1" customHeight="1">
      <c r="A513" s="15">
        <v>7656.0</v>
      </c>
      <c r="B513" s="22" t="s">
        <v>6942</v>
      </c>
      <c r="C513" s="16" t="s">
        <v>6943</v>
      </c>
      <c r="D513" s="18" t="s">
        <v>6944</v>
      </c>
      <c r="E513" s="18" t="s">
        <v>989</v>
      </c>
      <c r="F513" s="19" t="str">
        <f t="shared" si="1"/>
        <v>PURNA2025-OTO5</v>
      </c>
      <c r="G513" s="19" t="s">
        <v>5408</v>
      </c>
      <c r="H513" s="20" t="s">
        <v>14</v>
      </c>
      <c r="I513" s="19" t="s">
        <v>5409</v>
      </c>
      <c r="J513" s="19" t="s">
        <v>5410</v>
      </c>
      <c r="K513" s="21" t="s">
        <v>5464</v>
      </c>
      <c r="L513" s="19" t="s">
        <v>6905</v>
      </c>
      <c r="M513" s="16" t="s">
        <v>988</v>
      </c>
      <c r="N513" s="18" t="s">
        <v>5416</v>
      </c>
      <c r="O513" s="18"/>
      <c r="P513" s="18">
        <f>VLOOKUP($A513,MasterData!$C$1:$I$1995,1,FALSE)</f>
        <v>7656</v>
      </c>
      <c r="Q513" s="18" t="str">
        <f t="shared" si="2"/>
        <v>PURNA2025-OTO5</v>
      </c>
    </row>
    <row r="514" ht="15.75" hidden="1" customHeight="1">
      <c r="A514" s="15">
        <v>7679.0</v>
      </c>
      <c r="B514" s="22" t="s">
        <v>6945</v>
      </c>
      <c r="C514" s="16" t="s">
        <v>6946</v>
      </c>
      <c r="D514" s="18" t="s">
        <v>6947</v>
      </c>
      <c r="E514" s="18" t="s">
        <v>991</v>
      </c>
      <c r="F514" s="19" t="str">
        <f t="shared" si="1"/>
        <v>PURNA2025-OTO5</v>
      </c>
      <c r="G514" s="19" t="s">
        <v>5408</v>
      </c>
      <c r="H514" s="20" t="s">
        <v>14</v>
      </c>
      <c r="I514" s="19" t="s">
        <v>5409</v>
      </c>
      <c r="J514" s="19" t="s">
        <v>5410</v>
      </c>
      <c r="K514" s="21" t="s">
        <v>5464</v>
      </c>
      <c r="L514" s="19" t="s">
        <v>6905</v>
      </c>
      <c r="M514" s="16" t="s">
        <v>990</v>
      </c>
      <c r="N514" s="18" t="s">
        <v>5416</v>
      </c>
      <c r="O514" s="18"/>
      <c r="P514" s="18">
        <f>VLOOKUP($A514,MasterData!$C$1:$I$1995,1,FALSE)</f>
        <v>7679</v>
      </c>
      <c r="Q514" s="18" t="str">
        <f t="shared" si="2"/>
        <v>PURNA2025-OTO5</v>
      </c>
    </row>
    <row r="515" ht="15.75" hidden="1" customHeight="1">
      <c r="A515" s="15">
        <v>7708.0</v>
      </c>
      <c r="B515" s="22" t="s">
        <v>6948</v>
      </c>
      <c r="C515" s="16" t="s">
        <v>6949</v>
      </c>
      <c r="D515" s="18" t="s">
        <v>6950</v>
      </c>
      <c r="E515" s="18" t="s">
        <v>993</v>
      </c>
      <c r="F515" s="19" t="str">
        <f t="shared" si="1"/>
        <v>PURNA2025-OTO5</v>
      </c>
      <c r="G515" s="19" t="s">
        <v>5408</v>
      </c>
      <c r="H515" s="20" t="s">
        <v>14</v>
      </c>
      <c r="I515" s="19" t="s">
        <v>5409</v>
      </c>
      <c r="J515" s="19" t="s">
        <v>5410</v>
      </c>
      <c r="K515" s="21" t="s">
        <v>5464</v>
      </c>
      <c r="L515" s="19" t="s">
        <v>6905</v>
      </c>
      <c r="M515" s="16" t="s">
        <v>992</v>
      </c>
      <c r="N515" s="18" t="s">
        <v>5416</v>
      </c>
      <c r="O515" s="18"/>
      <c r="P515" s="18">
        <f>VLOOKUP($A515,MasterData!$C$1:$I$1995,1,FALSE)</f>
        <v>7708</v>
      </c>
      <c r="Q515" s="18" t="str">
        <f t="shared" si="2"/>
        <v>PURNA2025-OTO5</v>
      </c>
    </row>
    <row r="516" ht="15.75" hidden="1" customHeight="1">
      <c r="A516" s="15">
        <v>7757.0</v>
      </c>
      <c r="B516" s="22" t="s">
        <v>6951</v>
      </c>
      <c r="C516" s="16" t="s">
        <v>6952</v>
      </c>
      <c r="D516" s="18" t="s">
        <v>6953</v>
      </c>
      <c r="E516" s="28" t="s">
        <v>997</v>
      </c>
      <c r="F516" s="19" t="str">
        <f t="shared" si="1"/>
        <v>PURNA2025-OTO5</v>
      </c>
      <c r="G516" s="19" t="s">
        <v>5408</v>
      </c>
      <c r="H516" s="20" t="s">
        <v>14</v>
      </c>
      <c r="I516" s="19" t="s">
        <v>5409</v>
      </c>
      <c r="J516" s="19" t="s">
        <v>5410</v>
      </c>
      <c r="K516" s="21" t="s">
        <v>5464</v>
      </c>
      <c r="L516" s="19" t="s">
        <v>6905</v>
      </c>
      <c r="M516" s="16" t="s">
        <v>996</v>
      </c>
      <c r="N516" s="18" t="s">
        <v>5416</v>
      </c>
      <c r="O516" s="18"/>
      <c r="P516" s="18">
        <f>VLOOKUP($A516,MasterData!$C$1:$I$1995,1,FALSE)</f>
        <v>7757</v>
      </c>
      <c r="Q516" s="18" t="str">
        <f t="shared" si="2"/>
        <v>PURNA2025-OTO5</v>
      </c>
    </row>
    <row r="517" ht="15.75" hidden="1" customHeight="1">
      <c r="A517" s="15">
        <v>7746.0</v>
      </c>
      <c r="B517" s="22" t="s">
        <v>6954</v>
      </c>
      <c r="C517" s="16" t="s">
        <v>6955</v>
      </c>
      <c r="D517" s="18" t="s">
        <v>6956</v>
      </c>
      <c r="E517" s="18" t="s">
        <v>995</v>
      </c>
      <c r="F517" s="19" t="str">
        <f t="shared" si="1"/>
        <v>PURNA2025-OTO5</v>
      </c>
      <c r="G517" s="19" t="s">
        <v>5408</v>
      </c>
      <c r="H517" s="20" t="s">
        <v>14</v>
      </c>
      <c r="I517" s="19" t="s">
        <v>5409</v>
      </c>
      <c r="J517" s="19" t="s">
        <v>5410</v>
      </c>
      <c r="K517" s="21" t="s">
        <v>5464</v>
      </c>
      <c r="L517" s="19" t="s">
        <v>6905</v>
      </c>
      <c r="M517" s="16" t="s">
        <v>994</v>
      </c>
      <c r="N517" s="18" t="s">
        <v>5416</v>
      </c>
      <c r="O517" s="18"/>
      <c r="P517" s="18">
        <f>VLOOKUP($A517,MasterData!$C$1:$I$1995,1,FALSE)</f>
        <v>7746</v>
      </c>
      <c r="Q517" s="18" t="str">
        <f t="shared" si="2"/>
        <v>PURNA2025-OTO5</v>
      </c>
    </row>
    <row r="518" ht="15.75" hidden="1" customHeight="1">
      <c r="A518" s="15">
        <v>7759.0</v>
      </c>
      <c r="B518" s="22" t="s">
        <v>6957</v>
      </c>
      <c r="C518" s="16" t="s">
        <v>6958</v>
      </c>
      <c r="D518" s="18" t="s">
        <v>6959</v>
      </c>
      <c r="E518" s="18" t="s">
        <v>999</v>
      </c>
      <c r="F518" s="19" t="str">
        <f t="shared" si="1"/>
        <v>PURNA2025-OTO5</v>
      </c>
      <c r="G518" s="19" t="s">
        <v>5408</v>
      </c>
      <c r="H518" s="20" t="s">
        <v>14</v>
      </c>
      <c r="I518" s="19" t="s">
        <v>5409</v>
      </c>
      <c r="J518" s="19" t="s">
        <v>5410</v>
      </c>
      <c r="K518" s="21" t="s">
        <v>5464</v>
      </c>
      <c r="L518" s="19" t="s">
        <v>6905</v>
      </c>
      <c r="M518" s="16" t="s">
        <v>998</v>
      </c>
      <c r="N518" s="18" t="s">
        <v>5416</v>
      </c>
      <c r="O518" s="18"/>
      <c r="P518" s="18">
        <f>VLOOKUP($A518,MasterData!$C$1:$I$1995,1,FALSE)</f>
        <v>7759</v>
      </c>
      <c r="Q518" s="18" t="str">
        <f t="shared" si="2"/>
        <v>PURNA2025-OTO5</v>
      </c>
    </row>
    <row r="519" ht="15.75" hidden="1" customHeight="1">
      <c r="A519" s="15">
        <v>7767.0</v>
      </c>
      <c r="B519" s="22" t="s">
        <v>6960</v>
      </c>
      <c r="C519" s="16" t="s">
        <v>6961</v>
      </c>
      <c r="D519" s="18" t="s">
        <v>6962</v>
      </c>
      <c r="E519" s="18" t="s">
        <v>1001</v>
      </c>
      <c r="F519" s="19" t="str">
        <f t="shared" si="1"/>
        <v>PURNA2025-OTO5</v>
      </c>
      <c r="G519" s="19" t="s">
        <v>5408</v>
      </c>
      <c r="H519" s="20" t="s">
        <v>14</v>
      </c>
      <c r="I519" s="19" t="s">
        <v>5409</v>
      </c>
      <c r="J519" s="19" t="s">
        <v>5410</v>
      </c>
      <c r="K519" s="21" t="s">
        <v>5464</v>
      </c>
      <c r="L519" s="19" t="s">
        <v>6905</v>
      </c>
      <c r="M519" s="16" t="s">
        <v>1000</v>
      </c>
      <c r="N519" s="18" t="s">
        <v>5416</v>
      </c>
      <c r="O519" s="18"/>
      <c r="P519" s="18">
        <f>VLOOKUP($A519,MasterData!$C$1:$I$1995,1,FALSE)</f>
        <v>7767</v>
      </c>
      <c r="Q519" s="18" t="str">
        <f t="shared" si="2"/>
        <v>PURNA2025-OTO5</v>
      </c>
    </row>
    <row r="520" ht="15.75" hidden="1" customHeight="1">
      <c r="A520" s="15">
        <v>7778.0</v>
      </c>
      <c r="B520" s="22" t="s">
        <v>6963</v>
      </c>
      <c r="C520" s="16" t="s">
        <v>6964</v>
      </c>
      <c r="D520" s="18" t="s">
        <v>6965</v>
      </c>
      <c r="E520" s="18" t="s">
        <v>1003</v>
      </c>
      <c r="F520" s="19" t="str">
        <f t="shared" si="1"/>
        <v>PURNA2025-OTO5</v>
      </c>
      <c r="G520" s="19" t="s">
        <v>5408</v>
      </c>
      <c r="H520" s="20" t="s">
        <v>14</v>
      </c>
      <c r="I520" s="19" t="s">
        <v>5409</v>
      </c>
      <c r="J520" s="19" t="s">
        <v>5410</v>
      </c>
      <c r="K520" s="21" t="s">
        <v>5464</v>
      </c>
      <c r="L520" s="19" t="s">
        <v>6905</v>
      </c>
      <c r="M520" s="16" t="s">
        <v>1002</v>
      </c>
      <c r="N520" s="18" t="s">
        <v>5416</v>
      </c>
      <c r="O520" s="18"/>
      <c r="P520" s="18">
        <f>VLOOKUP($A520,MasterData!$C$1:$I$1995,1,FALSE)</f>
        <v>7778</v>
      </c>
      <c r="Q520" s="18" t="str">
        <f t="shared" si="2"/>
        <v>PURNA2025-OTO5</v>
      </c>
    </row>
    <row r="521" ht="15.75" hidden="1" customHeight="1">
      <c r="A521" s="15">
        <v>7800.0</v>
      </c>
      <c r="B521" s="22" t="s">
        <v>6966</v>
      </c>
      <c r="C521" s="16" t="s">
        <v>6967</v>
      </c>
      <c r="D521" s="18" t="s">
        <v>6968</v>
      </c>
      <c r="E521" s="18" t="s">
        <v>1005</v>
      </c>
      <c r="F521" s="19" t="str">
        <f t="shared" si="1"/>
        <v>PURNA2025-OTO5</v>
      </c>
      <c r="G521" s="19" t="s">
        <v>5408</v>
      </c>
      <c r="H521" s="20" t="s">
        <v>14</v>
      </c>
      <c r="I521" s="19" t="s">
        <v>5409</v>
      </c>
      <c r="J521" s="19" t="s">
        <v>5410</v>
      </c>
      <c r="K521" s="21" t="s">
        <v>5464</v>
      </c>
      <c r="L521" s="19" t="s">
        <v>6905</v>
      </c>
      <c r="M521" s="16" t="s">
        <v>1004</v>
      </c>
      <c r="N521" s="18" t="s">
        <v>5416</v>
      </c>
      <c r="O521" s="18"/>
      <c r="P521" s="18">
        <f>VLOOKUP($A521,MasterData!$C$1:$I$1995,1,FALSE)</f>
        <v>7800</v>
      </c>
      <c r="Q521" s="18" t="str">
        <f t="shared" si="2"/>
        <v>PURNA2025-OTO5</v>
      </c>
    </row>
    <row r="522" ht="15.75" hidden="1" customHeight="1">
      <c r="A522" s="15">
        <v>7806.0</v>
      </c>
      <c r="B522" s="22" t="s">
        <v>6969</v>
      </c>
      <c r="C522" s="16" t="s">
        <v>6970</v>
      </c>
      <c r="D522" s="18" t="s">
        <v>6971</v>
      </c>
      <c r="E522" s="18" t="s">
        <v>1007</v>
      </c>
      <c r="F522" s="19" t="str">
        <f t="shared" si="1"/>
        <v>PURNA2025-OTO5</v>
      </c>
      <c r="G522" s="19" t="s">
        <v>5408</v>
      </c>
      <c r="H522" s="20" t="s">
        <v>14</v>
      </c>
      <c r="I522" s="19" t="s">
        <v>5409</v>
      </c>
      <c r="J522" s="19" t="s">
        <v>5410</v>
      </c>
      <c r="K522" s="21" t="s">
        <v>5464</v>
      </c>
      <c r="L522" s="19" t="s">
        <v>6905</v>
      </c>
      <c r="M522" s="16" t="s">
        <v>1006</v>
      </c>
      <c r="N522" s="18" t="s">
        <v>5416</v>
      </c>
      <c r="O522" s="18"/>
      <c r="P522" s="18">
        <f>VLOOKUP($A522,MasterData!$C$1:$I$1995,1,FALSE)</f>
        <v>7806</v>
      </c>
      <c r="Q522" s="18" t="str">
        <f t="shared" si="2"/>
        <v>PURNA2025-OTO5</v>
      </c>
    </row>
    <row r="523" ht="15.75" hidden="1" customHeight="1">
      <c r="A523" s="15">
        <v>7812.0</v>
      </c>
      <c r="B523" s="22" t="s">
        <v>6972</v>
      </c>
      <c r="C523" s="16" t="s">
        <v>6973</v>
      </c>
      <c r="D523" s="18" t="s">
        <v>6974</v>
      </c>
      <c r="E523" s="18" t="s">
        <v>1009</v>
      </c>
      <c r="F523" s="19" t="str">
        <f t="shared" si="1"/>
        <v>PURNA2025-OTO5</v>
      </c>
      <c r="G523" s="19" t="s">
        <v>5408</v>
      </c>
      <c r="H523" s="20" t="s">
        <v>14</v>
      </c>
      <c r="I523" s="19" t="s">
        <v>5409</v>
      </c>
      <c r="J523" s="19" t="s">
        <v>5410</v>
      </c>
      <c r="K523" s="21" t="s">
        <v>5464</v>
      </c>
      <c r="L523" s="19" t="s">
        <v>6905</v>
      </c>
      <c r="M523" s="16" t="s">
        <v>1008</v>
      </c>
      <c r="N523" s="18" t="s">
        <v>5416</v>
      </c>
      <c r="O523" s="18"/>
      <c r="P523" s="18">
        <f>VLOOKUP($A523,MasterData!$C$1:$I$1995,1,FALSE)</f>
        <v>7812</v>
      </c>
      <c r="Q523" s="18" t="str">
        <f t="shared" si="2"/>
        <v>PURNA2025-OTO5</v>
      </c>
    </row>
    <row r="524" ht="15.75" hidden="1" customHeight="1">
      <c r="A524" s="15">
        <v>7859.0</v>
      </c>
      <c r="B524" s="22" t="s">
        <v>6975</v>
      </c>
      <c r="C524" s="16" t="s">
        <v>6976</v>
      </c>
      <c r="D524" s="18" t="s">
        <v>6977</v>
      </c>
      <c r="E524" s="18" t="s">
        <v>1011</v>
      </c>
      <c r="F524" s="19" t="str">
        <f t="shared" si="1"/>
        <v>PURNA2025-OTO5</v>
      </c>
      <c r="G524" s="19" t="s">
        <v>5408</v>
      </c>
      <c r="H524" s="20" t="s">
        <v>14</v>
      </c>
      <c r="I524" s="19" t="s">
        <v>5409</v>
      </c>
      <c r="J524" s="19" t="s">
        <v>5410</v>
      </c>
      <c r="K524" s="21" t="s">
        <v>5464</v>
      </c>
      <c r="L524" s="19" t="s">
        <v>6905</v>
      </c>
      <c r="M524" s="16" t="s">
        <v>1010</v>
      </c>
      <c r="N524" s="18" t="s">
        <v>5416</v>
      </c>
      <c r="O524" s="18"/>
      <c r="P524" s="18">
        <f>VLOOKUP($A524,MasterData!$C$1:$I$1995,1,FALSE)</f>
        <v>7859</v>
      </c>
      <c r="Q524" s="18" t="str">
        <f t="shared" si="2"/>
        <v>PURNA2025-OTO5</v>
      </c>
    </row>
    <row r="525" ht="15.75" hidden="1" customHeight="1">
      <c r="A525" s="15">
        <v>7865.0</v>
      </c>
      <c r="B525" s="22" t="s">
        <v>6978</v>
      </c>
      <c r="C525" s="16" t="s">
        <v>6979</v>
      </c>
      <c r="D525" s="18" t="s">
        <v>6980</v>
      </c>
      <c r="E525" s="18" t="s">
        <v>1013</v>
      </c>
      <c r="F525" s="19" t="str">
        <f t="shared" si="1"/>
        <v>PURNA2025-OTO5</v>
      </c>
      <c r="G525" s="19" t="s">
        <v>5408</v>
      </c>
      <c r="H525" s="20" t="s">
        <v>14</v>
      </c>
      <c r="I525" s="19" t="s">
        <v>5409</v>
      </c>
      <c r="J525" s="19" t="s">
        <v>5410</v>
      </c>
      <c r="K525" s="21" t="s">
        <v>5464</v>
      </c>
      <c r="L525" s="19" t="s">
        <v>6905</v>
      </c>
      <c r="M525" s="16" t="s">
        <v>1012</v>
      </c>
      <c r="N525" s="18" t="s">
        <v>5416</v>
      </c>
      <c r="O525" s="18"/>
      <c r="P525" s="18">
        <f>VLOOKUP($A525,MasterData!$C$1:$I$1995,1,FALSE)</f>
        <v>7865</v>
      </c>
      <c r="Q525" s="18" t="str">
        <f t="shared" si="2"/>
        <v>PURNA2025-OTO5</v>
      </c>
    </row>
    <row r="526" ht="15.75" hidden="1" customHeight="1">
      <c r="A526" s="15">
        <v>7898.0</v>
      </c>
      <c r="B526" s="22" t="s">
        <v>6981</v>
      </c>
      <c r="C526" s="16" t="s">
        <v>6982</v>
      </c>
      <c r="D526" s="18" t="s">
        <v>6983</v>
      </c>
      <c r="E526" s="18" t="s">
        <v>1015</v>
      </c>
      <c r="F526" s="19" t="str">
        <f t="shared" si="1"/>
        <v>PURNA2025-OTO5</v>
      </c>
      <c r="G526" s="19" t="s">
        <v>5408</v>
      </c>
      <c r="H526" s="20" t="s">
        <v>14</v>
      </c>
      <c r="I526" s="19" t="s">
        <v>5409</v>
      </c>
      <c r="J526" s="19" t="s">
        <v>5410</v>
      </c>
      <c r="K526" s="21" t="s">
        <v>5464</v>
      </c>
      <c r="L526" s="19" t="s">
        <v>6905</v>
      </c>
      <c r="M526" s="16" t="s">
        <v>1014</v>
      </c>
      <c r="N526" s="18" t="s">
        <v>5416</v>
      </c>
      <c r="O526" s="18"/>
      <c r="P526" s="18">
        <f>VLOOKUP($A526,MasterData!$C$1:$I$1995,1,FALSE)</f>
        <v>7898</v>
      </c>
      <c r="Q526" s="18" t="str">
        <f t="shared" si="2"/>
        <v>PURNA2025-OTO5</v>
      </c>
    </row>
    <row r="527" ht="15.75" hidden="1" customHeight="1">
      <c r="A527" s="15">
        <v>7920.0</v>
      </c>
      <c r="B527" s="22" t="s">
        <v>6984</v>
      </c>
      <c r="C527" s="16" t="s">
        <v>6985</v>
      </c>
      <c r="D527" s="18" t="s">
        <v>6986</v>
      </c>
      <c r="E527" s="18" t="s">
        <v>1017</v>
      </c>
      <c r="F527" s="19" t="str">
        <f t="shared" si="1"/>
        <v>PURNA2025-OTO5</v>
      </c>
      <c r="G527" s="19" t="s">
        <v>5408</v>
      </c>
      <c r="H527" s="20" t="s">
        <v>14</v>
      </c>
      <c r="I527" s="19" t="s">
        <v>5409</v>
      </c>
      <c r="J527" s="19" t="s">
        <v>5410</v>
      </c>
      <c r="K527" s="21" t="s">
        <v>5464</v>
      </c>
      <c r="L527" s="19" t="s">
        <v>6905</v>
      </c>
      <c r="M527" s="16" t="s">
        <v>1016</v>
      </c>
      <c r="N527" s="18" t="s">
        <v>5416</v>
      </c>
      <c r="O527" s="18"/>
      <c r="P527" s="18">
        <f>VLOOKUP($A527,MasterData!$C$1:$I$1995,1,FALSE)</f>
        <v>7920</v>
      </c>
      <c r="Q527" s="18" t="str">
        <f t="shared" si="2"/>
        <v>PURNA2025-OTO5</v>
      </c>
    </row>
    <row r="528" ht="15.75" hidden="1" customHeight="1">
      <c r="A528" s="15">
        <v>7307.0</v>
      </c>
      <c r="B528" s="22" t="s">
        <v>6987</v>
      </c>
      <c r="C528" s="16" t="s">
        <v>6988</v>
      </c>
      <c r="D528" s="18" t="s">
        <v>6989</v>
      </c>
      <c r="E528" s="18" t="s">
        <v>963</v>
      </c>
      <c r="F528" s="19" t="str">
        <f t="shared" si="1"/>
        <v>PURNA2025-OTO5</v>
      </c>
      <c r="G528" s="19" t="s">
        <v>5408</v>
      </c>
      <c r="H528" s="20" t="s">
        <v>14</v>
      </c>
      <c r="I528" s="19" t="s">
        <v>5409</v>
      </c>
      <c r="J528" s="19" t="s">
        <v>5410</v>
      </c>
      <c r="K528" s="21" t="s">
        <v>6576</v>
      </c>
      <c r="L528" s="19" t="s">
        <v>6905</v>
      </c>
      <c r="M528" s="16" t="s">
        <v>962</v>
      </c>
      <c r="N528" s="18" t="s">
        <v>5416</v>
      </c>
      <c r="O528" s="18"/>
      <c r="P528" s="18">
        <f>VLOOKUP($A528,MasterData!$C$1:$I$1995,1,FALSE)</f>
        <v>7307</v>
      </c>
      <c r="Q528" s="18" t="str">
        <f t="shared" si="2"/>
        <v>PURNA2025-OTO5</v>
      </c>
    </row>
    <row r="529" ht="15.75" hidden="1" customHeight="1">
      <c r="A529" s="15">
        <v>7958.0</v>
      </c>
      <c r="B529" s="22" t="s">
        <v>6990</v>
      </c>
      <c r="C529" s="16" t="s">
        <v>6991</v>
      </c>
      <c r="D529" s="18" t="s">
        <v>6992</v>
      </c>
      <c r="E529" s="18" t="s">
        <v>1019</v>
      </c>
      <c r="F529" s="19" t="str">
        <f t="shared" si="1"/>
        <v>PURNA2025-OTO5</v>
      </c>
      <c r="G529" s="19" t="s">
        <v>5408</v>
      </c>
      <c r="H529" s="20" t="s">
        <v>14</v>
      </c>
      <c r="I529" s="19" t="s">
        <v>5409</v>
      </c>
      <c r="J529" s="19" t="s">
        <v>5410</v>
      </c>
      <c r="K529" s="21" t="s">
        <v>5464</v>
      </c>
      <c r="L529" s="19" t="s">
        <v>6905</v>
      </c>
      <c r="M529" s="16" t="s">
        <v>1018</v>
      </c>
      <c r="N529" s="18" t="s">
        <v>5416</v>
      </c>
      <c r="O529" s="18"/>
      <c r="P529" s="18">
        <f>VLOOKUP($A529,MasterData!$C$1:$I$1995,1,FALSE)</f>
        <v>7958</v>
      </c>
      <c r="Q529" s="18" t="str">
        <f t="shared" si="2"/>
        <v>PURNA2025-OTO5</v>
      </c>
    </row>
    <row r="530" ht="15.75" hidden="1" customHeight="1">
      <c r="A530" s="15">
        <v>7996.0</v>
      </c>
      <c r="B530" s="22" t="s">
        <v>6993</v>
      </c>
      <c r="C530" s="16" t="s">
        <v>6994</v>
      </c>
      <c r="D530" s="18" t="s">
        <v>6995</v>
      </c>
      <c r="E530" s="18" t="s">
        <v>1021</v>
      </c>
      <c r="F530" s="19" t="str">
        <f t="shared" si="1"/>
        <v>PURNA2025-OTO5</v>
      </c>
      <c r="G530" s="19" t="s">
        <v>5408</v>
      </c>
      <c r="H530" s="20" t="s">
        <v>14</v>
      </c>
      <c r="I530" s="19" t="s">
        <v>5409</v>
      </c>
      <c r="J530" s="19" t="s">
        <v>5410</v>
      </c>
      <c r="K530" s="21" t="s">
        <v>5464</v>
      </c>
      <c r="L530" s="19" t="s">
        <v>6905</v>
      </c>
      <c r="M530" s="16" t="s">
        <v>1020</v>
      </c>
      <c r="N530" s="18" t="s">
        <v>5416</v>
      </c>
      <c r="O530" s="18"/>
      <c r="P530" s="18">
        <f>VLOOKUP($A530,MasterData!$C$1:$I$1995,1,FALSE)</f>
        <v>7996</v>
      </c>
      <c r="Q530" s="18" t="str">
        <f t="shared" si="2"/>
        <v>PURNA2025-OTO5</v>
      </c>
    </row>
    <row r="531" ht="15.75" hidden="1" customHeight="1">
      <c r="A531" s="15">
        <v>8004.0</v>
      </c>
      <c r="B531" s="22" t="s">
        <v>6996</v>
      </c>
      <c r="C531" s="16" t="s">
        <v>6997</v>
      </c>
      <c r="D531" s="18" t="s">
        <v>6998</v>
      </c>
      <c r="E531" s="18" t="s">
        <v>1023</v>
      </c>
      <c r="F531" s="19" t="str">
        <f t="shared" si="1"/>
        <v>PURNA2025-OTO5</v>
      </c>
      <c r="G531" s="19" t="s">
        <v>5408</v>
      </c>
      <c r="H531" s="20" t="s">
        <v>14</v>
      </c>
      <c r="I531" s="19" t="s">
        <v>5409</v>
      </c>
      <c r="J531" s="19" t="s">
        <v>5410</v>
      </c>
      <c r="K531" s="21" t="s">
        <v>5464</v>
      </c>
      <c r="L531" s="19" t="s">
        <v>6905</v>
      </c>
      <c r="M531" s="16" t="s">
        <v>1022</v>
      </c>
      <c r="N531" s="18" t="s">
        <v>5416</v>
      </c>
      <c r="O531" s="18"/>
      <c r="P531" s="18">
        <f>VLOOKUP($A531,MasterData!$C$1:$I$1995,1,FALSE)</f>
        <v>8004</v>
      </c>
      <c r="Q531" s="18" t="str">
        <f t="shared" si="2"/>
        <v>PURNA2025-OTO5</v>
      </c>
    </row>
    <row r="532" ht="15.75" hidden="1" customHeight="1">
      <c r="A532" s="15">
        <v>7460.0</v>
      </c>
      <c r="B532" s="22" t="s">
        <v>6999</v>
      </c>
      <c r="C532" s="16" t="s">
        <v>7000</v>
      </c>
      <c r="D532" s="18" t="s">
        <v>7001</v>
      </c>
      <c r="E532" s="18" t="s">
        <v>1025</v>
      </c>
      <c r="F532" s="19" t="str">
        <f t="shared" si="1"/>
        <v>PURNA2025-PLG1</v>
      </c>
      <c r="G532" s="19" t="s">
        <v>5408</v>
      </c>
      <c r="H532" s="20" t="s">
        <v>14</v>
      </c>
      <c r="I532" s="19" t="s">
        <v>5409</v>
      </c>
      <c r="J532" s="19" t="s">
        <v>5410</v>
      </c>
      <c r="K532" s="21" t="s">
        <v>5464</v>
      </c>
      <c r="L532" s="19" t="s">
        <v>7002</v>
      </c>
      <c r="M532" s="16" t="s">
        <v>1024</v>
      </c>
      <c r="N532" s="18" t="s">
        <v>5416</v>
      </c>
      <c r="O532" s="18"/>
      <c r="P532" s="18">
        <f>VLOOKUP($A532,MasterData!$C$1:$I$1995,1,FALSE)</f>
        <v>7460</v>
      </c>
      <c r="Q532" s="18" t="str">
        <f t="shared" si="2"/>
        <v>PURNA2025-PLG1</v>
      </c>
    </row>
    <row r="533" ht="15.75" hidden="1" customHeight="1">
      <c r="A533" s="15">
        <v>7472.0</v>
      </c>
      <c r="B533" s="22" t="s">
        <v>7003</v>
      </c>
      <c r="C533" s="16" t="s">
        <v>7004</v>
      </c>
      <c r="D533" s="18" t="s">
        <v>7005</v>
      </c>
      <c r="E533" s="18" t="s">
        <v>1027</v>
      </c>
      <c r="F533" s="19" t="str">
        <f t="shared" si="1"/>
        <v>PURNA2025-PLG1</v>
      </c>
      <c r="G533" s="19" t="s">
        <v>5408</v>
      </c>
      <c r="H533" s="20" t="s">
        <v>14</v>
      </c>
      <c r="I533" s="19" t="s">
        <v>5409</v>
      </c>
      <c r="J533" s="19" t="s">
        <v>5410</v>
      </c>
      <c r="K533" s="21" t="s">
        <v>5464</v>
      </c>
      <c r="L533" s="19" t="s">
        <v>7002</v>
      </c>
      <c r="M533" s="16" t="s">
        <v>1026</v>
      </c>
      <c r="N533" s="18" t="s">
        <v>5416</v>
      </c>
      <c r="O533" s="18"/>
      <c r="P533" s="18">
        <f>VLOOKUP($A533,MasterData!$C$1:$I$1995,1,FALSE)</f>
        <v>7472</v>
      </c>
      <c r="Q533" s="18" t="str">
        <f t="shared" si="2"/>
        <v>PURNA2025-PLG1</v>
      </c>
    </row>
    <row r="534" ht="15.75" hidden="1" customHeight="1">
      <c r="A534" s="15">
        <v>7492.0</v>
      </c>
      <c r="B534" s="22" t="s">
        <v>7006</v>
      </c>
      <c r="C534" s="16" t="s">
        <v>7007</v>
      </c>
      <c r="D534" s="18" t="s">
        <v>7008</v>
      </c>
      <c r="E534" s="18" t="s">
        <v>1029</v>
      </c>
      <c r="F534" s="19" t="str">
        <f t="shared" si="1"/>
        <v>PURNA2025-PLG1</v>
      </c>
      <c r="G534" s="19" t="s">
        <v>5408</v>
      </c>
      <c r="H534" s="20" t="s">
        <v>14</v>
      </c>
      <c r="I534" s="19" t="s">
        <v>5409</v>
      </c>
      <c r="J534" s="19" t="s">
        <v>5410</v>
      </c>
      <c r="K534" s="21" t="s">
        <v>5464</v>
      </c>
      <c r="L534" s="19" t="s">
        <v>7002</v>
      </c>
      <c r="M534" s="16" t="s">
        <v>1028</v>
      </c>
      <c r="N534" s="18" t="s">
        <v>5416</v>
      </c>
      <c r="O534" s="18"/>
      <c r="P534" s="18">
        <f>VLOOKUP($A534,MasterData!$C$1:$I$1995,1,FALSE)</f>
        <v>7492</v>
      </c>
      <c r="Q534" s="18" t="str">
        <f t="shared" si="2"/>
        <v>PURNA2025-PLG1</v>
      </c>
    </row>
    <row r="535" ht="15.75" hidden="1" customHeight="1">
      <c r="A535" s="15">
        <v>7493.0</v>
      </c>
      <c r="B535" s="22" t="s">
        <v>7009</v>
      </c>
      <c r="C535" s="16" t="s">
        <v>7010</v>
      </c>
      <c r="D535" s="18" t="s">
        <v>7011</v>
      </c>
      <c r="E535" s="18" t="s">
        <v>1031</v>
      </c>
      <c r="F535" s="19" t="str">
        <f t="shared" si="1"/>
        <v>PURNA2025-PLG1</v>
      </c>
      <c r="G535" s="19" t="s">
        <v>5408</v>
      </c>
      <c r="H535" s="20" t="s">
        <v>14</v>
      </c>
      <c r="I535" s="19" t="s">
        <v>5409</v>
      </c>
      <c r="J535" s="19" t="s">
        <v>5410</v>
      </c>
      <c r="K535" s="21" t="s">
        <v>5464</v>
      </c>
      <c r="L535" s="19" t="s">
        <v>7002</v>
      </c>
      <c r="M535" s="16" t="s">
        <v>1030</v>
      </c>
      <c r="N535" s="18" t="s">
        <v>5416</v>
      </c>
      <c r="O535" s="18"/>
      <c r="P535" s="18">
        <f>VLOOKUP($A535,MasterData!$C$1:$I$1995,1,FALSE)</f>
        <v>7493</v>
      </c>
      <c r="Q535" s="18" t="str">
        <f t="shared" si="2"/>
        <v>PURNA2025-PLG1</v>
      </c>
    </row>
    <row r="536" ht="15.75" hidden="1" customHeight="1">
      <c r="A536" s="15">
        <v>7498.0</v>
      </c>
      <c r="B536" s="22" t="s">
        <v>7012</v>
      </c>
      <c r="C536" s="16" t="s">
        <v>7013</v>
      </c>
      <c r="D536" s="18" t="s">
        <v>7014</v>
      </c>
      <c r="E536" s="18" t="s">
        <v>1033</v>
      </c>
      <c r="F536" s="19" t="str">
        <f t="shared" si="1"/>
        <v>PURNA2025-PLG1</v>
      </c>
      <c r="G536" s="19" t="s">
        <v>5408</v>
      </c>
      <c r="H536" s="20" t="s">
        <v>14</v>
      </c>
      <c r="I536" s="19" t="s">
        <v>5409</v>
      </c>
      <c r="J536" s="19" t="s">
        <v>5410</v>
      </c>
      <c r="K536" s="21" t="s">
        <v>5464</v>
      </c>
      <c r="L536" s="19" t="s">
        <v>7002</v>
      </c>
      <c r="M536" s="16" t="s">
        <v>1032</v>
      </c>
      <c r="N536" s="18" t="s">
        <v>5416</v>
      </c>
      <c r="O536" s="18"/>
      <c r="P536" s="18">
        <f>VLOOKUP($A536,MasterData!$C$1:$I$1995,1,FALSE)</f>
        <v>7498</v>
      </c>
      <c r="Q536" s="18" t="str">
        <f t="shared" si="2"/>
        <v>PURNA2025-PLG1</v>
      </c>
    </row>
    <row r="537" ht="15.75" hidden="1" customHeight="1">
      <c r="A537" s="15">
        <v>7518.0</v>
      </c>
      <c r="B537" s="22" t="s">
        <v>7015</v>
      </c>
      <c r="C537" s="16" t="s">
        <v>7016</v>
      </c>
      <c r="D537" s="18" t="s">
        <v>7017</v>
      </c>
      <c r="E537" s="18" t="s">
        <v>1035</v>
      </c>
      <c r="F537" s="19" t="str">
        <f t="shared" si="1"/>
        <v>PURNA2025-PLG1</v>
      </c>
      <c r="G537" s="19" t="s">
        <v>5408</v>
      </c>
      <c r="H537" s="20" t="s">
        <v>14</v>
      </c>
      <c r="I537" s="19" t="s">
        <v>5409</v>
      </c>
      <c r="J537" s="19" t="s">
        <v>5410</v>
      </c>
      <c r="K537" s="21" t="s">
        <v>5464</v>
      </c>
      <c r="L537" s="19" t="s">
        <v>7002</v>
      </c>
      <c r="M537" s="16" t="s">
        <v>1034</v>
      </c>
      <c r="N537" s="18" t="s">
        <v>5416</v>
      </c>
      <c r="O537" s="18"/>
      <c r="P537" s="18">
        <f>VLOOKUP($A537,MasterData!$C$1:$I$1995,1,FALSE)</f>
        <v>7518</v>
      </c>
      <c r="Q537" s="18" t="str">
        <f t="shared" si="2"/>
        <v>PURNA2025-PLG1</v>
      </c>
    </row>
    <row r="538" ht="15.75" hidden="1" customHeight="1">
      <c r="A538" s="15">
        <v>7519.0</v>
      </c>
      <c r="B538" s="22" t="s">
        <v>7018</v>
      </c>
      <c r="C538" s="16" t="s">
        <v>7019</v>
      </c>
      <c r="D538" s="18" t="s">
        <v>7020</v>
      </c>
      <c r="E538" s="18" t="s">
        <v>1037</v>
      </c>
      <c r="F538" s="19" t="str">
        <f t="shared" si="1"/>
        <v>PURNA2025-PLG1</v>
      </c>
      <c r="G538" s="19" t="s">
        <v>5408</v>
      </c>
      <c r="H538" s="20" t="s">
        <v>14</v>
      </c>
      <c r="I538" s="19" t="s">
        <v>5409</v>
      </c>
      <c r="J538" s="19" t="s">
        <v>5410</v>
      </c>
      <c r="K538" s="21" t="s">
        <v>5464</v>
      </c>
      <c r="L538" s="19" t="s">
        <v>7002</v>
      </c>
      <c r="M538" s="16" t="s">
        <v>1036</v>
      </c>
      <c r="N538" s="18" t="s">
        <v>5416</v>
      </c>
      <c r="O538" s="18"/>
      <c r="P538" s="18">
        <f>VLOOKUP($A538,MasterData!$C$1:$I$1995,1,FALSE)</f>
        <v>7519</v>
      </c>
      <c r="Q538" s="18" t="str">
        <f t="shared" si="2"/>
        <v>PURNA2025-PLG1</v>
      </c>
    </row>
    <row r="539" ht="15.75" hidden="1" customHeight="1">
      <c r="A539" s="15">
        <v>7554.0</v>
      </c>
      <c r="B539" s="22" t="s">
        <v>7021</v>
      </c>
      <c r="C539" s="16" t="s">
        <v>7022</v>
      </c>
      <c r="D539" s="18" t="s">
        <v>7023</v>
      </c>
      <c r="E539" s="18" t="s">
        <v>1039</v>
      </c>
      <c r="F539" s="19" t="str">
        <f t="shared" si="1"/>
        <v>PURNA2025-PLG1</v>
      </c>
      <c r="G539" s="19" t="s">
        <v>5408</v>
      </c>
      <c r="H539" s="20" t="s">
        <v>14</v>
      </c>
      <c r="I539" s="19" t="s">
        <v>5409</v>
      </c>
      <c r="J539" s="19" t="s">
        <v>5410</v>
      </c>
      <c r="K539" s="21" t="s">
        <v>5464</v>
      </c>
      <c r="L539" s="19" t="s">
        <v>7002</v>
      </c>
      <c r="M539" s="16" t="s">
        <v>1038</v>
      </c>
      <c r="N539" s="18" t="s">
        <v>5416</v>
      </c>
      <c r="O539" s="18"/>
      <c r="P539" s="18">
        <f>VLOOKUP($A539,MasterData!$C$1:$I$1995,1,FALSE)</f>
        <v>7554</v>
      </c>
      <c r="Q539" s="18" t="str">
        <f t="shared" si="2"/>
        <v>PURNA2025-PLG1</v>
      </c>
    </row>
    <row r="540" ht="15.75" hidden="1" customHeight="1">
      <c r="A540" s="15">
        <v>7575.0</v>
      </c>
      <c r="B540" s="22" t="s">
        <v>7024</v>
      </c>
      <c r="C540" s="16" t="s">
        <v>7025</v>
      </c>
      <c r="D540" s="18" t="s">
        <v>7026</v>
      </c>
      <c r="E540" s="18" t="s">
        <v>1041</v>
      </c>
      <c r="F540" s="19" t="str">
        <f t="shared" si="1"/>
        <v>PURNA2025-PLG1</v>
      </c>
      <c r="G540" s="19" t="s">
        <v>5408</v>
      </c>
      <c r="H540" s="20" t="s">
        <v>14</v>
      </c>
      <c r="I540" s="19" t="s">
        <v>5409</v>
      </c>
      <c r="J540" s="19" t="s">
        <v>5410</v>
      </c>
      <c r="K540" s="21" t="s">
        <v>5464</v>
      </c>
      <c r="L540" s="19" t="s">
        <v>7002</v>
      </c>
      <c r="M540" s="16" t="s">
        <v>1040</v>
      </c>
      <c r="N540" s="18" t="s">
        <v>5416</v>
      </c>
      <c r="O540" s="18"/>
      <c r="P540" s="18">
        <f>VLOOKUP($A540,MasterData!$C$1:$I$1995,1,FALSE)</f>
        <v>7575</v>
      </c>
      <c r="Q540" s="18" t="str">
        <f t="shared" si="2"/>
        <v>PURNA2025-PLG1</v>
      </c>
    </row>
    <row r="541" ht="15.75" hidden="1" customHeight="1">
      <c r="A541" s="15">
        <v>7608.0</v>
      </c>
      <c r="B541" s="22" t="s">
        <v>7027</v>
      </c>
      <c r="C541" s="16" t="s">
        <v>7028</v>
      </c>
      <c r="D541" s="18" t="s">
        <v>7029</v>
      </c>
      <c r="E541" s="18" t="s">
        <v>1043</v>
      </c>
      <c r="F541" s="19" t="str">
        <f t="shared" si="1"/>
        <v>PURNA2025-PLG1</v>
      </c>
      <c r="G541" s="19" t="s">
        <v>5408</v>
      </c>
      <c r="H541" s="20" t="s">
        <v>14</v>
      </c>
      <c r="I541" s="19" t="s">
        <v>5409</v>
      </c>
      <c r="J541" s="19" t="s">
        <v>5410</v>
      </c>
      <c r="K541" s="21" t="s">
        <v>5464</v>
      </c>
      <c r="L541" s="19" t="s">
        <v>7002</v>
      </c>
      <c r="M541" s="16" t="s">
        <v>1042</v>
      </c>
      <c r="N541" s="18" t="s">
        <v>5416</v>
      </c>
      <c r="O541" s="18"/>
      <c r="P541" s="18">
        <f>VLOOKUP($A541,MasterData!$C$1:$I$1995,1,FALSE)</f>
        <v>7608</v>
      </c>
      <c r="Q541" s="18" t="str">
        <f t="shared" si="2"/>
        <v>PURNA2025-PLG1</v>
      </c>
    </row>
    <row r="542" ht="15.75" hidden="1" customHeight="1">
      <c r="A542" s="15">
        <v>7622.0</v>
      </c>
      <c r="B542" s="22" t="s">
        <v>7030</v>
      </c>
      <c r="C542" s="16" t="s">
        <v>7031</v>
      </c>
      <c r="D542" s="18" t="s">
        <v>7032</v>
      </c>
      <c r="E542" s="18" t="s">
        <v>1045</v>
      </c>
      <c r="F542" s="19" t="str">
        <f t="shared" si="1"/>
        <v>PURNA2025-PLG1</v>
      </c>
      <c r="G542" s="19" t="s">
        <v>5408</v>
      </c>
      <c r="H542" s="20" t="s">
        <v>14</v>
      </c>
      <c r="I542" s="19" t="s">
        <v>5409</v>
      </c>
      <c r="J542" s="19" t="s">
        <v>5410</v>
      </c>
      <c r="K542" s="21" t="s">
        <v>5464</v>
      </c>
      <c r="L542" s="19" t="s">
        <v>7002</v>
      </c>
      <c r="M542" s="16" t="s">
        <v>1044</v>
      </c>
      <c r="N542" s="18" t="s">
        <v>5416</v>
      </c>
      <c r="O542" s="18"/>
      <c r="P542" s="18">
        <f>VLOOKUP($A542,MasterData!$C$1:$I$1995,1,FALSE)</f>
        <v>7622</v>
      </c>
      <c r="Q542" s="18" t="str">
        <f t="shared" si="2"/>
        <v>PURNA2025-PLG1</v>
      </c>
    </row>
    <row r="543" ht="15.75" hidden="1" customHeight="1">
      <c r="A543" s="15">
        <v>7654.0</v>
      </c>
      <c r="B543" s="22" t="s">
        <v>7033</v>
      </c>
      <c r="C543" s="16" t="s">
        <v>7034</v>
      </c>
      <c r="D543" s="18" t="s">
        <v>7035</v>
      </c>
      <c r="E543" s="18" t="s">
        <v>1047</v>
      </c>
      <c r="F543" s="19" t="str">
        <f t="shared" si="1"/>
        <v>PURNA2025-PLG1</v>
      </c>
      <c r="G543" s="19" t="s">
        <v>5408</v>
      </c>
      <c r="H543" s="20" t="s">
        <v>14</v>
      </c>
      <c r="I543" s="19" t="s">
        <v>5409</v>
      </c>
      <c r="J543" s="19" t="s">
        <v>5410</v>
      </c>
      <c r="K543" s="21" t="s">
        <v>5464</v>
      </c>
      <c r="L543" s="19" t="s">
        <v>7002</v>
      </c>
      <c r="M543" s="16" t="s">
        <v>1046</v>
      </c>
      <c r="N543" s="18" t="s">
        <v>5416</v>
      </c>
      <c r="O543" s="18"/>
      <c r="P543" s="18">
        <f>VLOOKUP($A543,MasterData!$C$1:$I$1995,1,FALSE)</f>
        <v>7654</v>
      </c>
      <c r="Q543" s="18" t="str">
        <f t="shared" si="2"/>
        <v>PURNA2025-PLG1</v>
      </c>
    </row>
    <row r="544" ht="15.75" hidden="1" customHeight="1">
      <c r="A544" s="15">
        <v>7655.0</v>
      </c>
      <c r="B544" s="22" t="s">
        <v>7036</v>
      </c>
      <c r="C544" s="16" t="s">
        <v>7037</v>
      </c>
      <c r="D544" s="18" t="s">
        <v>7038</v>
      </c>
      <c r="E544" s="18" t="s">
        <v>1049</v>
      </c>
      <c r="F544" s="19" t="str">
        <f t="shared" si="1"/>
        <v>PURNA2025-PLG1</v>
      </c>
      <c r="G544" s="19" t="s">
        <v>5408</v>
      </c>
      <c r="H544" s="20" t="s">
        <v>14</v>
      </c>
      <c r="I544" s="19" t="s">
        <v>5409</v>
      </c>
      <c r="J544" s="19" t="s">
        <v>5410</v>
      </c>
      <c r="K544" s="21" t="s">
        <v>5464</v>
      </c>
      <c r="L544" s="19" t="s">
        <v>7002</v>
      </c>
      <c r="M544" s="16" t="s">
        <v>1048</v>
      </c>
      <c r="N544" s="18" t="s">
        <v>5416</v>
      </c>
      <c r="O544" s="18"/>
      <c r="P544" s="18">
        <f>VLOOKUP($A544,MasterData!$C$1:$I$1995,1,FALSE)</f>
        <v>7655</v>
      </c>
      <c r="Q544" s="18" t="str">
        <f t="shared" si="2"/>
        <v>PURNA2025-PLG1</v>
      </c>
    </row>
    <row r="545" ht="15.75" hidden="1" customHeight="1">
      <c r="A545" s="15">
        <v>7670.0</v>
      </c>
      <c r="B545" s="22" t="s">
        <v>7039</v>
      </c>
      <c r="C545" s="16" t="s">
        <v>7040</v>
      </c>
      <c r="D545" s="18" t="s">
        <v>7041</v>
      </c>
      <c r="E545" s="18" t="s">
        <v>1051</v>
      </c>
      <c r="F545" s="19" t="str">
        <f t="shared" si="1"/>
        <v>PURNA2025-PLG1</v>
      </c>
      <c r="G545" s="19" t="s">
        <v>5408</v>
      </c>
      <c r="H545" s="20" t="s">
        <v>14</v>
      </c>
      <c r="I545" s="19" t="s">
        <v>5409</v>
      </c>
      <c r="J545" s="19" t="s">
        <v>5410</v>
      </c>
      <c r="K545" s="21" t="s">
        <v>5464</v>
      </c>
      <c r="L545" s="19" t="s">
        <v>7002</v>
      </c>
      <c r="M545" s="16" t="s">
        <v>1050</v>
      </c>
      <c r="N545" s="18" t="s">
        <v>5416</v>
      </c>
      <c r="O545" s="18"/>
      <c r="P545" s="18">
        <f>VLOOKUP($A545,MasterData!$C$1:$I$1995,1,FALSE)</f>
        <v>7670</v>
      </c>
      <c r="Q545" s="18" t="str">
        <f t="shared" si="2"/>
        <v>PURNA2025-PLG1</v>
      </c>
    </row>
    <row r="546" ht="15.75" hidden="1" customHeight="1">
      <c r="A546" s="15">
        <v>7710.0</v>
      </c>
      <c r="B546" s="22" t="s">
        <v>7042</v>
      </c>
      <c r="C546" s="16" t="s">
        <v>7043</v>
      </c>
      <c r="D546" s="18" t="s">
        <v>7044</v>
      </c>
      <c r="E546" s="18" t="s">
        <v>1053</v>
      </c>
      <c r="F546" s="19" t="str">
        <f t="shared" si="1"/>
        <v>PURNA2025-PLG1</v>
      </c>
      <c r="G546" s="19" t="s">
        <v>5408</v>
      </c>
      <c r="H546" s="20" t="s">
        <v>14</v>
      </c>
      <c r="I546" s="19" t="s">
        <v>5409</v>
      </c>
      <c r="J546" s="19" t="s">
        <v>5410</v>
      </c>
      <c r="K546" s="21" t="s">
        <v>5464</v>
      </c>
      <c r="L546" s="19" t="s">
        <v>7002</v>
      </c>
      <c r="M546" s="16" t="s">
        <v>1052</v>
      </c>
      <c r="N546" s="18" t="s">
        <v>5416</v>
      </c>
      <c r="O546" s="18"/>
      <c r="P546" s="18">
        <f>VLOOKUP($A546,MasterData!$C$1:$I$1995,1,FALSE)</f>
        <v>7710</v>
      </c>
      <c r="Q546" s="18" t="str">
        <f t="shared" si="2"/>
        <v>PURNA2025-PLG1</v>
      </c>
    </row>
    <row r="547" ht="15.75" hidden="1" customHeight="1">
      <c r="A547" s="15">
        <v>7715.0</v>
      </c>
      <c r="B547" s="22" t="s">
        <v>7045</v>
      </c>
      <c r="C547" s="16" t="s">
        <v>7046</v>
      </c>
      <c r="D547" s="18" t="s">
        <v>7047</v>
      </c>
      <c r="E547" s="18" t="s">
        <v>1055</v>
      </c>
      <c r="F547" s="19" t="str">
        <f t="shared" si="1"/>
        <v>PURNA2025-PLG1</v>
      </c>
      <c r="G547" s="19" t="s">
        <v>5408</v>
      </c>
      <c r="H547" s="20" t="s">
        <v>14</v>
      </c>
      <c r="I547" s="19" t="s">
        <v>5409</v>
      </c>
      <c r="J547" s="19" t="s">
        <v>5410</v>
      </c>
      <c r="K547" s="21" t="s">
        <v>5464</v>
      </c>
      <c r="L547" s="19" t="s">
        <v>7002</v>
      </c>
      <c r="M547" s="16" t="s">
        <v>1054</v>
      </c>
      <c r="N547" s="18" t="s">
        <v>5416</v>
      </c>
      <c r="O547" s="18"/>
      <c r="P547" s="18">
        <f>VLOOKUP($A547,MasterData!$C$1:$I$1995,1,FALSE)</f>
        <v>7715</v>
      </c>
      <c r="Q547" s="18" t="str">
        <f t="shared" si="2"/>
        <v>PURNA2025-PLG1</v>
      </c>
    </row>
    <row r="548" ht="15.75" hidden="1" customHeight="1">
      <c r="A548" s="15">
        <v>7742.0</v>
      </c>
      <c r="B548" s="22" t="s">
        <v>7048</v>
      </c>
      <c r="C548" s="16" t="s">
        <v>7049</v>
      </c>
      <c r="D548" s="18" t="s">
        <v>7050</v>
      </c>
      <c r="E548" s="18" t="s">
        <v>1057</v>
      </c>
      <c r="F548" s="19" t="str">
        <f t="shared" si="1"/>
        <v>PURNA2025-PLG1</v>
      </c>
      <c r="G548" s="19" t="s">
        <v>5408</v>
      </c>
      <c r="H548" s="20" t="s">
        <v>14</v>
      </c>
      <c r="I548" s="19" t="s">
        <v>5409</v>
      </c>
      <c r="J548" s="19" t="s">
        <v>5410</v>
      </c>
      <c r="K548" s="21" t="s">
        <v>5464</v>
      </c>
      <c r="L548" s="19" t="s">
        <v>7002</v>
      </c>
      <c r="M548" s="16" t="s">
        <v>1056</v>
      </c>
      <c r="N548" s="18" t="s">
        <v>5416</v>
      </c>
      <c r="O548" s="18"/>
      <c r="P548" s="18">
        <f>VLOOKUP($A548,MasterData!$C$1:$I$1995,1,FALSE)</f>
        <v>7742</v>
      </c>
      <c r="Q548" s="18" t="str">
        <f t="shared" si="2"/>
        <v>PURNA2025-PLG1</v>
      </c>
    </row>
    <row r="549" ht="15.75" hidden="1" customHeight="1">
      <c r="A549" s="15">
        <v>7766.0</v>
      </c>
      <c r="B549" s="22" t="s">
        <v>7051</v>
      </c>
      <c r="C549" s="16" t="s">
        <v>7052</v>
      </c>
      <c r="D549" s="18" t="s">
        <v>7053</v>
      </c>
      <c r="E549" s="18" t="s">
        <v>1059</v>
      </c>
      <c r="F549" s="19" t="str">
        <f t="shared" si="1"/>
        <v>PURNA2025-PLG1</v>
      </c>
      <c r="G549" s="19" t="s">
        <v>5408</v>
      </c>
      <c r="H549" s="20" t="s">
        <v>14</v>
      </c>
      <c r="I549" s="19" t="s">
        <v>5409</v>
      </c>
      <c r="J549" s="19" t="s">
        <v>5410</v>
      </c>
      <c r="K549" s="21" t="s">
        <v>5464</v>
      </c>
      <c r="L549" s="19" t="s">
        <v>7002</v>
      </c>
      <c r="M549" s="16" t="s">
        <v>1058</v>
      </c>
      <c r="N549" s="18" t="s">
        <v>5416</v>
      </c>
      <c r="O549" s="18"/>
      <c r="P549" s="18">
        <f>VLOOKUP($A549,MasterData!$C$1:$I$1995,1,FALSE)</f>
        <v>7766</v>
      </c>
      <c r="Q549" s="18" t="str">
        <f t="shared" si="2"/>
        <v>PURNA2025-PLG1</v>
      </c>
    </row>
    <row r="550" ht="15.75" hidden="1" customHeight="1">
      <c r="A550" s="15">
        <v>7781.0</v>
      </c>
      <c r="B550" s="22" t="s">
        <v>7054</v>
      </c>
      <c r="C550" s="16" t="s">
        <v>7055</v>
      </c>
      <c r="D550" s="18" t="s">
        <v>7056</v>
      </c>
      <c r="E550" s="18" t="s">
        <v>1061</v>
      </c>
      <c r="F550" s="19" t="str">
        <f t="shared" si="1"/>
        <v>PURNA2025-PLG1</v>
      </c>
      <c r="G550" s="19" t="s">
        <v>5408</v>
      </c>
      <c r="H550" s="20" t="s">
        <v>14</v>
      </c>
      <c r="I550" s="19" t="s">
        <v>5409</v>
      </c>
      <c r="J550" s="19" t="s">
        <v>5410</v>
      </c>
      <c r="K550" s="21" t="s">
        <v>5464</v>
      </c>
      <c r="L550" s="19" t="s">
        <v>7002</v>
      </c>
      <c r="M550" s="16" t="s">
        <v>1060</v>
      </c>
      <c r="N550" s="18" t="s">
        <v>5416</v>
      </c>
      <c r="O550" s="18"/>
      <c r="P550" s="18">
        <f>VLOOKUP($A550,MasterData!$C$1:$I$1995,1,FALSE)</f>
        <v>7781</v>
      </c>
      <c r="Q550" s="18" t="str">
        <f t="shared" si="2"/>
        <v>PURNA2025-PLG1</v>
      </c>
    </row>
    <row r="551" ht="15.75" hidden="1" customHeight="1">
      <c r="A551" s="15">
        <v>7799.0</v>
      </c>
      <c r="B551" s="22" t="s">
        <v>7057</v>
      </c>
      <c r="C551" s="16" t="s">
        <v>7058</v>
      </c>
      <c r="D551" s="18" t="s">
        <v>7059</v>
      </c>
      <c r="E551" s="18" t="s">
        <v>1063</v>
      </c>
      <c r="F551" s="19" t="str">
        <f t="shared" si="1"/>
        <v>PURNA2025-PLG1</v>
      </c>
      <c r="G551" s="19" t="s">
        <v>5408</v>
      </c>
      <c r="H551" s="20" t="s">
        <v>14</v>
      </c>
      <c r="I551" s="19" t="s">
        <v>5409</v>
      </c>
      <c r="J551" s="19" t="s">
        <v>5410</v>
      </c>
      <c r="K551" s="21" t="s">
        <v>5464</v>
      </c>
      <c r="L551" s="19" t="s">
        <v>7002</v>
      </c>
      <c r="M551" s="16" t="s">
        <v>1062</v>
      </c>
      <c r="N551" s="18" t="s">
        <v>5416</v>
      </c>
      <c r="O551" s="18"/>
      <c r="P551" s="18">
        <f>VLOOKUP($A551,MasterData!$C$1:$I$1995,1,FALSE)</f>
        <v>7799</v>
      </c>
      <c r="Q551" s="18" t="str">
        <f t="shared" si="2"/>
        <v>PURNA2025-PLG1</v>
      </c>
    </row>
    <row r="552" ht="15.75" hidden="1" customHeight="1">
      <c r="A552" s="15">
        <v>7802.0</v>
      </c>
      <c r="B552" s="22" t="s">
        <v>7060</v>
      </c>
      <c r="C552" s="16" t="s">
        <v>7061</v>
      </c>
      <c r="D552" s="18" t="s">
        <v>7062</v>
      </c>
      <c r="E552" s="18" t="s">
        <v>1065</v>
      </c>
      <c r="F552" s="19" t="str">
        <f t="shared" si="1"/>
        <v>PURNA2025-PLG1</v>
      </c>
      <c r="G552" s="19" t="s">
        <v>5408</v>
      </c>
      <c r="H552" s="20" t="s">
        <v>14</v>
      </c>
      <c r="I552" s="19" t="s">
        <v>5409</v>
      </c>
      <c r="J552" s="19" t="s">
        <v>5410</v>
      </c>
      <c r="K552" s="21" t="s">
        <v>5464</v>
      </c>
      <c r="L552" s="19" t="s">
        <v>7002</v>
      </c>
      <c r="M552" s="16" t="s">
        <v>1064</v>
      </c>
      <c r="N552" s="18" t="s">
        <v>5416</v>
      </c>
      <c r="O552" s="18"/>
      <c r="P552" s="18">
        <f>VLOOKUP($A552,MasterData!$C$1:$I$1995,1,FALSE)</f>
        <v>7802</v>
      </c>
      <c r="Q552" s="18" t="str">
        <f t="shared" si="2"/>
        <v>PURNA2025-PLG1</v>
      </c>
    </row>
    <row r="553" ht="15.75" hidden="1" customHeight="1">
      <c r="A553" s="15">
        <v>7830.0</v>
      </c>
      <c r="B553" s="22" t="s">
        <v>7063</v>
      </c>
      <c r="C553" s="16" t="s">
        <v>7064</v>
      </c>
      <c r="D553" s="18" t="s">
        <v>7065</v>
      </c>
      <c r="E553" s="18" t="s">
        <v>1067</v>
      </c>
      <c r="F553" s="19" t="str">
        <f t="shared" si="1"/>
        <v>PURNA2025-PLG1</v>
      </c>
      <c r="G553" s="19" t="s">
        <v>5408</v>
      </c>
      <c r="H553" s="20" t="s">
        <v>14</v>
      </c>
      <c r="I553" s="19" t="s">
        <v>5409</v>
      </c>
      <c r="J553" s="19" t="s">
        <v>5410</v>
      </c>
      <c r="K553" s="21" t="s">
        <v>5464</v>
      </c>
      <c r="L553" s="19" t="s">
        <v>7002</v>
      </c>
      <c r="M553" s="16" t="s">
        <v>1066</v>
      </c>
      <c r="N553" s="18" t="s">
        <v>5416</v>
      </c>
      <c r="O553" s="18"/>
      <c r="P553" s="18">
        <f>VLOOKUP($A553,MasterData!$C$1:$I$1995,1,FALSE)</f>
        <v>7830</v>
      </c>
      <c r="Q553" s="18" t="str">
        <f t="shared" si="2"/>
        <v>PURNA2025-PLG1</v>
      </c>
    </row>
    <row r="554" ht="15.75" hidden="1" customHeight="1">
      <c r="A554" s="15">
        <v>7845.0</v>
      </c>
      <c r="B554" s="22" t="s">
        <v>7066</v>
      </c>
      <c r="C554" s="16" t="s">
        <v>7067</v>
      </c>
      <c r="D554" s="18" t="s">
        <v>7068</v>
      </c>
      <c r="E554" s="18" t="s">
        <v>1069</v>
      </c>
      <c r="F554" s="19" t="str">
        <f t="shared" si="1"/>
        <v>PURNA2025-PLG1</v>
      </c>
      <c r="G554" s="19" t="s">
        <v>5408</v>
      </c>
      <c r="H554" s="20" t="s">
        <v>14</v>
      </c>
      <c r="I554" s="19" t="s">
        <v>5409</v>
      </c>
      <c r="J554" s="19" t="s">
        <v>5410</v>
      </c>
      <c r="K554" s="21" t="s">
        <v>5464</v>
      </c>
      <c r="L554" s="19" t="s">
        <v>7002</v>
      </c>
      <c r="M554" s="16" t="s">
        <v>1068</v>
      </c>
      <c r="N554" s="18" t="s">
        <v>5416</v>
      </c>
      <c r="O554" s="18"/>
      <c r="P554" s="18">
        <f>VLOOKUP($A554,MasterData!$C$1:$I$1995,1,FALSE)</f>
        <v>7845</v>
      </c>
      <c r="Q554" s="18" t="str">
        <f t="shared" si="2"/>
        <v>PURNA2025-PLG1</v>
      </c>
    </row>
    <row r="555" ht="15.75" hidden="1" customHeight="1">
      <c r="A555" s="15">
        <v>7855.0</v>
      </c>
      <c r="B555" s="22" t="s">
        <v>7069</v>
      </c>
      <c r="C555" s="16" t="s">
        <v>7070</v>
      </c>
      <c r="D555" s="18" t="s">
        <v>7071</v>
      </c>
      <c r="E555" s="18" t="s">
        <v>1071</v>
      </c>
      <c r="F555" s="19" t="str">
        <f t="shared" si="1"/>
        <v>PURNA2025-PLG1</v>
      </c>
      <c r="G555" s="19" t="s">
        <v>5408</v>
      </c>
      <c r="H555" s="20" t="s">
        <v>14</v>
      </c>
      <c r="I555" s="19" t="s">
        <v>5409</v>
      </c>
      <c r="J555" s="19" t="s">
        <v>5410</v>
      </c>
      <c r="K555" s="21" t="s">
        <v>5464</v>
      </c>
      <c r="L555" s="19" t="s">
        <v>7002</v>
      </c>
      <c r="M555" s="16" t="s">
        <v>1070</v>
      </c>
      <c r="N555" s="18" t="s">
        <v>5416</v>
      </c>
      <c r="O555" s="18"/>
      <c r="P555" s="18">
        <f>VLOOKUP($A555,MasterData!$C$1:$I$1995,1,FALSE)</f>
        <v>7855</v>
      </c>
      <c r="Q555" s="18" t="str">
        <f t="shared" si="2"/>
        <v>PURNA2025-PLG1</v>
      </c>
    </row>
    <row r="556" ht="15.75" hidden="1" customHeight="1">
      <c r="A556" s="15">
        <v>7866.0</v>
      </c>
      <c r="B556" s="22" t="s">
        <v>7072</v>
      </c>
      <c r="C556" s="16" t="s">
        <v>7073</v>
      </c>
      <c r="D556" s="18" t="s">
        <v>7074</v>
      </c>
      <c r="E556" s="18" t="s">
        <v>1073</v>
      </c>
      <c r="F556" s="19" t="str">
        <f t="shared" si="1"/>
        <v>PURNA2025-PLG1</v>
      </c>
      <c r="G556" s="19" t="s">
        <v>5408</v>
      </c>
      <c r="H556" s="20" t="s">
        <v>14</v>
      </c>
      <c r="I556" s="19" t="s">
        <v>5409</v>
      </c>
      <c r="J556" s="19" t="s">
        <v>5410</v>
      </c>
      <c r="K556" s="21" t="s">
        <v>5464</v>
      </c>
      <c r="L556" s="19" t="s">
        <v>7002</v>
      </c>
      <c r="M556" s="16" t="s">
        <v>1072</v>
      </c>
      <c r="N556" s="18" t="s">
        <v>5416</v>
      </c>
      <c r="O556" s="18"/>
      <c r="P556" s="18">
        <f>VLOOKUP($A556,MasterData!$C$1:$I$1995,1,FALSE)</f>
        <v>7866</v>
      </c>
      <c r="Q556" s="18" t="str">
        <f t="shared" si="2"/>
        <v>PURNA2025-PLG1</v>
      </c>
    </row>
    <row r="557" ht="15.75" hidden="1" customHeight="1">
      <c r="A557" s="15">
        <v>7871.0</v>
      </c>
      <c r="B557" s="22" t="s">
        <v>7075</v>
      </c>
      <c r="C557" s="16" t="s">
        <v>7076</v>
      </c>
      <c r="D557" s="18" t="s">
        <v>7077</v>
      </c>
      <c r="E557" s="18" t="s">
        <v>1075</v>
      </c>
      <c r="F557" s="19" t="str">
        <f t="shared" si="1"/>
        <v>PURNA2025-PLG1</v>
      </c>
      <c r="G557" s="19" t="s">
        <v>5408</v>
      </c>
      <c r="H557" s="20" t="s">
        <v>14</v>
      </c>
      <c r="I557" s="19" t="s">
        <v>5409</v>
      </c>
      <c r="J557" s="19" t="s">
        <v>5410</v>
      </c>
      <c r="K557" s="21" t="s">
        <v>5464</v>
      </c>
      <c r="L557" s="19" t="s">
        <v>7002</v>
      </c>
      <c r="M557" s="16" t="s">
        <v>1074</v>
      </c>
      <c r="N557" s="18" t="s">
        <v>5416</v>
      </c>
      <c r="O557" s="18"/>
      <c r="P557" s="18">
        <f>VLOOKUP($A557,MasterData!$C$1:$I$1995,1,FALSE)</f>
        <v>7871</v>
      </c>
      <c r="Q557" s="18" t="str">
        <f t="shared" si="2"/>
        <v>PURNA2025-PLG1</v>
      </c>
    </row>
    <row r="558" ht="15.75" hidden="1" customHeight="1">
      <c r="A558" s="15">
        <v>7876.0</v>
      </c>
      <c r="B558" s="22" t="s">
        <v>7078</v>
      </c>
      <c r="C558" s="16" t="s">
        <v>7079</v>
      </c>
      <c r="D558" s="18" t="s">
        <v>7080</v>
      </c>
      <c r="E558" s="18" t="s">
        <v>1077</v>
      </c>
      <c r="F558" s="19" t="str">
        <f t="shared" si="1"/>
        <v>PURNA2025-PLG1</v>
      </c>
      <c r="G558" s="19" t="s">
        <v>5408</v>
      </c>
      <c r="H558" s="20" t="s">
        <v>14</v>
      </c>
      <c r="I558" s="19" t="s">
        <v>5409</v>
      </c>
      <c r="J558" s="19" t="s">
        <v>5410</v>
      </c>
      <c r="K558" s="21" t="s">
        <v>5464</v>
      </c>
      <c r="L558" s="19" t="s">
        <v>7002</v>
      </c>
      <c r="M558" s="16" t="s">
        <v>1076</v>
      </c>
      <c r="N558" s="18" t="s">
        <v>5416</v>
      </c>
      <c r="O558" s="18"/>
      <c r="P558" s="18">
        <f>VLOOKUP($A558,MasterData!$C$1:$I$1995,1,FALSE)</f>
        <v>7876</v>
      </c>
      <c r="Q558" s="18" t="str">
        <f t="shared" si="2"/>
        <v>PURNA2025-PLG1</v>
      </c>
    </row>
    <row r="559" ht="15.75" hidden="1" customHeight="1">
      <c r="A559" s="15">
        <v>7879.0</v>
      </c>
      <c r="B559" s="22" t="s">
        <v>7081</v>
      </c>
      <c r="C559" s="16" t="s">
        <v>7082</v>
      </c>
      <c r="D559" s="18" t="s">
        <v>7083</v>
      </c>
      <c r="E559" s="18" t="s">
        <v>1079</v>
      </c>
      <c r="F559" s="19" t="str">
        <f t="shared" si="1"/>
        <v>PURNA2025-PLG1</v>
      </c>
      <c r="G559" s="19" t="s">
        <v>5408</v>
      </c>
      <c r="H559" s="20" t="s">
        <v>14</v>
      </c>
      <c r="I559" s="19" t="s">
        <v>5409</v>
      </c>
      <c r="J559" s="19" t="s">
        <v>5410</v>
      </c>
      <c r="K559" s="21" t="s">
        <v>5464</v>
      </c>
      <c r="L559" s="19" t="s">
        <v>7002</v>
      </c>
      <c r="M559" s="16" t="s">
        <v>1078</v>
      </c>
      <c r="N559" s="18" t="s">
        <v>5416</v>
      </c>
      <c r="O559" s="18"/>
      <c r="P559" s="18">
        <f>VLOOKUP($A559,MasterData!$C$1:$I$1995,1,FALSE)</f>
        <v>7879</v>
      </c>
      <c r="Q559" s="18" t="str">
        <f t="shared" si="2"/>
        <v>PURNA2025-PLG1</v>
      </c>
    </row>
    <row r="560" ht="15.75" hidden="1" customHeight="1">
      <c r="A560" s="15">
        <v>7964.0</v>
      </c>
      <c r="B560" s="22" t="s">
        <v>7084</v>
      </c>
      <c r="C560" s="26" t="s">
        <v>7085</v>
      </c>
      <c r="D560" s="18" t="s">
        <v>7086</v>
      </c>
      <c r="E560" s="18" t="s">
        <v>1081</v>
      </c>
      <c r="F560" s="19" t="str">
        <f t="shared" si="1"/>
        <v>PURNA2025-PLG1</v>
      </c>
      <c r="G560" s="19" t="s">
        <v>5408</v>
      </c>
      <c r="H560" s="20" t="s">
        <v>14</v>
      </c>
      <c r="I560" s="19" t="s">
        <v>5409</v>
      </c>
      <c r="J560" s="19" t="s">
        <v>5410</v>
      </c>
      <c r="K560" s="21" t="s">
        <v>5464</v>
      </c>
      <c r="L560" s="19" t="s">
        <v>7002</v>
      </c>
      <c r="M560" s="16" t="s">
        <v>1080</v>
      </c>
      <c r="N560" s="18" t="s">
        <v>5416</v>
      </c>
      <c r="O560" s="18"/>
      <c r="P560" s="18">
        <f>VLOOKUP($A560,MasterData!$C$1:$I$1995,1,FALSE)</f>
        <v>7964</v>
      </c>
      <c r="Q560" s="18" t="str">
        <f t="shared" si="2"/>
        <v>PURNA2025-PLG1</v>
      </c>
    </row>
    <row r="561" ht="15.75" hidden="1" customHeight="1">
      <c r="A561" s="15">
        <v>7968.0</v>
      </c>
      <c r="B561" s="22" t="s">
        <v>7087</v>
      </c>
      <c r="C561" s="16" t="s">
        <v>7088</v>
      </c>
      <c r="D561" s="18" t="s">
        <v>7089</v>
      </c>
      <c r="E561" s="18" t="s">
        <v>1083</v>
      </c>
      <c r="F561" s="19" t="str">
        <f t="shared" si="1"/>
        <v>PURNA2025-PLG1</v>
      </c>
      <c r="G561" s="19" t="s">
        <v>5408</v>
      </c>
      <c r="H561" s="20" t="s">
        <v>14</v>
      </c>
      <c r="I561" s="19" t="s">
        <v>5409</v>
      </c>
      <c r="J561" s="19" t="s">
        <v>5410</v>
      </c>
      <c r="K561" s="21" t="s">
        <v>5464</v>
      </c>
      <c r="L561" s="19" t="s">
        <v>7002</v>
      </c>
      <c r="M561" s="16" t="s">
        <v>1082</v>
      </c>
      <c r="N561" s="18" t="s">
        <v>5416</v>
      </c>
      <c r="O561" s="18"/>
      <c r="P561" s="18">
        <f>VLOOKUP($A561,MasterData!$C$1:$I$1995,1,FALSE)</f>
        <v>7968</v>
      </c>
      <c r="Q561" s="18" t="str">
        <f t="shared" si="2"/>
        <v>PURNA2025-PLG1</v>
      </c>
    </row>
    <row r="562" ht="15.75" hidden="1" customHeight="1">
      <c r="A562" s="15">
        <v>7975.0</v>
      </c>
      <c r="B562" s="22" t="s">
        <v>7090</v>
      </c>
      <c r="C562" s="16" t="s">
        <v>7091</v>
      </c>
      <c r="D562" s="18" t="s">
        <v>7092</v>
      </c>
      <c r="E562" s="18" t="s">
        <v>1085</v>
      </c>
      <c r="F562" s="19" t="str">
        <f t="shared" si="1"/>
        <v>PURNA2025-PLG1</v>
      </c>
      <c r="G562" s="19" t="s">
        <v>5408</v>
      </c>
      <c r="H562" s="20" t="s">
        <v>14</v>
      </c>
      <c r="I562" s="19" t="s">
        <v>5409</v>
      </c>
      <c r="J562" s="19" t="s">
        <v>5410</v>
      </c>
      <c r="K562" s="21" t="s">
        <v>5464</v>
      </c>
      <c r="L562" s="19" t="s">
        <v>7002</v>
      </c>
      <c r="M562" s="16" t="s">
        <v>1084</v>
      </c>
      <c r="N562" s="18" t="s">
        <v>5416</v>
      </c>
      <c r="O562" s="18"/>
      <c r="P562" s="18">
        <f>VLOOKUP($A562,MasterData!$C$1:$I$1995,1,FALSE)</f>
        <v>7975</v>
      </c>
      <c r="Q562" s="18" t="str">
        <f t="shared" si="2"/>
        <v>PURNA2025-PLG1</v>
      </c>
    </row>
    <row r="563" ht="15.75" hidden="1" customHeight="1">
      <c r="A563" s="15">
        <v>7976.0</v>
      </c>
      <c r="B563" s="22" t="s">
        <v>7093</v>
      </c>
      <c r="C563" s="16" t="s">
        <v>7094</v>
      </c>
      <c r="D563" s="18" t="s">
        <v>7095</v>
      </c>
      <c r="E563" s="18" t="s">
        <v>1087</v>
      </c>
      <c r="F563" s="19" t="str">
        <f t="shared" si="1"/>
        <v>PURNA2025-PLG1</v>
      </c>
      <c r="G563" s="19" t="s">
        <v>5408</v>
      </c>
      <c r="H563" s="20" t="s">
        <v>14</v>
      </c>
      <c r="I563" s="19" t="s">
        <v>5409</v>
      </c>
      <c r="J563" s="19" t="s">
        <v>5410</v>
      </c>
      <c r="K563" s="21" t="s">
        <v>5464</v>
      </c>
      <c r="L563" s="19" t="s">
        <v>7002</v>
      </c>
      <c r="M563" s="16" t="s">
        <v>1086</v>
      </c>
      <c r="N563" s="18" t="s">
        <v>5416</v>
      </c>
      <c r="O563" s="18"/>
      <c r="P563" s="18">
        <f>VLOOKUP($A563,MasterData!$C$1:$I$1995,1,FALSE)</f>
        <v>7976</v>
      </c>
      <c r="Q563" s="18" t="str">
        <f t="shared" si="2"/>
        <v>PURNA2025-PLG1</v>
      </c>
    </row>
    <row r="564" ht="15.75" hidden="1" customHeight="1">
      <c r="A564" s="15">
        <v>7985.0</v>
      </c>
      <c r="B564" s="22" t="s">
        <v>7096</v>
      </c>
      <c r="C564" s="16" t="s">
        <v>7097</v>
      </c>
      <c r="D564" s="18" t="s">
        <v>7098</v>
      </c>
      <c r="E564" s="18" t="s">
        <v>1089</v>
      </c>
      <c r="F564" s="19" t="str">
        <f t="shared" si="1"/>
        <v>PURNA2025-PLG1</v>
      </c>
      <c r="G564" s="19" t="s">
        <v>5408</v>
      </c>
      <c r="H564" s="20" t="s">
        <v>14</v>
      </c>
      <c r="I564" s="19" t="s">
        <v>5409</v>
      </c>
      <c r="J564" s="19" t="s">
        <v>5410</v>
      </c>
      <c r="K564" s="21" t="s">
        <v>5464</v>
      </c>
      <c r="L564" s="19" t="s">
        <v>7002</v>
      </c>
      <c r="M564" s="16" t="s">
        <v>1088</v>
      </c>
      <c r="N564" s="18" t="s">
        <v>5416</v>
      </c>
      <c r="O564" s="18"/>
      <c r="P564" s="18">
        <f>VLOOKUP($A564,MasterData!$C$1:$I$1995,1,FALSE)</f>
        <v>7985</v>
      </c>
      <c r="Q564" s="18" t="str">
        <f t="shared" si="2"/>
        <v>PURNA2025-PLG1</v>
      </c>
    </row>
    <row r="565" ht="15.75" hidden="1" customHeight="1">
      <c r="A565" s="15">
        <v>7988.0</v>
      </c>
      <c r="B565" s="22" t="s">
        <v>7099</v>
      </c>
      <c r="C565" s="16" t="s">
        <v>7100</v>
      </c>
      <c r="D565" s="18" t="s">
        <v>7101</v>
      </c>
      <c r="E565" s="18" t="s">
        <v>1091</v>
      </c>
      <c r="F565" s="19" t="str">
        <f t="shared" si="1"/>
        <v>PURNA2025-PLG1</v>
      </c>
      <c r="G565" s="19" t="s">
        <v>5408</v>
      </c>
      <c r="H565" s="20" t="s">
        <v>14</v>
      </c>
      <c r="I565" s="19" t="s">
        <v>5409</v>
      </c>
      <c r="J565" s="19" t="s">
        <v>5410</v>
      </c>
      <c r="K565" s="21" t="s">
        <v>5464</v>
      </c>
      <c r="L565" s="19" t="s">
        <v>7002</v>
      </c>
      <c r="M565" s="16" t="s">
        <v>1090</v>
      </c>
      <c r="N565" s="18" t="s">
        <v>5416</v>
      </c>
      <c r="O565" s="18"/>
      <c r="P565" s="18">
        <f>VLOOKUP($A565,MasterData!$C$1:$I$1995,1,FALSE)</f>
        <v>7988</v>
      </c>
      <c r="Q565" s="18" t="str">
        <f t="shared" si="2"/>
        <v>PURNA2025-PLG1</v>
      </c>
    </row>
    <row r="566" ht="15.75" hidden="1" customHeight="1">
      <c r="A566" s="15">
        <v>8008.0</v>
      </c>
      <c r="B566" s="22" t="s">
        <v>7102</v>
      </c>
      <c r="C566" s="16" t="s">
        <v>7103</v>
      </c>
      <c r="D566" s="18" t="s">
        <v>7104</v>
      </c>
      <c r="E566" s="18" t="s">
        <v>1093</v>
      </c>
      <c r="F566" s="19" t="str">
        <f t="shared" si="1"/>
        <v>PURNA2025-PLG1</v>
      </c>
      <c r="G566" s="19" t="s">
        <v>5408</v>
      </c>
      <c r="H566" s="20" t="s">
        <v>14</v>
      </c>
      <c r="I566" s="19" t="s">
        <v>5409</v>
      </c>
      <c r="J566" s="19" t="s">
        <v>5410</v>
      </c>
      <c r="K566" s="21" t="s">
        <v>5464</v>
      </c>
      <c r="L566" s="19" t="s">
        <v>7002</v>
      </c>
      <c r="M566" s="16" t="s">
        <v>1092</v>
      </c>
      <c r="N566" s="18" t="s">
        <v>5416</v>
      </c>
      <c r="O566" s="18"/>
      <c r="P566" s="18">
        <f>VLOOKUP($A566,MasterData!$C$1:$I$1995,1,FALSE)</f>
        <v>8008</v>
      </c>
      <c r="Q566" s="18" t="str">
        <f t="shared" si="2"/>
        <v>PURNA2025-PLG1</v>
      </c>
    </row>
    <row r="567" ht="15.75" hidden="1" customHeight="1">
      <c r="A567" s="15">
        <v>7469.0</v>
      </c>
      <c r="B567" s="22" t="s">
        <v>7105</v>
      </c>
      <c r="C567" s="16" t="s">
        <v>7106</v>
      </c>
      <c r="D567" s="18" t="s">
        <v>7107</v>
      </c>
      <c r="E567" s="18" t="s">
        <v>1095</v>
      </c>
      <c r="F567" s="19" t="str">
        <f t="shared" si="1"/>
        <v>PURNA2025-PLG2</v>
      </c>
      <c r="G567" s="19" t="s">
        <v>5408</v>
      </c>
      <c r="H567" s="20" t="s">
        <v>14</v>
      </c>
      <c r="I567" s="19" t="s">
        <v>5409</v>
      </c>
      <c r="J567" s="19" t="s">
        <v>5410</v>
      </c>
      <c r="K567" s="21" t="s">
        <v>5464</v>
      </c>
      <c r="L567" s="19" t="s">
        <v>7108</v>
      </c>
      <c r="M567" s="16" t="s">
        <v>1094</v>
      </c>
      <c r="N567" s="18" t="s">
        <v>5416</v>
      </c>
      <c r="O567" s="18"/>
      <c r="P567" s="18">
        <f>VLOOKUP($A567,MasterData!$C$1:$I$1995,1,FALSE)</f>
        <v>7469</v>
      </c>
      <c r="Q567" s="18" t="str">
        <f t="shared" si="2"/>
        <v>PURNA2025-PLG2</v>
      </c>
    </row>
    <row r="568" ht="15.75" hidden="1" customHeight="1">
      <c r="A568" s="15">
        <v>7502.0</v>
      </c>
      <c r="B568" s="22" t="s">
        <v>7109</v>
      </c>
      <c r="C568" s="16" t="s">
        <v>7110</v>
      </c>
      <c r="D568" s="18" t="s">
        <v>7111</v>
      </c>
      <c r="E568" s="18" t="s">
        <v>1097</v>
      </c>
      <c r="F568" s="19" t="str">
        <f t="shared" si="1"/>
        <v>PURNA2025-PLG2</v>
      </c>
      <c r="G568" s="19" t="s">
        <v>5408</v>
      </c>
      <c r="H568" s="20" t="s">
        <v>14</v>
      </c>
      <c r="I568" s="19" t="s">
        <v>5409</v>
      </c>
      <c r="J568" s="19" t="s">
        <v>5410</v>
      </c>
      <c r="K568" s="21" t="s">
        <v>5464</v>
      </c>
      <c r="L568" s="19" t="s">
        <v>7108</v>
      </c>
      <c r="M568" s="16" t="s">
        <v>1096</v>
      </c>
      <c r="N568" s="18" t="s">
        <v>5416</v>
      </c>
      <c r="O568" s="18"/>
      <c r="P568" s="18">
        <f>VLOOKUP($A568,MasterData!$C$1:$I$1995,1,FALSE)</f>
        <v>7502</v>
      </c>
      <c r="Q568" s="18" t="str">
        <f t="shared" si="2"/>
        <v>PURNA2025-PLG2</v>
      </c>
    </row>
    <row r="569" ht="15.75" hidden="1" customHeight="1">
      <c r="A569" s="15">
        <v>7536.0</v>
      </c>
      <c r="B569" s="22" t="s">
        <v>7112</v>
      </c>
      <c r="C569" s="16" t="s">
        <v>7113</v>
      </c>
      <c r="D569" s="18" t="s">
        <v>7114</v>
      </c>
      <c r="E569" s="18" t="s">
        <v>1099</v>
      </c>
      <c r="F569" s="19" t="str">
        <f t="shared" si="1"/>
        <v>PURNA2025-PLG2</v>
      </c>
      <c r="G569" s="19" t="s">
        <v>5408</v>
      </c>
      <c r="H569" s="20" t="s">
        <v>14</v>
      </c>
      <c r="I569" s="19" t="s">
        <v>5409</v>
      </c>
      <c r="J569" s="19" t="s">
        <v>5410</v>
      </c>
      <c r="K569" s="21" t="s">
        <v>5464</v>
      </c>
      <c r="L569" s="19" t="s">
        <v>7108</v>
      </c>
      <c r="M569" s="16" t="s">
        <v>1098</v>
      </c>
      <c r="N569" s="18" t="s">
        <v>5416</v>
      </c>
      <c r="O569" s="18"/>
      <c r="P569" s="18">
        <f>VLOOKUP($A569,MasterData!$C$1:$I$1995,1,FALSE)</f>
        <v>7536</v>
      </c>
      <c r="Q569" s="18" t="str">
        <f t="shared" si="2"/>
        <v>PURNA2025-PLG2</v>
      </c>
    </row>
    <row r="570" ht="15.75" hidden="1" customHeight="1">
      <c r="A570" s="15">
        <v>7549.0</v>
      </c>
      <c r="B570" s="22" t="s">
        <v>7115</v>
      </c>
      <c r="C570" s="16" t="s">
        <v>7116</v>
      </c>
      <c r="D570" s="18" t="s">
        <v>7117</v>
      </c>
      <c r="E570" s="18" t="s">
        <v>1101</v>
      </c>
      <c r="F570" s="19" t="str">
        <f t="shared" si="1"/>
        <v>PURNA2025-PLG2</v>
      </c>
      <c r="G570" s="19" t="s">
        <v>5408</v>
      </c>
      <c r="H570" s="20" t="s">
        <v>14</v>
      </c>
      <c r="I570" s="19" t="s">
        <v>5409</v>
      </c>
      <c r="J570" s="19" t="s">
        <v>5410</v>
      </c>
      <c r="K570" s="21" t="s">
        <v>5464</v>
      </c>
      <c r="L570" s="19" t="s">
        <v>7108</v>
      </c>
      <c r="M570" s="16" t="s">
        <v>1100</v>
      </c>
      <c r="N570" s="18" t="s">
        <v>5416</v>
      </c>
      <c r="O570" s="18"/>
      <c r="P570" s="18">
        <f>VLOOKUP($A570,MasterData!$C$1:$I$1995,1,FALSE)</f>
        <v>7549</v>
      </c>
      <c r="Q570" s="18" t="str">
        <f t="shared" si="2"/>
        <v>PURNA2025-PLG2</v>
      </c>
    </row>
    <row r="571" ht="15.75" hidden="1" customHeight="1">
      <c r="A571" s="15">
        <v>7566.0</v>
      </c>
      <c r="B571" s="22" t="s">
        <v>7118</v>
      </c>
      <c r="C571" s="26" t="s">
        <v>7119</v>
      </c>
      <c r="D571" s="18" t="s">
        <v>7120</v>
      </c>
      <c r="E571" s="18" t="s">
        <v>1103</v>
      </c>
      <c r="F571" s="19" t="str">
        <f t="shared" si="1"/>
        <v>PURNA2025-PLG2</v>
      </c>
      <c r="G571" s="19" t="s">
        <v>5408</v>
      </c>
      <c r="H571" s="20" t="s">
        <v>14</v>
      </c>
      <c r="I571" s="19" t="s">
        <v>5409</v>
      </c>
      <c r="J571" s="19" t="s">
        <v>5410</v>
      </c>
      <c r="K571" s="21" t="s">
        <v>5464</v>
      </c>
      <c r="L571" s="19" t="s">
        <v>7108</v>
      </c>
      <c r="M571" s="16" t="s">
        <v>1102</v>
      </c>
      <c r="N571" s="18" t="s">
        <v>5416</v>
      </c>
      <c r="O571" s="18"/>
      <c r="P571" s="18">
        <f>VLOOKUP($A571,MasterData!$C$1:$I$1995,1,FALSE)</f>
        <v>7566</v>
      </c>
      <c r="Q571" s="18" t="str">
        <f t="shared" si="2"/>
        <v>PURNA2025-PLG2</v>
      </c>
    </row>
    <row r="572" ht="15.75" hidden="1" customHeight="1">
      <c r="A572" s="15">
        <v>7573.0</v>
      </c>
      <c r="B572" s="22" t="s">
        <v>7121</v>
      </c>
      <c r="C572" s="16" t="s">
        <v>7122</v>
      </c>
      <c r="D572" s="18" t="s">
        <v>7123</v>
      </c>
      <c r="E572" s="18" t="s">
        <v>1105</v>
      </c>
      <c r="F572" s="19" t="str">
        <f t="shared" si="1"/>
        <v>PURNA2025-PLG2</v>
      </c>
      <c r="G572" s="19" t="s">
        <v>5408</v>
      </c>
      <c r="H572" s="20" t="s">
        <v>14</v>
      </c>
      <c r="I572" s="19" t="s">
        <v>5409</v>
      </c>
      <c r="J572" s="19" t="s">
        <v>5410</v>
      </c>
      <c r="K572" s="21" t="s">
        <v>5464</v>
      </c>
      <c r="L572" s="19" t="s">
        <v>7108</v>
      </c>
      <c r="M572" s="16" t="s">
        <v>1104</v>
      </c>
      <c r="N572" s="18" t="s">
        <v>5416</v>
      </c>
      <c r="O572" s="18"/>
      <c r="P572" s="18">
        <f>VLOOKUP($A572,MasterData!$C$1:$I$1995,1,FALSE)</f>
        <v>7573</v>
      </c>
      <c r="Q572" s="18" t="str">
        <f t="shared" si="2"/>
        <v>PURNA2025-PLG2</v>
      </c>
    </row>
    <row r="573" ht="15.75" hidden="1" customHeight="1">
      <c r="A573" s="15">
        <v>7582.0</v>
      </c>
      <c r="B573" s="22" t="s">
        <v>7124</v>
      </c>
      <c r="C573" s="16" t="s">
        <v>7125</v>
      </c>
      <c r="D573" s="18" t="s">
        <v>7126</v>
      </c>
      <c r="E573" s="18" t="s">
        <v>1107</v>
      </c>
      <c r="F573" s="19" t="str">
        <f t="shared" si="1"/>
        <v>PURNA2025-PLG2</v>
      </c>
      <c r="G573" s="19" t="s">
        <v>5408</v>
      </c>
      <c r="H573" s="20" t="s">
        <v>14</v>
      </c>
      <c r="I573" s="19" t="s">
        <v>5409</v>
      </c>
      <c r="J573" s="19" t="s">
        <v>5410</v>
      </c>
      <c r="K573" s="21" t="s">
        <v>5464</v>
      </c>
      <c r="L573" s="19" t="s">
        <v>7108</v>
      </c>
      <c r="M573" s="16" t="s">
        <v>1106</v>
      </c>
      <c r="N573" s="18" t="s">
        <v>5416</v>
      </c>
      <c r="O573" s="18"/>
      <c r="P573" s="18">
        <f>VLOOKUP($A573,MasterData!$C$1:$I$1995,1,FALSE)</f>
        <v>7582</v>
      </c>
      <c r="Q573" s="18" t="str">
        <f t="shared" si="2"/>
        <v>PURNA2025-PLG2</v>
      </c>
    </row>
    <row r="574" ht="15.75" hidden="1" customHeight="1">
      <c r="A574" s="15">
        <v>7597.0</v>
      </c>
      <c r="B574" s="22" t="s">
        <v>7127</v>
      </c>
      <c r="C574" s="16" t="s">
        <v>7128</v>
      </c>
      <c r="D574" s="18" t="s">
        <v>7129</v>
      </c>
      <c r="E574" s="18" t="s">
        <v>1109</v>
      </c>
      <c r="F574" s="19" t="str">
        <f t="shared" si="1"/>
        <v>PURNA2025-PLG2</v>
      </c>
      <c r="G574" s="19" t="s">
        <v>5408</v>
      </c>
      <c r="H574" s="20" t="s">
        <v>14</v>
      </c>
      <c r="I574" s="19" t="s">
        <v>5409</v>
      </c>
      <c r="J574" s="19" t="s">
        <v>5410</v>
      </c>
      <c r="K574" s="21" t="s">
        <v>5464</v>
      </c>
      <c r="L574" s="19" t="s">
        <v>7108</v>
      </c>
      <c r="M574" s="16" t="s">
        <v>1108</v>
      </c>
      <c r="N574" s="18" t="s">
        <v>5416</v>
      </c>
      <c r="O574" s="18"/>
      <c r="P574" s="18">
        <f>VLOOKUP($A574,MasterData!$C$1:$I$1995,1,FALSE)</f>
        <v>7597</v>
      </c>
      <c r="Q574" s="18" t="str">
        <f t="shared" si="2"/>
        <v>PURNA2025-PLG2</v>
      </c>
    </row>
    <row r="575" ht="15.75" hidden="1" customHeight="1">
      <c r="A575" s="15">
        <v>7610.0</v>
      </c>
      <c r="B575" s="22" t="s">
        <v>7130</v>
      </c>
      <c r="C575" s="16" t="s">
        <v>7131</v>
      </c>
      <c r="D575" s="18" t="s">
        <v>7132</v>
      </c>
      <c r="E575" s="18" t="s">
        <v>1111</v>
      </c>
      <c r="F575" s="19" t="str">
        <f t="shared" si="1"/>
        <v>PURNA2025-PLG2</v>
      </c>
      <c r="G575" s="19" t="s">
        <v>5408</v>
      </c>
      <c r="H575" s="20" t="s">
        <v>14</v>
      </c>
      <c r="I575" s="19" t="s">
        <v>5409</v>
      </c>
      <c r="J575" s="19" t="s">
        <v>5410</v>
      </c>
      <c r="K575" s="21" t="s">
        <v>5464</v>
      </c>
      <c r="L575" s="19" t="s">
        <v>7108</v>
      </c>
      <c r="M575" s="16" t="s">
        <v>1110</v>
      </c>
      <c r="N575" s="18" t="s">
        <v>5416</v>
      </c>
      <c r="O575" s="18"/>
      <c r="P575" s="18">
        <f>VLOOKUP($A575,MasterData!$C$1:$I$1995,1,FALSE)</f>
        <v>7610</v>
      </c>
      <c r="Q575" s="18" t="str">
        <f t="shared" si="2"/>
        <v>PURNA2025-PLG2</v>
      </c>
    </row>
    <row r="576" ht="15.75" hidden="1" customHeight="1">
      <c r="A576" s="15">
        <v>7635.0</v>
      </c>
      <c r="B576" s="22" t="s">
        <v>7133</v>
      </c>
      <c r="C576" s="16" t="s">
        <v>7134</v>
      </c>
      <c r="D576" s="18" t="s">
        <v>7135</v>
      </c>
      <c r="E576" s="18" t="s">
        <v>1113</v>
      </c>
      <c r="F576" s="19" t="str">
        <f t="shared" si="1"/>
        <v>PURNA2025-PLG2</v>
      </c>
      <c r="G576" s="19" t="s">
        <v>5408</v>
      </c>
      <c r="H576" s="20" t="s">
        <v>14</v>
      </c>
      <c r="I576" s="19" t="s">
        <v>5409</v>
      </c>
      <c r="J576" s="19" t="s">
        <v>5410</v>
      </c>
      <c r="K576" s="21" t="s">
        <v>5464</v>
      </c>
      <c r="L576" s="19" t="s">
        <v>7108</v>
      </c>
      <c r="M576" s="16" t="s">
        <v>1112</v>
      </c>
      <c r="N576" s="18" t="s">
        <v>5416</v>
      </c>
      <c r="O576" s="18"/>
      <c r="P576" s="18">
        <f>VLOOKUP($A576,MasterData!$C$1:$I$1995,1,FALSE)</f>
        <v>7635</v>
      </c>
      <c r="Q576" s="18" t="str">
        <f t="shared" si="2"/>
        <v>PURNA2025-PLG2</v>
      </c>
    </row>
    <row r="577" ht="15.75" hidden="1" customHeight="1">
      <c r="A577" s="15">
        <v>7682.0</v>
      </c>
      <c r="B577" s="22" t="s">
        <v>7136</v>
      </c>
      <c r="C577" s="16" t="s">
        <v>7137</v>
      </c>
      <c r="D577" s="18" t="s">
        <v>7138</v>
      </c>
      <c r="E577" s="18" t="s">
        <v>1115</v>
      </c>
      <c r="F577" s="19" t="str">
        <f t="shared" si="1"/>
        <v>PURNA2025-PLG2</v>
      </c>
      <c r="G577" s="19" t="s">
        <v>5408</v>
      </c>
      <c r="H577" s="20" t="s">
        <v>14</v>
      </c>
      <c r="I577" s="19" t="s">
        <v>5409</v>
      </c>
      <c r="J577" s="19" t="s">
        <v>5410</v>
      </c>
      <c r="K577" s="21" t="s">
        <v>5464</v>
      </c>
      <c r="L577" s="19" t="s">
        <v>7108</v>
      </c>
      <c r="M577" s="16" t="s">
        <v>1114</v>
      </c>
      <c r="N577" s="18" t="s">
        <v>5416</v>
      </c>
      <c r="O577" s="18"/>
      <c r="P577" s="18">
        <f>VLOOKUP($A577,MasterData!$C$1:$I$1995,1,FALSE)</f>
        <v>7682</v>
      </c>
      <c r="Q577" s="18" t="str">
        <f t="shared" si="2"/>
        <v>PURNA2025-PLG2</v>
      </c>
    </row>
    <row r="578" ht="15.75" hidden="1" customHeight="1">
      <c r="A578" s="15">
        <v>7693.0</v>
      </c>
      <c r="B578" s="22" t="s">
        <v>7139</v>
      </c>
      <c r="C578" s="16" t="s">
        <v>7140</v>
      </c>
      <c r="D578" s="18" t="s">
        <v>7141</v>
      </c>
      <c r="E578" s="18" t="s">
        <v>1117</v>
      </c>
      <c r="F578" s="19" t="str">
        <f t="shared" si="1"/>
        <v>PURNA2025-PLG2</v>
      </c>
      <c r="G578" s="19" t="s">
        <v>5408</v>
      </c>
      <c r="H578" s="20" t="s">
        <v>14</v>
      </c>
      <c r="I578" s="19" t="s">
        <v>5409</v>
      </c>
      <c r="J578" s="19" t="s">
        <v>5410</v>
      </c>
      <c r="K578" s="21" t="s">
        <v>5464</v>
      </c>
      <c r="L578" s="19" t="s">
        <v>7108</v>
      </c>
      <c r="M578" s="16" t="s">
        <v>1116</v>
      </c>
      <c r="N578" s="18" t="s">
        <v>5416</v>
      </c>
      <c r="O578" s="18"/>
      <c r="P578" s="18">
        <f>VLOOKUP($A578,MasterData!$C$1:$I$1995,1,FALSE)</f>
        <v>7693</v>
      </c>
      <c r="Q578" s="18" t="str">
        <f t="shared" si="2"/>
        <v>PURNA2025-PLG2</v>
      </c>
    </row>
    <row r="579" ht="15.75" hidden="1" customHeight="1">
      <c r="A579" s="15">
        <v>7705.0</v>
      </c>
      <c r="B579" s="22" t="s">
        <v>7142</v>
      </c>
      <c r="C579" s="16" t="s">
        <v>7143</v>
      </c>
      <c r="D579" s="18" t="s">
        <v>7144</v>
      </c>
      <c r="E579" s="18" t="s">
        <v>1119</v>
      </c>
      <c r="F579" s="19" t="str">
        <f t="shared" si="1"/>
        <v>PURNA2025-PLG2</v>
      </c>
      <c r="G579" s="19" t="s">
        <v>5408</v>
      </c>
      <c r="H579" s="20" t="s">
        <v>14</v>
      </c>
      <c r="I579" s="19" t="s">
        <v>5409</v>
      </c>
      <c r="J579" s="19" t="s">
        <v>5410</v>
      </c>
      <c r="K579" s="21" t="s">
        <v>5464</v>
      </c>
      <c r="L579" s="19" t="s">
        <v>7108</v>
      </c>
      <c r="M579" s="16" t="s">
        <v>1118</v>
      </c>
      <c r="N579" s="18" t="s">
        <v>5416</v>
      </c>
      <c r="O579" s="18"/>
      <c r="P579" s="18">
        <f>VLOOKUP($A579,MasterData!$C$1:$I$1995,1,FALSE)</f>
        <v>7705</v>
      </c>
      <c r="Q579" s="18" t="str">
        <f t="shared" si="2"/>
        <v>PURNA2025-PLG2</v>
      </c>
    </row>
    <row r="580" ht="15.75" hidden="1" customHeight="1">
      <c r="A580" s="15">
        <v>7728.0</v>
      </c>
      <c r="B580" s="22" t="s">
        <v>7145</v>
      </c>
      <c r="C580" s="16" t="s">
        <v>7146</v>
      </c>
      <c r="D580" s="18" t="s">
        <v>7147</v>
      </c>
      <c r="E580" s="18" t="s">
        <v>1121</v>
      </c>
      <c r="F580" s="19" t="str">
        <f t="shared" si="1"/>
        <v>PURNA2025-PLG2</v>
      </c>
      <c r="G580" s="19" t="s">
        <v>5408</v>
      </c>
      <c r="H580" s="20" t="s">
        <v>14</v>
      </c>
      <c r="I580" s="19" t="s">
        <v>5409</v>
      </c>
      <c r="J580" s="19" t="s">
        <v>5410</v>
      </c>
      <c r="K580" s="21" t="s">
        <v>5464</v>
      </c>
      <c r="L580" s="19" t="s">
        <v>7108</v>
      </c>
      <c r="M580" s="16" t="s">
        <v>1120</v>
      </c>
      <c r="N580" s="18" t="s">
        <v>5416</v>
      </c>
      <c r="O580" s="18"/>
      <c r="P580" s="18">
        <f>VLOOKUP($A580,MasterData!$C$1:$I$1995,1,FALSE)</f>
        <v>7728</v>
      </c>
      <c r="Q580" s="18" t="str">
        <f t="shared" si="2"/>
        <v>PURNA2025-PLG2</v>
      </c>
    </row>
    <row r="581" ht="15.75" hidden="1" customHeight="1">
      <c r="A581" s="15">
        <v>7771.0</v>
      </c>
      <c r="B581" s="22" t="s">
        <v>7148</v>
      </c>
      <c r="C581" s="16" t="s">
        <v>7149</v>
      </c>
      <c r="D581" s="18" t="s">
        <v>7150</v>
      </c>
      <c r="E581" s="18" t="s">
        <v>1123</v>
      </c>
      <c r="F581" s="19" t="str">
        <f t="shared" si="1"/>
        <v>PURNA2025-PLG2</v>
      </c>
      <c r="G581" s="19" t="s">
        <v>5408</v>
      </c>
      <c r="H581" s="20" t="s">
        <v>14</v>
      </c>
      <c r="I581" s="19" t="s">
        <v>5409</v>
      </c>
      <c r="J581" s="19" t="s">
        <v>5410</v>
      </c>
      <c r="K581" s="21" t="s">
        <v>5464</v>
      </c>
      <c r="L581" s="19" t="s">
        <v>7108</v>
      </c>
      <c r="M581" s="16" t="s">
        <v>1122</v>
      </c>
      <c r="N581" s="18" t="s">
        <v>5416</v>
      </c>
      <c r="O581" s="18"/>
      <c r="P581" s="18">
        <f>VLOOKUP($A581,MasterData!$C$1:$I$1995,1,FALSE)</f>
        <v>7771</v>
      </c>
      <c r="Q581" s="18" t="str">
        <f t="shared" si="2"/>
        <v>PURNA2025-PLG2</v>
      </c>
    </row>
    <row r="582" ht="15.75" hidden="1" customHeight="1">
      <c r="A582" s="15">
        <v>7776.0</v>
      </c>
      <c r="B582" s="22" t="s">
        <v>7151</v>
      </c>
      <c r="C582" s="16" t="s">
        <v>7152</v>
      </c>
      <c r="D582" s="18" t="s">
        <v>7153</v>
      </c>
      <c r="E582" s="18" t="s">
        <v>1125</v>
      </c>
      <c r="F582" s="19" t="str">
        <f t="shared" si="1"/>
        <v>PURNA2025-PLG2</v>
      </c>
      <c r="G582" s="19" t="s">
        <v>5408</v>
      </c>
      <c r="H582" s="20" t="s">
        <v>14</v>
      </c>
      <c r="I582" s="19" t="s">
        <v>5409</v>
      </c>
      <c r="J582" s="19" t="s">
        <v>5410</v>
      </c>
      <c r="K582" s="21" t="s">
        <v>5464</v>
      </c>
      <c r="L582" s="19" t="s">
        <v>7108</v>
      </c>
      <c r="M582" s="16" t="s">
        <v>1124</v>
      </c>
      <c r="N582" s="18" t="s">
        <v>5416</v>
      </c>
      <c r="O582" s="18"/>
      <c r="P582" s="18">
        <f>VLOOKUP($A582,MasterData!$C$1:$I$1995,1,FALSE)</f>
        <v>7776</v>
      </c>
      <c r="Q582" s="18" t="str">
        <f t="shared" si="2"/>
        <v>PURNA2025-PLG2</v>
      </c>
    </row>
    <row r="583" ht="15.75" hidden="1" customHeight="1">
      <c r="A583" s="15">
        <v>7792.0</v>
      </c>
      <c r="B583" s="22" t="s">
        <v>7154</v>
      </c>
      <c r="C583" s="16" t="s">
        <v>7155</v>
      </c>
      <c r="D583" s="18" t="s">
        <v>7156</v>
      </c>
      <c r="E583" s="18" t="s">
        <v>1127</v>
      </c>
      <c r="F583" s="19" t="str">
        <f t="shared" si="1"/>
        <v>PURNA2025-PLG2</v>
      </c>
      <c r="G583" s="19" t="s">
        <v>5408</v>
      </c>
      <c r="H583" s="20" t="s">
        <v>14</v>
      </c>
      <c r="I583" s="19" t="s">
        <v>5409</v>
      </c>
      <c r="J583" s="19" t="s">
        <v>5410</v>
      </c>
      <c r="K583" s="21" t="s">
        <v>5464</v>
      </c>
      <c r="L583" s="19" t="s">
        <v>7108</v>
      </c>
      <c r="M583" s="16" t="s">
        <v>1126</v>
      </c>
      <c r="N583" s="18" t="s">
        <v>5416</v>
      </c>
      <c r="O583" s="18"/>
      <c r="P583" s="18">
        <f>VLOOKUP($A583,MasterData!$C$1:$I$1995,1,FALSE)</f>
        <v>7792</v>
      </c>
      <c r="Q583" s="18" t="str">
        <f t="shared" si="2"/>
        <v>PURNA2025-PLG2</v>
      </c>
    </row>
    <row r="584" ht="15.75" hidden="1" customHeight="1">
      <c r="A584" s="15">
        <v>7821.0</v>
      </c>
      <c r="B584" s="22" t="s">
        <v>7157</v>
      </c>
      <c r="C584" s="16" t="s">
        <v>7158</v>
      </c>
      <c r="D584" s="18" t="s">
        <v>7159</v>
      </c>
      <c r="E584" s="18" t="s">
        <v>1129</v>
      </c>
      <c r="F584" s="19" t="str">
        <f t="shared" si="1"/>
        <v>PURNA2025-PLG2</v>
      </c>
      <c r="G584" s="19" t="s">
        <v>5408</v>
      </c>
      <c r="H584" s="20" t="s">
        <v>14</v>
      </c>
      <c r="I584" s="19" t="s">
        <v>5409</v>
      </c>
      <c r="J584" s="19" t="s">
        <v>5410</v>
      </c>
      <c r="K584" s="21" t="s">
        <v>5464</v>
      </c>
      <c r="L584" s="19" t="s">
        <v>7108</v>
      </c>
      <c r="M584" s="16" t="s">
        <v>1128</v>
      </c>
      <c r="N584" s="18" t="s">
        <v>5416</v>
      </c>
      <c r="O584" s="18"/>
      <c r="P584" s="18">
        <f>VLOOKUP($A584,MasterData!$C$1:$I$1995,1,FALSE)</f>
        <v>7821</v>
      </c>
      <c r="Q584" s="18" t="str">
        <f t="shared" si="2"/>
        <v>PURNA2025-PLG2</v>
      </c>
    </row>
    <row r="585" ht="15.75" hidden="1" customHeight="1">
      <c r="A585" s="15">
        <v>7833.0</v>
      </c>
      <c r="B585" s="22" t="s">
        <v>7160</v>
      </c>
      <c r="C585" s="16" t="s">
        <v>7161</v>
      </c>
      <c r="D585" s="18" t="s">
        <v>7162</v>
      </c>
      <c r="E585" s="18" t="s">
        <v>1131</v>
      </c>
      <c r="F585" s="19" t="str">
        <f t="shared" si="1"/>
        <v>PURNA2025-PLG2</v>
      </c>
      <c r="G585" s="19" t="s">
        <v>5408</v>
      </c>
      <c r="H585" s="20" t="s">
        <v>14</v>
      </c>
      <c r="I585" s="19" t="s">
        <v>5409</v>
      </c>
      <c r="J585" s="19" t="s">
        <v>5410</v>
      </c>
      <c r="K585" s="21" t="s">
        <v>5464</v>
      </c>
      <c r="L585" s="19" t="s">
        <v>7108</v>
      </c>
      <c r="M585" s="16" t="s">
        <v>1130</v>
      </c>
      <c r="N585" s="18" t="s">
        <v>5416</v>
      </c>
      <c r="O585" s="18"/>
      <c r="P585" s="18">
        <f>VLOOKUP($A585,MasterData!$C$1:$I$1995,1,FALSE)</f>
        <v>7833</v>
      </c>
      <c r="Q585" s="18" t="str">
        <f t="shared" si="2"/>
        <v>PURNA2025-PLG2</v>
      </c>
    </row>
    <row r="586" ht="15.75" hidden="1" customHeight="1">
      <c r="A586" s="15">
        <v>7836.0</v>
      </c>
      <c r="B586" s="22" t="s">
        <v>7163</v>
      </c>
      <c r="C586" s="16" t="s">
        <v>7164</v>
      </c>
      <c r="D586" s="18" t="s">
        <v>7165</v>
      </c>
      <c r="E586" s="18" t="s">
        <v>1133</v>
      </c>
      <c r="F586" s="19" t="str">
        <f t="shared" si="1"/>
        <v>PURNA2025-PLG2</v>
      </c>
      <c r="G586" s="19" t="s">
        <v>5408</v>
      </c>
      <c r="H586" s="20" t="s">
        <v>14</v>
      </c>
      <c r="I586" s="19" t="s">
        <v>5409</v>
      </c>
      <c r="J586" s="19" t="s">
        <v>5410</v>
      </c>
      <c r="K586" s="21" t="s">
        <v>5464</v>
      </c>
      <c r="L586" s="19" t="s">
        <v>7108</v>
      </c>
      <c r="M586" s="16" t="s">
        <v>1132</v>
      </c>
      <c r="N586" s="18" t="s">
        <v>5416</v>
      </c>
      <c r="O586" s="18"/>
      <c r="P586" s="18">
        <f>VLOOKUP($A586,MasterData!$C$1:$I$1995,1,FALSE)</f>
        <v>7836</v>
      </c>
      <c r="Q586" s="18" t="str">
        <f t="shared" si="2"/>
        <v>PURNA2025-PLG2</v>
      </c>
    </row>
    <row r="587" ht="15.75" hidden="1" customHeight="1">
      <c r="A587" s="15">
        <v>7861.0</v>
      </c>
      <c r="B587" s="22" t="s">
        <v>7166</v>
      </c>
      <c r="C587" s="16" t="s">
        <v>7167</v>
      </c>
      <c r="D587" s="18" t="s">
        <v>7168</v>
      </c>
      <c r="E587" s="18" t="s">
        <v>1135</v>
      </c>
      <c r="F587" s="19" t="str">
        <f t="shared" si="1"/>
        <v>PURNA2025-PLG2</v>
      </c>
      <c r="G587" s="19" t="s">
        <v>5408</v>
      </c>
      <c r="H587" s="20" t="s">
        <v>14</v>
      </c>
      <c r="I587" s="19" t="s">
        <v>5409</v>
      </c>
      <c r="J587" s="19" t="s">
        <v>5410</v>
      </c>
      <c r="K587" s="21" t="s">
        <v>5464</v>
      </c>
      <c r="L587" s="19" t="s">
        <v>7108</v>
      </c>
      <c r="M587" s="16" t="s">
        <v>1134</v>
      </c>
      <c r="N587" s="18" t="s">
        <v>5416</v>
      </c>
      <c r="O587" s="18"/>
      <c r="P587" s="18">
        <f>VLOOKUP($A587,MasterData!$C$1:$I$1995,1,FALSE)</f>
        <v>7861</v>
      </c>
      <c r="Q587" s="18" t="str">
        <f t="shared" si="2"/>
        <v>PURNA2025-PLG2</v>
      </c>
    </row>
    <row r="588" ht="15.75" hidden="1" customHeight="1">
      <c r="A588" s="15">
        <v>7884.0</v>
      </c>
      <c r="B588" s="22" t="s">
        <v>7169</v>
      </c>
      <c r="C588" s="16" t="s">
        <v>7170</v>
      </c>
      <c r="D588" s="18" t="s">
        <v>7171</v>
      </c>
      <c r="E588" s="18" t="s">
        <v>1137</v>
      </c>
      <c r="F588" s="19" t="str">
        <f t="shared" si="1"/>
        <v>PURNA2025-PLG2</v>
      </c>
      <c r="G588" s="19" t="s">
        <v>5408</v>
      </c>
      <c r="H588" s="20" t="s">
        <v>14</v>
      </c>
      <c r="I588" s="19" t="s">
        <v>5409</v>
      </c>
      <c r="J588" s="19" t="s">
        <v>5410</v>
      </c>
      <c r="K588" s="21" t="s">
        <v>5464</v>
      </c>
      <c r="L588" s="19" t="s">
        <v>7108</v>
      </c>
      <c r="M588" s="16" t="s">
        <v>1136</v>
      </c>
      <c r="N588" s="18" t="s">
        <v>5416</v>
      </c>
      <c r="O588" s="18"/>
      <c r="P588" s="18">
        <f>VLOOKUP($A588,MasterData!$C$1:$I$1995,1,FALSE)</f>
        <v>7884</v>
      </c>
      <c r="Q588" s="18" t="str">
        <f t="shared" si="2"/>
        <v>PURNA2025-PLG2</v>
      </c>
    </row>
    <row r="589" ht="15.75" hidden="1" customHeight="1">
      <c r="A589" s="15">
        <v>7905.0</v>
      </c>
      <c r="B589" s="22" t="s">
        <v>7172</v>
      </c>
      <c r="C589" s="16" t="s">
        <v>7173</v>
      </c>
      <c r="D589" s="18" t="s">
        <v>7174</v>
      </c>
      <c r="E589" s="18" t="s">
        <v>1139</v>
      </c>
      <c r="F589" s="19" t="str">
        <f t="shared" si="1"/>
        <v>PURNA2025-PLG2</v>
      </c>
      <c r="G589" s="19" t="s">
        <v>5408</v>
      </c>
      <c r="H589" s="20" t="s">
        <v>14</v>
      </c>
      <c r="I589" s="19" t="s">
        <v>5409</v>
      </c>
      <c r="J589" s="19" t="s">
        <v>5410</v>
      </c>
      <c r="K589" s="21" t="s">
        <v>5464</v>
      </c>
      <c r="L589" s="19" t="s">
        <v>7108</v>
      </c>
      <c r="M589" s="16" t="s">
        <v>1138</v>
      </c>
      <c r="N589" s="18" t="s">
        <v>5416</v>
      </c>
      <c r="O589" s="18"/>
      <c r="P589" s="18">
        <f>VLOOKUP($A589,MasterData!$C$1:$I$1995,1,FALSE)</f>
        <v>7905</v>
      </c>
      <c r="Q589" s="18" t="str">
        <f t="shared" si="2"/>
        <v>PURNA2025-PLG2</v>
      </c>
    </row>
    <row r="590" ht="15.75" hidden="1" customHeight="1">
      <c r="A590" s="15">
        <v>7909.0</v>
      </c>
      <c r="B590" s="22" t="s">
        <v>7175</v>
      </c>
      <c r="C590" s="16" t="s">
        <v>7176</v>
      </c>
      <c r="D590" s="18" t="s">
        <v>7177</v>
      </c>
      <c r="E590" s="18" t="s">
        <v>1141</v>
      </c>
      <c r="F590" s="19" t="str">
        <f t="shared" si="1"/>
        <v>PURNA2025-PLG2</v>
      </c>
      <c r="G590" s="19" t="s">
        <v>5408</v>
      </c>
      <c r="H590" s="20" t="s">
        <v>14</v>
      </c>
      <c r="I590" s="19" t="s">
        <v>5409</v>
      </c>
      <c r="J590" s="19" t="s">
        <v>5410</v>
      </c>
      <c r="K590" s="21" t="s">
        <v>5464</v>
      </c>
      <c r="L590" s="19" t="s">
        <v>7108</v>
      </c>
      <c r="M590" s="16" t="s">
        <v>1140</v>
      </c>
      <c r="N590" s="18" t="s">
        <v>5416</v>
      </c>
      <c r="O590" s="18"/>
      <c r="P590" s="18">
        <f>VLOOKUP($A590,MasterData!$C$1:$I$1995,1,FALSE)</f>
        <v>7909</v>
      </c>
      <c r="Q590" s="18" t="str">
        <f t="shared" si="2"/>
        <v>PURNA2025-PLG2</v>
      </c>
    </row>
    <row r="591" ht="15.75" hidden="1" customHeight="1">
      <c r="A591" s="15">
        <v>7913.0</v>
      </c>
      <c r="B591" s="22" t="s">
        <v>7178</v>
      </c>
      <c r="C591" s="16" t="s">
        <v>7179</v>
      </c>
      <c r="D591" s="18" t="s">
        <v>7180</v>
      </c>
      <c r="E591" s="18" t="s">
        <v>1143</v>
      </c>
      <c r="F591" s="19" t="str">
        <f t="shared" si="1"/>
        <v>PURNA2025-PLG2</v>
      </c>
      <c r="G591" s="19" t="s">
        <v>5408</v>
      </c>
      <c r="H591" s="20" t="s">
        <v>14</v>
      </c>
      <c r="I591" s="19" t="s">
        <v>5409</v>
      </c>
      <c r="J591" s="19" t="s">
        <v>5410</v>
      </c>
      <c r="K591" s="21" t="s">
        <v>5464</v>
      </c>
      <c r="L591" s="19" t="s">
        <v>7108</v>
      </c>
      <c r="M591" s="16" t="s">
        <v>1142</v>
      </c>
      <c r="N591" s="18" t="s">
        <v>5416</v>
      </c>
      <c r="O591" s="18"/>
      <c r="P591" s="18">
        <f>VLOOKUP($A591,MasterData!$C$1:$I$1995,1,FALSE)</f>
        <v>7913</v>
      </c>
      <c r="Q591" s="18" t="str">
        <f t="shared" si="2"/>
        <v>PURNA2025-PLG2</v>
      </c>
    </row>
    <row r="592" ht="15.75" hidden="1" customHeight="1">
      <c r="A592" s="15">
        <v>7915.0</v>
      </c>
      <c r="B592" s="22" t="s">
        <v>7181</v>
      </c>
      <c r="C592" s="16" t="s">
        <v>7182</v>
      </c>
      <c r="D592" s="18" t="s">
        <v>7183</v>
      </c>
      <c r="E592" s="18" t="s">
        <v>1145</v>
      </c>
      <c r="F592" s="19" t="str">
        <f t="shared" si="1"/>
        <v>PURNA2025-PLG2</v>
      </c>
      <c r="G592" s="19" t="s">
        <v>5408</v>
      </c>
      <c r="H592" s="20" t="s">
        <v>14</v>
      </c>
      <c r="I592" s="19" t="s">
        <v>5409</v>
      </c>
      <c r="J592" s="19" t="s">
        <v>5410</v>
      </c>
      <c r="K592" s="21" t="s">
        <v>5464</v>
      </c>
      <c r="L592" s="19" t="s">
        <v>7108</v>
      </c>
      <c r="M592" s="16" t="s">
        <v>1144</v>
      </c>
      <c r="N592" s="18" t="s">
        <v>5416</v>
      </c>
      <c r="O592" s="18"/>
      <c r="P592" s="18">
        <f>VLOOKUP($A592,MasterData!$C$1:$I$1995,1,FALSE)</f>
        <v>7915</v>
      </c>
      <c r="Q592" s="18" t="str">
        <f t="shared" si="2"/>
        <v>PURNA2025-PLG2</v>
      </c>
    </row>
    <row r="593" ht="15.75" hidden="1" customHeight="1">
      <c r="A593" s="15">
        <v>7918.0</v>
      </c>
      <c r="B593" s="22" t="s">
        <v>7184</v>
      </c>
      <c r="C593" s="16" t="s">
        <v>7185</v>
      </c>
      <c r="D593" s="18" t="s">
        <v>7186</v>
      </c>
      <c r="E593" s="18" t="s">
        <v>1147</v>
      </c>
      <c r="F593" s="19" t="str">
        <f t="shared" si="1"/>
        <v>PURNA2025-PLG2</v>
      </c>
      <c r="G593" s="19" t="s">
        <v>5408</v>
      </c>
      <c r="H593" s="20" t="s">
        <v>14</v>
      </c>
      <c r="I593" s="19" t="s">
        <v>5409</v>
      </c>
      <c r="J593" s="19" t="s">
        <v>5410</v>
      </c>
      <c r="K593" s="21" t="s">
        <v>5464</v>
      </c>
      <c r="L593" s="19" t="s">
        <v>7108</v>
      </c>
      <c r="M593" s="16" t="s">
        <v>1146</v>
      </c>
      <c r="N593" s="18" t="s">
        <v>5416</v>
      </c>
      <c r="O593" s="18"/>
      <c r="P593" s="18">
        <f>VLOOKUP($A593,MasterData!$C$1:$I$1995,1,FALSE)</f>
        <v>7918</v>
      </c>
      <c r="Q593" s="18" t="str">
        <f t="shared" si="2"/>
        <v>PURNA2025-PLG2</v>
      </c>
    </row>
    <row r="594" ht="15.75" hidden="1" customHeight="1">
      <c r="A594" s="15">
        <v>7936.0</v>
      </c>
      <c r="B594" s="22" t="s">
        <v>7187</v>
      </c>
      <c r="C594" s="16" t="s">
        <v>7188</v>
      </c>
      <c r="D594" s="18" t="s">
        <v>7189</v>
      </c>
      <c r="E594" s="18" t="s">
        <v>1149</v>
      </c>
      <c r="F594" s="19" t="str">
        <f t="shared" si="1"/>
        <v>PURNA2025-PLG2</v>
      </c>
      <c r="G594" s="19" t="s">
        <v>5408</v>
      </c>
      <c r="H594" s="20" t="s">
        <v>14</v>
      </c>
      <c r="I594" s="19" t="s">
        <v>5409</v>
      </c>
      <c r="J594" s="19" t="s">
        <v>5410</v>
      </c>
      <c r="K594" s="21" t="s">
        <v>5464</v>
      </c>
      <c r="L594" s="19" t="s">
        <v>7108</v>
      </c>
      <c r="M594" s="16" t="s">
        <v>1148</v>
      </c>
      <c r="N594" s="18" t="s">
        <v>5416</v>
      </c>
      <c r="O594" s="18"/>
      <c r="P594" s="18">
        <f>VLOOKUP($A594,MasterData!$C$1:$I$1995,1,FALSE)</f>
        <v>7936</v>
      </c>
      <c r="Q594" s="18" t="str">
        <f t="shared" si="2"/>
        <v>PURNA2025-PLG2</v>
      </c>
    </row>
    <row r="595" ht="15.75" hidden="1" customHeight="1">
      <c r="A595" s="15">
        <v>7952.0</v>
      </c>
      <c r="B595" s="22" t="s">
        <v>7190</v>
      </c>
      <c r="C595" s="16" t="s">
        <v>7191</v>
      </c>
      <c r="D595" s="18" t="s">
        <v>7192</v>
      </c>
      <c r="E595" s="18" t="s">
        <v>1151</v>
      </c>
      <c r="F595" s="19" t="str">
        <f t="shared" si="1"/>
        <v>PURNA2025-PLG2</v>
      </c>
      <c r="G595" s="19" t="s">
        <v>5408</v>
      </c>
      <c r="H595" s="20" t="s">
        <v>14</v>
      </c>
      <c r="I595" s="19" t="s">
        <v>5409</v>
      </c>
      <c r="J595" s="19" t="s">
        <v>5410</v>
      </c>
      <c r="K595" s="21" t="s">
        <v>5464</v>
      </c>
      <c r="L595" s="19" t="s">
        <v>7108</v>
      </c>
      <c r="M595" s="16" t="s">
        <v>1150</v>
      </c>
      <c r="N595" s="18" t="s">
        <v>5416</v>
      </c>
      <c r="O595" s="18"/>
      <c r="P595" s="18">
        <f>VLOOKUP($A595,MasterData!$C$1:$I$1995,1,FALSE)</f>
        <v>7952</v>
      </c>
      <c r="Q595" s="18" t="str">
        <f t="shared" si="2"/>
        <v>PURNA2025-PLG2</v>
      </c>
    </row>
    <row r="596" ht="15.75" hidden="1" customHeight="1">
      <c r="A596" s="15">
        <v>7978.0</v>
      </c>
      <c r="B596" s="22" t="s">
        <v>7193</v>
      </c>
      <c r="C596" s="16" t="s">
        <v>7194</v>
      </c>
      <c r="D596" s="18" t="s">
        <v>7195</v>
      </c>
      <c r="E596" s="18" t="s">
        <v>1153</v>
      </c>
      <c r="F596" s="19" t="str">
        <f t="shared" si="1"/>
        <v>PURNA2025-PLG2</v>
      </c>
      <c r="G596" s="19" t="s">
        <v>5408</v>
      </c>
      <c r="H596" s="20" t="s">
        <v>14</v>
      </c>
      <c r="I596" s="19" t="s">
        <v>5409</v>
      </c>
      <c r="J596" s="19" t="s">
        <v>5410</v>
      </c>
      <c r="K596" s="21" t="s">
        <v>5464</v>
      </c>
      <c r="L596" s="19" t="s">
        <v>7108</v>
      </c>
      <c r="M596" s="16" t="s">
        <v>1152</v>
      </c>
      <c r="N596" s="18" t="s">
        <v>5416</v>
      </c>
      <c r="O596" s="18"/>
      <c r="P596" s="18">
        <f>VLOOKUP($A596,MasterData!$C$1:$I$1995,1,FALSE)</f>
        <v>7978</v>
      </c>
      <c r="Q596" s="18" t="str">
        <f t="shared" si="2"/>
        <v>PURNA2025-PLG2</v>
      </c>
    </row>
    <row r="597" ht="15.75" hidden="1" customHeight="1">
      <c r="A597" s="15">
        <v>7991.0</v>
      </c>
      <c r="B597" s="22" t="s">
        <v>7196</v>
      </c>
      <c r="C597" s="16" t="s">
        <v>7197</v>
      </c>
      <c r="D597" s="18" t="s">
        <v>7198</v>
      </c>
      <c r="E597" s="18" t="s">
        <v>1155</v>
      </c>
      <c r="F597" s="19" t="str">
        <f t="shared" si="1"/>
        <v>PURNA2025-PLG2</v>
      </c>
      <c r="G597" s="19" t="s">
        <v>5408</v>
      </c>
      <c r="H597" s="20" t="s">
        <v>14</v>
      </c>
      <c r="I597" s="19" t="s">
        <v>5409</v>
      </c>
      <c r="J597" s="19" t="s">
        <v>5410</v>
      </c>
      <c r="K597" s="21" t="s">
        <v>5464</v>
      </c>
      <c r="L597" s="19" t="s">
        <v>7108</v>
      </c>
      <c r="M597" s="16" t="s">
        <v>1154</v>
      </c>
      <c r="N597" s="18" t="s">
        <v>5416</v>
      </c>
      <c r="O597" s="18"/>
      <c r="P597" s="18">
        <f>VLOOKUP($A597,MasterData!$C$1:$I$1995,1,FALSE)</f>
        <v>7991</v>
      </c>
      <c r="Q597" s="18" t="str">
        <f t="shared" si="2"/>
        <v>PURNA2025-PLG2</v>
      </c>
    </row>
    <row r="598" ht="15.75" hidden="1" customHeight="1">
      <c r="A598" s="15">
        <v>7993.0</v>
      </c>
      <c r="B598" s="22" t="s">
        <v>7199</v>
      </c>
      <c r="C598" s="16" t="s">
        <v>7200</v>
      </c>
      <c r="D598" s="18" t="s">
        <v>7201</v>
      </c>
      <c r="E598" s="18" t="s">
        <v>1157</v>
      </c>
      <c r="F598" s="19" t="str">
        <f t="shared" si="1"/>
        <v>PURNA2025-PLG2</v>
      </c>
      <c r="G598" s="19" t="s">
        <v>5408</v>
      </c>
      <c r="H598" s="20" t="s">
        <v>14</v>
      </c>
      <c r="I598" s="19" t="s">
        <v>5409</v>
      </c>
      <c r="J598" s="19" t="s">
        <v>5410</v>
      </c>
      <c r="K598" s="21" t="s">
        <v>5464</v>
      </c>
      <c r="L598" s="19" t="s">
        <v>7108</v>
      </c>
      <c r="M598" s="16" t="s">
        <v>1156</v>
      </c>
      <c r="N598" s="18" t="s">
        <v>5416</v>
      </c>
      <c r="O598" s="18"/>
      <c r="P598" s="18">
        <f>VLOOKUP($A598,MasterData!$C$1:$I$1995,1,FALSE)</f>
        <v>7993</v>
      </c>
      <c r="Q598" s="18" t="str">
        <f t="shared" si="2"/>
        <v>PURNA2025-PLG2</v>
      </c>
    </row>
    <row r="599" ht="15.75" hidden="1" customHeight="1">
      <c r="A599" s="15">
        <v>8001.0</v>
      </c>
      <c r="B599" s="22" t="s">
        <v>7202</v>
      </c>
      <c r="C599" s="16" t="s">
        <v>7203</v>
      </c>
      <c r="D599" s="18" t="s">
        <v>7204</v>
      </c>
      <c r="E599" s="18" t="s">
        <v>1159</v>
      </c>
      <c r="F599" s="19" t="str">
        <f t="shared" si="1"/>
        <v>PURNA2025-PLG2</v>
      </c>
      <c r="G599" s="19" t="s">
        <v>5408</v>
      </c>
      <c r="H599" s="20" t="s">
        <v>14</v>
      </c>
      <c r="I599" s="19" t="s">
        <v>5409</v>
      </c>
      <c r="J599" s="19" t="s">
        <v>5410</v>
      </c>
      <c r="K599" s="21" t="s">
        <v>5464</v>
      </c>
      <c r="L599" s="19" t="s">
        <v>7108</v>
      </c>
      <c r="M599" s="16" t="s">
        <v>1158</v>
      </c>
      <c r="N599" s="18" t="s">
        <v>5416</v>
      </c>
      <c r="O599" s="18"/>
      <c r="P599" s="18">
        <f>VLOOKUP($A599,MasterData!$C$1:$I$1995,1,FALSE)</f>
        <v>8001</v>
      </c>
      <c r="Q599" s="18" t="str">
        <f t="shared" si="2"/>
        <v>PURNA2025-PLG2</v>
      </c>
    </row>
    <row r="600" ht="15.75" hidden="1" customHeight="1">
      <c r="A600" s="15">
        <v>8009.0</v>
      </c>
      <c r="B600" s="22" t="s">
        <v>7205</v>
      </c>
      <c r="C600" s="16" t="s">
        <v>7206</v>
      </c>
      <c r="D600" s="18" t="s">
        <v>7207</v>
      </c>
      <c r="E600" s="18" t="s">
        <v>1161</v>
      </c>
      <c r="F600" s="19" t="str">
        <f t="shared" si="1"/>
        <v>PURNA2025-PLG2</v>
      </c>
      <c r="G600" s="19" t="s">
        <v>5408</v>
      </c>
      <c r="H600" s="20" t="s">
        <v>14</v>
      </c>
      <c r="I600" s="19" t="s">
        <v>5409</v>
      </c>
      <c r="J600" s="19" t="s">
        <v>5410</v>
      </c>
      <c r="K600" s="21" t="s">
        <v>5464</v>
      </c>
      <c r="L600" s="19" t="s">
        <v>7108</v>
      </c>
      <c r="M600" s="16" t="s">
        <v>1160</v>
      </c>
      <c r="N600" s="18" t="s">
        <v>5416</v>
      </c>
      <c r="O600" s="18"/>
      <c r="P600" s="18">
        <f>VLOOKUP($A600,MasterData!$C$1:$I$1995,1,FALSE)</f>
        <v>8009</v>
      </c>
      <c r="Q600" s="18" t="str">
        <f t="shared" si="2"/>
        <v>PURNA2025-PLG2</v>
      </c>
    </row>
    <row r="601" ht="15.75" hidden="1" customHeight="1">
      <c r="A601" s="15">
        <v>8011.0</v>
      </c>
      <c r="B601" s="22" t="s">
        <v>7208</v>
      </c>
      <c r="C601" s="16" t="s">
        <v>7209</v>
      </c>
      <c r="D601" s="18" t="s">
        <v>7210</v>
      </c>
      <c r="E601" s="18" t="s">
        <v>1163</v>
      </c>
      <c r="F601" s="19" t="str">
        <f t="shared" si="1"/>
        <v>PURNA2025-PLG2</v>
      </c>
      <c r="G601" s="19" t="s">
        <v>5408</v>
      </c>
      <c r="H601" s="20" t="s">
        <v>14</v>
      </c>
      <c r="I601" s="19" t="s">
        <v>5409</v>
      </c>
      <c r="J601" s="19" t="s">
        <v>5410</v>
      </c>
      <c r="K601" s="21" t="s">
        <v>5464</v>
      </c>
      <c r="L601" s="19" t="s">
        <v>7108</v>
      </c>
      <c r="M601" s="16" t="s">
        <v>1162</v>
      </c>
      <c r="N601" s="18" t="s">
        <v>5416</v>
      </c>
      <c r="O601" s="18"/>
      <c r="P601" s="18">
        <f>VLOOKUP($A601,MasterData!$C$1:$I$1995,1,FALSE)</f>
        <v>8011</v>
      </c>
      <c r="Q601" s="18" t="str">
        <f t="shared" si="2"/>
        <v>PURNA2025-PLG2</v>
      </c>
    </row>
    <row r="602" ht="15.75" customHeight="1">
      <c r="A602" s="15">
        <v>8639.0</v>
      </c>
      <c r="B602" s="22" t="s">
        <v>3042</v>
      </c>
      <c r="C602" s="17" t="s">
        <v>7211</v>
      </c>
      <c r="D602" s="29" t="s">
        <v>7212</v>
      </c>
      <c r="E602" s="18" t="s">
        <v>3044</v>
      </c>
      <c r="F602" s="19" t="str">
        <f t="shared" si="1"/>
        <v>XIAKL1</v>
      </c>
      <c r="G602" s="19" t="s">
        <v>5408</v>
      </c>
      <c r="H602" s="20" t="s">
        <v>3045</v>
      </c>
      <c r="I602" s="19" t="s">
        <v>5409</v>
      </c>
      <c r="J602" s="19" t="s">
        <v>5410</v>
      </c>
      <c r="K602" s="21" t="s">
        <v>5411</v>
      </c>
      <c r="L602" s="20" t="s">
        <v>5465</v>
      </c>
      <c r="M602" s="16" t="s">
        <v>3043</v>
      </c>
      <c r="N602" s="18"/>
      <c r="O602" s="18"/>
      <c r="P602" s="18">
        <f>VLOOKUP($A602,MasterData!$C$1:$I$3001,1,FALSE)</f>
        <v>8639</v>
      </c>
      <c r="Q602" s="18" t="str">
        <f t="shared" si="2"/>
        <v>XIAKL1</v>
      </c>
    </row>
    <row r="603" ht="15.75" customHeight="1">
      <c r="A603" s="15">
        <v>8650.0</v>
      </c>
      <c r="B603" s="16" t="s">
        <v>7213</v>
      </c>
      <c r="C603" s="17" t="s">
        <v>7214</v>
      </c>
      <c r="D603" s="29" t="s">
        <v>7213</v>
      </c>
      <c r="E603" s="18" t="s">
        <v>3047</v>
      </c>
      <c r="F603" s="19" t="str">
        <f t="shared" si="1"/>
        <v>XIAKL1</v>
      </c>
      <c r="G603" s="19" t="s">
        <v>5408</v>
      </c>
      <c r="H603" s="20" t="s">
        <v>3045</v>
      </c>
      <c r="I603" s="19" t="s">
        <v>5409</v>
      </c>
      <c r="J603" s="19" t="s">
        <v>5410</v>
      </c>
      <c r="K603" s="21" t="s">
        <v>5411</v>
      </c>
      <c r="L603" s="20" t="s">
        <v>5465</v>
      </c>
      <c r="M603" s="16" t="s">
        <v>3046</v>
      </c>
      <c r="N603" s="18"/>
      <c r="O603" s="18"/>
      <c r="P603" s="18">
        <f>VLOOKUP($A603,MasterData!$C$1:$I$3001,1,FALSE)</f>
        <v>8650</v>
      </c>
      <c r="Q603" s="18" t="str">
        <f t="shared" si="2"/>
        <v>XIAKL1</v>
      </c>
    </row>
    <row r="604" ht="15.75" customHeight="1">
      <c r="A604" s="15">
        <v>8675.0</v>
      </c>
      <c r="B604" s="16" t="s">
        <v>7215</v>
      </c>
      <c r="C604" s="17" t="s">
        <v>7216</v>
      </c>
      <c r="D604" s="29" t="s">
        <v>7215</v>
      </c>
      <c r="E604" s="18" t="s">
        <v>3049</v>
      </c>
      <c r="F604" s="19" t="str">
        <f t="shared" si="1"/>
        <v>XIAKL1</v>
      </c>
      <c r="G604" s="19" t="s">
        <v>5408</v>
      </c>
      <c r="H604" s="20" t="s">
        <v>3045</v>
      </c>
      <c r="I604" s="19" t="s">
        <v>5409</v>
      </c>
      <c r="J604" s="19" t="s">
        <v>5410</v>
      </c>
      <c r="K604" s="21" t="s">
        <v>5411</v>
      </c>
      <c r="L604" s="20" t="s">
        <v>5465</v>
      </c>
      <c r="M604" s="16" t="s">
        <v>3048</v>
      </c>
      <c r="N604" s="18"/>
      <c r="O604" s="18"/>
      <c r="P604" s="18">
        <f>VLOOKUP($A604,MasterData!$C$1:$I$3001,1,FALSE)</f>
        <v>8675</v>
      </c>
      <c r="Q604" s="18" t="str">
        <f t="shared" si="2"/>
        <v>XIAKL1</v>
      </c>
    </row>
    <row r="605" ht="15.75" customHeight="1">
      <c r="A605" s="15">
        <v>8693.0</v>
      </c>
      <c r="B605" s="16" t="s">
        <v>7217</v>
      </c>
      <c r="C605" s="17" t="s">
        <v>7218</v>
      </c>
      <c r="D605" s="29" t="s">
        <v>7217</v>
      </c>
      <c r="E605" s="18" t="s">
        <v>3051</v>
      </c>
      <c r="F605" s="19" t="str">
        <f t="shared" si="1"/>
        <v>XIAKL1</v>
      </c>
      <c r="G605" s="19" t="s">
        <v>5408</v>
      </c>
      <c r="H605" s="20" t="s">
        <v>3045</v>
      </c>
      <c r="I605" s="19" t="s">
        <v>5409</v>
      </c>
      <c r="J605" s="19" t="s">
        <v>5410</v>
      </c>
      <c r="K605" s="21" t="s">
        <v>5411</v>
      </c>
      <c r="L605" s="20" t="s">
        <v>5465</v>
      </c>
      <c r="M605" s="16" t="s">
        <v>3050</v>
      </c>
      <c r="N605" s="18"/>
      <c r="O605" s="18"/>
      <c r="P605" s="18">
        <f>VLOOKUP($A605,MasterData!$C$1:$I$3001,1,FALSE)</f>
        <v>8693</v>
      </c>
      <c r="Q605" s="18" t="str">
        <f t="shared" si="2"/>
        <v>XIAKL1</v>
      </c>
    </row>
    <row r="606" ht="15.75" customHeight="1">
      <c r="A606" s="15">
        <v>8707.0</v>
      </c>
      <c r="B606" s="16" t="s">
        <v>7219</v>
      </c>
      <c r="C606" s="17" t="s">
        <v>7220</v>
      </c>
      <c r="D606" s="29" t="s">
        <v>7219</v>
      </c>
      <c r="E606" s="18" t="s">
        <v>3053</v>
      </c>
      <c r="F606" s="19" t="str">
        <f t="shared" si="1"/>
        <v>XIAKL1</v>
      </c>
      <c r="G606" s="19" t="s">
        <v>5408</v>
      </c>
      <c r="H606" s="20" t="s">
        <v>3045</v>
      </c>
      <c r="I606" s="19" t="s">
        <v>5409</v>
      </c>
      <c r="J606" s="19" t="s">
        <v>5410</v>
      </c>
      <c r="K606" s="21" t="s">
        <v>5411</v>
      </c>
      <c r="L606" s="20" t="s">
        <v>5465</v>
      </c>
      <c r="M606" s="16" t="s">
        <v>3052</v>
      </c>
      <c r="N606" s="18"/>
      <c r="O606" s="18"/>
      <c r="P606" s="18">
        <f>VLOOKUP($A606,MasterData!$C$1:$I$3001,1,FALSE)</f>
        <v>8707</v>
      </c>
      <c r="Q606" s="18" t="str">
        <f t="shared" si="2"/>
        <v>XIAKL1</v>
      </c>
    </row>
    <row r="607" ht="15.75" customHeight="1">
      <c r="A607" s="15">
        <v>8714.0</v>
      </c>
      <c r="B607" s="16" t="s">
        <v>7221</v>
      </c>
      <c r="C607" s="17" t="s">
        <v>7222</v>
      </c>
      <c r="D607" s="29" t="s">
        <v>7221</v>
      </c>
      <c r="E607" s="18" t="s">
        <v>3055</v>
      </c>
      <c r="F607" s="19" t="str">
        <f t="shared" si="1"/>
        <v>XIAKL1</v>
      </c>
      <c r="G607" s="19" t="s">
        <v>5408</v>
      </c>
      <c r="H607" s="20" t="s">
        <v>3045</v>
      </c>
      <c r="I607" s="19" t="s">
        <v>5409</v>
      </c>
      <c r="J607" s="19" t="s">
        <v>5410</v>
      </c>
      <c r="K607" s="21" t="s">
        <v>5411</v>
      </c>
      <c r="L607" s="20" t="s">
        <v>5465</v>
      </c>
      <c r="M607" s="16" t="s">
        <v>3054</v>
      </c>
      <c r="N607" s="18"/>
      <c r="O607" s="18"/>
      <c r="P607" s="18">
        <f>VLOOKUP($A607,MasterData!$C$1:$I$3001,1,FALSE)</f>
        <v>8714</v>
      </c>
      <c r="Q607" s="18" t="str">
        <f t="shared" si="2"/>
        <v>XIAKL1</v>
      </c>
    </row>
    <row r="608" ht="15.75" customHeight="1">
      <c r="A608" s="15">
        <v>8737.0</v>
      </c>
      <c r="B608" s="16" t="s">
        <v>7223</v>
      </c>
      <c r="C608" s="17" t="s">
        <v>7224</v>
      </c>
      <c r="D608" s="29" t="s">
        <v>7223</v>
      </c>
      <c r="E608" s="18" t="s">
        <v>3057</v>
      </c>
      <c r="F608" s="19" t="str">
        <f t="shared" si="1"/>
        <v>XIAKL1</v>
      </c>
      <c r="G608" s="19" t="s">
        <v>5408</v>
      </c>
      <c r="H608" s="20" t="s">
        <v>3045</v>
      </c>
      <c r="I608" s="19" t="s">
        <v>5409</v>
      </c>
      <c r="J608" s="19" t="s">
        <v>5410</v>
      </c>
      <c r="K608" s="21" t="s">
        <v>5411</v>
      </c>
      <c r="L608" s="20" t="s">
        <v>5465</v>
      </c>
      <c r="M608" s="16" t="s">
        <v>3056</v>
      </c>
      <c r="N608" s="18"/>
      <c r="O608" s="18"/>
      <c r="P608" s="18">
        <f>VLOOKUP($A608,MasterData!$C$1:$I$3001,1,FALSE)</f>
        <v>8737</v>
      </c>
      <c r="Q608" s="18" t="str">
        <f t="shared" si="2"/>
        <v>XIAKL1</v>
      </c>
    </row>
    <row r="609" ht="15.75" customHeight="1">
      <c r="A609" s="15">
        <v>8789.0</v>
      </c>
      <c r="B609" s="16" t="s">
        <v>7225</v>
      </c>
      <c r="C609" s="17" t="s">
        <v>7226</v>
      </c>
      <c r="D609" s="29" t="s">
        <v>7225</v>
      </c>
      <c r="E609" s="18" t="s">
        <v>3059</v>
      </c>
      <c r="F609" s="19" t="str">
        <f t="shared" si="1"/>
        <v>XIAKL1</v>
      </c>
      <c r="G609" s="19" t="s">
        <v>5408</v>
      </c>
      <c r="H609" s="20" t="s">
        <v>3045</v>
      </c>
      <c r="I609" s="19" t="s">
        <v>5409</v>
      </c>
      <c r="J609" s="19" t="s">
        <v>5410</v>
      </c>
      <c r="K609" s="21" t="s">
        <v>5411</v>
      </c>
      <c r="L609" s="20" t="s">
        <v>5465</v>
      </c>
      <c r="M609" s="16" t="s">
        <v>3058</v>
      </c>
      <c r="N609" s="18"/>
      <c r="O609" s="18"/>
      <c r="P609" s="18">
        <f>VLOOKUP($A609,MasterData!$C$1:$I$3001,1,FALSE)</f>
        <v>8789</v>
      </c>
      <c r="Q609" s="18" t="str">
        <f t="shared" si="2"/>
        <v>XIAKL1</v>
      </c>
    </row>
    <row r="610" ht="15.75" customHeight="1">
      <c r="A610" s="15">
        <v>8813.0</v>
      </c>
      <c r="B610" s="16" t="s">
        <v>7227</v>
      </c>
      <c r="C610" s="17" t="s">
        <v>7228</v>
      </c>
      <c r="D610" s="29" t="s">
        <v>7227</v>
      </c>
      <c r="E610" s="18" t="s">
        <v>3061</v>
      </c>
      <c r="F610" s="19" t="str">
        <f t="shared" si="1"/>
        <v>XIAKL1</v>
      </c>
      <c r="G610" s="19" t="s">
        <v>5408</v>
      </c>
      <c r="H610" s="20" t="s">
        <v>3045</v>
      </c>
      <c r="I610" s="19" t="s">
        <v>5409</v>
      </c>
      <c r="J610" s="19" t="s">
        <v>5410</v>
      </c>
      <c r="K610" s="21" t="s">
        <v>5411</v>
      </c>
      <c r="L610" s="20" t="s">
        <v>5465</v>
      </c>
      <c r="M610" s="16" t="s">
        <v>3060</v>
      </c>
      <c r="N610" s="18"/>
      <c r="O610" s="18"/>
      <c r="P610" s="18">
        <f>VLOOKUP($A610,MasterData!$C$1:$I$3001,1,FALSE)</f>
        <v>8813</v>
      </c>
      <c r="Q610" s="18" t="str">
        <f t="shared" si="2"/>
        <v>XIAKL1</v>
      </c>
    </row>
    <row r="611" ht="15.75" customHeight="1">
      <c r="A611" s="15">
        <v>8839.0</v>
      </c>
      <c r="B611" s="16" t="s">
        <v>7229</v>
      </c>
      <c r="C611" s="17" t="s">
        <v>7230</v>
      </c>
      <c r="D611" s="29" t="s">
        <v>7229</v>
      </c>
      <c r="E611" s="18" t="s">
        <v>3063</v>
      </c>
      <c r="F611" s="19" t="str">
        <f t="shared" si="1"/>
        <v>XIAKL1</v>
      </c>
      <c r="G611" s="19" t="s">
        <v>5408</v>
      </c>
      <c r="H611" s="20" t="s">
        <v>3045</v>
      </c>
      <c r="I611" s="19" t="s">
        <v>5409</v>
      </c>
      <c r="J611" s="19" t="s">
        <v>5410</v>
      </c>
      <c r="K611" s="21" t="s">
        <v>5411</v>
      </c>
      <c r="L611" s="20" t="s">
        <v>5465</v>
      </c>
      <c r="M611" s="16" t="s">
        <v>3062</v>
      </c>
      <c r="N611" s="18"/>
      <c r="O611" s="18"/>
      <c r="P611" s="18">
        <f>VLOOKUP($A611,MasterData!$C$1:$I$3001,1,FALSE)</f>
        <v>8839</v>
      </c>
      <c r="Q611" s="18" t="str">
        <f t="shared" si="2"/>
        <v>XIAKL1</v>
      </c>
    </row>
    <row r="612" ht="15.75" customHeight="1">
      <c r="A612" s="15">
        <v>8840.0</v>
      </c>
      <c r="B612" s="16" t="s">
        <v>7231</v>
      </c>
      <c r="C612" s="17" t="s">
        <v>7232</v>
      </c>
      <c r="D612" s="29" t="s">
        <v>7231</v>
      </c>
      <c r="E612" s="18" t="s">
        <v>3065</v>
      </c>
      <c r="F612" s="19" t="str">
        <f t="shared" si="1"/>
        <v>XIAKL1</v>
      </c>
      <c r="G612" s="19" t="s">
        <v>5408</v>
      </c>
      <c r="H612" s="20" t="s">
        <v>3045</v>
      </c>
      <c r="I612" s="19" t="s">
        <v>5409</v>
      </c>
      <c r="J612" s="19" t="s">
        <v>5410</v>
      </c>
      <c r="K612" s="21" t="s">
        <v>5411</v>
      </c>
      <c r="L612" s="20" t="s">
        <v>5465</v>
      </c>
      <c r="M612" s="16" t="s">
        <v>3064</v>
      </c>
      <c r="N612" s="18"/>
      <c r="O612" s="18"/>
      <c r="P612" s="18">
        <f>VLOOKUP($A612,MasterData!$C$1:$I$3001,1,FALSE)</f>
        <v>8840</v>
      </c>
      <c r="Q612" s="18" t="str">
        <f t="shared" si="2"/>
        <v>XIAKL1</v>
      </c>
    </row>
    <row r="613" ht="15.75" customHeight="1">
      <c r="A613" s="15">
        <v>8871.0</v>
      </c>
      <c r="B613" s="16" t="s">
        <v>7233</v>
      </c>
      <c r="C613" s="17" t="s">
        <v>7234</v>
      </c>
      <c r="D613" s="29" t="s">
        <v>7233</v>
      </c>
      <c r="E613" s="18" t="s">
        <v>3067</v>
      </c>
      <c r="F613" s="19" t="str">
        <f t="shared" si="1"/>
        <v>XIAKL1</v>
      </c>
      <c r="G613" s="19" t="s">
        <v>5408</v>
      </c>
      <c r="H613" s="20" t="s">
        <v>3045</v>
      </c>
      <c r="I613" s="19" t="s">
        <v>5409</v>
      </c>
      <c r="J613" s="19" t="s">
        <v>5410</v>
      </c>
      <c r="K613" s="21" t="s">
        <v>5411</v>
      </c>
      <c r="L613" s="20" t="s">
        <v>5465</v>
      </c>
      <c r="M613" s="16" t="s">
        <v>3066</v>
      </c>
      <c r="N613" s="18"/>
      <c r="O613" s="18"/>
      <c r="P613" s="18">
        <f>VLOOKUP($A613,MasterData!$C$1:$I$3001,1,FALSE)</f>
        <v>8871</v>
      </c>
      <c r="Q613" s="18" t="str">
        <f t="shared" si="2"/>
        <v>XIAKL1</v>
      </c>
    </row>
    <row r="614" ht="15.75" customHeight="1">
      <c r="A614" s="15">
        <v>8872.0</v>
      </c>
      <c r="B614" s="16" t="s">
        <v>7235</v>
      </c>
      <c r="C614" s="17" t="s">
        <v>7236</v>
      </c>
      <c r="D614" s="29" t="s">
        <v>7235</v>
      </c>
      <c r="E614" s="18" t="s">
        <v>3069</v>
      </c>
      <c r="F614" s="19" t="str">
        <f t="shared" si="1"/>
        <v>XIAKL1</v>
      </c>
      <c r="G614" s="19" t="s">
        <v>5408</v>
      </c>
      <c r="H614" s="20" t="s">
        <v>3045</v>
      </c>
      <c r="I614" s="19" t="s">
        <v>5409</v>
      </c>
      <c r="J614" s="19" t="s">
        <v>5410</v>
      </c>
      <c r="K614" s="21" t="s">
        <v>5411</v>
      </c>
      <c r="L614" s="20" t="s">
        <v>5465</v>
      </c>
      <c r="M614" s="16" t="s">
        <v>3068</v>
      </c>
      <c r="N614" s="18"/>
      <c r="O614" s="18"/>
      <c r="P614" s="18">
        <f>VLOOKUP($A614,MasterData!$C$1:$I$3001,1,FALSE)</f>
        <v>8872</v>
      </c>
      <c r="Q614" s="18" t="str">
        <f t="shared" si="2"/>
        <v>XIAKL1</v>
      </c>
    </row>
    <row r="615" ht="15.75" customHeight="1">
      <c r="A615" s="15">
        <v>8889.0</v>
      </c>
      <c r="B615" s="16" t="s">
        <v>7237</v>
      </c>
      <c r="C615" s="17" t="s">
        <v>7238</v>
      </c>
      <c r="D615" s="29" t="s">
        <v>7237</v>
      </c>
      <c r="E615" s="18" t="s">
        <v>3071</v>
      </c>
      <c r="F615" s="19" t="str">
        <f t="shared" si="1"/>
        <v>XIAKL1</v>
      </c>
      <c r="G615" s="19" t="s">
        <v>5408</v>
      </c>
      <c r="H615" s="20" t="s">
        <v>3045</v>
      </c>
      <c r="I615" s="19" t="s">
        <v>5409</v>
      </c>
      <c r="J615" s="19" t="s">
        <v>5410</v>
      </c>
      <c r="K615" s="21" t="s">
        <v>5411</v>
      </c>
      <c r="L615" s="20" t="s">
        <v>5465</v>
      </c>
      <c r="M615" s="16" t="s">
        <v>3070</v>
      </c>
      <c r="N615" s="18"/>
      <c r="O615" s="18"/>
      <c r="P615" s="18">
        <f>VLOOKUP($A615,MasterData!$C$1:$I$3001,1,FALSE)</f>
        <v>8889</v>
      </c>
      <c r="Q615" s="18" t="str">
        <f t="shared" si="2"/>
        <v>XIAKL1</v>
      </c>
    </row>
    <row r="616" ht="15.75" customHeight="1">
      <c r="A616" s="15">
        <v>8898.0</v>
      </c>
      <c r="B616" s="16" t="s">
        <v>7239</v>
      </c>
      <c r="C616" s="30" t="s">
        <v>7240</v>
      </c>
      <c r="D616" s="29" t="s">
        <v>7239</v>
      </c>
      <c r="E616" s="18" t="s">
        <v>3073</v>
      </c>
      <c r="F616" s="19" t="str">
        <f t="shared" si="1"/>
        <v>XIAKL1</v>
      </c>
      <c r="G616" s="19" t="s">
        <v>5408</v>
      </c>
      <c r="H616" s="20" t="s">
        <v>3045</v>
      </c>
      <c r="I616" s="19" t="s">
        <v>5409</v>
      </c>
      <c r="J616" s="19" t="s">
        <v>5410</v>
      </c>
      <c r="K616" s="21" t="s">
        <v>5411</v>
      </c>
      <c r="L616" s="20" t="s">
        <v>5465</v>
      </c>
      <c r="M616" s="16" t="s">
        <v>3072</v>
      </c>
      <c r="N616" s="18"/>
      <c r="O616" s="18"/>
      <c r="P616" s="18">
        <f>VLOOKUP($A616,MasterData!$C$1:$I$3001,1,FALSE)</f>
        <v>8898</v>
      </c>
      <c r="Q616" s="18" t="str">
        <f t="shared" si="2"/>
        <v>XIAKL1</v>
      </c>
    </row>
    <row r="617" ht="15.75" customHeight="1">
      <c r="A617" s="15">
        <v>8899.0</v>
      </c>
      <c r="B617" s="16" t="s">
        <v>7241</v>
      </c>
      <c r="C617" s="17" t="s">
        <v>7242</v>
      </c>
      <c r="D617" s="29" t="s">
        <v>7241</v>
      </c>
      <c r="E617" s="18" t="s">
        <v>3075</v>
      </c>
      <c r="F617" s="19" t="str">
        <f t="shared" si="1"/>
        <v>XIAKL1</v>
      </c>
      <c r="G617" s="19" t="s">
        <v>5408</v>
      </c>
      <c r="H617" s="20" t="s">
        <v>3045</v>
      </c>
      <c r="I617" s="19" t="s">
        <v>5409</v>
      </c>
      <c r="J617" s="19" t="s">
        <v>5410</v>
      </c>
      <c r="K617" s="21" t="s">
        <v>5411</v>
      </c>
      <c r="L617" s="20" t="s">
        <v>5465</v>
      </c>
      <c r="M617" s="16" t="s">
        <v>3074</v>
      </c>
      <c r="N617" s="18"/>
      <c r="O617" s="18"/>
      <c r="P617" s="18">
        <f>VLOOKUP($A617,MasterData!$C$1:$I$3001,1,FALSE)</f>
        <v>8899</v>
      </c>
      <c r="Q617" s="18" t="str">
        <f t="shared" si="2"/>
        <v>XIAKL1</v>
      </c>
    </row>
    <row r="618" ht="15.75" customHeight="1">
      <c r="A618" s="15">
        <v>8900.0</v>
      </c>
      <c r="B618" s="16" t="s">
        <v>7243</v>
      </c>
      <c r="C618" s="17" t="s">
        <v>7244</v>
      </c>
      <c r="D618" s="29" t="s">
        <v>7243</v>
      </c>
      <c r="E618" s="18" t="s">
        <v>3077</v>
      </c>
      <c r="F618" s="19" t="str">
        <f t="shared" si="1"/>
        <v>XIAKL1</v>
      </c>
      <c r="G618" s="19" t="s">
        <v>5408</v>
      </c>
      <c r="H618" s="20" t="s">
        <v>3045</v>
      </c>
      <c r="I618" s="19" t="s">
        <v>5409</v>
      </c>
      <c r="J618" s="19" t="s">
        <v>5410</v>
      </c>
      <c r="K618" s="21" t="s">
        <v>5411</v>
      </c>
      <c r="L618" s="20" t="s">
        <v>5465</v>
      </c>
      <c r="M618" s="16" t="s">
        <v>3076</v>
      </c>
      <c r="N618" s="18"/>
      <c r="O618" s="18"/>
      <c r="P618" s="18">
        <f>VLOOKUP($A618,MasterData!$C$1:$I$3001,1,FALSE)</f>
        <v>8900</v>
      </c>
      <c r="Q618" s="18" t="str">
        <f t="shared" si="2"/>
        <v>XIAKL1</v>
      </c>
    </row>
    <row r="619" ht="15.75" customHeight="1">
      <c r="A619" s="15">
        <v>8905.0</v>
      </c>
      <c r="B619" s="16" t="s">
        <v>7245</v>
      </c>
      <c r="C619" s="17" t="s">
        <v>7246</v>
      </c>
      <c r="D619" s="29" t="s">
        <v>7245</v>
      </c>
      <c r="E619" s="18" t="s">
        <v>3079</v>
      </c>
      <c r="F619" s="19" t="str">
        <f t="shared" si="1"/>
        <v>XIAKL1</v>
      </c>
      <c r="G619" s="19" t="s">
        <v>5408</v>
      </c>
      <c r="H619" s="20" t="s">
        <v>3045</v>
      </c>
      <c r="I619" s="19" t="s">
        <v>5409</v>
      </c>
      <c r="J619" s="19" t="s">
        <v>5410</v>
      </c>
      <c r="K619" s="21" t="s">
        <v>5411</v>
      </c>
      <c r="L619" s="20" t="s">
        <v>5465</v>
      </c>
      <c r="M619" s="16" t="s">
        <v>3078</v>
      </c>
      <c r="N619" s="18"/>
      <c r="O619" s="18"/>
      <c r="P619" s="18">
        <f>VLOOKUP($A619,MasterData!$C$1:$I$3001,1,FALSE)</f>
        <v>8905</v>
      </c>
      <c r="Q619" s="18" t="str">
        <f t="shared" si="2"/>
        <v>XIAKL1</v>
      </c>
    </row>
    <row r="620" ht="15.75" customHeight="1">
      <c r="A620" s="15">
        <v>8916.0</v>
      </c>
      <c r="B620" s="16" t="s">
        <v>7247</v>
      </c>
      <c r="C620" s="17" t="s">
        <v>7248</v>
      </c>
      <c r="D620" s="29" t="s">
        <v>7247</v>
      </c>
      <c r="E620" s="18" t="s">
        <v>3081</v>
      </c>
      <c r="F620" s="19" t="str">
        <f t="shared" si="1"/>
        <v>XIAKL1</v>
      </c>
      <c r="G620" s="19" t="s">
        <v>5408</v>
      </c>
      <c r="H620" s="20" t="s">
        <v>3045</v>
      </c>
      <c r="I620" s="19" t="s">
        <v>5409</v>
      </c>
      <c r="J620" s="19" t="s">
        <v>5410</v>
      </c>
      <c r="K620" s="21" t="s">
        <v>5411</v>
      </c>
      <c r="L620" s="20" t="s">
        <v>5465</v>
      </c>
      <c r="M620" s="16" t="s">
        <v>3080</v>
      </c>
      <c r="N620" s="18"/>
      <c r="O620" s="18"/>
      <c r="P620" s="18">
        <f>VLOOKUP($A620,MasterData!$C$1:$I$3001,1,FALSE)</f>
        <v>8916</v>
      </c>
      <c r="Q620" s="18" t="str">
        <f t="shared" si="2"/>
        <v>XIAKL1</v>
      </c>
    </row>
    <row r="621" ht="15.75" customHeight="1">
      <c r="A621" s="15">
        <v>8949.0</v>
      </c>
      <c r="B621" s="16" t="s">
        <v>7249</v>
      </c>
      <c r="C621" s="17" t="s">
        <v>7250</v>
      </c>
      <c r="D621" s="29" t="s">
        <v>7249</v>
      </c>
      <c r="E621" s="18" t="s">
        <v>3083</v>
      </c>
      <c r="F621" s="19" t="str">
        <f t="shared" si="1"/>
        <v>XIAKL1</v>
      </c>
      <c r="G621" s="19" t="s">
        <v>5408</v>
      </c>
      <c r="H621" s="20" t="s">
        <v>3045</v>
      </c>
      <c r="I621" s="19" t="s">
        <v>5409</v>
      </c>
      <c r="J621" s="19" t="s">
        <v>5410</v>
      </c>
      <c r="K621" s="21" t="s">
        <v>5411</v>
      </c>
      <c r="L621" s="20" t="s">
        <v>5465</v>
      </c>
      <c r="M621" s="16" t="s">
        <v>3082</v>
      </c>
      <c r="N621" s="18"/>
      <c r="O621" s="18"/>
      <c r="P621" s="18">
        <f>VLOOKUP($A621,MasterData!$C$1:$I$3001,1,FALSE)</f>
        <v>8949</v>
      </c>
      <c r="Q621" s="18" t="str">
        <f t="shared" si="2"/>
        <v>XIAKL1</v>
      </c>
    </row>
    <row r="622" ht="15.75" customHeight="1">
      <c r="A622" s="15">
        <v>8955.0</v>
      </c>
      <c r="B622" s="16" t="s">
        <v>7251</v>
      </c>
      <c r="C622" s="17" t="s">
        <v>7252</v>
      </c>
      <c r="D622" s="29" t="s">
        <v>7251</v>
      </c>
      <c r="E622" s="18" t="s">
        <v>3085</v>
      </c>
      <c r="F622" s="19" t="str">
        <f t="shared" si="1"/>
        <v>XIAKL1</v>
      </c>
      <c r="G622" s="19" t="s">
        <v>5408</v>
      </c>
      <c r="H622" s="20" t="s">
        <v>3045</v>
      </c>
      <c r="I622" s="19" t="s">
        <v>5409</v>
      </c>
      <c r="J622" s="19" t="s">
        <v>5410</v>
      </c>
      <c r="K622" s="21" t="s">
        <v>5411</v>
      </c>
      <c r="L622" s="20" t="s">
        <v>5465</v>
      </c>
      <c r="M622" s="16" t="s">
        <v>3084</v>
      </c>
      <c r="N622" s="18"/>
      <c r="O622" s="18"/>
      <c r="P622" s="18">
        <f>VLOOKUP($A622,MasterData!$C$1:$I$3001,1,FALSE)</f>
        <v>8955</v>
      </c>
      <c r="Q622" s="18" t="str">
        <f t="shared" si="2"/>
        <v>XIAKL1</v>
      </c>
    </row>
    <row r="623" ht="15.75" customHeight="1">
      <c r="A623" s="15">
        <v>9004.0</v>
      </c>
      <c r="B623" s="16" t="s">
        <v>7253</v>
      </c>
      <c r="C623" s="17" t="s">
        <v>7254</v>
      </c>
      <c r="D623" s="29" t="s">
        <v>7253</v>
      </c>
      <c r="E623" s="18" t="s">
        <v>3087</v>
      </c>
      <c r="F623" s="19" t="str">
        <f t="shared" si="1"/>
        <v>XIAKL1</v>
      </c>
      <c r="G623" s="19" t="s">
        <v>5408</v>
      </c>
      <c r="H623" s="20" t="s">
        <v>3045</v>
      </c>
      <c r="I623" s="19" t="s">
        <v>5409</v>
      </c>
      <c r="J623" s="19" t="s">
        <v>5410</v>
      </c>
      <c r="K623" s="21" t="s">
        <v>5411</v>
      </c>
      <c r="L623" s="20" t="s">
        <v>5465</v>
      </c>
      <c r="M623" s="16" t="s">
        <v>3086</v>
      </c>
      <c r="N623" s="18"/>
      <c r="O623" s="18"/>
      <c r="P623" s="18">
        <f>VLOOKUP($A623,MasterData!$C$1:$I$3001,1,FALSE)</f>
        <v>9004</v>
      </c>
      <c r="Q623" s="18" t="str">
        <f t="shared" si="2"/>
        <v>XIAKL1</v>
      </c>
    </row>
    <row r="624" ht="15.75" customHeight="1">
      <c r="A624" s="15">
        <v>9033.0</v>
      </c>
      <c r="B624" s="16" t="s">
        <v>7255</v>
      </c>
      <c r="C624" s="17" t="s">
        <v>7256</v>
      </c>
      <c r="D624" s="29" t="s">
        <v>7255</v>
      </c>
      <c r="E624" s="18" t="s">
        <v>3089</v>
      </c>
      <c r="F624" s="19" t="str">
        <f t="shared" si="1"/>
        <v>XIAKL1</v>
      </c>
      <c r="G624" s="19" t="s">
        <v>5408</v>
      </c>
      <c r="H624" s="20" t="s">
        <v>3045</v>
      </c>
      <c r="I624" s="19" t="s">
        <v>5409</v>
      </c>
      <c r="J624" s="19" t="s">
        <v>5410</v>
      </c>
      <c r="K624" s="21" t="s">
        <v>5411</v>
      </c>
      <c r="L624" s="20" t="s">
        <v>5465</v>
      </c>
      <c r="M624" s="16" t="s">
        <v>3088</v>
      </c>
      <c r="N624" s="18"/>
      <c r="O624" s="18"/>
      <c r="P624" s="18">
        <f>VLOOKUP($A624,MasterData!$C$1:$I$3001,1,FALSE)</f>
        <v>9033</v>
      </c>
      <c r="Q624" s="18" t="str">
        <f t="shared" si="2"/>
        <v>XIAKL1</v>
      </c>
    </row>
    <row r="625" ht="15.75" customHeight="1">
      <c r="A625" s="15">
        <v>9040.0</v>
      </c>
      <c r="B625" s="16" t="s">
        <v>7257</v>
      </c>
      <c r="C625" s="17" t="s">
        <v>7258</v>
      </c>
      <c r="D625" s="29" t="s">
        <v>7257</v>
      </c>
      <c r="E625" s="18" t="s">
        <v>3091</v>
      </c>
      <c r="F625" s="19" t="str">
        <f t="shared" si="1"/>
        <v>XIAKL1</v>
      </c>
      <c r="G625" s="19" t="s">
        <v>5408</v>
      </c>
      <c r="H625" s="20" t="s">
        <v>3045</v>
      </c>
      <c r="I625" s="19" t="s">
        <v>5409</v>
      </c>
      <c r="J625" s="19" t="s">
        <v>5410</v>
      </c>
      <c r="K625" s="21" t="s">
        <v>5411</v>
      </c>
      <c r="L625" s="20" t="s">
        <v>5465</v>
      </c>
      <c r="M625" s="16" t="s">
        <v>3090</v>
      </c>
      <c r="N625" s="18"/>
      <c r="O625" s="18"/>
      <c r="P625" s="18">
        <f>VLOOKUP($A625,MasterData!$C$1:$I$3001,1,FALSE)</f>
        <v>9040</v>
      </c>
      <c r="Q625" s="18" t="str">
        <f t="shared" si="2"/>
        <v>XIAKL1</v>
      </c>
    </row>
    <row r="626" ht="15.75" customHeight="1">
      <c r="A626" s="15">
        <v>9060.0</v>
      </c>
      <c r="B626" s="16" t="s">
        <v>7259</v>
      </c>
      <c r="C626" s="17" t="s">
        <v>7260</v>
      </c>
      <c r="D626" s="29" t="s">
        <v>7259</v>
      </c>
      <c r="E626" s="18" t="s">
        <v>3093</v>
      </c>
      <c r="F626" s="19" t="str">
        <f t="shared" si="1"/>
        <v>XIAKL1</v>
      </c>
      <c r="G626" s="19" t="s">
        <v>5408</v>
      </c>
      <c r="H626" s="20" t="s">
        <v>3045</v>
      </c>
      <c r="I626" s="19" t="s">
        <v>5409</v>
      </c>
      <c r="J626" s="19" t="s">
        <v>5410</v>
      </c>
      <c r="K626" s="21" t="s">
        <v>5411</v>
      </c>
      <c r="L626" s="20" t="s">
        <v>5465</v>
      </c>
      <c r="M626" s="16" t="s">
        <v>3092</v>
      </c>
      <c r="N626" s="18"/>
      <c r="O626" s="18"/>
      <c r="P626" s="18">
        <f>VLOOKUP($A626,MasterData!$C$1:$I$3001,1,FALSE)</f>
        <v>9060</v>
      </c>
      <c r="Q626" s="18" t="str">
        <f t="shared" si="2"/>
        <v>XIAKL1</v>
      </c>
    </row>
    <row r="627" ht="15.75" customHeight="1">
      <c r="A627" s="15">
        <v>9147.0</v>
      </c>
      <c r="B627" s="16" t="s">
        <v>7261</v>
      </c>
      <c r="C627" s="17" t="s">
        <v>7262</v>
      </c>
      <c r="D627" s="29" t="s">
        <v>7261</v>
      </c>
      <c r="E627" s="18" t="s">
        <v>3095</v>
      </c>
      <c r="F627" s="19" t="str">
        <f t="shared" si="1"/>
        <v>XIAKL1</v>
      </c>
      <c r="G627" s="19" t="s">
        <v>5408</v>
      </c>
      <c r="H627" s="20" t="s">
        <v>3045</v>
      </c>
      <c r="I627" s="19" t="s">
        <v>5409</v>
      </c>
      <c r="J627" s="19" t="s">
        <v>5410</v>
      </c>
      <c r="K627" s="21" t="s">
        <v>5411</v>
      </c>
      <c r="L627" s="20" t="s">
        <v>5465</v>
      </c>
      <c r="M627" s="16" t="s">
        <v>3094</v>
      </c>
      <c r="N627" s="18"/>
      <c r="O627" s="18"/>
      <c r="P627" s="18">
        <f>VLOOKUP($A627,MasterData!$C$1:$I$3001,1,FALSE)</f>
        <v>9147</v>
      </c>
      <c r="Q627" s="18" t="str">
        <f t="shared" si="2"/>
        <v>XIAKL1</v>
      </c>
    </row>
    <row r="628" ht="15.75" customHeight="1">
      <c r="A628" s="15">
        <v>9159.0</v>
      </c>
      <c r="B628" s="16" t="s">
        <v>7263</v>
      </c>
      <c r="C628" s="17" t="s">
        <v>7264</v>
      </c>
      <c r="D628" s="29" t="s">
        <v>7263</v>
      </c>
      <c r="E628" s="18" t="s">
        <v>3097</v>
      </c>
      <c r="F628" s="19" t="str">
        <f t="shared" si="1"/>
        <v>XIAKL1</v>
      </c>
      <c r="G628" s="19" t="s">
        <v>5408</v>
      </c>
      <c r="H628" s="20" t="s">
        <v>3045</v>
      </c>
      <c r="I628" s="19" t="s">
        <v>5409</v>
      </c>
      <c r="J628" s="19" t="s">
        <v>5410</v>
      </c>
      <c r="K628" s="21" t="s">
        <v>5411</v>
      </c>
      <c r="L628" s="20" t="s">
        <v>5465</v>
      </c>
      <c r="M628" s="16" t="s">
        <v>3096</v>
      </c>
      <c r="N628" s="18"/>
      <c r="O628" s="18"/>
      <c r="P628" s="18">
        <f>VLOOKUP($A628,MasterData!$C$1:$I$3001,1,FALSE)</f>
        <v>9159</v>
      </c>
      <c r="Q628" s="18" t="str">
        <f t="shared" si="2"/>
        <v>XIAKL1</v>
      </c>
    </row>
    <row r="629" ht="15.75" customHeight="1">
      <c r="A629" s="15">
        <v>9168.0</v>
      </c>
      <c r="B629" s="16" t="s">
        <v>7265</v>
      </c>
      <c r="C629" s="17" t="s">
        <v>7266</v>
      </c>
      <c r="D629" s="29" t="s">
        <v>7265</v>
      </c>
      <c r="E629" s="18" t="s">
        <v>3099</v>
      </c>
      <c r="F629" s="19" t="str">
        <f t="shared" si="1"/>
        <v>XIAKL1</v>
      </c>
      <c r="G629" s="19" t="s">
        <v>5408</v>
      </c>
      <c r="H629" s="20" t="s">
        <v>3045</v>
      </c>
      <c r="I629" s="19" t="s">
        <v>5409</v>
      </c>
      <c r="J629" s="19" t="s">
        <v>5410</v>
      </c>
      <c r="K629" s="21" t="s">
        <v>5411</v>
      </c>
      <c r="L629" s="20" t="s">
        <v>5465</v>
      </c>
      <c r="M629" s="16" t="s">
        <v>3098</v>
      </c>
      <c r="N629" s="18"/>
      <c r="O629" s="18"/>
      <c r="P629" s="18">
        <f>VLOOKUP($A629,MasterData!$C$1:$I$3001,1,FALSE)</f>
        <v>9168</v>
      </c>
      <c r="Q629" s="18" t="str">
        <f t="shared" si="2"/>
        <v>XIAKL1</v>
      </c>
    </row>
    <row r="630" ht="15.75" customHeight="1">
      <c r="A630" s="15">
        <v>9176.0</v>
      </c>
      <c r="B630" s="16" t="s">
        <v>7267</v>
      </c>
      <c r="C630" s="17" t="s">
        <v>7268</v>
      </c>
      <c r="D630" s="29" t="s">
        <v>7267</v>
      </c>
      <c r="E630" s="18" t="s">
        <v>3101</v>
      </c>
      <c r="F630" s="19" t="str">
        <f t="shared" si="1"/>
        <v>XIAKL1</v>
      </c>
      <c r="G630" s="19" t="s">
        <v>5408</v>
      </c>
      <c r="H630" s="20" t="s">
        <v>3045</v>
      </c>
      <c r="I630" s="19" t="s">
        <v>5409</v>
      </c>
      <c r="J630" s="19" t="s">
        <v>5410</v>
      </c>
      <c r="K630" s="21" t="s">
        <v>5411</v>
      </c>
      <c r="L630" s="20" t="s">
        <v>5465</v>
      </c>
      <c r="M630" s="16" t="s">
        <v>3100</v>
      </c>
      <c r="N630" s="18"/>
      <c r="O630" s="18"/>
      <c r="P630" s="18">
        <f>VLOOKUP($A630,MasterData!$C$1:$I$3001,1,FALSE)</f>
        <v>9176</v>
      </c>
      <c r="Q630" s="18" t="str">
        <f t="shared" si="2"/>
        <v>XIAKL1</v>
      </c>
    </row>
    <row r="631" ht="15.75" customHeight="1">
      <c r="A631" s="15">
        <v>9181.0</v>
      </c>
      <c r="B631" s="16" t="s">
        <v>7269</v>
      </c>
      <c r="C631" s="17" t="s">
        <v>7270</v>
      </c>
      <c r="D631" s="29" t="s">
        <v>7269</v>
      </c>
      <c r="E631" s="18" t="s">
        <v>3103</v>
      </c>
      <c r="F631" s="19" t="str">
        <f t="shared" si="1"/>
        <v>XIAKL1</v>
      </c>
      <c r="G631" s="19" t="s">
        <v>5408</v>
      </c>
      <c r="H631" s="20" t="s">
        <v>3045</v>
      </c>
      <c r="I631" s="19" t="s">
        <v>5409</v>
      </c>
      <c r="J631" s="19" t="s">
        <v>5410</v>
      </c>
      <c r="K631" s="21" t="s">
        <v>5411</v>
      </c>
      <c r="L631" s="20" t="s">
        <v>5465</v>
      </c>
      <c r="M631" s="16" t="s">
        <v>3102</v>
      </c>
      <c r="N631" s="18"/>
      <c r="O631" s="18"/>
      <c r="P631" s="18">
        <f>VLOOKUP($A631,MasterData!$C$1:$I$3001,1,FALSE)</f>
        <v>9181</v>
      </c>
      <c r="Q631" s="18" t="str">
        <f t="shared" si="2"/>
        <v>XIAKL1</v>
      </c>
    </row>
    <row r="632" ht="15.75" customHeight="1">
      <c r="A632" s="15">
        <v>9186.0</v>
      </c>
      <c r="B632" s="16" t="s">
        <v>7271</v>
      </c>
      <c r="C632" s="17" t="s">
        <v>7272</v>
      </c>
      <c r="D632" s="29" t="s">
        <v>7271</v>
      </c>
      <c r="E632" s="22" t="s">
        <v>3105</v>
      </c>
      <c r="F632" s="19" t="str">
        <f t="shared" si="1"/>
        <v>XIAKL1</v>
      </c>
      <c r="G632" s="19" t="s">
        <v>5408</v>
      </c>
      <c r="H632" s="20" t="s">
        <v>3045</v>
      </c>
      <c r="I632" s="19" t="s">
        <v>5409</v>
      </c>
      <c r="J632" s="19" t="s">
        <v>5410</v>
      </c>
      <c r="K632" s="21" t="s">
        <v>5411</v>
      </c>
      <c r="L632" s="20" t="s">
        <v>5465</v>
      </c>
      <c r="M632" s="16" t="s">
        <v>3104</v>
      </c>
      <c r="N632" s="18"/>
      <c r="O632" s="18"/>
      <c r="P632" s="18">
        <f>VLOOKUP($A632,MasterData!$C$1:$I$3001,1,FALSE)</f>
        <v>9186</v>
      </c>
      <c r="Q632" s="18" t="str">
        <f t="shared" si="2"/>
        <v>XIAKL1</v>
      </c>
    </row>
    <row r="633" ht="15.75" customHeight="1">
      <c r="A633" s="15">
        <v>9190.0</v>
      </c>
      <c r="B633" s="16" t="s">
        <v>7273</v>
      </c>
      <c r="C633" s="17" t="s">
        <v>7274</v>
      </c>
      <c r="D633" s="29" t="s">
        <v>7273</v>
      </c>
      <c r="E633" s="18" t="s">
        <v>3107</v>
      </c>
      <c r="F633" s="19" t="str">
        <f t="shared" si="1"/>
        <v>XIAKL1</v>
      </c>
      <c r="G633" s="19" t="s">
        <v>5408</v>
      </c>
      <c r="H633" s="20" t="s">
        <v>3045</v>
      </c>
      <c r="I633" s="19" t="s">
        <v>5409</v>
      </c>
      <c r="J633" s="19" t="s">
        <v>5410</v>
      </c>
      <c r="K633" s="21" t="s">
        <v>5411</v>
      </c>
      <c r="L633" s="20" t="s">
        <v>5465</v>
      </c>
      <c r="M633" s="16" t="s">
        <v>3106</v>
      </c>
      <c r="N633" s="18"/>
      <c r="O633" s="18"/>
      <c r="P633" s="18">
        <f>VLOOKUP($A633,MasterData!$C$1:$I$3001,1,FALSE)</f>
        <v>9190</v>
      </c>
      <c r="Q633" s="18" t="str">
        <f t="shared" si="2"/>
        <v>XIAKL1</v>
      </c>
    </row>
    <row r="634" ht="15.75" customHeight="1">
      <c r="A634" s="15">
        <v>9197.0</v>
      </c>
      <c r="B634" s="16" t="s">
        <v>7275</v>
      </c>
      <c r="C634" s="17" t="s">
        <v>7276</v>
      </c>
      <c r="D634" s="29" t="s">
        <v>7275</v>
      </c>
      <c r="E634" s="18" t="s">
        <v>3109</v>
      </c>
      <c r="F634" s="19" t="str">
        <f t="shared" si="1"/>
        <v>XIAKL1</v>
      </c>
      <c r="G634" s="19" t="s">
        <v>5408</v>
      </c>
      <c r="H634" s="20" t="s">
        <v>3045</v>
      </c>
      <c r="I634" s="19" t="s">
        <v>5409</v>
      </c>
      <c r="J634" s="19" t="s">
        <v>5410</v>
      </c>
      <c r="K634" s="21" t="s">
        <v>5411</v>
      </c>
      <c r="L634" s="20" t="s">
        <v>5465</v>
      </c>
      <c r="M634" s="16" t="s">
        <v>3108</v>
      </c>
      <c r="N634" s="18"/>
      <c r="O634" s="18"/>
      <c r="P634" s="18">
        <f>VLOOKUP($A634,MasterData!$C$1:$I$3001,1,FALSE)</f>
        <v>9197</v>
      </c>
      <c r="Q634" s="18" t="str">
        <f t="shared" si="2"/>
        <v>XIAKL1</v>
      </c>
    </row>
    <row r="635" ht="15.75" customHeight="1">
      <c r="A635" s="15">
        <v>9206.0</v>
      </c>
      <c r="B635" s="16" t="s">
        <v>7277</v>
      </c>
      <c r="C635" s="17" t="s">
        <v>7278</v>
      </c>
      <c r="D635" s="29" t="s">
        <v>7277</v>
      </c>
      <c r="E635" s="18" t="s">
        <v>3111</v>
      </c>
      <c r="F635" s="19" t="str">
        <f t="shared" si="1"/>
        <v>XIAKL1</v>
      </c>
      <c r="G635" s="19" t="s">
        <v>5408</v>
      </c>
      <c r="H635" s="20" t="s">
        <v>3045</v>
      </c>
      <c r="I635" s="19" t="s">
        <v>5409</v>
      </c>
      <c r="J635" s="19" t="s">
        <v>5410</v>
      </c>
      <c r="K635" s="21" t="s">
        <v>5411</v>
      </c>
      <c r="L635" s="20" t="s">
        <v>5465</v>
      </c>
      <c r="M635" s="16" t="s">
        <v>3110</v>
      </c>
      <c r="N635" s="18"/>
      <c r="O635" s="18"/>
      <c r="P635" s="18">
        <f>VLOOKUP($A635,MasterData!$C$1:$I$3001,1,FALSE)</f>
        <v>9206</v>
      </c>
      <c r="Q635" s="18" t="str">
        <f t="shared" si="2"/>
        <v>XIAKL1</v>
      </c>
    </row>
    <row r="636" ht="15.75" customHeight="1">
      <c r="A636" s="15">
        <v>9230.0</v>
      </c>
      <c r="B636" s="16" t="s">
        <v>7279</v>
      </c>
      <c r="C636" s="17" t="s">
        <v>7280</v>
      </c>
      <c r="D636" s="29" t="s">
        <v>7279</v>
      </c>
      <c r="E636" s="18" t="s">
        <v>3113</v>
      </c>
      <c r="F636" s="19" t="str">
        <f t="shared" si="1"/>
        <v>XIAKL1</v>
      </c>
      <c r="G636" s="19" t="s">
        <v>5408</v>
      </c>
      <c r="H636" s="20" t="s">
        <v>3045</v>
      </c>
      <c r="I636" s="19" t="s">
        <v>5409</v>
      </c>
      <c r="J636" s="19" t="s">
        <v>5410</v>
      </c>
      <c r="K636" s="21" t="s">
        <v>5411</v>
      </c>
      <c r="L636" s="20" t="s">
        <v>5465</v>
      </c>
      <c r="M636" s="16" t="s">
        <v>3112</v>
      </c>
      <c r="N636" s="18"/>
      <c r="O636" s="18"/>
      <c r="P636" s="18">
        <f>VLOOKUP($A636,MasterData!$C$1:$I$3001,1,FALSE)</f>
        <v>9230</v>
      </c>
      <c r="Q636" s="18" t="str">
        <f t="shared" si="2"/>
        <v>XIAKL1</v>
      </c>
    </row>
    <row r="637" ht="15.75" customHeight="1">
      <c r="A637" s="15">
        <v>9243.0</v>
      </c>
      <c r="B637" s="16" t="s">
        <v>7281</v>
      </c>
      <c r="C637" s="17" t="s">
        <v>7282</v>
      </c>
      <c r="D637" s="29" t="s">
        <v>7281</v>
      </c>
      <c r="E637" s="18" t="s">
        <v>3115</v>
      </c>
      <c r="F637" s="19" t="str">
        <f t="shared" si="1"/>
        <v>XIAKL1</v>
      </c>
      <c r="G637" s="19" t="s">
        <v>5408</v>
      </c>
      <c r="H637" s="20" t="s">
        <v>3045</v>
      </c>
      <c r="I637" s="19" t="s">
        <v>5409</v>
      </c>
      <c r="J637" s="19" t="s">
        <v>5410</v>
      </c>
      <c r="K637" s="21" t="s">
        <v>5411</v>
      </c>
      <c r="L637" s="20" t="s">
        <v>5465</v>
      </c>
      <c r="M637" s="16" t="s">
        <v>3114</v>
      </c>
      <c r="N637" s="18"/>
      <c r="O637" s="18"/>
      <c r="P637" s="18">
        <f>VLOOKUP($A637,MasterData!$C$1:$I$3001,1,FALSE)</f>
        <v>9243</v>
      </c>
      <c r="Q637" s="18" t="str">
        <f t="shared" si="2"/>
        <v>XIAKL1</v>
      </c>
    </row>
    <row r="638" ht="15.75" customHeight="1">
      <c r="A638" s="15">
        <v>8640.0</v>
      </c>
      <c r="B638" s="16" t="s">
        <v>7283</v>
      </c>
      <c r="C638" s="17" t="s">
        <v>7284</v>
      </c>
      <c r="D638" s="29" t="s">
        <v>7283</v>
      </c>
      <c r="E638" s="18" t="s">
        <v>3117</v>
      </c>
      <c r="F638" s="19" t="str">
        <f t="shared" si="1"/>
        <v>XIAKL2</v>
      </c>
      <c r="G638" s="19" t="s">
        <v>5408</v>
      </c>
      <c r="H638" s="20" t="s">
        <v>3045</v>
      </c>
      <c r="I638" s="19" t="s">
        <v>5409</v>
      </c>
      <c r="J638" s="19" t="s">
        <v>5410</v>
      </c>
      <c r="K638" s="21" t="s">
        <v>5411</v>
      </c>
      <c r="L638" s="20" t="s">
        <v>5574</v>
      </c>
      <c r="M638" s="16" t="s">
        <v>3116</v>
      </c>
      <c r="N638" s="18"/>
      <c r="O638" s="18"/>
      <c r="P638" s="18">
        <f>VLOOKUP($A638,MasterData!$C$1:$I$3001,1,FALSE)</f>
        <v>8640</v>
      </c>
      <c r="Q638" s="18" t="str">
        <f t="shared" si="2"/>
        <v>XIAKL2</v>
      </c>
    </row>
    <row r="639" ht="15.75" customHeight="1">
      <c r="A639" s="15">
        <v>8661.0</v>
      </c>
      <c r="B639" s="16" t="s">
        <v>7285</v>
      </c>
      <c r="C639" s="17" t="s">
        <v>7286</v>
      </c>
      <c r="D639" s="29" t="s">
        <v>7285</v>
      </c>
      <c r="E639" s="18" t="s">
        <v>3119</v>
      </c>
      <c r="F639" s="19" t="str">
        <f t="shared" si="1"/>
        <v>XIAKL2</v>
      </c>
      <c r="G639" s="19" t="s">
        <v>5408</v>
      </c>
      <c r="H639" s="20" t="s">
        <v>3045</v>
      </c>
      <c r="I639" s="19" t="s">
        <v>5409</v>
      </c>
      <c r="J639" s="19" t="s">
        <v>5410</v>
      </c>
      <c r="K639" s="21" t="s">
        <v>5411</v>
      </c>
      <c r="L639" s="20" t="s">
        <v>5574</v>
      </c>
      <c r="M639" s="16" t="s">
        <v>3118</v>
      </c>
      <c r="N639" s="18"/>
      <c r="O639" s="18"/>
      <c r="P639" s="18">
        <f>VLOOKUP($A639,MasterData!$C$1:$I$3001,1,FALSE)</f>
        <v>8661</v>
      </c>
      <c r="Q639" s="18" t="str">
        <f t="shared" si="2"/>
        <v>XIAKL2</v>
      </c>
    </row>
    <row r="640" ht="15.75" customHeight="1">
      <c r="A640" s="15">
        <v>8679.0</v>
      </c>
      <c r="B640" s="16" t="s">
        <v>7287</v>
      </c>
      <c r="C640" s="17" t="s">
        <v>7288</v>
      </c>
      <c r="D640" s="29" t="s">
        <v>7287</v>
      </c>
      <c r="E640" s="22" t="s">
        <v>3121</v>
      </c>
      <c r="F640" s="19" t="str">
        <f t="shared" si="1"/>
        <v>XIAKL2</v>
      </c>
      <c r="G640" s="19" t="s">
        <v>5408</v>
      </c>
      <c r="H640" s="20" t="s">
        <v>3045</v>
      </c>
      <c r="I640" s="19" t="s">
        <v>5409</v>
      </c>
      <c r="J640" s="19" t="s">
        <v>5410</v>
      </c>
      <c r="K640" s="21" t="s">
        <v>5411</v>
      </c>
      <c r="L640" s="20" t="s">
        <v>5574</v>
      </c>
      <c r="M640" s="16" t="s">
        <v>3120</v>
      </c>
      <c r="N640" s="18"/>
      <c r="O640" s="18"/>
      <c r="P640" s="18">
        <f>VLOOKUP($A640,MasterData!$C$1:$I$3001,1,FALSE)</f>
        <v>8679</v>
      </c>
      <c r="Q640" s="18" t="str">
        <f t="shared" si="2"/>
        <v>XIAKL2</v>
      </c>
    </row>
    <row r="641" ht="15.75" customHeight="1">
      <c r="A641" s="15">
        <v>8685.0</v>
      </c>
      <c r="B641" s="16" t="s">
        <v>7289</v>
      </c>
      <c r="C641" s="17" t="s">
        <v>7290</v>
      </c>
      <c r="D641" s="29" t="s">
        <v>7289</v>
      </c>
      <c r="E641" s="18" t="s">
        <v>3123</v>
      </c>
      <c r="F641" s="19" t="str">
        <f t="shared" si="1"/>
        <v>XIAKL2</v>
      </c>
      <c r="G641" s="19" t="s">
        <v>5408</v>
      </c>
      <c r="H641" s="20" t="s">
        <v>3045</v>
      </c>
      <c r="I641" s="19" t="s">
        <v>5409</v>
      </c>
      <c r="J641" s="19" t="s">
        <v>5410</v>
      </c>
      <c r="K641" s="21" t="s">
        <v>5411</v>
      </c>
      <c r="L641" s="20" t="s">
        <v>5574</v>
      </c>
      <c r="M641" s="16" t="s">
        <v>3122</v>
      </c>
      <c r="N641" s="18"/>
      <c r="O641" s="18"/>
      <c r="P641" s="18">
        <f>VLOOKUP($A641,MasterData!$C$1:$I$3001,1,FALSE)</f>
        <v>8685</v>
      </c>
      <c r="Q641" s="18" t="str">
        <f t="shared" si="2"/>
        <v>XIAKL2</v>
      </c>
    </row>
    <row r="642" ht="15.75" customHeight="1">
      <c r="A642" s="15">
        <v>8718.0</v>
      </c>
      <c r="B642" s="16" t="s">
        <v>7291</v>
      </c>
      <c r="C642" s="17" t="s">
        <v>7292</v>
      </c>
      <c r="D642" s="29" t="s">
        <v>7291</v>
      </c>
      <c r="E642" s="18" t="s">
        <v>3125</v>
      </c>
      <c r="F642" s="19" t="str">
        <f t="shared" si="1"/>
        <v>XIAKL2</v>
      </c>
      <c r="G642" s="19" t="s">
        <v>5408</v>
      </c>
      <c r="H642" s="20" t="s">
        <v>3045</v>
      </c>
      <c r="I642" s="19" t="s">
        <v>5409</v>
      </c>
      <c r="J642" s="19" t="s">
        <v>5410</v>
      </c>
      <c r="K642" s="21" t="s">
        <v>5411</v>
      </c>
      <c r="L642" s="20" t="s">
        <v>5574</v>
      </c>
      <c r="M642" s="16" t="s">
        <v>3124</v>
      </c>
      <c r="N642" s="18"/>
      <c r="O642" s="18"/>
      <c r="P642" s="18">
        <f>VLOOKUP($A642,MasterData!$C$1:$I$3001,1,FALSE)</f>
        <v>8718</v>
      </c>
      <c r="Q642" s="18" t="str">
        <f t="shared" si="2"/>
        <v>XIAKL2</v>
      </c>
    </row>
    <row r="643" ht="15.75" customHeight="1">
      <c r="A643" s="15">
        <v>8740.0</v>
      </c>
      <c r="B643" s="16" t="s">
        <v>7293</v>
      </c>
      <c r="C643" s="17" t="s">
        <v>7294</v>
      </c>
      <c r="D643" s="29" t="s">
        <v>7293</v>
      </c>
      <c r="E643" s="18" t="s">
        <v>3127</v>
      </c>
      <c r="F643" s="19" t="str">
        <f t="shared" si="1"/>
        <v>XIAKL2</v>
      </c>
      <c r="G643" s="19" t="s">
        <v>5408</v>
      </c>
      <c r="H643" s="20" t="s">
        <v>3045</v>
      </c>
      <c r="I643" s="19" t="s">
        <v>5409</v>
      </c>
      <c r="J643" s="19" t="s">
        <v>5410</v>
      </c>
      <c r="K643" s="21" t="s">
        <v>5411</v>
      </c>
      <c r="L643" s="20" t="s">
        <v>5574</v>
      </c>
      <c r="M643" s="16" t="s">
        <v>3126</v>
      </c>
      <c r="N643" s="18"/>
      <c r="O643" s="18"/>
      <c r="P643" s="18">
        <f>VLOOKUP($A643,MasterData!$C$1:$I$3001,1,FALSE)</f>
        <v>8740</v>
      </c>
      <c r="Q643" s="18" t="str">
        <f t="shared" si="2"/>
        <v>XIAKL2</v>
      </c>
    </row>
    <row r="644" ht="15.75" customHeight="1">
      <c r="A644" s="15">
        <v>8754.0</v>
      </c>
      <c r="B644" s="16" t="s">
        <v>7295</v>
      </c>
      <c r="C644" s="17" t="s">
        <v>7296</v>
      </c>
      <c r="D644" s="29" t="s">
        <v>7295</v>
      </c>
      <c r="E644" s="18" t="s">
        <v>3129</v>
      </c>
      <c r="F644" s="19" t="str">
        <f t="shared" si="1"/>
        <v>XIAKL2</v>
      </c>
      <c r="G644" s="19" t="s">
        <v>5408</v>
      </c>
      <c r="H644" s="20" t="s">
        <v>3045</v>
      </c>
      <c r="I644" s="19" t="s">
        <v>5409</v>
      </c>
      <c r="J644" s="19" t="s">
        <v>5410</v>
      </c>
      <c r="K644" s="21" t="s">
        <v>5411</v>
      </c>
      <c r="L644" s="20" t="s">
        <v>5574</v>
      </c>
      <c r="M644" s="16" t="s">
        <v>3128</v>
      </c>
      <c r="N644" s="18"/>
      <c r="O644" s="18"/>
      <c r="P644" s="18">
        <f>VLOOKUP($A644,MasterData!$C$1:$I$3001,1,FALSE)</f>
        <v>8754</v>
      </c>
      <c r="Q644" s="18" t="str">
        <f t="shared" si="2"/>
        <v>XIAKL2</v>
      </c>
    </row>
    <row r="645" ht="15.75" customHeight="1">
      <c r="A645" s="15">
        <v>8763.0</v>
      </c>
      <c r="B645" s="16" t="s">
        <v>7297</v>
      </c>
      <c r="C645" s="17" t="s">
        <v>7298</v>
      </c>
      <c r="D645" s="29" t="s">
        <v>7297</v>
      </c>
      <c r="E645" s="18" t="s">
        <v>3131</v>
      </c>
      <c r="F645" s="19" t="str">
        <f t="shared" si="1"/>
        <v>XIAKL2</v>
      </c>
      <c r="G645" s="19" t="s">
        <v>5408</v>
      </c>
      <c r="H645" s="20" t="s">
        <v>3045</v>
      </c>
      <c r="I645" s="19" t="s">
        <v>5409</v>
      </c>
      <c r="J645" s="19" t="s">
        <v>5410</v>
      </c>
      <c r="K645" s="21" t="s">
        <v>5411</v>
      </c>
      <c r="L645" s="20" t="s">
        <v>5574</v>
      </c>
      <c r="M645" s="16" t="s">
        <v>3130</v>
      </c>
      <c r="N645" s="18"/>
      <c r="O645" s="18"/>
      <c r="P645" s="18">
        <f>VLOOKUP($A645,MasterData!$C$1:$I$3001,1,FALSE)</f>
        <v>8763</v>
      </c>
      <c r="Q645" s="18" t="str">
        <f t="shared" si="2"/>
        <v>XIAKL2</v>
      </c>
    </row>
    <row r="646" ht="15.75" customHeight="1">
      <c r="A646" s="15">
        <v>8767.0</v>
      </c>
      <c r="B646" s="16" t="s">
        <v>7299</v>
      </c>
      <c r="C646" s="17" t="s">
        <v>7300</v>
      </c>
      <c r="D646" s="29" t="s">
        <v>7299</v>
      </c>
      <c r="E646" s="18" t="s">
        <v>3133</v>
      </c>
      <c r="F646" s="19" t="str">
        <f t="shared" si="1"/>
        <v>XIAKL2</v>
      </c>
      <c r="G646" s="19" t="s">
        <v>5408</v>
      </c>
      <c r="H646" s="20" t="s">
        <v>3045</v>
      </c>
      <c r="I646" s="19" t="s">
        <v>5409</v>
      </c>
      <c r="J646" s="19" t="s">
        <v>5410</v>
      </c>
      <c r="K646" s="21" t="s">
        <v>5411</v>
      </c>
      <c r="L646" s="20" t="s">
        <v>5574</v>
      </c>
      <c r="M646" s="16" t="s">
        <v>3132</v>
      </c>
      <c r="N646" s="18"/>
      <c r="O646" s="18"/>
      <c r="P646" s="18">
        <f>VLOOKUP($A646,MasterData!$C$1:$I$3001,1,FALSE)</f>
        <v>8767</v>
      </c>
      <c r="Q646" s="18" t="str">
        <f t="shared" si="2"/>
        <v>XIAKL2</v>
      </c>
    </row>
    <row r="647" ht="15.75" customHeight="1">
      <c r="A647" s="15">
        <v>8771.0</v>
      </c>
      <c r="B647" s="16" t="s">
        <v>7301</v>
      </c>
      <c r="C647" s="17" t="s">
        <v>7302</v>
      </c>
      <c r="D647" s="29" t="s">
        <v>7301</v>
      </c>
      <c r="E647" s="18" t="s">
        <v>3135</v>
      </c>
      <c r="F647" s="19" t="str">
        <f t="shared" si="1"/>
        <v>XIAKL2</v>
      </c>
      <c r="G647" s="19" t="s">
        <v>5408</v>
      </c>
      <c r="H647" s="20" t="s">
        <v>3045</v>
      </c>
      <c r="I647" s="19" t="s">
        <v>5409</v>
      </c>
      <c r="J647" s="19" t="s">
        <v>5410</v>
      </c>
      <c r="K647" s="21" t="s">
        <v>5411</v>
      </c>
      <c r="L647" s="20" t="s">
        <v>5574</v>
      </c>
      <c r="M647" s="16" t="s">
        <v>3134</v>
      </c>
      <c r="N647" s="18"/>
      <c r="O647" s="18"/>
      <c r="P647" s="18">
        <f>VLOOKUP($A647,MasterData!$C$1:$I$3001,1,FALSE)</f>
        <v>8771</v>
      </c>
      <c r="Q647" s="18" t="str">
        <f t="shared" si="2"/>
        <v>XIAKL2</v>
      </c>
    </row>
    <row r="648" ht="15.75" customHeight="1">
      <c r="A648" s="15">
        <v>8783.0</v>
      </c>
      <c r="B648" s="16" t="s">
        <v>7303</v>
      </c>
      <c r="C648" s="17" t="s">
        <v>7304</v>
      </c>
      <c r="D648" s="29" t="s">
        <v>7303</v>
      </c>
      <c r="E648" s="18" t="s">
        <v>3137</v>
      </c>
      <c r="F648" s="19" t="str">
        <f t="shared" si="1"/>
        <v>XIAKL2</v>
      </c>
      <c r="G648" s="19" t="s">
        <v>5408</v>
      </c>
      <c r="H648" s="20" t="s">
        <v>3045</v>
      </c>
      <c r="I648" s="19" t="s">
        <v>5409</v>
      </c>
      <c r="J648" s="19" t="s">
        <v>5410</v>
      </c>
      <c r="K648" s="21" t="s">
        <v>5411</v>
      </c>
      <c r="L648" s="20" t="s">
        <v>5574</v>
      </c>
      <c r="M648" s="16" t="s">
        <v>3136</v>
      </c>
      <c r="N648" s="18"/>
      <c r="O648" s="18"/>
      <c r="P648" s="18">
        <f>VLOOKUP($A648,MasterData!$C$1:$I$3001,1,FALSE)</f>
        <v>8783</v>
      </c>
      <c r="Q648" s="18" t="str">
        <f t="shared" si="2"/>
        <v>XIAKL2</v>
      </c>
    </row>
    <row r="649" ht="15.75" customHeight="1">
      <c r="A649" s="15">
        <v>8784.0</v>
      </c>
      <c r="B649" s="16" t="s">
        <v>7305</v>
      </c>
      <c r="C649" s="17" t="s">
        <v>7306</v>
      </c>
      <c r="D649" s="29" t="s">
        <v>7305</v>
      </c>
      <c r="E649" s="18" t="s">
        <v>3139</v>
      </c>
      <c r="F649" s="19" t="str">
        <f t="shared" si="1"/>
        <v>XIAKL2</v>
      </c>
      <c r="G649" s="19" t="s">
        <v>5408</v>
      </c>
      <c r="H649" s="20" t="s">
        <v>3045</v>
      </c>
      <c r="I649" s="19" t="s">
        <v>5409</v>
      </c>
      <c r="J649" s="19" t="s">
        <v>5410</v>
      </c>
      <c r="K649" s="21" t="s">
        <v>5411</v>
      </c>
      <c r="L649" s="20" t="s">
        <v>5574</v>
      </c>
      <c r="M649" s="16" t="s">
        <v>3138</v>
      </c>
      <c r="N649" s="18"/>
      <c r="O649" s="18"/>
      <c r="P649" s="18">
        <f>VLOOKUP($A649,MasterData!$C$1:$I$3001,1,FALSE)</f>
        <v>8784</v>
      </c>
      <c r="Q649" s="18" t="str">
        <f t="shared" si="2"/>
        <v>XIAKL2</v>
      </c>
    </row>
    <row r="650" ht="15.75" customHeight="1">
      <c r="A650" s="15">
        <v>8791.0</v>
      </c>
      <c r="B650" s="16" t="s">
        <v>7307</v>
      </c>
      <c r="C650" s="17" t="s">
        <v>7308</v>
      </c>
      <c r="D650" s="29" t="s">
        <v>7307</v>
      </c>
      <c r="E650" s="18" t="s">
        <v>3141</v>
      </c>
      <c r="F650" s="19" t="str">
        <f t="shared" si="1"/>
        <v>XIAKL2</v>
      </c>
      <c r="G650" s="19" t="s">
        <v>5408</v>
      </c>
      <c r="H650" s="20" t="s">
        <v>3045</v>
      </c>
      <c r="I650" s="19" t="s">
        <v>5409</v>
      </c>
      <c r="J650" s="19" t="s">
        <v>5410</v>
      </c>
      <c r="K650" s="21" t="s">
        <v>5411</v>
      </c>
      <c r="L650" s="20" t="s">
        <v>5574</v>
      </c>
      <c r="M650" s="16" t="s">
        <v>3140</v>
      </c>
      <c r="N650" s="18"/>
      <c r="O650" s="18"/>
      <c r="P650" s="18">
        <f>VLOOKUP($A650,MasterData!$C$1:$I$3001,1,FALSE)</f>
        <v>8791</v>
      </c>
      <c r="Q650" s="18" t="str">
        <f t="shared" si="2"/>
        <v>XIAKL2</v>
      </c>
    </row>
    <row r="651" ht="15.75" customHeight="1">
      <c r="A651" s="15">
        <v>8803.0</v>
      </c>
      <c r="B651" s="16" t="s">
        <v>7309</v>
      </c>
      <c r="C651" s="17" t="s">
        <v>7310</v>
      </c>
      <c r="D651" s="29" t="s">
        <v>7309</v>
      </c>
      <c r="E651" s="18" t="s">
        <v>3143</v>
      </c>
      <c r="F651" s="19" t="str">
        <f t="shared" si="1"/>
        <v>XIAKL2</v>
      </c>
      <c r="G651" s="19" t="s">
        <v>5408</v>
      </c>
      <c r="H651" s="20" t="s">
        <v>3045</v>
      </c>
      <c r="I651" s="19" t="s">
        <v>5409</v>
      </c>
      <c r="J651" s="19" t="s">
        <v>5410</v>
      </c>
      <c r="K651" s="21" t="s">
        <v>5411</v>
      </c>
      <c r="L651" s="20" t="s">
        <v>5574</v>
      </c>
      <c r="M651" s="16" t="s">
        <v>3142</v>
      </c>
      <c r="N651" s="18"/>
      <c r="O651" s="18"/>
      <c r="P651" s="18">
        <f>VLOOKUP($A651,MasterData!$C$1:$I$3001,1,FALSE)</f>
        <v>8803</v>
      </c>
      <c r="Q651" s="18" t="str">
        <f t="shared" si="2"/>
        <v>XIAKL2</v>
      </c>
    </row>
    <row r="652" ht="15.75" customHeight="1">
      <c r="A652" s="15">
        <v>8804.0</v>
      </c>
      <c r="B652" s="16" t="s">
        <v>7311</v>
      </c>
      <c r="C652" s="17" t="s">
        <v>7312</v>
      </c>
      <c r="D652" s="29" t="s">
        <v>7311</v>
      </c>
      <c r="E652" s="18" t="s">
        <v>3145</v>
      </c>
      <c r="F652" s="19" t="str">
        <f t="shared" si="1"/>
        <v>XIAKL2</v>
      </c>
      <c r="G652" s="19" t="s">
        <v>5408</v>
      </c>
      <c r="H652" s="20" t="s">
        <v>3045</v>
      </c>
      <c r="I652" s="19" t="s">
        <v>5409</v>
      </c>
      <c r="J652" s="19" t="s">
        <v>5410</v>
      </c>
      <c r="K652" s="21" t="s">
        <v>5411</v>
      </c>
      <c r="L652" s="20" t="s">
        <v>5574</v>
      </c>
      <c r="M652" s="16" t="s">
        <v>3144</v>
      </c>
      <c r="N652" s="18"/>
      <c r="O652" s="18"/>
      <c r="P652" s="18">
        <f>VLOOKUP($A652,MasterData!$C$1:$I$3001,1,FALSE)</f>
        <v>8804</v>
      </c>
      <c r="Q652" s="18" t="str">
        <f t="shared" si="2"/>
        <v>XIAKL2</v>
      </c>
    </row>
    <row r="653" ht="15.75" customHeight="1">
      <c r="A653" s="15">
        <v>8822.0</v>
      </c>
      <c r="B653" s="16" t="s">
        <v>7313</v>
      </c>
      <c r="C653" s="17" t="s">
        <v>7314</v>
      </c>
      <c r="D653" s="29" t="s">
        <v>7313</v>
      </c>
      <c r="E653" s="18" t="s">
        <v>3147</v>
      </c>
      <c r="F653" s="19" t="str">
        <f t="shared" si="1"/>
        <v>XIAKL2</v>
      </c>
      <c r="G653" s="19" t="s">
        <v>5408</v>
      </c>
      <c r="H653" s="20" t="s">
        <v>3045</v>
      </c>
      <c r="I653" s="19" t="s">
        <v>5409</v>
      </c>
      <c r="J653" s="19" t="s">
        <v>5410</v>
      </c>
      <c r="K653" s="21" t="s">
        <v>5411</v>
      </c>
      <c r="L653" s="20" t="s">
        <v>5574</v>
      </c>
      <c r="M653" s="16" t="s">
        <v>3146</v>
      </c>
      <c r="N653" s="18"/>
      <c r="O653" s="18"/>
      <c r="P653" s="18">
        <f>VLOOKUP($A653,MasterData!$C$1:$I$3001,1,FALSE)</f>
        <v>8822</v>
      </c>
      <c r="Q653" s="18" t="str">
        <f t="shared" si="2"/>
        <v>XIAKL2</v>
      </c>
    </row>
    <row r="654" ht="15.75" customHeight="1">
      <c r="A654" s="15">
        <v>8876.0</v>
      </c>
      <c r="B654" s="16" t="s">
        <v>7315</v>
      </c>
      <c r="C654" s="17" t="s">
        <v>7316</v>
      </c>
      <c r="D654" s="29" t="s">
        <v>7315</v>
      </c>
      <c r="E654" s="18" t="s">
        <v>3149</v>
      </c>
      <c r="F654" s="19" t="str">
        <f t="shared" si="1"/>
        <v>XIAKL2</v>
      </c>
      <c r="G654" s="19" t="s">
        <v>5408</v>
      </c>
      <c r="H654" s="20" t="s">
        <v>3045</v>
      </c>
      <c r="I654" s="19" t="s">
        <v>5409</v>
      </c>
      <c r="J654" s="19" t="s">
        <v>5410</v>
      </c>
      <c r="K654" s="21" t="s">
        <v>5411</v>
      </c>
      <c r="L654" s="20" t="s">
        <v>5574</v>
      </c>
      <c r="M654" s="16" t="s">
        <v>3148</v>
      </c>
      <c r="N654" s="18"/>
      <c r="O654" s="18"/>
      <c r="P654" s="18">
        <f>VLOOKUP($A654,MasterData!$C$1:$I$3001,1,FALSE)</f>
        <v>8876</v>
      </c>
      <c r="Q654" s="18" t="str">
        <f t="shared" si="2"/>
        <v>XIAKL2</v>
      </c>
    </row>
    <row r="655" ht="15.75" customHeight="1">
      <c r="A655" s="15">
        <v>8892.0</v>
      </c>
      <c r="B655" s="16" t="s">
        <v>7317</v>
      </c>
      <c r="C655" s="17" t="s">
        <v>7318</v>
      </c>
      <c r="D655" s="29" t="s">
        <v>7317</v>
      </c>
      <c r="E655" s="18" t="s">
        <v>3151</v>
      </c>
      <c r="F655" s="19" t="str">
        <f t="shared" si="1"/>
        <v>XIAKL2</v>
      </c>
      <c r="G655" s="19" t="s">
        <v>5408</v>
      </c>
      <c r="H655" s="20" t="s">
        <v>3045</v>
      </c>
      <c r="I655" s="19" t="s">
        <v>5409</v>
      </c>
      <c r="J655" s="19" t="s">
        <v>5410</v>
      </c>
      <c r="K655" s="21" t="s">
        <v>5411</v>
      </c>
      <c r="L655" s="20" t="s">
        <v>5574</v>
      </c>
      <c r="M655" s="16" t="s">
        <v>3150</v>
      </c>
      <c r="N655" s="18"/>
      <c r="O655" s="18"/>
      <c r="P655" s="18">
        <f>VLOOKUP($A655,MasterData!$C$1:$I$3001,1,FALSE)</f>
        <v>8892</v>
      </c>
      <c r="Q655" s="18" t="str">
        <f t="shared" si="2"/>
        <v>XIAKL2</v>
      </c>
    </row>
    <row r="656" ht="15.75" customHeight="1">
      <c r="A656" s="15">
        <v>8912.0</v>
      </c>
      <c r="B656" s="16" t="s">
        <v>7319</v>
      </c>
      <c r="C656" s="17" t="s">
        <v>7320</v>
      </c>
      <c r="D656" s="29" t="s">
        <v>7319</v>
      </c>
      <c r="E656" s="18" t="s">
        <v>3153</v>
      </c>
      <c r="F656" s="19" t="str">
        <f t="shared" si="1"/>
        <v>XIAKL2</v>
      </c>
      <c r="G656" s="19" t="s">
        <v>5408</v>
      </c>
      <c r="H656" s="20" t="s">
        <v>3045</v>
      </c>
      <c r="I656" s="19" t="s">
        <v>5409</v>
      </c>
      <c r="J656" s="19" t="s">
        <v>5410</v>
      </c>
      <c r="K656" s="21" t="s">
        <v>5411</v>
      </c>
      <c r="L656" s="20" t="s">
        <v>5574</v>
      </c>
      <c r="M656" s="16" t="s">
        <v>3152</v>
      </c>
      <c r="N656" s="18"/>
      <c r="O656" s="18"/>
      <c r="P656" s="18">
        <f>VLOOKUP($A656,MasterData!$C$1:$I$3001,1,FALSE)</f>
        <v>8912</v>
      </c>
      <c r="Q656" s="18" t="str">
        <f t="shared" si="2"/>
        <v>XIAKL2</v>
      </c>
    </row>
    <row r="657" ht="15.75" customHeight="1">
      <c r="A657" s="15">
        <v>8913.0</v>
      </c>
      <c r="B657" s="16" t="s">
        <v>7321</v>
      </c>
      <c r="C657" s="17" t="s">
        <v>7322</v>
      </c>
      <c r="D657" s="29" t="s">
        <v>7321</v>
      </c>
      <c r="E657" s="18" t="s">
        <v>3155</v>
      </c>
      <c r="F657" s="19" t="str">
        <f t="shared" si="1"/>
        <v>XIAKL2</v>
      </c>
      <c r="G657" s="19" t="s">
        <v>5408</v>
      </c>
      <c r="H657" s="20" t="s">
        <v>3045</v>
      </c>
      <c r="I657" s="19" t="s">
        <v>5409</v>
      </c>
      <c r="J657" s="19" t="s">
        <v>5410</v>
      </c>
      <c r="K657" s="21" t="s">
        <v>5411</v>
      </c>
      <c r="L657" s="20" t="s">
        <v>5574</v>
      </c>
      <c r="M657" s="16" t="s">
        <v>3154</v>
      </c>
      <c r="N657" s="18"/>
      <c r="O657" s="18"/>
      <c r="P657" s="18">
        <f>VLOOKUP($A657,MasterData!$C$1:$I$3001,1,FALSE)</f>
        <v>8913</v>
      </c>
      <c r="Q657" s="18" t="str">
        <f t="shared" si="2"/>
        <v>XIAKL2</v>
      </c>
    </row>
    <row r="658" ht="15.75" customHeight="1">
      <c r="A658" s="15">
        <v>8928.0</v>
      </c>
      <c r="B658" s="16" t="s">
        <v>7323</v>
      </c>
      <c r="C658" s="17" t="s">
        <v>7324</v>
      </c>
      <c r="D658" s="29" t="s">
        <v>7323</v>
      </c>
      <c r="E658" s="18" t="s">
        <v>3157</v>
      </c>
      <c r="F658" s="19" t="str">
        <f t="shared" si="1"/>
        <v>XIAKL2</v>
      </c>
      <c r="G658" s="19" t="s">
        <v>5408</v>
      </c>
      <c r="H658" s="20" t="s">
        <v>3045</v>
      </c>
      <c r="I658" s="19" t="s">
        <v>5409</v>
      </c>
      <c r="J658" s="19" t="s">
        <v>5410</v>
      </c>
      <c r="K658" s="21" t="s">
        <v>5411</v>
      </c>
      <c r="L658" s="20" t="s">
        <v>5574</v>
      </c>
      <c r="M658" s="16" t="s">
        <v>3156</v>
      </c>
      <c r="N658" s="18"/>
      <c r="O658" s="18"/>
      <c r="P658" s="18">
        <f>VLOOKUP($A658,MasterData!$C$1:$I$3001,1,FALSE)</f>
        <v>8928</v>
      </c>
      <c r="Q658" s="18" t="str">
        <f t="shared" si="2"/>
        <v>XIAKL2</v>
      </c>
    </row>
    <row r="659" ht="15.75" customHeight="1">
      <c r="A659" s="15">
        <v>8931.0</v>
      </c>
      <c r="B659" s="16" t="s">
        <v>7325</v>
      </c>
      <c r="C659" s="17" t="s">
        <v>7326</v>
      </c>
      <c r="D659" s="29" t="s">
        <v>7325</v>
      </c>
      <c r="E659" s="18" t="s">
        <v>3159</v>
      </c>
      <c r="F659" s="19" t="str">
        <f t="shared" si="1"/>
        <v>XIAKL2</v>
      </c>
      <c r="G659" s="19" t="s">
        <v>5408</v>
      </c>
      <c r="H659" s="20" t="s">
        <v>3045</v>
      </c>
      <c r="I659" s="19" t="s">
        <v>5409</v>
      </c>
      <c r="J659" s="19" t="s">
        <v>5410</v>
      </c>
      <c r="K659" s="21" t="s">
        <v>5411</v>
      </c>
      <c r="L659" s="20" t="s">
        <v>5574</v>
      </c>
      <c r="M659" s="16" t="s">
        <v>3158</v>
      </c>
      <c r="N659" s="18"/>
      <c r="O659" s="18"/>
      <c r="P659" s="18">
        <f>VLOOKUP($A659,MasterData!$C$1:$I$3001,1,FALSE)</f>
        <v>8931</v>
      </c>
      <c r="Q659" s="18" t="str">
        <f t="shared" si="2"/>
        <v>XIAKL2</v>
      </c>
    </row>
    <row r="660" ht="15.75" customHeight="1">
      <c r="A660" s="15">
        <v>8938.0</v>
      </c>
      <c r="B660" s="16" t="s">
        <v>7327</v>
      </c>
      <c r="C660" s="17" t="s">
        <v>7328</v>
      </c>
      <c r="D660" s="29" t="s">
        <v>7327</v>
      </c>
      <c r="E660" s="18" t="s">
        <v>3161</v>
      </c>
      <c r="F660" s="19" t="str">
        <f t="shared" si="1"/>
        <v>XIAKL2</v>
      </c>
      <c r="G660" s="19" t="s">
        <v>5408</v>
      </c>
      <c r="H660" s="20" t="s">
        <v>3045</v>
      </c>
      <c r="I660" s="19" t="s">
        <v>5409</v>
      </c>
      <c r="J660" s="19" t="s">
        <v>5410</v>
      </c>
      <c r="K660" s="21" t="s">
        <v>5411</v>
      </c>
      <c r="L660" s="20" t="s">
        <v>5574</v>
      </c>
      <c r="M660" s="16" t="s">
        <v>3160</v>
      </c>
      <c r="N660" s="18"/>
      <c r="O660" s="18"/>
      <c r="P660" s="18">
        <f>VLOOKUP($A660,MasterData!$C$1:$I$3001,1,FALSE)</f>
        <v>8938</v>
      </c>
      <c r="Q660" s="18" t="str">
        <f t="shared" si="2"/>
        <v>XIAKL2</v>
      </c>
    </row>
    <row r="661" ht="15.75" customHeight="1">
      <c r="A661" s="15">
        <v>9019.0</v>
      </c>
      <c r="B661" s="16" t="s">
        <v>7329</v>
      </c>
      <c r="C661" s="17" t="s">
        <v>7330</v>
      </c>
      <c r="D661" s="29" t="s">
        <v>7329</v>
      </c>
      <c r="E661" s="18" t="s">
        <v>3163</v>
      </c>
      <c r="F661" s="19" t="str">
        <f t="shared" si="1"/>
        <v>XIAKL2</v>
      </c>
      <c r="G661" s="19" t="s">
        <v>5408</v>
      </c>
      <c r="H661" s="20" t="s">
        <v>3045</v>
      </c>
      <c r="I661" s="19" t="s">
        <v>5409</v>
      </c>
      <c r="J661" s="19" t="s">
        <v>5410</v>
      </c>
      <c r="K661" s="21" t="s">
        <v>5411</v>
      </c>
      <c r="L661" s="20" t="s">
        <v>5574</v>
      </c>
      <c r="M661" s="16" t="s">
        <v>3162</v>
      </c>
      <c r="N661" s="18"/>
      <c r="O661" s="18"/>
      <c r="P661" s="18">
        <f>VLOOKUP($A661,MasterData!$C$1:$I$3001,1,FALSE)</f>
        <v>9019</v>
      </c>
      <c r="Q661" s="18" t="str">
        <f t="shared" si="2"/>
        <v>XIAKL2</v>
      </c>
    </row>
    <row r="662" ht="15.75" customHeight="1">
      <c r="A662" s="15">
        <v>9036.0</v>
      </c>
      <c r="B662" s="16" t="s">
        <v>7331</v>
      </c>
      <c r="C662" s="17" t="s">
        <v>7332</v>
      </c>
      <c r="D662" s="29" t="s">
        <v>7331</v>
      </c>
      <c r="E662" s="18" t="s">
        <v>3165</v>
      </c>
      <c r="F662" s="19" t="str">
        <f t="shared" si="1"/>
        <v>XIAKL2</v>
      </c>
      <c r="G662" s="19" t="s">
        <v>5408</v>
      </c>
      <c r="H662" s="20" t="s">
        <v>3045</v>
      </c>
      <c r="I662" s="19" t="s">
        <v>5409</v>
      </c>
      <c r="J662" s="19" t="s">
        <v>5410</v>
      </c>
      <c r="K662" s="21" t="s">
        <v>5411</v>
      </c>
      <c r="L662" s="20" t="s">
        <v>5574</v>
      </c>
      <c r="M662" s="16" t="s">
        <v>3164</v>
      </c>
      <c r="N662" s="18"/>
      <c r="O662" s="18"/>
      <c r="P662" s="18">
        <f>VLOOKUP($A662,MasterData!$C$1:$I$3001,1,FALSE)</f>
        <v>9036</v>
      </c>
      <c r="Q662" s="18" t="str">
        <f t="shared" si="2"/>
        <v>XIAKL2</v>
      </c>
    </row>
    <row r="663" ht="15.75" customHeight="1">
      <c r="A663" s="15">
        <v>9077.0</v>
      </c>
      <c r="B663" s="16" t="s">
        <v>7333</v>
      </c>
      <c r="C663" s="17" t="s">
        <v>7334</v>
      </c>
      <c r="D663" s="29" t="s">
        <v>7333</v>
      </c>
      <c r="E663" s="18" t="s">
        <v>3167</v>
      </c>
      <c r="F663" s="19" t="str">
        <f t="shared" si="1"/>
        <v>XIAKL2</v>
      </c>
      <c r="G663" s="19" t="s">
        <v>5408</v>
      </c>
      <c r="H663" s="20" t="s">
        <v>3045</v>
      </c>
      <c r="I663" s="19" t="s">
        <v>5409</v>
      </c>
      <c r="J663" s="19" t="s">
        <v>5410</v>
      </c>
      <c r="K663" s="21" t="s">
        <v>5411</v>
      </c>
      <c r="L663" s="20" t="s">
        <v>5574</v>
      </c>
      <c r="M663" s="16" t="s">
        <v>3166</v>
      </c>
      <c r="N663" s="18"/>
      <c r="O663" s="18"/>
      <c r="P663" s="18">
        <f>VLOOKUP($A663,MasterData!$C$1:$I$3001,1,FALSE)</f>
        <v>9077</v>
      </c>
      <c r="Q663" s="18" t="str">
        <f t="shared" si="2"/>
        <v>XIAKL2</v>
      </c>
    </row>
    <row r="664" ht="15.75" customHeight="1">
      <c r="A664" s="15">
        <v>9094.0</v>
      </c>
      <c r="B664" s="16" t="s">
        <v>7335</v>
      </c>
      <c r="C664" s="17" t="s">
        <v>7336</v>
      </c>
      <c r="D664" s="29" t="s">
        <v>7335</v>
      </c>
      <c r="E664" s="18" t="s">
        <v>3169</v>
      </c>
      <c r="F664" s="19" t="str">
        <f t="shared" si="1"/>
        <v>XIAKL2</v>
      </c>
      <c r="G664" s="19" t="s">
        <v>5408</v>
      </c>
      <c r="H664" s="20" t="s">
        <v>3045</v>
      </c>
      <c r="I664" s="19" t="s">
        <v>5409</v>
      </c>
      <c r="J664" s="19" t="s">
        <v>5410</v>
      </c>
      <c r="K664" s="21" t="s">
        <v>5411</v>
      </c>
      <c r="L664" s="20" t="s">
        <v>5574</v>
      </c>
      <c r="M664" s="16" t="s">
        <v>3168</v>
      </c>
      <c r="N664" s="18"/>
      <c r="O664" s="18"/>
      <c r="P664" s="18">
        <f>VLOOKUP($A664,MasterData!$C$1:$I$3001,1,FALSE)</f>
        <v>9094</v>
      </c>
      <c r="Q664" s="18" t="str">
        <f t="shared" si="2"/>
        <v>XIAKL2</v>
      </c>
    </row>
    <row r="665" ht="15.75" customHeight="1">
      <c r="A665" s="15">
        <v>9123.0</v>
      </c>
      <c r="B665" s="16" t="s">
        <v>7337</v>
      </c>
      <c r="C665" s="17" t="s">
        <v>7338</v>
      </c>
      <c r="D665" s="29" t="s">
        <v>7337</v>
      </c>
      <c r="E665" s="18" t="s">
        <v>3171</v>
      </c>
      <c r="F665" s="19" t="str">
        <f t="shared" si="1"/>
        <v>XIAKL2</v>
      </c>
      <c r="G665" s="19" t="s">
        <v>5408</v>
      </c>
      <c r="H665" s="20" t="s">
        <v>3045</v>
      </c>
      <c r="I665" s="19" t="s">
        <v>5409</v>
      </c>
      <c r="J665" s="19" t="s">
        <v>5410</v>
      </c>
      <c r="K665" s="21" t="s">
        <v>5411</v>
      </c>
      <c r="L665" s="20" t="s">
        <v>5574</v>
      </c>
      <c r="M665" s="16" t="s">
        <v>3170</v>
      </c>
      <c r="N665" s="18"/>
      <c r="O665" s="18"/>
      <c r="P665" s="18">
        <f>VLOOKUP($A665,MasterData!$C$1:$I$3001,1,FALSE)</f>
        <v>9123</v>
      </c>
      <c r="Q665" s="18" t="str">
        <f t="shared" si="2"/>
        <v>XIAKL2</v>
      </c>
    </row>
    <row r="666" ht="15.75" customHeight="1">
      <c r="A666" s="15">
        <v>9133.0</v>
      </c>
      <c r="B666" s="16" t="s">
        <v>7339</v>
      </c>
      <c r="C666" s="17" t="s">
        <v>7340</v>
      </c>
      <c r="D666" s="29" t="s">
        <v>7339</v>
      </c>
      <c r="E666" s="18" t="s">
        <v>3173</v>
      </c>
      <c r="F666" s="19" t="str">
        <f t="shared" si="1"/>
        <v>XIAKL2</v>
      </c>
      <c r="G666" s="19" t="s">
        <v>5408</v>
      </c>
      <c r="H666" s="20" t="s">
        <v>3045</v>
      </c>
      <c r="I666" s="19" t="s">
        <v>5409</v>
      </c>
      <c r="J666" s="19" t="s">
        <v>5410</v>
      </c>
      <c r="K666" s="21" t="s">
        <v>5411</v>
      </c>
      <c r="L666" s="20" t="s">
        <v>5574</v>
      </c>
      <c r="M666" s="16" t="s">
        <v>3172</v>
      </c>
      <c r="N666" s="18"/>
      <c r="O666" s="18"/>
      <c r="P666" s="18">
        <f>VLOOKUP($A666,MasterData!$C$1:$I$3001,1,FALSE)</f>
        <v>9133</v>
      </c>
      <c r="Q666" s="18" t="str">
        <f t="shared" si="2"/>
        <v>XIAKL2</v>
      </c>
    </row>
    <row r="667" ht="15.75" customHeight="1">
      <c r="A667" s="15">
        <v>9135.0</v>
      </c>
      <c r="B667" s="16" t="s">
        <v>7341</v>
      </c>
      <c r="C667" s="17" t="s">
        <v>7342</v>
      </c>
      <c r="D667" s="29" t="s">
        <v>7341</v>
      </c>
      <c r="E667" s="18" t="s">
        <v>3175</v>
      </c>
      <c r="F667" s="19" t="str">
        <f t="shared" si="1"/>
        <v>XIAKL2</v>
      </c>
      <c r="G667" s="19" t="s">
        <v>5408</v>
      </c>
      <c r="H667" s="20" t="s">
        <v>3045</v>
      </c>
      <c r="I667" s="19" t="s">
        <v>5409</v>
      </c>
      <c r="J667" s="19" t="s">
        <v>5410</v>
      </c>
      <c r="K667" s="21" t="s">
        <v>5411</v>
      </c>
      <c r="L667" s="20" t="s">
        <v>5574</v>
      </c>
      <c r="M667" s="16" t="s">
        <v>3174</v>
      </c>
      <c r="N667" s="18"/>
      <c r="O667" s="18"/>
      <c r="P667" s="18">
        <f>VLOOKUP($A667,MasterData!$C$1:$I$3001,1,FALSE)</f>
        <v>9135</v>
      </c>
      <c r="Q667" s="18" t="str">
        <f t="shared" si="2"/>
        <v>XIAKL2</v>
      </c>
    </row>
    <row r="668" ht="15.75" customHeight="1">
      <c r="A668" s="15">
        <v>9173.0</v>
      </c>
      <c r="B668" s="16" t="s">
        <v>7343</v>
      </c>
      <c r="C668" s="17" t="s">
        <v>7344</v>
      </c>
      <c r="D668" s="29" t="s">
        <v>7343</v>
      </c>
      <c r="E668" s="18" t="s">
        <v>3177</v>
      </c>
      <c r="F668" s="19" t="str">
        <f t="shared" si="1"/>
        <v>XIAKL2</v>
      </c>
      <c r="G668" s="19" t="s">
        <v>5408</v>
      </c>
      <c r="H668" s="20" t="s">
        <v>3045</v>
      </c>
      <c r="I668" s="19" t="s">
        <v>5409</v>
      </c>
      <c r="J668" s="19" t="s">
        <v>5410</v>
      </c>
      <c r="K668" s="21" t="s">
        <v>5411</v>
      </c>
      <c r="L668" s="20" t="s">
        <v>5574</v>
      </c>
      <c r="M668" s="16" t="s">
        <v>3176</v>
      </c>
      <c r="N668" s="18"/>
      <c r="O668" s="18"/>
      <c r="P668" s="18">
        <f>VLOOKUP($A668,MasterData!$C$1:$I$3001,1,FALSE)</f>
        <v>9173</v>
      </c>
      <c r="Q668" s="18" t="str">
        <f t="shared" si="2"/>
        <v>XIAKL2</v>
      </c>
    </row>
    <row r="669" ht="15.75" customHeight="1">
      <c r="A669" s="15">
        <v>9179.0</v>
      </c>
      <c r="B669" s="16" t="s">
        <v>7345</v>
      </c>
      <c r="C669" s="17" t="s">
        <v>7346</v>
      </c>
      <c r="D669" s="29" t="s">
        <v>7345</v>
      </c>
      <c r="E669" s="18" t="s">
        <v>3179</v>
      </c>
      <c r="F669" s="19" t="str">
        <f t="shared" si="1"/>
        <v>XIAKL2</v>
      </c>
      <c r="G669" s="19" t="s">
        <v>5408</v>
      </c>
      <c r="H669" s="20" t="s">
        <v>3045</v>
      </c>
      <c r="I669" s="19" t="s">
        <v>5409</v>
      </c>
      <c r="J669" s="19" t="s">
        <v>5410</v>
      </c>
      <c r="K669" s="21" t="s">
        <v>5411</v>
      </c>
      <c r="L669" s="20" t="s">
        <v>5574</v>
      </c>
      <c r="M669" s="16" t="s">
        <v>3178</v>
      </c>
      <c r="N669" s="18"/>
      <c r="O669" s="18"/>
      <c r="P669" s="18">
        <f>VLOOKUP($A669,MasterData!$C$1:$I$3001,1,FALSE)</f>
        <v>9179</v>
      </c>
      <c r="Q669" s="18" t="str">
        <f t="shared" si="2"/>
        <v>XIAKL2</v>
      </c>
    </row>
    <row r="670" ht="15.75" customHeight="1">
      <c r="A670" s="15">
        <v>9185.0</v>
      </c>
      <c r="B670" s="16" t="s">
        <v>7347</v>
      </c>
      <c r="C670" s="17" t="s">
        <v>7348</v>
      </c>
      <c r="D670" s="29" t="s">
        <v>7347</v>
      </c>
      <c r="E670" s="18" t="s">
        <v>3181</v>
      </c>
      <c r="F670" s="19" t="str">
        <f t="shared" si="1"/>
        <v>XIAKL2</v>
      </c>
      <c r="G670" s="19" t="s">
        <v>5408</v>
      </c>
      <c r="H670" s="20" t="s">
        <v>3045</v>
      </c>
      <c r="I670" s="19" t="s">
        <v>5409</v>
      </c>
      <c r="J670" s="19" t="s">
        <v>5410</v>
      </c>
      <c r="K670" s="21" t="s">
        <v>5411</v>
      </c>
      <c r="L670" s="20" t="s">
        <v>5574</v>
      </c>
      <c r="M670" s="16" t="s">
        <v>3180</v>
      </c>
      <c r="N670" s="18"/>
      <c r="O670" s="18"/>
      <c r="P670" s="18">
        <f>VLOOKUP($A670,MasterData!$C$1:$I$3001,1,FALSE)</f>
        <v>9185</v>
      </c>
      <c r="Q670" s="18" t="str">
        <f t="shared" si="2"/>
        <v>XIAKL2</v>
      </c>
    </row>
    <row r="671" ht="15.75" customHeight="1">
      <c r="A671" s="15">
        <v>9205.0</v>
      </c>
      <c r="B671" s="16" t="s">
        <v>7349</v>
      </c>
      <c r="C671" s="17" t="s">
        <v>7350</v>
      </c>
      <c r="D671" s="29" t="s">
        <v>7349</v>
      </c>
      <c r="E671" s="18" t="s">
        <v>3183</v>
      </c>
      <c r="F671" s="19" t="str">
        <f t="shared" si="1"/>
        <v>XIAKL2</v>
      </c>
      <c r="G671" s="19" t="s">
        <v>5408</v>
      </c>
      <c r="H671" s="20" t="s">
        <v>3045</v>
      </c>
      <c r="I671" s="19" t="s">
        <v>5409</v>
      </c>
      <c r="J671" s="19" t="s">
        <v>5410</v>
      </c>
      <c r="K671" s="21" t="s">
        <v>5411</v>
      </c>
      <c r="L671" s="20" t="s">
        <v>5574</v>
      </c>
      <c r="M671" s="16" t="s">
        <v>3182</v>
      </c>
      <c r="N671" s="18"/>
      <c r="O671" s="18"/>
      <c r="P671" s="18">
        <f>VLOOKUP($A671,MasterData!$C$1:$I$3001,1,FALSE)</f>
        <v>9205</v>
      </c>
      <c r="Q671" s="18" t="str">
        <f t="shared" si="2"/>
        <v>XIAKL2</v>
      </c>
    </row>
    <row r="672" ht="15.75" customHeight="1">
      <c r="A672" s="15">
        <v>9209.0</v>
      </c>
      <c r="B672" s="16" t="s">
        <v>7351</v>
      </c>
      <c r="C672" s="17" t="s">
        <v>7352</v>
      </c>
      <c r="D672" s="29" t="s">
        <v>7351</v>
      </c>
      <c r="E672" s="18" t="s">
        <v>3185</v>
      </c>
      <c r="F672" s="19" t="str">
        <f t="shared" si="1"/>
        <v>XIAKL2</v>
      </c>
      <c r="G672" s="19" t="s">
        <v>5408</v>
      </c>
      <c r="H672" s="20" t="s">
        <v>3045</v>
      </c>
      <c r="I672" s="19" t="s">
        <v>5409</v>
      </c>
      <c r="J672" s="19" t="s">
        <v>5410</v>
      </c>
      <c r="K672" s="21" t="s">
        <v>5411</v>
      </c>
      <c r="L672" s="20" t="s">
        <v>5574</v>
      </c>
      <c r="M672" s="16" t="s">
        <v>3184</v>
      </c>
      <c r="N672" s="18"/>
      <c r="O672" s="18"/>
      <c r="P672" s="18">
        <f>VLOOKUP($A672,MasterData!$C$1:$I$3001,1,FALSE)</f>
        <v>9209</v>
      </c>
      <c r="Q672" s="18" t="str">
        <f t="shared" si="2"/>
        <v>XIAKL2</v>
      </c>
    </row>
    <row r="673" ht="15.75" customHeight="1">
      <c r="A673" s="15">
        <v>9219.0</v>
      </c>
      <c r="B673" s="16" t="s">
        <v>7353</v>
      </c>
      <c r="C673" s="17" t="s">
        <v>7354</v>
      </c>
      <c r="D673" s="29" t="s">
        <v>7353</v>
      </c>
      <c r="E673" s="18" t="s">
        <v>3187</v>
      </c>
      <c r="F673" s="19" t="str">
        <f t="shared" si="1"/>
        <v>XIAKL2</v>
      </c>
      <c r="G673" s="19" t="s">
        <v>5408</v>
      </c>
      <c r="H673" s="20" t="s">
        <v>3045</v>
      </c>
      <c r="I673" s="19" t="s">
        <v>5409</v>
      </c>
      <c r="J673" s="19" t="s">
        <v>5410</v>
      </c>
      <c r="K673" s="21" t="s">
        <v>5411</v>
      </c>
      <c r="L673" s="20" t="s">
        <v>5574</v>
      </c>
      <c r="M673" s="16" t="s">
        <v>3186</v>
      </c>
      <c r="N673" s="18"/>
      <c r="O673" s="18"/>
      <c r="P673" s="18">
        <f>VLOOKUP($A673,MasterData!$C$1:$I$3001,1,FALSE)</f>
        <v>9219</v>
      </c>
      <c r="Q673" s="18" t="str">
        <f t="shared" si="2"/>
        <v>XIAKL2</v>
      </c>
    </row>
    <row r="674" ht="15.75" customHeight="1">
      <c r="A674" s="15">
        <v>8654.0</v>
      </c>
      <c r="B674" s="16" t="s">
        <v>7355</v>
      </c>
      <c r="C674" s="17" t="s">
        <v>7356</v>
      </c>
      <c r="D674" s="29" t="s">
        <v>7355</v>
      </c>
      <c r="E674" s="18" t="s">
        <v>3189</v>
      </c>
      <c r="F674" s="19" t="str">
        <f t="shared" si="1"/>
        <v>XIAKL3</v>
      </c>
      <c r="G674" s="19" t="s">
        <v>5408</v>
      </c>
      <c r="H674" s="20" t="s">
        <v>3045</v>
      </c>
      <c r="I674" s="19" t="s">
        <v>5409</v>
      </c>
      <c r="J674" s="19" t="s">
        <v>5410</v>
      </c>
      <c r="K674" s="21" t="s">
        <v>5411</v>
      </c>
      <c r="L674" s="20" t="s">
        <v>5683</v>
      </c>
      <c r="M674" s="16" t="s">
        <v>3188</v>
      </c>
      <c r="N674" s="18"/>
      <c r="O674" s="18"/>
      <c r="P674" s="18">
        <f>VLOOKUP($A674,MasterData!$C$1:$I$3001,1,FALSE)</f>
        <v>8654</v>
      </c>
      <c r="Q674" s="18" t="str">
        <f t="shared" si="2"/>
        <v>XIAKL3</v>
      </c>
    </row>
    <row r="675" ht="15.75" customHeight="1">
      <c r="A675" s="15">
        <v>8692.0</v>
      </c>
      <c r="B675" s="16" t="s">
        <v>7357</v>
      </c>
      <c r="C675" s="17" t="s">
        <v>7358</v>
      </c>
      <c r="D675" s="29" t="s">
        <v>7357</v>
      </c>
      <c r="E675" s="18" t="s">
        <v>3191</v>
      </c>
      <c r="F675" s="19" t="str">
        <f t="shared" si="1"/>
        <v>XIAKL3</v>
      </c>
      <c r="G675" s="19" t="s">
        <v>5408</v>
      </c>
      <c r="H675" s="20" t="s">
        <v>3045</v>
      </c>
      <c r="I675" s="19" t="s">
        <v>5409</v>
      </c>
      <c r="J675" s="19" t="s">
        <v>5410</v>
      </c>
      <c r="K675" s="21" t="s">
        <v>5411</v>
      </c>
      <c r="L675" s="20" t="s">
        <v>5683</v>
      </c>
      <c r="M675" s="16" t="s">
        <v>3190</v>
      </c>
      <c r="N675" s="18"/>
      <c r="O675" s="18"/>
      <c r="P675" s="18">
        <f>VLOOKUP($A675,MasterData!$C$1:$I$3001,1,FALSE)</f>
        <v>8692</v>
      </c>
      <c r="Q675" s="18" t="str">
        <f t="shared" si="2"/>
        <v>XIAKL3</v>
      </c>
    </row>
    <row r="676" ht="15.75" customHeight="1">
      <c r="A676" s="15">
        <v>8694.0</v>
      </c>
      <c r="B676" s="16" t="s">
        <v>7359</v>
      </c>
      <c r="C676" s="17" t="s">
        <v>7360</v>
      </c>
      <c r="D676" s="29" t="s">
        <v>7359</v>
      </c>
      <c r="E676" s="18" t="s">
        <v>3193</v>
      </c>
      <c r="F676" s="19" t="str">
        <f t="shared" si="1"/>
        <v>XIAKL3</v>
      </c>
      <c r="G676" s="19" t="s">
        <v>5408</v>
      </c>
      <c r="H676" s="20" t="s">
        <v>3045</v>
      </c>
      <c r="I676" s="19" t="s">
        <v>5409</v>
      </c>
      <c r="J676" s="19" t="s">
        <v>5410</v>
      </c>
      <c r="K676" s="21" t="s">
        <v>5411</v>
      </c>
      <c r="L676" s="20" t="s">
        <v>5683</v>
      </c>
      <c r="M676" s="16" t="s">
        <v>3192</v>
      </c>
      <c r="N676" s="18"/>
      <c r="O676" s="18"/>
      <c r="P676" s="18">
        <f>VLOOKUP($A676,MasterData!$C$1:$I$3001,1,FALSE)</f>
        <v>8694</v>
      </c>
      <c r="Q676" s="18" t="str">
        <f t="shared" si="2"/>
        <v>XIAKL3</v>
      </c>
    </row>
    <row r="677" ht="15.75" customHeight="1">
      <c r="A677" s="15">
        <v>8709.0</v>
      </c>
      <c r="B677" s="16" t="s">
        <v>7361</v>
      </c>
      <c r="C677" s="17" t="s">
        <v>7362</v>
      </c>
      <c r="D677" s="29" t="s">
        <v>7361</v>
      </c>
      <c r="E677" s="18" t="s">
        <v>3195</v>
      </c>
      <c r="F677" s="19" t="str">
        <f t="shared" si="1"/>
        <v>XIAKL3</v>
      </c>
      <c r="G677" s="19" t="s">
        <v>5408</v>
      </c>
      <c r="H677" s="20" t="s">
        <v>3045</v>
      </c>
      <c r="I677" s="19" t="s">
        <v>5409</v>
      </c>
      <c r="J677" s="19" t="s">
        <v>5410</v>
      </c>
      <c r="K677" s="21" t="s">
        <v>5411</v>
      </c>
      <c r="L677" s="20" t="s">
        <v>5683</v>
      </c>
      <c r="M677" s="16" t="s">
        <v>3194</v>
      </c>
      <c r="N677" s="18"/>
      <c r="O677" s="18"/>
      <c r="P677" s="18">
        <f>VLOOKUP($A677,MasterData!$C$1:$I$3001,1,FALSE)</f>
        <v>8709</v>
      </c>
      <c r="Q677" s="18" t="str">
        <f t="shared" si="2"/>
        <v>XIAKL3</v>
      </c>
    </row>
    <row r="678" ht="15.75" customHeight="1">
      <c r="A678" s="15">
        <v>8734.0</v>
      </c>
      <c r="B678" s="16" t="s">
        <v>7363</v>
      </c>
      <c r="C678" s="17" t="s">
        <v>7364</v>
      </c>
      <c r="D678" s="29" t="s">
        <v>7363</v>
      </c>
      <c r="E678" s="18" t="s">
        <v>3197</v>
      </c>
      <c r="F678" s="19" t="str">
        <f t="shared" si="1"/>
        <v>XIAKL3</v>
      </c>
      <c r="G678" s="19" t="s">
        <v>5408</v>
      </c>
      <c r="H678" s="20" t="s">
        <v>3045</v>
      </c>
      <c r="I678" s="19" t="s">
        <v>5409</v>
      </c>
      <c r="J678" s="19" t="s">
        <v>5410</v>
      </c>
      <c r="K678" s="21" t="s">
        <v>5411</v>
      </c>
      <c r="L678" s="20" t="s">
        <v>5683</v>
      </c>
      <c r="M678" s="16" t="s">
        <v>3196</v>
      </c>
      <c r="N678" s="18"/>
      <c r="O678" s="18"/>
      <c r="P678" s="18">
        <f>VLOOKUP($A678,MasterData!$C$1:$I$3001,1,FALSE)</f>
        <v>8734</v>
      </c>
      <c r="Q678" s="18" t="str">
        <f t="shared" si="2"/>
        <v>XIAKL3</v>
      </c>
    </row>
    <row r="679" ht="15.75" customHeight="1">
      <c r="A679" s="15">
        <v>8807.0</v>
      </c>
      <c r="B679" s="16" t="s">
        <v>7365</v>
      </c>
      <c r="C679" s="17" t="s">
        <v>7366</v>
      </c>
      <c r="D679" s="29" t="s">
        <v>7365</v>
      </c>
      <c r="E679" s="18" t="s">
        <v>3199</v>
      </c>
      <c r="F679" s="19" t="str">
        <f t="shared" si="1"/>
        <v>XIAKL3</v>
      </c>
      <c r="G679" s="19" t="s">
        <v>5408</v>
      </c>
      <c r="H679" s="20" t="s">
        <v>3045</v>
      </c>
      <c r="I679" s="19" t="s">
        <v>5409</v>
      </c>
      <c r="J679" s="19" t="s">
        <v>5410</v>
      </c>
      <c r="K679" s="21" t="s">
        <v>5411</v>
      </c>
      <c r="L679" s="20" t="s">
        <v>5683</v>
      </c>
      <c r="M679" s="16" t="s">
        <v>3198</v>
      </c>
      <c r="N679" s="18"/>
      <c r="O679" s="18"/>
      <c r="P679" s="18">
        <f>VLOOKUP($A679,MasterData!$C$1:$I$3001,1,FALSE)</f>
        <v>8807</v>
      </c>
      <c r="Q679" s="18" t="str">
        <f t="shared" si="2"/>
        <v>XIAKL3</v>
      </c>
    </row>
    <row r="680" ht="15.75" customHeight="1">
      <c r="A680" s="15">
        <v>8808.0</v>
      </c>
      <c r="B680" s="16" t="s">
        <v>7367</v>
      </c>
      <c r="C680" s="17" t="s">
        <v>7368</v>
      </c>
      <c r="D680" s="29" t="s">
        <v>7367</v>
      </c>
      <c r="E680" s="18" t="s">
        <v>3201</v>
      </c>
      <c r="F680" s="19" t="str">
        <f t="shared" si="1"/>
        <v>XIAKL3</v>
      </c>
      <c r="G680" s="19" t="s">
        <v>5408</v>
      </c>
      <c r="H680" s="20" t="s">
        <v>3045</v>
      </c>
      <c r="I680" s="19" t="s">
        <v>5409</v>
      </c>
      <c r="J680" s="19" t="s">
        <v>5410</v>
      </c>
      <c r="K680" s="21" t="s">
        <v>5411</v>
      </c>
      <c r="L680" s="20" t="s">
        <v>5683</v>
      </c>
      <c r="M680" s="16" t="s">
        <v>3200</v>
      </c>
      <c r="N680" s="18"/>
      <c r="O680" s="18"/>
      <c r="P680" s="18">
        <f>VLOOKUP($A680,MasterData!$C$1:$I$3001,1,FALSE)</f>
        <v>8808</v>
      </c>
      <c r="Q680" s="18" t="str">
        <f t="shared" si="2"/>
        <v>XIAKL3</v>
      </c>
    </row>
    <row r="681" ht="15.75" customHeight="1">
      <c r="A681" s="15">
        <v>8816.0</v>
      </c>
      <c r="B681" s="16" t="s">
        <v>7369</v>
      </c>
      <c r="C681" s="17" t="s">
        <v>7370</v>
      </c>
      <c r="D681" s="29" t="s">
        <v>7369</v>
      </c>
      <c r="E681" s="18" t="s">
        <v>3203</v>
      </c>
      <c r="F681" s="19" t="str">
        <f t="shared" si="1"/>
        <v>XIAKL3</v>
      </c>
      <c r="G681" s="19" t="s">
        <v>5408</v>
      </c>
      <c r="H681" s="20" t="s">
        <v>3045</v>
      </c>
      <c r="I681" s="19" t="s">
        <v>5409</v>
      </c>
      <c r="J681" s="19" t="s">
        <v>5410</v>
      </c>
      <c r="K681" s="21" t="s">
        <v>5411</v>
      </c>
      <c r="L681" s="20" t="s">
        <v>5683</v>
      </c>
      <c r="M681" s="16" t="s">
        <v>3202</v>
      </c>
      <c r="N681" s="18"/>
      <c r="O681" s="18"/>
      <c r="P681" s="18">
        <f>VLOOKUP($A681,MasterData!$C$1:$I$3001,1,FALSE)</f>
        <v>8816</v>
      </c>
      <c r="Q681" s="18" t="str">
        <f t="shared" si="2"/>
        <v>XIAKL3</v>
      </c>
    </row>
    <row r="682" ht="15.75" customHeight="1">
      <c r="A682" s="15">
        <v>8817.0</v>
      </c>
      <c r="B682" s="16" t="s">
        <v>7371</v>
      </c>
      <c r="C682" s="30" t="s">
        <v>7372</v>
      </c>
      <c r="D682" s="29" t="s">
        <v>7371</v>
      </c>
      <c r="E682" s="18" t="s">
        <v>3205</v>
      </c>
      <c r="F682" s="19" t="str">
        <f t="shared" si="1"/>
        <v>XIAKL3</v>
      </c>
      <c r="G682" s="19" t="s">
        <v>5408</v>
      </c>
      <c r="H682" s="20" t="s">
        <v>3045</v>
      </c>
      <c r="I682" s="19" t="s">
        <v>5409</v>
      </c>
      <c r="J682" s="19" t="s">
        <v>5410</v>
      </c>
      <c r="K682" s="21" t="s">
        <v>5411</v>
      </c>
      <c r="L682" s="20" t="s">
        <v>5683</v>
      </c>
      <c r="M682" s="16" t="s">
        <v>3204</v>
      </c>
      <c r="N682" s="18"/>
      <c r="O682" s="18"/>
      <c r="P682" s="18">
        <f>VLOOKUP($A682,MasterData!$C$1:$I$3001,1,FALSE)</f>
        <v>8817</v>
      </c>
      <c r="Q682" s="18" t="str">
        <f t="shared" si="2"/>
        <v>XIAKL3</v>
      </c>
    </row>
    <row r="683" ht="15.75" customHeight="1">
      <c r="A683" s="15">
        <v>8821.0</v>
      </c>
      <c r="B683" s="16" t="s">
        <v>7373</v>
      </c>
      <c r="C683" s="17" t="s">
        <v>7374</v>
      </c>
      <c r="D683" s="29" t="s">
        <v>7373</v>
      </c>
      <c r="E683" s="18" t="s">
        <v>3207</v>
      </c>
      <c r="F683" s="19" t="str">
        <f t="shared" si="1"/>
        <v>XIAKL3</v>
      </c>
      <c r="G683" s="19" t="s">
        <v>5408</v>
      </c>
      <c r="H683" s="20" t="s">
        <v>3045</v>
      </c>
      <c r="I683" s="19" t="s">
        <v>5409</v>
      </c>
      <c r="J683" s="19" t="s">
        <v>5410</v>
      </c>
      <c r="K683" s="21" t="s">
        <v>5411</v>
      </c>
      <c r="L683" s="20" t="s">
        <v>5683</v>
      </c>
      <c r="M683" s="16" t="s">
        <v>3206</v>
      </c>
      <c r="N683" s="18"/>
      <c r="O683" s="18"/>
      <c r="P683" s="18">
        <f>VLOOKUP($A683,MasterData!$C$1:$I$3001,1,FALSE)</f>
        <v>8821</v>
      </c>
      <c r="Q683" s="18" t="str">
        <f t="shared" si="2"/>
        <v>XIAKL3</v>
      </c>
    </row>
    <row r="684" ht="15.75" customHeight="1">
      <c r="A684" s="15">
        <v>8838.0</v>
      </c>
      <c r="B684" s="16" t="s">
        <v>7375</v>
      </c>
      <c r="C684" s="17" t="s">
        <v>7376</v>
      </c>
      <c r="D684" s="29" t="s">
        <v>7375</v>
      </c>
      <c r="E684" s="18" t="s">
        <v>3209</v>
      </c>
      <c r="F684" s="19" t="str">
        <f t="shared" si="1"/>
        <v>XIAKL3</v>
      </c>
      <c r="G684" s="19" t="s">
        <v>5408</v>
      </c>
      <c r="H684" s="20" t="s">
        <v>3045</v>
      </c>
      <c r="I684" s="19" t="s">
        <v>5409</v>
      </c>
      <c r="J684" s="19" t="s">
        <v>5410</v>
      </c>
      <c r="K684" s="21" t="s">
        <v>5411</v>
      </c>
      <c r="L684" s="20" t="s">
        <v>5683</v>
      </c>
      <c r="M684" s="16" t="s">
        <v>3208</v>
      </c>
      <c r="N684" s="18"/>
      <c r="O684" s="18"/>
      <c r="P684" s="18">
        <f>VLOOKUP($A684,MasterData!$C$1:$I$3001,1,FALSE)</f>
        <v>8838</v>
      </c>
      <c r="Q684" s="18" t="str">
        <f t="shared" si="2"/>
        <v>XIAKL3</v>
      </c>
    </row>
    <row r="685" ht="15.75" customHeight="1">
      <c r="A685" s="15">
        <v>8848.0</v>
      </c>
      <c r="B685" s="16" t="s">
        <v>7377</v>
      </c>
      <c r="C685" s="17" t="s">
        <v>7378</v>
      </c>
      <c r="D685" s="29" t="s">
        <v>7377</v>
      </c>
      <c r="E685" s="18" t="s">
        <v>3211</v>
      </c>
      <c r="F685" s="19" t="str">
        <f t="shared" si="1"/>
        <v>XIAKL3</v>
      </c>
      <c r="G685" s="19" t="s">
        <v>5408</v>
      </c>
      <c r="H685" s="20" t="s">
        <v>3045</v>
      </c>
      <c r="I685" s="19" t="s">
        <v>5409</v>
      </c>
      <c r="J685" s="19" t="s">
        <v>5410</v>
      </c>
      <c r="K685" s="21" t="s">
        <v>5411</v>
      </c>
      <c r="L685" s="20" t="s">
        <v>5683</v>
      </c>
      <c r="M685" s="16" t="s">
        <v>3210</v>
      </c>
      <c r="N685" s="18"/>
      <c r="O685" s="18"/>
      <c r="P685" s="18">
        <f>VLOOKUP($A685,MasterData!$C$1:$I$3001,1,FALSE)</f>
        <v>8848</v>
      </c>
      <c r="Q685" s="18" t="str">
        <f t="shared" si="2"/>
        <v>XIAKL3</v>
      </c>
    </row>
    <row r="686" ht="15.75" customHeight="1">
      <c r="A686" s="15">
        <v>8849.0</v>
      </c>
      <c r="B686" s="16" t="s">
        <v>7379</v>
      </c>
      <c r="C686" s="17" t="s">
        <v>7380</v>
      </c>
      <c r="D686" s="29" t="s">
        <v>7379</v>
      </c>
      <c r="E686" s="18" t="s">
        <v>3213</v>
      </c>
      <c r="F686" s="19" t="str">
        <f t="shared" si="1"/>
        <v>XIAKL3</v>
      </c>
      <c r="G686" s="19" t="s">
        <v>5408</v>
      </c>
      <c r="H686" s="20" t="s">
        <v>3045</v>
      </c>
      <c r="I686" s="19" t="s">
        <v>5409</v>
      </c>
      <c r="J686" s="19" t="s">
        <v>5410</v>
      </c>
      <c r="K686" s="21" t="s">
        <v>5411</v>
      </c>
      <c r="L686" s="20" t="s">
        <v>5683</v>
      </c>
      <c r="M686" s="16" t="s">
        <v>3212</v>
      </c>
      <c r="N686" s="18"/>
      <c r="O686" s="18"/>
      <c r="P686" s="18">
        <f>VLOOKUP($A686,MasterData!$C$1:$I$3001,1,FALSE)</f>
        <v>8849</v>
      </c>
      <c r="Q686" s="18" t="str">
        <f t="shared" si="2"/>
        <v>XIAKL3</v>
      </c>
    </row>
    <row r="687" ht="15.75" customHeight="1">
      <c r="A687" s="15">
        <v>8852.0</v>
      </c>
      <c r="B687" s="16" t="s">
        <v>7381</v>
      </c>
      <c r="C687" s="17" t="s">
        <v>7382</v>
      </c>
      <c r="D687" s="29" t="s">
        <v>7381</v>
      </c>
      <c r="E687" s="18" t="s">
        <v>3215</v>
      </c>
      <c r="F687" s="19" t="str">
        <f t="shared" si="1"/>
        <v>XIAKL3</v>
      </c>
      <c r="G687" s="19" t="s">
        <v>5408</v>
      </c>
      <c r="H687" s="20" t="s">
        <v>3045</v>
      </c>
      <c r="I687" s="19" t="s">
        <v>5409</v>
      </c>
      <c r="J687" s="19" t="s">
        <v>5410</v>
      </c>
      <c r="K687" s="21" t="s">
        <v>5411</v>
      </c>
      <c r="L687" s="20" t="s">
        <v>5683</v>
      </c>
      <c r="M687" s="16" t="s">
        <v>3214</v>
      </c>
      <c r="N687" s="18"/>
      <c r="O687" s="18"/>
      <c r="P687" s="18">
        <f>VLOOKUP($A687,MasterData!$C$1:$I$3001,1,FALSE)</f>
        <v>8852</v>
      </c>
      <c r="Q687" s="18" t="str">
        <f t="shared" si="2"/>
        <v>XIAKL3</v>
      </c>
    </row>
    <row r="688" ht="15.75" customHeight="1">
      <c r="A688" s="15">
        <v>8853.0</v>
      </c>
      <c r="B688" s="16" t="s">
        <v>7383</v>
      </c>
      <c r="C688" s="17" t="s">
        <v>7384</v>
      </c>
      <c r="D688" s="29" t="s">
        <v>7383</v>
      </c>
      <c r="E688" s="18" t="s">
        <v>3217</v>
      </c>
      <c r="F688" s="19" t="str">
        <f t="shared" si="1"/>
        <v>XIAKL3</v>
      </c>
      <c r="G688" s="19" t="s">
        <v>5408</v>
      </c>
      <c r="H688" s="20" t="s">
        <v>3045</v>
      </c>
      <c r="I688" s="19" t="s">
        <v>5409</v>
      </c>
      <c r="J688" s="19" t="s">
        <v>5410</v>
      </c>
      <c r="K688" s="21" t="s">
        <v>5411</v>
      </c>
      <c r="L688" s="20" t="s">
        <v>5683</v>
      </c>
      <c r="M688" s="16" t="s">
        <v>3216</v>
      </c>
      <c r="N688" s="18"/>
      <c r="O688" s="18"/>
      <c r="P688" s="18">
        <f>VLOOKUP($A688,MasterData!$C$1:$I$3001,1,FALSE)</f>
        <v>8853</v>
      </c>
      <c r="Q688" s="18" t="str">
        <f t="shared" si="2"/>
        <v>XIAKL3</v>
      </c>
    </row>
    <row r="689" ht="15.75" customHeight="1">
      <c r="A689" s="15">
        <v>8861.0</v>
      </c>
      <c r="B689" s="16" t="s">
        <v>7385</v>
      </c>
      <c r="C689" s="17" t="s">
        <v>7386</v>
      </c>
      <c r="D689" s="29" t="s">
        <v>7385</v>
      </c>
      <c r="E689" s="18" t="s">
        <v>3219</v>
      </c>
      <c r="F689" s="19" t="str">
        <f t="shared" si="1"/>
        <v>XIAKL3</v>
      </c>
      <c r="G689" s="19" t="s">
        <v>5408</v>
      </c>
      <c r="H689" s="20" t="s">
        <v>3045</v>
      </c>
      <c r="I689" s="19" t="s">
        <v>5409</v>
      </c>
      <c r="J689" s="19" t="s">
        <v>5410</v>
      </c>
      <c r="K689" s="21" t="s">
        <v>5411</v>
      </c>
      <c r="L689" s="20" t="s">
        <v>5683</v>
      </c>
      <c r="M689" s="16" t="s">
        <v>3218</v>
      </c>
      <c r="N689" s="18"/>
      <c r="O689" s="18"/>
      <c r="P689" s="18">
        <f>VLOOKUP($A689,MasterData!$C$1:$I$3001,1,FALSE)</f>
        <v>8861</v>
      </c>
      <c r="Q689" s="18" t="str">
        <f t="shared" si="2"/>
        <v>XIAKL3</v>
      </c>
    </row>
    <row r="690" ht="15.75" customHeight="1">
      <c r="A690" s="15">
        <v>8869.0</v>
      </c>
      <c r="B690" s="16" t="s">
        <v>7387</v>
      </c>
      <c r="C690" s="17" t="s">
        <v>7388</v>
      </c>
      <c r="D690" s="29" t="s">
        <v>7387</v>
      </c>
      <c r="E690" s="18" t="s">
        <v>3221</v>
      </c>
      <c r="F690" s="19" t="str">
        <f t="shared" si="1"/>
        <v>XIAKL3</v>
      </c>
      <c r="G690" s="19" t="s">
        <v>5408</v>
      </c>
      <c r="H690" s="20" t="s">
        <v>3045</v>
      </c>
      <c r="I690" s="19" t="s">
        <v>5409</v>
      </c>
      <c r="J690" s="19" t="s">
        <v>5410</v>
      </c>
      <c r="K690" s="21" t="s">
        <v>5411</v>
      </c>
      <c r="L690" s="20" t="s">
        <v>5683</v>
      </c>
      <c r="M690" s="16" t="s">
        <v>3220</v>
      </c>
      <c r="N690" s="18"/>
      <c r="O690" s="18"/>
      <c r="P690" s="18">
        <f>VLOOKUP($A690,MasterData!$C$1:$I$3001,1,FALSE)</f>
        <v>8869</v>
      </c>
      <c r="Q690" s="18" t="str">
        <f t="shared" si="2"/>
        <v>XIAKL3</v>
      </c>
    </row>
    <row r="691" ht="15.75" customHeight="1">
      <c r="A691" s="15">
        <v>8891.0</v>
      </c>
      <c r="B691" s="16" t="s">
        <v>7389</v>
      </c>
      <c r="C691" s="17" t="s">
        <v>7390</v>
      </c>
      <c r="D691" s="29" t="s">
        <v>7389</v>
      </c>
      <c r="E691" s="18" t="s">
        <v>3223</v>
      </c>
      <c r="F691" s="19" t="str">
        <f t="shared" si="1"/>
        <v>XIAKL3</v>
      </c>
      <c r="G691" s="19" t="s">
        <v>5408</v>
      </c>
      <c r="H691" s="20" t="s">
        <v>3045</v>
      </c>
      <c r="I691" s="19" t="s">
        <v>5409</v>
      </c>
      <c r="J691" s="19" t="s">
        <v>5410</v>
      </c>
      <c r="K691" s="21" t="s">
        <v>5411</v>
      </c>
      <c r="L691" s="20" t="s">
        <v>5683</v>
      </c>
      <c r="M691" s="16" t="s">
        <v>3222</v>
      </c>
      <c r="N691" s="18"/>
      <c r="O691" s="18"/>
      <c r="P691" s="18">
        <f>VLOOKUP($A691,MasterData!$C$1:$I$3001,1,FALSE)</f>
        <v>8891</v>
      </c>
      <c r="Q691" s="18" t="str">
        <f t="shared" si="2"/>
        <v>XIAKL3</v>
      </c>
    </row>
    <row r="692" ht="15.75" customHeight="1">
      <c r="A692" s="15">
        <v>8906.0</v>
      </c>
      <c r="B692" s="16" t="s">
        <v>7391</v>
      </c>
      <c r="C692" s="17" t="s">
        <v>7392</v>
      </c>
      <c r="D692" s="29" t="s">
        <v>7391</v>
      </c>
      <c r="E692" s="18" t="s">
        <v>3225</v>
      </c>
      <c r="F692" s="19" t="str">
        <f t="shared" si="1"/>
        <v>XIAKL3</v>
      </c>
      <c r="G692" s="19" t="s">
        <v>5408</v>
      </c>
      <c r="H692" s="20" t="s">
        <v>3045</v>
      </c>
      <c r="I692" s="19" t="s">
        <v>5409</v>
      </c>
      <c r="J692" s="19" t="s">
        <v>5410</v>
      </c>
      <c r="K692" s="21" t="s">
        <v>5411</v>
      </c>
      <c r="L692" s="20" t="s">
        <v>5683</v>
      </c>
      <c r="M692" s="16" t="s">
        <v>3224</v>
      </c>
      <c r="N692" s="18"/>
      <c r="O692" s="18"/>
      <c r="P692" s="18">
        <f>VLOOKUP($A692,MasterData!$C$1:$I$3001,1,FALSE)</f>
        <v>8906</v>
      </c>
      <c r="Q692" s="18" t="str">
        <f t="shared" si="2"/>
        <v>XIAKL3</v>
      </c>
    </row>
    <row r="693" ht="15.75" customHeight="1">
      <c r="A693" s="15">
        <v>8936.0</v>
      </c>
      <c r="B693" s="16" t="s">
        <v>7393</v>
      </c>
      <c r="C693" s="17" t="s">
        <v>7394</v>
      </c>
      <c r="D693" s="29" t="s">
        <v>7393</v>
      </c>
      <c r="E693" s="18" t="s">
        <v>3227</v>
      </c>
      <c r="F693" s="19" t="str">
        <f t="shared" si="1"/>
        <v>XIAKL3</v>
      </c>
      <c r="G693" s="19" t="s">
        <v>5408</v>
      </c>
      <c r="H693" s="20" t="s">
        <v>3045</v>
      </c>
      <c r="I693" s="19" t="s">
        <v>5409</v>
      </c>
      <c r="J693" s="19" t="s">
        <v>5410</v>
      </c>
      <c r="K693" s="21" t="s">
        <v>5411</v>
      </c>
      <c r="L693" s="20" t="s">
        <v>5683</v>
      </c>
      <c r="M693" s="16" t="s">
        <v>3226</v>
      </c>
      <c r="N693" s="18"/>
      <c r="O693" s="18"/>
      <c r="P693" s="18">
        <f>VLOOKUP($A693,MasterData!$C$1:$I$3001,1,FALSE)</f>
        <v>8936</v>
      </c>
      <c r="Q693" s="18" t="str">
        <f t="shared" si="2"/>
        <v>XIAKL3</v>
      </c>
    </row>
    <row r="694" ht="15.75" customHeight="1">
      <c r="A694" s="15">
        <v>8965.0</v>
      </c>
      <c r="B694" s="16" t="s">
        <v>7395</v>
      </c>
      <c r="C694" s="17" t="s">
        <v>7396</v>
      </c>
      <c r="D694" s="29" t="s">
        <v>7395</v>
      </c>
      <c r="E694" s="18" t="s">
        <v>3229</v>
      </c>
      <c r="F694" s="19" t="str">
        <f t="shared" si="1"/>
        <v>XIAKL3</v>
      </c>
      <c r="G694" s="19" t="s">
        <v>5408</v>
      </c>
      <c r="H694" s="20" t="s">
        <v>3045</v>
      </c>
      <c r="I694" s="19" t="s">
        <v>5409</v>
      </c>
      <c r="J694" s="19" t="s">
        <v>5410</v>
      </c>
      <c r="K694" s="21" t="s">
        <v>5411</v>
      </c>
      <c r="L694" s="20" t="s">
        <v>5683</v>
      </c>
      <c r="M694" s="16" t="s">
        <v>3228</v>
      </c>
      <c r="N694" s="18"/>
      <c r="O694" s="18"/>
      <c r="P694" s="18">
        <f>VLOOKUP($A694,MasterData!$C$1:$I$3001,1,FALSE)</f>
        <v>8965</v>
      </c>
      <c r="Q694" s="18" t="str">
        <f t="shared" si="2"/>
        <v>XIAKL3</v>
      </c>
    </row>
    <row r="695" ht="15.75" customHeight="1">
      <c r="A695" s="15">
        <v>8968.0</v>
      </c>
      <c r="B695" s="16" t="s">
        <v>7397</v>
      </c>
      <c r="C695" s="17" t="s">
        <v>7398</v>
      </c>
      <c r="D695" s="29" t="s">
        <v>7397</v>
      </c>
      <c r="E695" s="18" t="s">
        <v>3231</v>
      </c>
      <c r="F695" s="19" t="str">
        <f t="shared" si="1"/>
        <v>XIAKL3</v>
      </c>
      <c r="G695" s="19" t="s">
        <v>5408</v>
      </c>
      <c r="H695" s="20" t="s">
        <v>3045</v>
      </c>
      <c r="I695" s="19" t="s">
        <v>5409</v>
      </c>
      <c r="J695" s="19" t="s">
        <v>5410</v>
      </c>
      <c r="K695" s="21" t="s">
        <v>5411</v>
      </c>
      <c r="L695" s="20" t="s">
        <v>5683</v>
      </c>
      <c r="M695" s="16" t="s">
        <v>3230</v>
      </c>
      <c r="N695" s="18"/>
      <c r="O695" s="18"/>
      <c r="P695" s="18">
        <f>VLOOKUP($A695,MasterData!$C$1:$I$3001,1,FALSE)</f>
        <v>8968</v>
      </c>
      <c r="Q695" s="18" t="str">
        <f t="shared" si="2"/>
        <v>XIAKL3</v>
      </c>
    </row>
    <row r="696" ht="15.75" customHeight="1">
      <c r="A696" s="15">
        <v>9021.0</v>
      </c>
      <c r="B696" s="16" t="s">
        <v>7399</v>
      </c>
      <c r="C696" s="17" t="s">
        <v>7400</v>
      </c>
      <c r="D696" s="29" t="s">
        <v>7399</v>
      </c>
      <c r="E696" s="18" t="s">
        <v>3233</v>
      </c>
      <c r="F696" s="19" t="str">
        <f t="shared" si="1"/>
        <v>XIAKL3</v>
      </c>
      <c r="G696" s="19" t="s">
        <v>5408</v>
      </c>
      <c r="H696" s="20" t="s">
        <v>3045</v>
      </c>
      <c r="I696" s="19" t="s">
        <v>5409</v>
      </c>
      <c r="J696" s="19" t="s">
        <v>5410</v>
      </c>
      <c r="K696" s="21" t="s">
        <v>5411</v>
      </c>
      <c r="L696" s="20" t="s">
        <v>5683</v>
      </c>
      <c r="M696" s="16" t="s">
        <v>3232</v>
      </c>
      <c r="N696" s="18"/>
      <c r="O696" s="18"/>
      <c r="P696" s="18">
        <f>VLOOKUP($A696,MasterData!$C$1:$I$3001,1,FALSE)</f>
        <v>9021</v>
      </c>
      <c r="Q696" s="18" t="str">
        <f t="shared" si="2"/>
        <v>XIAKL3</v>
      </c>
    </row>
    <row r="697" ht="15.75" customHeight="1">
      <c r="A697" s="15">
        <v>9047.0</v>
      </c>
      <c r="B697" s="16" t="s">
        <v>7401</v>
      </c>
      <c r="C697" s="17" t="s">
        <v>7402</v>
      </c>
      <c r="D697" s="29" t="s">
        <v>7401</v>
      </c>
      <c r="E697" s="18" t="s">
        <v>3235</v>
      </c>
      <c r="F697" s="19" t="str">
        <f t="shared" si="1"/>
        <v>XIAKL3</v>
      </c>
      <c r="G697" s="19" t="s">
        <v>5408</v>
      </c>
      <c r="H697" s="20" t="s">
        <v>3045</v>
      </c>
      <c r="I697" s="19" t="s">
        <v>5409</v>
      </c>
      <c r="J697" s="19" t="s">
        <v>5410</v>
      </c>
      <c r="K697" s="21" t="s">
        <v>5411</v>
      </c>
      <c r="L697" s="20" t="s">
        <v>5683</v>
      </c>
      <c r="M697" s="16" t="s">
        <v>3234</v>
      </c>
      <c r="N697" s="18"/>
      <c r="O697" s="18"/>
      <c r="P697" s="18">
        <f>VLOOKUP($A697,MasterData!$C$1:$I$3001,1,FALSE)</f>
        <v>9047</v>
      </c>
      <c r="Q697" s="18" t="str">
        <f t="shared" si="2"/>
        <v>XIAKL3</v>
      </c>
    </row>
    <row r="698" ht="15.75" customHeight="1">
      <c r="A698" s="15">
        <v>9050.0</v>
      </c>
      <c r="B698" s="16" t="s">
        <v>7403</v>
      </c>
      <c r="C698" s="17" t="s">
        <v>7404</v>
      </c>
      <c r="D698" s="29" t="s">
        <v>7403</v>
      </c>
      <c r="E698" s="18" t="s">
        <v>3237</v>
      </c>
      <c r="F698" s="19" t="str">
        <f t="shared" si="1"/>
        <v>XIAKL3</v>
      </c>
      <c r="G698" s="19" t="s">
        <v>5408</v>
      </c>
      <c r="H698" s="20" t="s">
        <v>3045</v>
      </c>
      <c r="I698" s="19" t="s">
        <v>5409</v>
      </c>
      <c r="J698" s="19" t="s">
        <v>5410</v>
      </c>
      <c r="K698" s="21" t="s">
        <v>5411</v>
      </c>
      <c r="L698" s="20" t="s">
        <v>5683</v>
      </c>
      <c r="M698" s="16" t="s">
        <v>3236</v>
      </c>
      <c r="N698" s="18"/>
      <c r="O698" s="18"/>
      <c r="P698" s="18">
        <f>VLOOKUP($A698,MasterData!$C$1:$I$3001,1,FALSE)</f>
        <v>9050</v>
      </c>
      <c r="Q698" s="18" t="str">
        <f t="shared" si="2"/>
        <v>XIAKL3</v>
      </c>
    </row>
    <row r="699" ht="15.75" customHeight="1">
      <c r="A699" s="15">
        <v>9053.0</v>
      </c>
      <c r="B699" s="16" t="s">
        <v>7405</v>
      </c>
      <c r="C699" s="17" t="s">
        <v>7406</v>
      </c>
      <c r="D699" s="29" t="s">
        <v>7405</v>
      </c>
      <c r="E699" s="18" t="s">
        <v>3239</v>
      </c>
      <c r="F699" s="19" t="str">
        <f t="shared" si="1"/>
        <v>XIAKL3</v>
      </c>
      <c r="G699" s="19" t="s">
        <v>5408</v>
      </c>
      <c r="H699" s="20" t="s">
        <v>3045</v>
      </c>
      <c r="I699" s="19" t="s">
        <v>5409</v>
      </c>
      <c r="J699" s="19" t="s">
        <v>5410</v>
      </c>
      <c r="K699" s="21" t="s">
        <v>5411</v>
      </c>
      <c r="L699" s="20" t="s">
        <v>5683</v>
      </c>
      <c r="M699" s="16" t="s">
        <v>3238</v>
      </c>
      <c r="N699" s="18"/>
      <c r="O699" s="18"/>
      <c r="P699" s="18">
        <f>VLOOKUP($A699,MasterData!$C$1:$I$3001,1,FALSE)</f>
        <v>9053</v>
      </c>
      <c r="Q699" s="18" t="str">
        <f t="shared" si="2"/>
        <v>XIAKL3</v>
      </c>
    </row>
    <row r="700" ht="15.75" customHeight="1">
      <c r="A700" s="15">
        <v>9068.0</v>
      </c>
      <c r="B700" s="16" t="s">
        <v>7407</v>
      </c>
      <c r="C700" s="17" t="s">
        <v>7408</v>
      </c>
      <c r="D700" s="29" t="s">
        <v>7407</v>
      </c>
      <c r="E700" s="18" t="s">
        <v>3241</v>
      </c>
      <c r="F700" s="19" t="str">
        <f t="shared" si="1"/>
        <v>XIAKL3</v>
      </c>
      <c r="G700" s="19" t="s">
        <v>5408</v>
      </c>
      <c r="H700" s="20" t="s">
        <v>3045</v>
      </c>
      <c r="I700" s="19" t="s">
        <v>5409</v>
      </c>
      <c r="J700" s="19" t="s">
        <v>5410</v>
      </c>
      <c r="K700" s="21" t="s">
        <v>5411</v>
      </c>
      <c r="L700" s="20" t="s">
        <v>5683</v>
      </c>
      <c r="M700" s="16" t="s">
        <v>3240</v>
      </c>
      <c r="N700" s="18"/>
      <c r="O700" s="18"/>
      <c r="P700" s="18">
        <f>VLOOKUP($A700,MasterData!$C$1:$I$3001,1,FALSE)</f>
        <v>9068</v>
      </c>
      <c r="Q700" s="18" t="str">
        <f t="shared" si="2"/>
        <v>XIAKL3</v>
      </c>
    </row>
    <row r="701" ht="15.75" customHeight="1">
      <c r="A701" s="15">
        <v>9074.0</v>
      </c>
      <c r="B701" s="16" t="s">
        <v>7409</v>
      </c>
      <c r="C701" s="17" t="s">
        <v>7410</v>
      </c>
      <c r="D701" s="29" t="s">
        <v>7409</v>
      </c>
      <c r="E701" s="18" t="s">
        <v>3243</v>
      </c>
      <c r="F701" s="19" t="str">
        <f t="shared" si="1"/>
        <v>XIAKL3</v>
      </c>
      <c r="G701" s="19" t="s">
        <v>5408</v>
      </c>
      <c r="H701" s="20" t="s">
        <v>3045</v>
      </c>
      <c r="I701" s="19" t="s">
        <v>5409</v>
      </c>
      <c r="J701" s="19" t="s">
        <v>5410</v>
      </c>
      <c r="K701" s="21" t="s">
        <v>5411</v>
      </c>
      <c r="L701" s="20" t="s">
        <v>5683</v>
      </c>
      <c r="M701" s="16" t="s">
        <v>3242</v>
      </c>
      <c r="N701" s="18"/>
      <c r="O701" s="18"/>
      <c r="P701" s="18">
        <f>VLOOKUP($A701,MasterData!$C$1:$I$3001,1,FALSE)</f>
        <v>9074</v>
      </c>
      <c r="Q701" s="18" t="str">
        <f t="shared" si="2"/>
        <v>XIAKL3</v>
      </c>
    </row>
    <row r="702" ht="15.75" customHeight="1">
      <c r="A702" s="15">
        <v>9081.0</v>
      </c>
      <c r="B702" s="16" t="s">
        <v>7411</v>
      </c>
      <c r="C702" s="17" t="s">
        <v>7412</v>
      </c>
      <c r="D702" s="29" t="s">
        <v>7411</v>
      </c>
      <c r="E702" s="18" t="s">
        <v>3245</v>
      </c>
      <c r="F702" s="19" t="str">
        <f t="shared" si="1"/>
        <v>XIAKL3</v>
      </c>
      <c r="G702" s="19" t="s">
        <v>5408</v>
      </c>
      <c r="H702" s="20" t="s">
        <v>3045</v>
      </c>
      <c r="I702" s="19" t="s">
        <v>5409</v>
      </c>
      <c r="J702" s="19" t="s">
        <v>5410</v>
      </c>
      <c r="K702" s="21" t="s">
        <v>5411</v>
      </c>
      <c r="L702" s="20" t="s">
        <v>5683</v>
      </c>
      <c r="M702" s="16" t="s">
        <v>3244</v>
      </c>
      <c r="N702" s="18"/>
      <c r="O702" s="18"/>
      <c r="P702" s="18">
        <f>VLOOKUP($A702,MasterData!$C$1:$I$3001,1,FALSE)</f>
        <v>9081</v>
      </c>
      <c r="Q702" s="18" t="str">
        <f t="shared" si="2"/>
        <v>XIAKL3</v>
      </c>
    </row>
    <row r="703" ht="15.75" customHeight="1">
      <c r="A703" s="15">
        <v>9082.0</v>
      </c>
      <c r="B703" s="16" t="s">
        <v>7413</v>
      </c>
      <c r="C703" s="17" t="s">
        <v>7414</v>
      </c>
      <c r="D703" s="29" t="s">
        <v>7413</v>
      </c>
      <c r="E703" s="18" t="s">
        <v>3247</v>
      </c>
      <c r="F703" s="19" t="str">
        <f t="shared" si="1"/>
        <v>XIAKL3</v>
      </c>
      <c r="G703" s="19" t="s">
        <v>5408</v>
      </c>
      <c r="H703" s="20" t="s">
        <v>3045</v>
      </c>
      <c r="I703" s="19" t="s">
        <v>5409</v>
      </c>
      <c r="J703" s="19" t="s">
        <v>5410</v>
      </c>
      <c r="K703" s="21" t="s">
        <v>5411</v>
      </c>
      <c r="L703" s="20" t="s">
        <v>5683</v>
      </c>
      <c r="M703" s="16" t="s">
        <v>3246</v>
      </c>
      <c r="N703" s="18"/>
      <c r="O703" s="18"/>
      <c r="P703" s="18">
        <f>VLOOKUP($A703,MasterData!$C$1:$I$3001,1,FALSE)</f>
        <v>9082</v>
      </c>
      <c r="Q703" s="18" t="str">
        <f t="shared" si="2"/>
        <v>XIAKL3</v>
      </c>
    </row>
    <row r="704" ht="15.75" customHeight="1">
      <c r="A704" s="15">
        <v>9087.0</v>
      </c>
      <c r="B704" s="16" t="s">
        <v>7415</v>
      </c>
      <c r="C704" s="17" t="s">
        <v>7416</v>
      </c>
      <c r="D704" s="29" t="s">
        <v>7415</v>
      </c>
      <c r="E704" s="18" t="s">
        <v>3249</v>
      </c>
      <c r="F704" s="19" t="str">
        <f t="shared" si="1"/>
        <v>XIAKL3</v>
      </c>
      <c r="G704" s="19" t="s">
        <v>5408</v>
      </c>
      <c r="H704" s="20" t="s">
        <v>3045</v>
      </c>
      <c r="I704" s="19" t="s">
        <v>5409</v>
      </c>
      <c r="J704" s="19" t="s">
        <v>5410</v>
      </c>
      <c r="K704" s="21" t="s">
        <v>5411</v>
      </c>
      <c r="L704" s="20" t="s">
        <v>5683</v>
      </c>
      <c r="M704" s="16" t="s">
        <v>3248</v>
      </c>
      <c r="N704" s="18"/>
      <c r="O704" s="18"/>
      <c r="P704" s="18">
        <f>VLOOKUP($A704,MasterData!$C$1:$I$3001,1,FALSE)</f>
        <v>9087</v>
      </c>
      <c r="Q704" s="18" t="str">
        <f t="shared" si="2"/>
        <v>XIAKL3</v>
      </c>
    </row>
    <row r="705" ht="15.75" customHeight="1">
      <c r="A705" s="15">
        <v>9136.0</v>
      </c>
      <c r="B705" s="16" t="s">
        <v>7417</v>
      </c>
      <c r="C705" s="17" t="s">
        <v>7418</v>
      </c>
      <c r="D705" s="29" t="s">
        <v>7417</v>
      </c>
      <c r="E705" s="18" t="s">
        <v>3251</v>
      </c>
      <c r="F705" s="19" t="str">
        <f t="shared" si="1"/>
        <v>XIAKL3</v>
      </c>
      <c r="G705" s="19" t="s">
        <v>5408</v>
      </c>
      <c r="H705" s="20" t="s">
        <v>3045</v>
      </c>
      <c r="I705" s="19" t="s">
        <v>5409</v>
      </c>
      <c r="J705" s="19" t="s">
        <v>5410</v>
      </c>
      <c r="K705" s="21" t="s">
        <v>5411</v>
      </c>
      <c r="L705" s="20" t="s">
        <v>5683</v>
      </c>
      <c r="M705" s="16" t="s">
        <v>3250</v>
      </c>
      <c r="N705" s="18"/>
      <c r="O705" s="18"/>
      <c r="P705" s="18">
        <f>VLOOKUP($A705,MasterData!$C$1:$I$3001,1,FALSE)</f>
        <v>9136</v>
      </c>
      <c r="Q705" s="18" t="str">
        <f t="shared" si="2"/>
        <v>XIAKL3</v>
      </c>
    </row>
    <row r="706" ht="15.75" customHeight="1">
      <c r="A706" s="15">
        <v>9151.0</v>
      </c>
      <c r="B706" s="16" t="s">
        <v>7419</v>
      </c>
      <c r="C706" s="17" t="s">
        <v>7420</v>
      </c>
      <c r="D706" s="29" t="s">
        <v>7419</v>
      </c>
      <c r="E706" s="18" t="s">
        <v>3253</v>
      </c>
      <c r="F706" s="19" t="str">
        <f t="shared" si="1"/>
        <v>XIAKL3</v>
      </c>
      <c r="G706" s="19" t="s">
        <v>5408</v>
      </c>
      <c r="H706" s="20" t="s">
        <v>3045</v>
      </c>
      <c r="I706" s="19" t="s">
        <v>5409</v>
      </c>
      <c r="J706" s="19" t="s">
        <v>5410</v>
      </c>
      <c r="K706" s="21" t="s">
        <v>5411</v>
      </c>
      <c r="L706" s="20" t="s">
        <v>5683</v>
      </c>
      <c r="M706" s="16" t="s">
        <v>3252</v>
      </c>
      <c r="N706" s="18"/>
      <c r="O706" s="18"/>
      <c r="P706" s="18">
        <f>VLOOKUP($A706,MasterData!$C$1:$I$3001,1,FALSE)</f>
        <v>9151</v>
      </c>
      <c r="Q706" s="18" t="str">
        <f t="shared" si="2"/>
        <v>XIAKL3</v>
      </c>
    </row>
    <row r="707" ht="15.75" customHeight="1">
      <c r="A707" s="15">
        <v>9175.0</v>
      </c>
      <c r="B707" s="16" t="s">
        <v>7421</v>
      </c>
      <c r="C707" s="17" t="s">
        <v>7422</v>
      </c>
      <c r="D707" s="29" t="s">
        <v>7421</v>
      </c>
      <c r="E707" s="18" t="s">
        <v>3255</v>
      </c>
      <c r="F707" s="19" t="str">
        <f t="shared" si="1"/>
        <v>XIAKL3</v>
      </c>
      <c r="G707" s="19" t="s">
        <v>5408</v>
      </c>
      <c r="H707" s="20" t="s">
        <v>3045</v>
      </c>
      <c r="I707" s="19" t="s">
        <v>5409</v>
      </c>
      <c r="J707" s="19" t="s">
        <v>5410</v>
      </c>
      <c r="K707" s="21" t="s">
        <v>5411</v>
      </c>
      <c r="L707" s="20" t="s">
        <v>5683</v>
      </c>
      <c r="M707" s="16" t="s">
        <v>3254</v>
      </c>
      <c r="N707" s="18"/>
      <c r="O707" s="18"/>
      <c r="P707" s="18">
        <f>VLOOKUP($A707,MasterData!$C$1:$I$3001,1,FALSE)</f>
        <v>9175</v>
      </c>
      <c r="Q707" s="18" t="str">
        <f t="shared" si="2"/>
        <v>XIAKL3</v>
      </c>
    </row>
    <row r="708" ht="15.75" customHeight="1">
      <c r="A708" s="15">
        <v>9178.0</v>
      </c>
      <c r="B708" s="16" t="s">
        <v>7423</v>
      </c>
      <c r="C708" s="17" t="s">
        <v>7424</v>
      </c>
      <c r="D708" s="29" t="s">
        <v>7423</v>
      </c>
      <c r="E708" s="18" t="s">
        <v>3257</v>
      </c>
      <c r="F708" s="19" t="str">
        <f t="shared" si="1"/>
        <v>XIAKL3</v>
      </c>
      <c r="G708" s="19" t="s">
        <v>5408</v>
      </c>
      <c r="H708" s="20" t="s">
        <v>3045</v>
      </c>
      <c r="I708" s="19" t="s">
        <v>5409</v>
      </c>
      <c r="J708" s="19" t="s">
        <v>5410</v>
      </c>
      <c r="K708" s="21" t="s">
        <v>5411</v>
      </c>
      <c r="L708" s="20" t="s">
        <v>5683</v>
      </c>
      <c r="M708" s="16" t="s">
        <v>3256</v>
      </c>
      <c r="N708" s="18"/>
      <c r="O708" s="18"/>
      <c r="P708" s="18">
        <f>VLOOKUP($A708,MasterData!$C$1:$I$3001,1,FALSE)</f>
        <v>9178</v>
      </c>
      <c r="Q708" s="18" t="str">
        <f t="shared" si="2"/>
        <v>XIAKL3</v>
      </c>
    </row>
    <row r="709" ht="15.75" customHeight="1">
      <c r="A709" s="15">
        <v>9217.0</v>
      </c>
      <c r="B709" s="16" t="s">
        <v>7425</v>
      </c>
      <c r="C709" s="17" t="s">
        <v>7426</v>
      </c>
      <c r="D709" s="29" t="s">
        <v>7425</v>
      </c>
      <c r="E709" s="18" t="s">
        <v>3259</v>
      </c>
      <c r="F709" s="19" t="str">
        <f t="shared" si="1"/>
        <v>XIAKL3</v>
      </c>
      <c r="G709" s="19" t="s">
        <v>5408</v>
      </c>
      <c r="H709" s="20" t="s">
        <v>3045</v>
      </c>
      <c r="I709" s="19" t="s">
        <v>5409</v>
      </c>
      <c r="J709" s="19" t="s">
        <v>5410</v>
      </c>
      <c r="K709" s="21" t="s">
        <v>5411</v>
      </c>
      <c r="L709" s="20" t="s">
        <v>5683</v>
      </c>
      <c r="M709" s="16" t="s">
        <v>3258</v>
      </c>
      <c r="N709" s="18"/>
      <c r="O709" s="18"/>
      <c r="P709" s="18">
        <f>VLOOKUP($A709,MasterData!$C$1:$I$3001,1,FALSE)</f>
        <v>9217</v>
      </c>
      <c r="Q709" s="18" t="str">
        <f t="shared" si="2"/>
        <v>XIAKL3</v>
      </c>
    </row>
    <row r="710" ht="15.75" customHeight="1">
      <c r="A710" s="15">
        <v>8651.0</v>
      </c>
      <c r="B710" s="16" t="s">
        <v>7427</v>
      </c>
      <c r="C710" s="17" t="s">
        <v>7428</v>
      </c>
      <c r="D710" s="29" t="s">
        <v>7427</v>
      </c>
      <c r="E710" s="18" t="s">
        <v>3261</v>
      </c>
      <c r="F710" s="19" t="str">
        <f t="shared" si="1"/>
        <v>XIAKL4</v>
      </c>
      <c r="G710" s="19" t="s">
        <v>5408</v>
      </c>
      <c r="H710" s="20" t="s">
        <v>3045</v>
      </c>
      <c r="I710" s="19" t="s">
        <v>5409</v>
      </c>
      <c r="J710" s="19" t="s">
        <v>5410</v>
      </c>
      <c r="K710" s="21" t="s">
        <v>5411</v>
      </c>
      <c r="L710" s="20" t="s">
        <v>5789</v>
      </c>
      <c r="M710" s="16" t="s">
        <v>3260</v>
      </c>
      <c r="N710" s="18"/>
      <c r="O710" s="18"/>
      <c r="P710" s="18">
        <f>VLOOKUP($A710,MasterData!$C$1:$I$3001,1,FALSE)</f>
        <v>8651</v>
      </c>
      <c r="Q710" s="18" t="str">
        <f t="shared" si="2"/>
        <v>XIAKL4</v>
      </c>
    </row>
    <row r="711" ht="15.75" customHeight="1">
      <c r="A711" s="15">
        <v>8699.0</v>
      </c>
      <c r="B711" s="16" t="s">
        <v>7429</v>
      </c>
      <c r="C711" s="17" t="s">
        <v>7430</v>
      </c>
      <c r="D711" s="29" t="s">
        <v>7429</v>
      </c>
      <c r="E711" s="18" t="s">
        <v>3263</v>
      </c>
      <c r="F711" s="19" t="str">
        <f t="shared" si="1"/>
        <v>XIAKL4</v>
      </c>
      <c r="G711" s="19" t="s">
        <v>5408</v>
      </c>
      <c r="H711" s="20" t="s">
        <v>3045</v>
      </c>
      <c r="I711" s="19" t="s">
        <v>5409</v>
      </c>
      <c r="J711" s="19" t="s">
        <v>5410</v>
      </c>
      <c r="K711" s="21" t="s">
        <v>5411</v>
      </c>
      <c r="L711" s="20" t="s">
        <v>5789</v>
      </c>
      <c r="M711" s="16" t="s">
        <v>3262</v>
      </c>
      <c r="N711" s="18"/>
      <c r="O711" s="18"/>
      <c r="P711" s="18">
        <f>VLOOKUP($A711,MasterData!$C$1:$I$3001,1,FALSE)</f>
        <v>8699</v>
      </c>
      <c r="Q711" s="18" t="str">
        <f t="shared" si="2"/>
        <v>XIAKL4</v>
      </c>
    </row>
    <row r="712" ht="15.75" customHeight="1">
      <c r="A712" s="15">
        <v>8706.0</v>
      </c>
      <c r="B712" s="16" t="s">
        <v>7431</v>
      </c>
      <c r="C712" s="17" t="s">
        <v>7432</v>
      </c>
      <c r="D712" s="29" t="s">
        <v>7431</v>
      </c>
      <c r="E712" s="18" t="s">
        <v>3265</v>
      </c>
      <c r="F712" s="19" t="str">
        <f t="shared" si="1"/>
        <v>XIAKL4</v>
      </c>
      <c r="G712" s="19" t="s">
        <v>5408</v>
      </c>
      <c r="H712" s="20" t="s">
        <v>3045</v>
      </c>
      <c r="I712" s="19" t="s">
        <v>5409</v>
      </c>
      <c r="J712" s="19" t="s">
        <v>5410</v>
      </c>
      <c r="K712" s="21" t="s">
        <v>5411</v>
      </c>
      <c r="L712" s="20" t="s">
        <v>5789</v>
      </c>
      <c r="M712" s="16" t="s">
        <v>3264</v>
      </c>
      <c r="N712" s="18"/>
      <c r="O712" s="18"/>
      <c r="P712" s="18">
        <f>VLOOKUP($A712,MasterData!$C$1:$I$3001,1,FALSE)</f>
        <v>8706</v>
      </c>
      <c r="Q712" s="18" t="str">
        <f t="shared" si="2"/>
        <v>XIAKL4</v>
      </c>
    </row>
    <row r="713" ht="15.75" customHeight="1">
      <c r="A713" s="15">
        <v>8710.0</v>
      </c>
      <c r="B713" s="16" t="s">
        <v>7433</v>
      </c>
      <c r="C713" s="17" t="s">
        <v>7434</v>
      </c>
      <c r="D713" s="29" t="s">
        <v>7433</v>
      </c>
      <c r="E713" s="18" t="s">
        <v>3195</v>
      </c>
      <c r="F713" s="19" t="str">
        <f t="shared" si="1"/>
        <v>XIAKL4</v>
      </c>
      <c r="G713" s="19" t="s">
        <v>5408</v>
      </c>
      <c r="H713" s="20" t="s">
        <v>3045</v>
      </c>
      <c r="I713" s="19" t="s">
        <v>5409</v>
      </c>
      <c r="J713" s="19" t="s">
        <v>5410</v>
      </c>
      <c r="K713" s="21" t="s">
        <v>5411</v>
      </c>
      <c r="L713" s="20" t="s">
        <v>5789</v>
      </c>
      <c r="M713" s="16" t="s">
        <v>3266</v>
      </c>
      <c r="N713" s="18"/>
      <c r="O713" s="18"/>
      <c r="P713" s="18">
        <f>VLOOKUP($A713,MasterData!$C$1:$I$3001,1,FALSE)</f>
        <v>8710</v>
      </c>
      <c r="Q713" s="18" t="str">
        <f t="shared" si="2"/>
        <v>XIAKL4</v>
      </c>
    </row>
    <row r="714" ht="15.75" customHeight="1">
      <c r="A714" s="15">
        <v>8724.0</v>
      </c>
      <c r="B714" s="16" t="s">
        <v>7435</v>
      </c>
      <c r="C714" s="17" t="s">
        <v>7436</v>
      </c>
      <c r="D714" s="29" t="s">
        <v>7435</v>
      </c>
      <c r="E714" s="18" t="s">
        <v>3268</v>
      </c>
      <c r="F714" s="19" t="str">
        <f t="shared" si="1"/>
        <v>XIAKL4</v>
      </c>
      <c r="G714" s="19" t="s">
        <v>5408</v>
      </c>
      <c r="H714" s="20" t="s">
        <v>3045</v>
      </c>
      <c r="I714" s="19" t="s">
        <v>5409</v>
      </c>
      <c r="J714" s="19" t="s">
        <v>5410</v>
      </c>
      <c r="K714" s="21" t="s">
        <v>5411</v>
      </c>
      <c r="L714" s="20" t="s">
        <v>5789</v>
      </c>
      <c r="M714" s="16" t="s">
        <v>3267</v>
      </c>
      <c r="N714" s="18"/>
      <c r="O714" s="18"/>
      <c r="P714" s="18">
        <f>VLOOKUP($A714,MasterData!$C$1:$I$3001,1,FALSE)</f>
        <v>8724</v>
      </c>
      <c r="Q714" s="18" t="str">
        <f t="shared" si="2"/>
        <v>XIAKL4</v>
      </c>
    </row>
    <row r="715" ht="15.75" customHeight="1">
      <c r="A715" s="15">
        <v>8727.0</v>
      </c>
      <c r="B715" s="16" t="s">
        <v>7437</v>
      </c>
      <c r="C715" s="17" t="s">
        <v>7438</v>
      </c>
      <c r="D715" s="29" t="s">
        <v>7437</v>
      </c>
      <c r="E715" s="18" t="s">
        <v>3270</v>
      </c>
      <c r="F715" s="19" t="str">
        <f t="shared" si="1"/>
        <v>XIAKL4</v>
      </c>
      <c r="G715" s="19" t="s">
        <v>5408</v>
      </c>
      <c r="H715" s="20" t="s">
        <v>3045</v>
      </c>
      <c r="I715" s="19" t="s">
        <v>5409</v>
      </c>
      <c r="J715" s="19" t="s">
        <v>5410</v>
      </c>
      <c r="K715" s="21" t="s">
        <v>5411</v>
      </c>
      <c r="L715" s="20" t="s">
        <v>5789</v>
      </c>
      <c r="M715" s="16" t="s">
        <v>3269</v>
      </c>
      <c r="N715" s="18"/>
      <c r="O715" s="18"/>
      <c r="P715" s="18">
        <f>VLOOKUP($A715,MasterData!$C$1:$I$3001,1,FALSE)</f>
        <v>8727</v>
      </c>
      <c r="Q715" s="18" t="str">
        <f t="shared" si="2"/>
        <v>XIAKL4</v>
      </c>
    </row>
    <row r="716" ht="15.75" customHeight="1">
      <c r="A716" s="15">
        <v>8731.0</v>
      </c>
      <c r="B716" s="16" t="s">
        <v>7439</v>
      </c>
      <c r="C716" s="17" t="s">
        <v>7440</v>
      </c>
      <c r="D716" s="29" t="s">
        <v>7439</v>
      </c>
      <c r="E716" s="18" t="s">
        <v>3272</v>
      </c>
      <c r="F716" s="19" t="str">
        <f t="shared" si="1"/>
        <v>XIAKL4</v>
      </c>
      <c r="G716" s="19" t="s">
        <v>5408</v>
      </c>
      <c r="H716" s="20" t="s">
        <v>3045</v>
      </c>
      <c r="I716" s="19" t="s">
        <v>5409</v>
      </c>
      <c r="J716" s="19" t="s">
        <v>5410</v>
      </c>
      <c r="K716" s="21" t="s">
        <v>5411</v>
      </c>
      <c r="L716" s="20" t="s">
        <v>5789</v>
      </c>
      <c r="M716" s="16" t="s">
        <v>3271</v>
      </c>
      <c r="N716" s="18"/>
      <c r="O716" s="18"/>
      <c r="P716" s="18">
        <f>VLOOKUP($A716,MasterData!$C$1:$I$3001,1,FALSE)</f>
        <v>8731</v>
      </c>
      <c r="Q716" s="18" t="str">
        <f t="shared" si="2"/>
        <v>XIAKL4</v>
      </c>
    </row>
    <row r="717" ht="15.75" customHeight="1">
      <c r="A717" s="15">
        <v>8774.0</v>
      </c>
      <c r="B717" s="16" t="s">
        <v>7441</v>
      </c>
      <c r="C717" s="17" t="s">
        <v>7442</v>
      </c>
      <c r="D717" s="29" t="s">
        <v>7441</v>
      </c>
      <c r="E717" s="18" t="s">
        <v>3274</v>
      </c>
      <c r="F717" s="19" t="str">
        <f t="shared" si="1"/>
        <v>XIAKL4</v>
      </c>
      <c r="G717" s="19" t="s">
        <v>5408</v>
      </c>
      <c r="H717" s="20" t="s">
        <v>3045</v>
      </c>
      <c r="I717" s="19" t="s">
        <v>5409</v>
      </c>
      <c r="J717" s="19" t="s">
        <v>5410</v>
      </c>
      <c r="K717" s="21" t="s">
        <v>5411</v>
      </c>
      <c r="L717" s="20" t="s">
        <v>5789</v>
      </c>
      <c r="M717" s="16" t="s">
        <v>3273</v>
      </c>
      <c r="N717" s="18"/>
      <c r="O717" s="18"/>
      <c r="P717" s="18">
        <f>VLOOKUP($A717,MasterData!$C$1:$I$3001,1,FALSE)</f>
        <v>8774</v>
      </c>
      <c r="Q717" s="18" t="str">
        <f t="shared" si="2"/>
        <v>XIAKL4</v>
      </c>
    </row>
    <row r="718" ht="15.75" customHeight="1">
      <c r="A718" s="15">
        <v>8815.0</v>
      </c>
      <c r="B718" s="16" t="s">
        <v>7443</v>
      </c>
      <c r="C718" s="17" t="s">
        <v>7444</v>
      </c>
      <c r="D718" s="29" t="s">
        <v>7443</v>
      </c>
      <c r="E718" s="18" t="s">
        <v>3276</v>
      </c>
      <c r="F718" s="19" t="str">
        <f t="shared" si="1"/>
        <v>XIAKL4</v>
      </c>
      <c r="G718" s="19" t="s">
        <v>5408</v>
      </c>
      <c r="H718" s="20" t="s">
        <v>3045</v>
      </c>
      <c r="I718" s="19" t="s">
        <v>5409</v>
      </c>
      <c r="J718" s="19" t="s">
        <v>5410</v>
      </c>
      <c r="K718" s="21" t="s">
        <v>5411</v>
      </c>
      <c r="L718" s="20" t="s">
        <v>5789</v>
      </c>
      <c r="M718" s="16" t="s">
        <v>3275</v>
      </c>
      <c r="N718" s="18"/>
      <c r="O718" s="18"/>
      <c r="P718" s="18">
        <f>VLOOKUP($A718,MasterData!$C$1:$I$3001,1,FALSE)</f>
        <v>8815</v>
      </c>
      <c r="Q718" s="18" t="str">
        <f t="shared" si="2"/>
        <v>XIAKL4</v>
      </c>
    </row>
    <row r="719" ht="15.75" customHeight="1">
      <c r="A719" s="15">
        <v>8870.0</v>
      </c>
      <c r="B719" s="16" t="s">
        <v>7445</v>
      </c>
      <c r="C719" s="17" t="s">
        <v>7446</v>
      </c>
      <c r="D719" s="29" t="s">
        <v>7445</v>
      </c>
      <c r="E719" s="18" t="s">
        <v>3278</v>
      </c>
      <c r="F719" s="19" t="str">
        <f t="shared" si="1"/>
        <v>XIAKL4</v>
      </c>
      <c r="G719" s="19" t="s">
        <v>5408</v>
      </c>
      <c r="H719" s="20" t="s">
        <v>3045</v>
      </c>
      <c r="I719" s="19" t="s">
        <v>5409</v>
      </c>
      <c r="J719" s="19" t="s">
        <v>5410</v>
      </c>
      <c r="K719" s="21" t="s">
        <v>5411</v>
      </c>
      <c r="L719" s="20" t="s">
        <v>5789</v>
      </c>
      <c r="M719" s="16" t="s">
        <v>3277</v>
      </c>
      <c r="N719" s="18"/>
      <c r="O719" s="18"/>
      <c r="P719" s="18">
        <f>VLOOKUP($A719,MasterData!$C$1:$I$3001,1,FALSE)</f>
        <v>8870</v>
      </c>
      <c r="Q719" s="18" t="str">
        <f t="shared" si="2"/>
        <v>XIAKL4</v>
      </c>
    </row>
    <row r="720" ht="15.75" customHeight="1">
      <c r="A720" s="15">
        <v>8904.0</v>
      </c>
      <c r="B720" s="16" t="s">
        <v>7447</v>
      </c>
      <c r="C720" s="17" t="s">
        <v>7448</v>
      </c>
      <c r="D720" s="29" t="s">
        <v>7447</v>
      </c>
      <c r="E720" s="18" t="s">
        <v>3280</v>
      </c>
      <c r="F720" s="19" t="str">
        <f t="shared" si="1"/>
        <v>XIAKL4</v>
      </c>
      <c r="G720" s="19" t="s">
        <v>5408</v>
      </c>
      <c r="H720" s="20" t="s">
        <v>3045</v>
      </c>
      <c r="I720" s="19" t="s">
        <v>5409</v>
      </c>
      <c r="J720" s="19" t="s">
        <v>5410</v>
      </c>
      <c r="K720" s="21" t="s">
        <v>5411</v>
      </c>
      <c r="L720" s="20" t="s">
        <v>5789</v>
      </c>
      <c r="M720" s="16" t="s">
        <v>3279</v>
      </c>
      <c r="N720" s="18"/>
      <c r="O720" s="18"/>
      <c r="P720" s="18">
        <f>VLOOKUP($A720,MasterData!$C$1:$I$3001,1,FALSE)</f>
        <v>8904</v>
      </c>
      <c r="Q720" s="18" t="str">
        <f t="shared" si="2"/>
        <v>XIAKL4</v>
      </c>
    </row>
    <row r="721" ht="15.75" customHeight="1">
      <c r="A721" s="15">
        <v>8922.0</v>
      </c>
      <c r="B721" s="16" t="s">
        <v>7449</v>
      </c>
      <c r="C721" s="17" t="s">
        <v>7450</v>
      </c>
      <c r="D721" s="29" t="s">
        <v>7449</v>
      </c>
      <c r="E721" s="18" t="s">
        <v>3282</v>
      </c>
      <c r="F721" s="19" t="str">
        <f t="shared" si="1"/>
        <v>XIAKL4</v>
      </c>
      <c r="G721" s="19" t="s">
        <v>5408</v>
      </c>
      <c r="H721" s="20" t="s">
        <v>3045</v>
      </c>
      <c r="I721" s="19" t="s">
        <v>5409</v>
      </c>
      <c r="J721" s="19" t="s">
        <v>5410</v>
      </c>
      <c r="K721" s="21" t="s">
        <v>5411</v>
      </c>
      <c r="L721" s="20" t="s">
        <v>5789</v>
      </c>
      <c r="M721" s="16" t="s">
        <v>3281</v>
      </c>
      <c r="N721" s="18"/>
      <c r="O721" s="18"/>
      <c r="P721" s="18">
        <f>VLOOKUP($A721,MasterData!$C$1:$I$3001,1,FALSE)</f>
        <v>8922</v>
      </c>
      <c r="Q721" s="18" t="str">
        <f t="shared" si="2"/>
        <v>XIAKL4</v>
      </c>
    </row>
    <row r="722" ht="15.75" customHeight="1">
      <c r="A722" s="15">
        <v>8923.0</v>
      </c>
      <c r="B722" s="16" t="s">
        <v>7451</v>
      </c>
      <c r="C722" s="17" t="s">
        <v>7452</v>
      </c>
      <c r="D722" s="29" t="s">
        <v>7451</v>
      </c>
      <c r="E722" s="18" t="s">
        <v>3284</v>
      </c>
      <c r="F722" s="19" t="str">
        <f t="shared" si="1"/>
        <v>XIAKL4</v>
      </c>
      <c r="G722" s="19" t="s">
        <v>5408</v>
      </c>
      <c r="H722" s="20" t="s">
        <v>3045</v>
      </c>
      <c r="I722" s="19" t="s">
        <v>5409</v>
      </c>
      <c r="J722" s="19" t="s">
        <v>5410</v>
      </c>
      <c r="K722" s="21" t="s">
        <v>5411</v>
      </c>
      <c r="L722" s="20" t="s">
        <v>5789</v>
      </c>
      <c r="M722" s="16" t="s">
        <v>3283</v>
      </c>
      <c r="N722" s="18"/>
      <c r="O722" s="18"/>
      <c r="P722" s="18">
        <f>VLOOKUP($A722,MasterData!$C$1:$I$3001,1,FALSE)</f>
        <v>8923</v>
      </c>
      <c r="Q722" s="18" t="str">
        <f t="shared" si="2"/>
        <v>XIAKL4</v>
      </c>
    </row>
    <row r="723" ht="15.75" customHeight="1">
      <c r="A723" s="15">
        <v>8929.0</v>
      </c>
      <c r="B723" s="16" t="s">
        <v>7453</v>
      </c>
      <c r="C723" s="17" t="s">
        <v>7454</v>
      </c>
      <c r="D723" s="29" t="s">
        <v>7453</v>
      </c>
      <c r="E723" s="18" t="s">
        <v>3286</v>
      </c>
      <c r="F723" s="19" t="str">
        <f t="shared" si="1"/>
        <v>XIAKL4</v>
      </c>
      <c r="G723" s="19" t="s">
        <v>5408</v>
      </c>
      <c r="H723" s="20" t="s">
        <v>3045</v>
      </c>
      <c r="I723" s="19" t="s">
        <v>5409</v>
      </c>
      <c r="J723" s="19" t="s">
        <v>5410</v>
      </c>
      <c r="K723" s="21" t="s">
        <v>5411</v>
      </c>
      <c r="L723" s="20" t="s">
        <v>5789</v>
      </c>
      <c r="M723" s="16" t="s">
        <v>3285</v>
      </c>
      <c r="N723" s="18"/>
      <c r="O723" s="18"/>
      <c r="P723" s="18">
        <f>VLOOKUP($A723,MasterData!$C$1:$I$3001,1,FALSE)</f>
        <v>8929</v>
      </c>
      <c r="Q723" s="18" t="str">
        <f t="shared" si="2"/>
        <v>XIAKL4</v>
      </c>
    </row>
    <row r="724" ht="15.75" customHeight="1">
      <c r="A724" s="15">
        <v>8930.0</v>
      </c>
      <c r="B724" s="16" t="s">
        <v>7455</v>
      </c>
      <c r="C724" s="17" t="s">
        <v>7456</v>
      </c>
      <c r="D724" s="29" t="s">
        <v>7455</v>
      </c>
      <c r="E724" s="18" t="s">
        <v>3288</v>
      </c>
      <c r="F724" s="19" t="str">
        <f t="shared" si="1"/>
        <v>XIAKL4</v>
      </c>
      <c r="G724" s="19" t="s">
        <v>5408</v>
      </c>
      <c r="H724" s="20" t="s">
        <v>3045</v>
      </c>
      <c r="I724" s="19" t="s">
        <v>5409</v>
      </c>
      <c r="J724" s="19" t="s">
        <v>5410</v>
      </c>
      <c r="K724" s="21" t="s">
        <v>5411</v>
      </c>
      <c r="L724" s="20" t="s">
        <v>5789</v>
      </c>
      <c r="M724" s="16" t="s">
        <v>3287</v>
      </c>
      <c r="N724" s="18"/>
      <c r="O724" s="18"/>
      <c r="P724" s="18">
        <f>VLOOKUP($A724,MasterData!$C$1:$I$3001,1,FALSE)</f>
        <v>8930</v>
      </c>
      <c r="Q724" s="18" t="str">
        <f t="shared" si="2"/>
        <v>XIAKL4</v>
      </c>
    </row>
    <row r="725" ht="15.75" customHeight="1">
      <c r="A725" s="15">
        <v>8950.0</v>
      </c>
      <c r="B725" s="16" t="s">
        <v>7457</v>
      </c>
      <c r="C725" s="17" t="s">
        <v>7458</v>
      </c>
      <c r="D725" s="29" t="s">
        <v>7457</v>
      </c>
      <c r="E725" s="18" t="s">
        <v>3290</v>
      </c>
      <c r="F725" s="19" t="str">
        <f t="shared" si="1"/>
        <v>XIAKL4</v>
      </c>
      <c r="G725" s="19" t="s">
        <v>5408</v>
      </c>
      <c r="H725" s="20" t="s">
        <v>3045</v>
      </c>
      <c r="I725" s="19" t="s">
        <v>5409</v>
      </c>
      <c r="J725" s="19" t="s">
        <v>5410</v>
      </c>
      <c r="K725" s="21" t="s">
        <v>5411</v>
      </c>
      <c r="L725" s="20" t="s">
        <v>5789</v>
      </c>
      <c r="M725" s="16" t="s">
        <v>3289</v>
      </c>
      <c r="N725" s="18"/>
      <c r="O725" s="18"/>
      <c r="P725" s="18">
        <f>VLOOKUP($A725,MasterData!$C$1:$I$3001,1,FALSE)</f>
        <v>8950</v>
      </c>
      <c r="Q725" s="18" t="str">
        <f t="shared" si="2"/>
        <v>XIAKL4</v>
      </c>
    </row>
    <row r="726" ht="15.75" customHeight="1">
      <c r="A726" s="15">
        <v>8967.0</v>
      </c>
      <c r="B726" s="16" t="s">
        <v>7459</v>
      </c>
      <c r="C726" s="17" t="s">
        <v>7460</v>
      </c>
      <c r="D726" s="29" t="s">
        <v>7459</v>
      </c>
      <c r="E726" s="18" t="s">
        <v>3292</v>
      </c>
      <c r="F726" s="19" t="str">
        <f t="shared" si="1"/>
        <v>XIAKL4</v>
      </c>
      <c r="G726" s="19" t="s">
        <v>5408</v>
      </c>
      <c r="H726" s="20" t="s">
        <v>3045</v>
      </c>
      <c r="I726" s="19" t="s">
        <v>5409</v>
      </c>
      <c r="J726" s="19" t="s">
        <v>5410</v>
      </c>
      <c r="K726" s="21" t="s">
        <v>5411</v>
      </c>
      <c r="L726" s="20" t="s">
        <v>5789</v>
      </c>
      <c r="M726" s="16" t="s">
        <v>3291</v>
      </c>
      <c r="N726" s="18"/>
      <c r="O726" s="18"/>
      <c r="P726" s="18">
        <f>VLOOKUP($A726,MasterData!$C$1:$I$3001,1,FALSE)</f>
        <v>8967</v>
      </c>
      <c r="Q726" s="18" t="str">
        <f t="shared" si="2"/>
        <v>XIAKL4</v>
      </c>
    </row>
    <row r="727" ht="15.75" customHeight="1">
      <c r="A727" s="15">
        <v>8977.0</v>
      </c>
      <c r="B727" s="16" t="s">
        <v>7461</v>
      </c>
      <c r="C727" s="17" t="s">
        <v>7462</v>
      </c>
      <c r="D727" s="29" t="s">
        <v>7461</v>
      </c>
      <c r="E727" s="18" t="s">
        <v>3294</v>
      </c>
      <c r="F727" s="19" t="str">
        <f t="shared" si="1"/>
        <v>XIAKL4</v>
      </c>
      <c r="G727" s="19" t="s">
        <v>5408</v>
      </c>
      <c r="H727" s="20" t="s">
        <v>3045</v>
      </c>
      <c r="I727" s="19" t="s">
        <v>5409</v>
      </c>
      <c r="J727" s="19" t="s">
        <v>5410</v>
      </c>
      <c r="K727" s="21" t="s">
        <v>5411</v>
      </c>
      <c r="L727" s="20" t="s">
        <v>5789</v>
      </c>
      <c r="M727" s="16" t="s">
        <v>3293</v>
      </c>
      <c r="N727" s="18"/>
      <c r="O727" s="18"/>
      <c r="P727" s="18">
        <f>VLOOKUP($A727,MasterData!$C$1:$I$3001,1,FALSE)</f>
        <v>8977</v>
      </c>
      <c r="Q727" s="18" t="str">
        <f t="shared" si="2"/>
        <v>XIAKL4</v>
      </c>
    </row>
    <row r="728" ht="15.75" customHeight="1">
      <c r="A728" s="15">
        <v>9032.0</v>
      </c>
      <c r="B728" s="16" t="s">
        <v>7463</v>
      </c>
      <c r="C728" s="30" t="s">
        <v>7464</v>
      </c>
      <c r="D728" s="29" t="s">
        <v>7463</v>
      </c>
      <c r="E728" s="18" t="s">
        <v>3296</v>
      </c>
      <c r="F728" s="19" t="str">
        <f t="shared" si="1"/>
        <v>XIAKL4</v>
      </c>
      <c r="G728" s="19" t="s">
        <v>5408</v>
      </c>
      <c r="H728" s="20" t="s">
        <v>3045</v>
      </c>
      <c r="I728" s="19" t="s">
        <v>5409</v>
      </c>
      <c r="J728" s="19" t="s">
        <v>5410</v>
      </c>
      <c r="K728" s="21" t="s">
        <v>5411</v>
      </c>
      <c r="L728" s="20" t="s">
        <v>5789</v>
      </c>
      <c r="M728" s="16" t="s">
        <v>3295</v>
      </c>
      <c r="N728" s="18"/>
      <c r="O728" s="18"/>
      <c r="P728" s="18">
        <f>VLOOKUP($A728,MasterData!$C$1:$I$3001,1,FALSE)</f>
        <v>9032</v>
      </c>
      <c r="Q728" s="18" t="str">
        <f t="shared" si="2"/>
        <v>XIAKL4</v>
      </c>
    </row>
    <row r="729" ht="15.75" customHeight="1">
      <c r="A729" s="15">
        <v>9067.0</v>
      </c>
      <c r="B729" s="16" t="s">
        <v>7465</v>
      </c>
      <c r="C729" s="17" t="s">
        <v>7466</v>
      </c>
      <c r="D729" s="29" t="s">
        <v>7465</v>
      </c>
      <c r="E729" s="18" t="s">
        <v>3298</v>
      </c>
      <c r="F729" s="19" t="str">
        <f t="shared" si="1"/>
        <v>XIAKL4</v>
      </c>
      <c r="G729" s="19" t="s">
        <v>5408</v>
      </c>
      <c r="H729" s="20" t="s">
        <v>3045</v>
      </c>
      <c r="I729" s="19" t="s">
        <v>5409</v>
      </c>
      <c r="J729" s="19" t="s">
        <v>5410</v>
      </c>
      <c r="K729" s="21" t="s">
        <v>5411</v>
      </c>
      <c r="L729" s="20" t="s">
        <v>5789</v>
      </c>
      <c r="M729" s="16" t="s">
        <v>3297</v>
      </c>
      <c r="N729" s="18"/>
      <c r="O729" s="18"/>
      <c r="P729" s="18">
        <f>VLOOKUP($A729,MasterData!$C$1:$I$3001,1,FALSE)</f>
        <v>9067</v>
      </c>
      <c r="Q729" s="18" t="str">
        <f t="shared" si="2"/>
        <v>XIAKL4</v>
      </c>
    </row>
    <row r="730" ht="15.75" customHeight="1">
      <c r="A730" s="15">
        <v>9073.0</v>
      </c>
      <c r="B730" s="16" t="s">
        <v>7467</v>
      </c>
      <c r="C730" s="17" t="s">
        <v>7468</v>
      </c>
      <c r="D730" s="29" t="s">
        <v>7467</v>
      </c>
      <c r="E730" s="18" t="s">
        <v>3300</v>
      </c>
      <c r="F730" s="19" t="str">
        <f t="shared" si="1"/>
        <v>XIAKL4</v>
      </c>
      <c r="G730" s="19" t="s">
        <v>5408</v>
      </c>
      <c r="H730" s="20" t="s">
        <v>3045</v>
      </c>
      <c r="I730" s="19" t="s">
        <v>5409</v>
      </c>
      <c r="J730" s="19" t="s">
        <v>5410</v>
      </c>
      <c r="K730" s="21" t="s">
        <v>5411</v>
      </c>
      <c r="L730" s="20" t="s">
        <v>5789</v>
      </c>
      <c r="M730" s="16" t="s">
        <v>3299</v>
      </c>
      <c r="N730" s="18"/>
      <c r="O730" s="18"/>
      <c r="P730" s="18">
        <f>VLOOKUP($A730,MasterData!$C$1:$I$3001,1,FALSE)</f>
        <v>9073</v>
      </c>
      <c r="Q730" s="18" t="str">
        <f t="shared" si="2"/>
        <v>XIAKL4</v>
      </c>
    </row>
    <row r="731" ht="15.75" customHeight="1">
      <c r="A731" s="15">
        <v>9080.0</v>
      </c>
      <c r="B731" s="16" t="s">
        <v>7469</v>
      </c>
      <c r="C731" s="17" t="s">
        <v>7470</v>
      </c>
      <c r="D731" s="29" t="s">
        <v>7469</v>
      </c>
      <c r="E731" s="18" t="s">
        <v>3302</v>
      </c>
      <c r="F731" s="19" t="str">
        <f t="shared" si="1"/>
        <v>XIAKL4</v>
      </c>
      <c r="G731" s="19" t="s">
        <v>5408</v>
      </c>
      <c r="H731" s="20" t="s">
        <v>3045</v>
      </c>
      <c r="I731" s="19" t="s">
        <v>5409</v>
      </c>
      <c r="J731" s="19" t="s">
        <v>5410</v>
      </c>
      <c r="K731" s="21" t="s">
        <v>5411</v>
      </c>
      <c r="L731" s="20" t="s">
        <v>5789</v>
      </c>
      <c r="M731" s="16" t="s">
        <v>3301</v>
      </c>
      <c r="N731" s="18"/>
      <c r="O731" s="18"/>
      <c r="P731" s="18">
        <f>VLOOKUP($A731,MasterData!$C$1:$I$3001,1,FALSE)</f>
        <v>9080</v>
      </c>
      <c r="Q731" s="18" t="str">
        <f t="shared" si="2"/>
        <v>XIAKL4</v>
      </c>
    </row>
    <row r="732" ht="15.75" customHeight="1">
      <c r="A732" s="15">
        <v>9086.0</v>
      </c>
      <c r="B732" s="16" t="s">
        <v>7471</v>
      </c>
      <c r="C732" s="17" t="s">
        <v>7472</v>
      </c>
      <c r="D732" s="29" t="s">
        <v>7471</v>
      </c>
      <c r="E732" s="18" t="s">
        <v>3304</v>
      </c>
      <c r="F732" s="19" t="str">
        <f t="shared" si="1"/>
        <v>XIAKL4</v>
      </c>
      <c r="G732" s="19" t="s">
        <v>5408</v>
      </c>
      <c r="H732" s="20" t="s">
        <v>3045</v>
      </c>
      <c r="I732" s="19" t="s">
        <v>5409</v>
      </c>
      <c r="J732" s="19" t="s">
        <v>5410</v>
      </c>
      <c r="K732" s="21" t="s">
        <v>5411</v>
      </c>
      <c r="L732" s="20" t="s">
        <v>5789</v>
      </c>
      <c r="M732" s="16" t="s">
        <v>3303</v>
      </c>
      <c r="N732" s="18"/>
      <c r="O732" s="18"/>
      <c r="P732" s="18">
        <f>VLOOKUP($A732,MasterData!$C$1:$I$3001,1,FALSE)</f>
        <v>9086</v>
      </c>
      <c r="Q732" s="18" t="str">
        <f t="shared" si="2"/>
        <v>XIAKL4</v>
      </c>
    </row>
    <row r="733" ht="15.75" customHeight="1">
      <c r="A733" s="15">
        <v>9093.0</v>
      </c>
      <c r="B733" s="16" t="s">
        <v>7473</v>
      </c>
      <c r="C733" s="17" t="s">
        <v>7474</v>
      </c>
      <c r="D733" s="29" t="s">
        <v>7473</v>
      </c>
      <c r="E733" s="18" t="s">
        <v>3306</v>
      </c>
      <c r="F733" s="19" t="str">
        <f t="shared" si="1"/>
        <v>XIAKL4</v>
      </c>
      <c r="G733" s="19" t="s">
        <v>5408</v>
      </c>
      <c r="H733" s="20" t="s">
        <v>3045</v>
      </c>
      <c r="I733" s="19" t="s">
        <v>5409</v>
      </c>
      <c r="J733" s="19" t="s">
        <v>5410</v>
      </c>
      <c r="K733" s="21" t="s">
        <v>5411</v>
      </c>
      <c r="L733" s="20" t="s">
        <v>5789</v>
      </c>
      <c r="M733" s="16" t="s">
        <v>3305</v>
      </c>
      <c r="N733" s="18"/>
      <c r="O733" s="18"/>
      <c r="P733" s="18">
        <f>VLOOKUP($A733,MasterData!$C$1:$I$3001,1,FALSE)</f>
        <v>9093</v>
      </c>
      <c r="Q733" s="18" t="str">
        <f t="shared" si="2"/>
        <v>XIAKL4</v>
      </c>
    </row>
    <row r="734" ht="15.75" customHeight="1">
      <c r="A734" s="15">
        <v>9107.0</v>
      </c>
      <c r="B734" s="16" t="s">
        <v>7475</v>
      </c>
      <c r="C734" s="17" t="s">
        <v>7476</v>
      </c>
      <c r="D734" s="29" t="s">
        <v>7475</v>
      </c>
      <c r="E734" s="18" t="s">
        <v>3308</v>
      </c>
      <c r="F734" s="19" t="str">
        <f t="shared" si="1"/>
        <v>XIAKL4</v>
      </c>
      <c r="G734" s="19" t="s">
        <v>5408</v>
      </c>
      <c r="H734" s="20" t="s">
        <v>3045</v>
      </c>
      <c r="I734" s="19" t="s">
        <v>5409</v>
      </c>
      <c r="J734" s="19" t="s">
        <v>5410</v>
      </c>
      <c r="K734" s="21" t="s">
        <v>5411</v>
      </c>
      <c r="L734" s="20" t="s">
        <v>5789</v>
      </c>
      <c r="M734" s="16" t="s">
        <v>3307</v>
      </c>
      <c r="N734" s="18"/>
      <c r="O734" s="18"/>
      <c r="P734" s="18">
        <f>VLOOKUP($A734,MasterData!$C$1:$I$3001,1,FALSE)</f>
        <v>9107</v>
      </c>
      <c r="Q734" s="18" t="str">
        <f t="shared" si="2"/>
        <v>XIAKL4</v>
      </c>
    </row>
    <row r="735" ht="15.75" customHeight="1">
      <c r="A735" s="15">
        <v>9132.0</v>
      </c>
      <c r="B735" s="16" t="s">
        <v>7477</v>
      </c>
      <c r="C735" s="17" t="s">
        <v>7478</v>
      </c>
      <c r="D735" s="29" t="s">
        <v>7477</v>
      </c>
      <c r="E735" s="18" t="s">
        <v>3310</v>
      </c>
      <c r="F735" s="19" t="str">
        <f t="shared" si="1"/>
        <v>XIAKL4</v>
      </c>
      <c r="G735" s="19" t="s">
        <v>5408</v>
      </c>
      <c r="H735" s="20" t="s">
        <v>3045</v>
      </c>
      <c r="I735" s="19" t="s">
        <v>5409</v>
      </c>
      <c r="J735" s="19" t="s">
        <v>5410</v>
      </c>
      <c r="K735" s="21" t="s">
        <v>5411</v>
      </c>
      <c r="L735" s="20" t="s">
        <v>5789</v>
      </c>
      <c r="M735" s="16" t="s">
        <v>3309</v>
      </c>
      <c r="N735" s="18"/>
      <c r="O735" s="18"/>
      <c r="P735" s="18">
        <f>VLOOKUP($A735,MasterData!$C$1:$I$3001,1,FALSE)</f>
        <v>9132</v>
      </c>
      <c r="Q735" s="18" t="str">
        <f t="shared" si="2"/>
        <v>XIAKL4</v>
      </c>
    </row>
    <row r="736" ht="15.75" customHeight="1">
      <c r="A736" s="15">
        <v>9154.0</v>
      </c>
      <c r="B736" s="16" t="s">
        <v>7479</v>
      </c>
      <c r="C736" s="17" t="s">
        <v>7480</v>
      </c>
      <c r="D736" s="29" t="s">
        <v>7479</v>
      </c>
      <c r="E736" s="18" t="s">
        <v>3312</v>
      </c>
      <c r="F736" s="19" t="str">
        <f t="shared" si="1"/>
        <v>XIAKL4</v>
      </c>
      <c r="G736" s="19" t="s">
        <v>5408</v>
      </c>
      <c r="H736" s="20" t="s">
        <v>3045</v>
      </c>
      <c r="I736" s="19" t="s">
        <v>5409</v>
      </c>
      <c r="J736" s="19" t="s">
        <v>5410</v>
      </c>
      <c r="K736" s="21" t="s">
        <v>5411</v>
      </c>
      <c r="L736" s="20" t="s">
        <v>5789</v>
      </c>
      <c r="M736" s="16" t="s">
        <v>3311</v>
      </c>
      <c r="N736" s="18"/>
      <c r="O736" s="18"/>
      <c r="P736" s="18">
        <f>VLOOKUP($A736,MasterData!$C$1:$I$3001,1,FALSE)</f>
        <v>9154</v>
      </c>
      <c r="Q736" s="18" t="str">
        <f t="shared" si="2"/>
        <v>XIAKL4</v>
      </c>
    </row>
    <row r="737" ht="15.75" customHeight="1">
      <c r="A737" s="15">
        <v>9155.0</v>
      </c>
      <c r="B737" s="16" t="s">
        <v>7481</v>
      </c>
      <c r="C737" s="17" t="s">
        <v>7482</v>
      </c>
      <c r="D737" s="29" t="s">
        <v>7481</v>
      </c>
      <c r="E737" s="18" t="s">
        <v>3314</v>
      </c>
      <c r="F737" s="19" t="str">
        <f t="shared" si="1"/>
        <v>XIAKL4</v>
      </c>
      <c r="G737" s="19" t="s">
        <v>5408</v>
      </c>
      <c r="H737" s="20" t="s">
        <v>3045</v>
      </c>
      <c r="I737" s="19" t="s">
        <v>5409</v>
      </c>
      <c r="J737" s="19" t="s">
        <v>5410</v>
      </c>
      <c r="K737" s="21" t="s">
        <v>5411</v>
      </c>
      <c r="L737" s="20" t="s">
        <v>5789</v>
      </c>
      <c r="M737" s="16" t="s">
        <v>3313</v>
      </c>
      <c r="N737" s="18"/>
      <c r="O737" s="18"/>
      <c r="P737" s="18">
        <f>VLOOKUP($A737,MasterData!$C$1:$I$3001,1,FALSE)</f>
        <v>9155</v>
      </c>
      <c r="Q737" s="18" t="str">
        <f t="shared" si="2"/>
        <v>XIAKL4</v>
      </c>
    </row>
    <row r="738" ht="15.75" customHeight="1">
      <c r="A738" s="15">
        <v>9167.0</v>
      </c>
      <c r="B738" s="16" t="s">
        <v>7483</v>
      </c>
      <c r="C738" s="17" t="s">
        <v>7484</v>
      </c>
      <c r="D738" s="29" t="s">
        <v>7483</v>
      </c>
      <c r="E738" s="18" t="s">
        <v>3316</v>
      </c>
      <c r="F738" s="19" t="str">
        <f t="shared" si="1"/>
        <v>XIAKL4</v>
      </c>
      <c r="G738" s="19" t="s">
        <v>5408</v>
      </c>
      <c r="H738" s="20" t="s">
        <v>3045</v>
      </c>
      <c r="I738" s="19" t="s">
        <v>5409</v>
      </c>
      <c r="J738" s="19" t="s">
        <v>5410</v>
      </c>
      <c r="K738" s="21" t="s">
        <v>5411</v>
      </c>
      <c r="L738" s="20" t="s">
        <v>5789</v>
      </c>
      <c r="M738" s="16" t="s">
        <v>3315</v>
      </c>
      <c r="N738" s="18"/>
      <c r="O738" s="18"/>
      <c r="P738" s="18">
        <f>VLOOKUP($A738,MasterData!$C$1:$I$3001,1,FALSE)</f>
        <v>9167</v>
      </c>
      <c r="Q738" s="18" t="str">
        <f t="shared" si="2"/>
        <v>XIAKL4</v>
      </c>
    </row>
    <row r="739" ht="15.75" customHeight="1">
      <c r="A739" s="15">
        <v>9169.0</v>
      </c>
      <c r="B739" s="16" t="s">
        <v>7485</v>
      </c>
      <c r="C739" s="17" t="s">
        <v>7486</v>
      </c>
      <c r="D739" s="29" t="s">
        <v>7485</v>
      </c>
      <c r="E739" s="18" t="s">
        <v>3318</v>
      </c>
      <c r="F739" s="19" t="str">
        <f t="shared" si="1"/>
        <v>XIAKL4</v>
      </c>
      <c r="G739" s="19" t="s">
        <v>5408</v>
      </c>
      <c r="H739" s="20" t="s">
        <v>3045</v>
      </c>
      <c r="I739" s="19" t="s">
        <v>5409</v>
      </c>
      <c r="J739" s="19" t="s">
        <v>5410</v>
      </c>
      <c r="K739" s="21" t="s">
        <v>5411</v>
      </c>
      <c r="L739" s="20" t="s">
        <v>5789</v>
      </c>
      <c r="M739" s="16" t="s">
        <v>3317</v>
      </c>
      <c r="N739" s="18"/>
      <c r="O739" s="18"/>
      <c r="P739" s="18">
        <f>VLOOKUP($A739,MasterData!$C$1:$I$3001,1,FALSE)</f>
        <v>9169</v>
      </c>
      <c r="Q739" s="18" t="str">
        <f t="shared" si="2"/>
        <v>XIAKL4</v>
      </c>
    </row>
    <row r="740" ht="15.75" customHeight="1">
      <c r="A740" s="15">
        <v>9174.0</v>
      </c>
      <c r="B740" s="16" t="s">
        <v>7487</v>
      </c>
      <c r="C740" s="17" t="s">
        <v>7488</v>
      </c>
      <c r="D740" s="29" t="s">
        <v>7487</v>
      </c>
      <c r="E740" s="18" t="s">
        <v>3320</v>
      </c>
      <c r="F740" s="19" t="str">
        <f t="shared" si="1"/>
        <v>XIAKL4</v>
      </c>
      <c r="G740" s="19" t="s">
        <v>5408</v>
      </c>
      <c r="H740" s="20" t="s">
        <v>3045</v>
      </c>
      <c r="I740" s="19" t="s">
        <v>5409</v>
      </c>
      <c r="J740" s="19" t="s">
        <v>5410</v>
      </c>
      <c r="K740" s="21" t="s">
        <v>5411</v>
      </c>
      <c r="L740" s="20" t="s">
        <v>5789</v>
      </c>
      <c r="M740" s="16" t="s">
        <v>3319</v>
      </c>
      <c r="N740" s="18"/>
      <c r="O740" s="18"/>
      <c r="P740" s="18">
        <f>VLOOKUP($A740,MasterData!$C$1:$I$3001,1,FALSE)</f>
        <v>9174</v>
      </c>
      <c r="Q740" s="18" t="str">
        <f t="shared" si="2"/>
        <v>XIAKL4</v>
      </c>
    </row>
    <row r="741" ht="15.75" customHeight="1">
      <c r="A741" s="15">
        <v>9194.0</v>
      </c>
      <c r="B741" s="16" t="s">
        <v>7489</v>
      </c>
      <c r="C741" s="17" t="s">
        <v>7490</v>
      </c>
      <c r="D741" s="29" t="s">
        <v>7489</v>
      </c>
      <c r="E741" s="18" t="s">
        <v>3322</v>
      </c>
      <c r="F741" s="19" t="str">
        <f t="shared" si="1"/>
        <v>XIAKL4</v>
      </c>
      <c r="G741" s="19" t="s">
        <v>5408</v>
      </c>
      <c r="H741" s="20" t="s">
        <v>3045</v>
      </c>
      <c r="I741" s="19" t="s">
        <v>5409</v>
      </c>
      <c r="J741" s="19" t="s">
        <v>5410</v>
      </c>
      <c r="K741" s="21" t="s">
        <v>5411</v>
      </c>
      <c r="L741" s="20" t="s">
        <v>5789</v>
      </c>
      <c r="M741" s="16" t="s">
        <v>3321</v>
      </c>
      <c r="N741" s="18"/>
      <c r="O741" s="18"/>
      <c r="P741" s="18">
        <f>VLOOKUP($A741,MasterData!$C$1:$I$3001,1,FALSE)</f>
        <v>9194</v>
      </c>
      <c r="Q741" s="18" t="str">
        <f t="shared" si="2"/>
        <v>XIAKL4</v>
      </c>
    </row>
    <row r="742" ht="15.75" customHeight="1">
      <c r="A742" s="15">
        <v>9199.0</v>
      </c>
      <c r="B742" s="16" t="s">
        <v>7491</v>
      </c>
      <c r="C742" s="17" t="s">
        <v>7492</v>
      </c>
      <c r="D742" s="29" t="s">
        <v>7491</v>
      </c>
      <c r="E742" s="18" t="s">
        <v>3324</v>
      </c>
      <c r="F742" s="19" t="str">
        <f t="shared" si="1"/>
        <v>XIAKL4</v>
      </c>
      <c r="G742" s="19" t="s">
        <v>5408</v>
      </c>
      <c r="H742" s="20" t="s">
        <v>3045</v>
      </c>
      <c r="I742" s="19" t="s">
        <v>5409</v>
      </c>
      <c r="J742" s="19" t="s">
        <v>5410</v>
      </c>
      <c r="K742" s="21" t="s">
        <v>5411</v>
      </c>
      <c r="L742" s="20" t="s">
        <v>5789</v>
      </c>
      <c r="M742" s="16" t="s">
        <v>3323</v>
      </c>
      <c r="N742" s="18"/>
      <c r="O742" s="18"/>
      <c r="P742" s="18">
        <f>VLOOKUP($A742,MasterData!$C$1:$I$3001,1,FALSE)</f>
        <v>9199</v>
      </c>
      <c r="Q742" s="18" t="str">
        <f t="shared" si="2"/>
        <v>XIAKL4</v>
      </c>
    </row>
    <row r="743" ht="15.75" customHeight="1">
      <c r="A743" s="15">
        <v>9211.0</v>
      </c>
      <c r="B743" s="16" t="s">
        <v>7493</v>
      </c>
      <c r="C743" s="17" t="s">
        <v>7494</v>
      </c>
      <c r="D743" s="29" t="s">
        <v>7493</v>
      </c>
      <c r="E743" s="18" t="s">
        <v>3326</v>
      </c>
      <c r="F743" s="19" t="str">
        <f t="shared" si="1"/>
        <v>XIAKL4</v>
      </c>
      <c r="G743" s="19" t="s">
        <v>5408</v>
      </c>
      <c r="H743" s="20" t="s">
        <v>3045</v>
      </c>
      <c r="I743" s="19" t="s">
        <v>5409</v>
      </c>
      <c r="J743" s="19" t="s">
        <v>5410</v>
      </c>
      <c r="K743" s="21" t="s">
        <v>5411</v>
      </c>
      <c r="L743" s="20" t="s">
        <v>5789</v>
      </c>
      <c r="M743" s="16" t="s">
        <v>3325</v>
      </c>
      <c r="N743" s="18"/>
      <c r="O743" s="18"/>
      <c r="P743" s="18">
        <f>VLOOKUP($A743,MasterData!$C$1:$I$3001,1,FALSE)</f>
        <v>9211</v>
      </c>
      <c r="Q743" s="18" t="str">
        <f t="shared" si="2"/>
        <v>XIAKL4</v>
      </c>
    </row>
    <row r="744" ht="15.75" customHeight="1">
      <c r="A744" s="15">
        <v>9229.0</v>
      </c>
      <c r="B744" s="16" t="s">
        <v>7495</v>
      </c>
      <c r="C744" s="17" t="s">
        <v>7496</v>
      </c>
      <c r="D744" s="29" t="s">
        <v>7495</v>
      </c>
      <c r="E744" s="18" t="s">
        <v>3328</v>
      </c>
      <c r="F744" s="19" t="str">
        <f t="shared" si="1"/>
        <v>XIAKL4</v>
      </c>
      <c r="G744" s="19" t="s">
        <v>5408</v>
      </c>
      <c r="H744" s="20" t="s">
        <v>3045</v>
      </c>
      <c r="I744" s="19" t="s">
        <v>5409</v>
      </c>
      <c r="J744" s="19" t="s">
        <v>5410</v>
      </c>
      <c r="K744" s="21" t="s">
        <v>5411</v>
      </c>
      <c r="L744" s="20" t="s">
        <v>5789</v>
      </c>
      <c r="M744" s="16" t="s">
        <v>3327</v>
      </c>
      <c r="N744" s="18"/>
      <c r="O744" s="18"/>
      <c r="P744" s="18">
        <f>VLOOKUP($A744,MasterData!$C$1:$I$3001,1,FALSE)</f>
        <v>9229</v>
      </c>
      <c r="Q744" s="18" t="str">
        <f t="shared" si="2"/>
        <v>XIAKL4</v>
      </c>
    </row>
    <row r="745" ht="15.75" customHeight="1">
      <c r="A745" s="15">
        <v>9238.0</v>
      </c>
      <c r="B745" s="16" t="s">
        <v>7497</v>
      </c>
      <c r="C745" s="17" t="s">
        <v>7498</v>
      </c>
      <c r="D745" s="29" t="s">
        <v>7497</v>
      </c>
      <c r="E745" s="18" t="s">
        <v>3330</v>
      </c>
      <c r="F745" s="19" t="str">
        <f t="shared" si="1"/>
        <v>XIAKL4</v>
      </c>
      <c r="G745" s="19" t="s">
        <v>5408</v>
      </c>
      <c r="H745" s="20" t="s">
        <v>3045</v>
      </c>
      <c r="I745" s="19" t="s">
        <v>5409</v>
      </c>
      <c r="J745" s="19" t="s">
        <v>5410</v>
      </c>
      <c r="K745" s="21" t="s">
        <v>5411</v>
      </c>
      <c r="L745" s="20" t="s">
        <v>5789</v>
      </c>
      <c r="M745" s="16" t="s">
        <v>3329</v>
      </c>
      <c r="N745" s="18"/>
      <c r="O745" s="18"/>
      <c r="P745" s="18">
        <f>VLOOKUP($A745,MasterData!$C$1:$I$3001,1,FALSE)</f>
        <v>9238</v>
      </c>
      <c r="Q745" s="18" t="str">
        <f t="shared" si="2"/>
        <v>XIAKL4</v>
      </c>
    </row>
    <row r="746" ht="15.75" customHeight="1">
      <c r="A746" s="31">
        <v>9253.0</v>
      </c>
      <c r="B746" s="22" t="s">
        <v>1213</v>
      </c>
      <c r="C746" s="24" t="s">
        <v>7499</v>
      </c>
      <c r="D746" s="32" t="s">
        <v>1213</v>
      </c>
      <c r="E746" s="22" t="s">
        <v>1211</v>
      </c>
      <c r="F746" s="19" t="str">
        <f t="shared" si="1"/>
        <v>XAKN1</v>
      </c>
      <c r="G746" s="19" t="s">
        <v>5408</v>
      </c>
      <c r="H746" s="20" t="s">
        <v>1212</v>
      </c>
      <c r="I746" s="19" t="s">
        <v>5409</v>
      </c>
      <c r="J746" s="19" t="s">
        <v>5410</v>
      </c>
      <c r="K746" s="25" t="s">
        <v>7500</v>
      </c>
      <c r="L746" s="20" t="s">
        <v>7501</v>
      </c>
      <c r="M746" s="23" t="s">
        <v>1210</v>
      </c>
      <c r="N746" s="18"/>
      <c r="O746" s="18"/>
      <c r="P746" s="18">
        <f>VLOOKUP($A746,MasterData!$C$1:$I$3001,1,FALSE)</f>
        <v>9253</v>
      </c>
      <c r="Q746" s="18" t="str">
        <f t="shared" si="2"/>
        <v>XAKN1</v>
      </c>
    </row>
    <row r="747" ht="15.75" customHeight="1">
      <c r="A747" s="31">
        <v>9263.0</v>
      </c>
      <c r="B747" s="22" t="s">
        <v>1216</v>
      </c>
      <c r="C747" s="24" t="s">
        <v>7502</v>
      </c>
      <c r="D747" s="32" t="s">
        <v>1216</v>
      </c>
      <c r="E747" s="22" t="s">
        <v>1215</v>
      </c>
      <c r="F747" s="19" t="str">
        <f t="shared" si="1"/>
        <v>XAKN1</v>
      </c>
      <c r="G747" s="19" t="s">
        <v>5408</v>
      </c>
      <c r="H747" s="20" t="s">
        <v>1212</v>
      </c>
      <c r="I747" s="19" t="s">
        <v>5409</v>
      </c>
      <c r="J747" s="19" t="s">
        <v>5410</v>
      </c>
      <c r="K747" s="25" t="s">
        <v>7500</v>
      </c>
      <c r="L747" s="20" t="s">
        <v>7501</v>
      </c>
      <c r="M747" s="23" t="s">
        <v>1214</v>
      </c>
      <c r="N747" s="18"/>
      <c r="O747" s="18"/>
      <c r="P747" s="18">
        <f>VLOOKUP($A747,MasterData!$C$1:$I$3001,1,FALSE)</f>
        <v>9263</v>
      </c>
      <c r="Q747" s="18" t="str">
        <f t="shared" si="2"/>
        <v>XAKN1</v>
      </c>
    </row>
    <row r="748" ht="15.75" customHeight="1">
      <c r="A748" s="31">
        <v>9271.0</v>
      </c>
      <c r="B748" s="22" t="s">
        <v>1219</v>
      </c>
      <c r="C748" s="24" t="s">
        <v>7503</v>
      </c>
      <c r="D748" s="32" t="s">
        <v>1219</v>
      </c>
      <c r="E748" s="22" t="s">
        <v>1218</v>
      </c>
      <c r="F748" s="19" t="str">
        <f t="shared" si="1"/>
        <v>XAKN1</v>
      </c>
      <c r="G748" s="19" t="s">
        <v>5408</v>
      </c>
      <c r="H748" s="20" t="s">
        <v>1212</v>
      </c>
      <c r="I748" s="19" t="s">
        <v>5409</v>
      </c>
      <c r="J748" s="19" t="s">
        <v>5410</v>
      </c>
      <c r="K748" s="25" t="s">
        <v>7500</v>
      </c>
      <c r="L748" s="20" t="s">
        <v>7501</v>
      </c>
      <c r="M748" s="23" t="s">
        <v>1217</v>
      </c>
      <c r="N748" s="18"/>
      <c r="O748" s="18"/>
      <c r="P748" s="18">
        <f>VLOOKUP($A748,MasterData!$C$1:$I$3001,1,FALSE)</f>
        <v>9271</v>
      </c>
      <c r="Q748" s="18" t="str">
        <f t="shared" si="2"/>
        <v>XAKN1</v>
      </c>
    </row>
    <row r="749" ht="15.75" customHeight="1">
      <c r="A749" s="31">
        <v>9289.0</v>
      </c>
      <c r="B749" s="22" t="s">
        <v>1222</v>
      </c>
      <c r="C749" s="24" t="s">
        <v>7504</v>
      </c>
      <c r="D749" s="32" t="s">
        <v>1222</v>
      </c>
      <c r="E749" s="22" t="s">
        <v>1221</v>
      </c>
      <c r="F749" s="19" t="str">
        <f t="shared" si="1"/>
        <v>XAKN1</v>
      </c>
      <c r="G749" s="19" t="s">
        <v>5408</v>
      </c>
      <c r="H749" s="20" t="s">
        <v>1212</v>
      </c>
      <c r="I749" s="19" t="s">
        <v>5409</v>
      </c>
      <c r="J749" s="19" t="s">
        <v>5410</v>
      </c>
      <c r="K749" s="25" t="s">
        <v>7500</v>
      </c>
      <c r="L749" s="20" t="s">
        <v>7501</v>
      </c>
      <c r="M749" s="23" t="s">
        <v>1220</v>
      </c>
      <c r="N749" s="18"/>
      <c r="O749" s="18"/>
      <c r="P749" s="18">
        <f>VLOOKUP($A749,MasterData!$C$1:$I$3001,1,FALSE)</f>
        <v>9289</v>
      </c>
      <c r="Q749" s="18" t="str">
        <f t="shared" si="2"/>
        <v>XAKN1</v>
      </c>
    </row>
    <row r="750" ht="15.75" customHeight="1">
      <c r="A750" s="31">
        <v>9314.0</v>
      </c>
      <c r="B750" s="22" t="s">
        <v>1225</v>
      </c>
      <c r="C750" s="24" t="s">
        <v>7505</v>
      </c>
      <c r="D750" s="32" t="s">
        <v>1225</v>
      </c>
      <c r="E750" s="22" t="s">
        <v>1224</v>
      </c>
      <c r="F750" s="19" t="str">
        <f t="shared" si="1"/>
        <v>XAKN1</v>
      </c>
      <c r="G750" s="19" t="s">
        <v>5408</v>
      </c>
      <c r="H750" s="20" t="s">
        <v>1212</v>
      </c>
      <c r="I750" s="19" t="s">
        <v>5409</v>
      </c>
      <c r="J750" s="19" t="s">
        <v>5410</v>
      </c>
      <c r="K750" s="25" t="s">
        <v>7500</v>
      </c>
      <c r="L750" s="20" t="s">
        <v>7501</v>
      </c>
      <c r="M750" s="23" t="s">
        <v>1223</v>
      </c>
      <c r="N750" s="18"/>
      <c r="O750" s="18"/>
      <c r="P750" s="18">
        <f>VLOOKUP($A750,MasterData!$C$1:$I$3001,1,FALSE)</f>
        <v>9314</v>
      </c>
      <c r="Q750" s="18" t="str">
        <f t="shared" si="2"/>
        <v>XAKN1</v>
      </c>
    </row>
    <row r="751" ht="15.75" customHeight="1">
      <c r="A751" s="31">
        <v>9331.0</v>
      </c>
      <c r="B751" s="22" t="s">
        <v>1228</v>
      </c>
      <c r="C751" s="24" t="s">
        <v>7506</v>
      </c>
      <c r="D751" s="32" t="s">
        <v>1228</v>
      </c>
      <c r="E751" s="22" t="s">
        <v>1227</v>
      </c>
      <c r="F751" s="19" t="str">
        <f t="shared" si="1"/>
        <v>XAKN1</v>
      </c>
      <c r="G751" s="19" t="s">
        <v>5408</v>
      </c>
      <c r="H751" s="20" t="s">
        <v>1212</v>
      </c>
      <c r="I751" s="19" t="s">
        <v>5409</v>
      </c>
      <c r="J751" s="19" t="s">
        <v>5410</v>
      </c>
      <c r="K751" s="25" t="s">
        <v>7500</v>
      </c>
      <c r="L751" s="20" t="s">
        <v>7501</v>
      </c>
      <c r="M751" s="23" t="s">
        <v>1226</v>
      </c>
      <c r="N751" s="18"/>
      <c r="O751" s="18"/>
      <c r="P751" s="18">
        <f>VLOOKUP($A751,MasterData!$C$1:$I$3001,1,FALSE)</f>
        <v>9331</v>
      </c>
      <c r="Q751" s="18" t="str">
        <f t="shared" si="2"/>
        <v>XAKN1</v>
      </c>
    </row>
    <row r="752" ht="15.75" customHeight="1">
      <c r="A752" s="31">
        <v>9342.0</v>
      </c>
      <c r="B752" s="22" t="s">
        <v>1231</v>
      </c>
      <c r="C752" s="24" t="s">
        <v>7507</v>
      </c>
      <c r="D752" s="32" t="s">
        <v>1231</v>
      </c>
      <c r="E752" s="22" t="s">
        <v>1230</v>
      </c>
      <c r="F752" s="19" t="str">
        <f t="shared" si="1"/>
        <v>XAKN1</v>
      </c>
      <c r="G752" s="19" t="s">
        <v>5408</v>
      </c>
      <c r="H752" s="20" t="s">
        <v>1212</v>
      </c>
      <c r="I752" s="19" t="s">
        <v>5409</v>
      </c>
      <c r="J752" s="19" t="s">
        <v>5410</v>
      </c>
      <c r="K752" s="25" t="s">
        <v>7500</v>
      </c>
      <c r="L752" s="20" t="s">
        <v>7501</v>
      </c>
      <c r="M752" s="23" t="s">
        <v>1229</v>
      </c>
      <c r="N752" s="18"/>
      <c r="O752" s="18"/>
      <c r="P752" s="18">
        <f>VLOOKUP($A752,MasterData!$C$1:$I$3001,1,FALSE)</f>
        <v>9342</v>
      </c>
      <c r="Q752" s="18" t="str">
        <f t="shared" si="2"/>
        <v>XAKN1</v>
      </c>
    </row>
    <row r="753" ht="15.75" customHeight="1">
      <c r="A753" s="31">
        <v>9357.0</v>
      </c>
      <c r="B753" s="22" t="s">
        <v>1234</v>
      </c>
      <c r="C753" s="24" t="s">
        <v>7508</v>
      </c>
      <c r="D753" s="32" t="s">
        <v>1234</v>
      </c>
      <c r="E753" s="22" t="s">
        <v>1233</v>
      </c>
      <c r="F753" s="19" t="str">
        <f t="shared" si="1"/>
        <v>XAKN1</v>
      </c>
      <c r="G753" s="19" t="s">
        <v>5408</v>
      </c>
      <c r="H753" s="20" t="s">
        <v>1212</v>
      </c>
      <c r="I753" s="19" t="s">
        <v>5409</v>
      </c>
      <c r="J753" s="19" t="s">
        <v>5410</v>
      </c>
      <c r="K753" s="25" t="s">
        <v>7500</v>
      </c>
      <c r="L753" s="20" t="s">
        <v>7501</v>
      </c>
      <c r="M753" s="23" t="s">
        <v>1232</v>
      </c>
      <c r="N753" s="18"/>
      <c r="O753" s="18"/>
      <c r="P753" s="18">
        <f>VLOOKUP($A753,MasterData!$C$1:$I$3001,1,FALSE)</f>
        <v>9357</v>
      </c>
      <c r="Q753" s="18" t="str">
        <f t="shared" si="2"/>
        <v>XAKN1</v>
      </c>
    </row>
    <row r="754" ht="15.75" customHeight="1">
      <c r="A754" s="31">
        <v>9382.0</v>
      </c>
      <c r="B754" s="22" t="s">
        <v>1237</v>
      </c>
      <c r="C754" s="24" t="s">
        <v>7509</v>
      </c>
      <c r="D754" s="32" t="s">
        <v>1237</v>
      </c>
      <c r="E754" s="22" t="s">
        <v>1236</v>
      </c>
      <c r="F754" s="19" t="str">
        <f t="shared" si="1"/>
        <v>XAKN1</v>
      </c>
      <c r="G754" s="19" t="s">
        <v>5408</v>
      </c>
      <c r="H754" s="20" t="s">
        <v>1212</v>
      </c>
      <c r="I754" s="19" t="s">
        <v>5409</v>
      </c>
      <c r="J754" s="19" t="s">
        <v>5410</v>
      </c>
      <c r="K754" s="25" t="s">
        <v>7500</v>
      </c>
      <c r="L754" s="20" t="s">
        <v>7501</v>
      </c>
      <c r="M754" s="23" t="s">
        <v>1235</v>
      </c>
      <c r="N754" s="18"/>
      <c r="O754" s="18"/>
      <c r="P754" s="18">
        <f>VLOOKUP($A754,MasterData!$C$1:$I$3001,1,FALSE)</f>
        <v>9382</v>
      </c>
      <c r="Q754" s="18" t="str">
        <f t="shared" si="2"/>
        <v>XAKN1</v>
      </c>
    </row>
    <row r="755" ht="15.75" customHeight="1">
      <c r="A755" s="31">
        <v>9394.0</v>
      </c>
      <c r="B755" s="22" t="s">
        <v>1240</v>
      </c>
      <c r="C755" s="24" t="s">
        <v>7510</v>
      </c>
      <c r="D755" s="32" t="s">
        <v>1240</v>
      </c>
      <c r="E755" s="22" t="s">
        <v>1239</v>
      </c>
      <c r="F755" s="19" t="str">
        <f t="shared" si="1"/>
        <v>XAKN1</v>
      </c>
      <c r="G755" s="19" t="s">
        <v>5408</v>
      </c>
      <c r="H755" s="20" t="s">
        <v>1212</v>
      </c>
      <c r="I755" s="19" t="s">
        <v>5409</v>
      </c>
      <c r="J755" s="19" t="s">
        <v>5410</v>
      </c>
      <c r="K755" s="25" t="s">
        <v>7500</v>
      </c>
      <c r="L755" s="20" t="s">
        <v>7501</v>
      </c>
      <c r="M755" s="23" t="s">
        <v>1238</v>
      </c>
      <c r="N755" s="18"/>
      <c r="O755" s="18"/>
      <c r="P755" s="18">
        <f>VLOOKUP($A755,MasterData!$C$1:$I$3001,1,FALSE)</f>
        <v>9394</v>
      </c>
      <c r="Q755" s="18" t="str">
        <f t="shared" si="2"/>
        <v>XAKN1</v>
      </c>
    </row>
    <row r="756" ht="15.75" customHeight="1">
      <c r="A756" s="31">
        <v>9407.0</v>
      </c>
      <c r="B756" s="22" t="s">
        <v>1243</v>
      </c>
      <c r="C756" s="24" t="s">
        <v>7511</v>
      </c>
      <c r="D756" s="32" t="s">
        <v>1243</v>
      </c>
      <c r="E756" s="22" t="s">
        <v>1242</v>
      </c>
      <c r="F756" s="19" t="str">
        <f t="shared" si="1"/>
        <v>XAKN1</v>
      </c>
      <c r="G756" s="19" t="s">
        <v>5408</v>
      </c>
      <c r="H756" s="20" t="s">
        <v>1212</v>
      </c>
      <c r="I756" s="19" t="s">
        <v>5409</v>
      </c>
      <c r="J756" s="19" t="s">
        <v>5410</v>
      </c>
      <c r="K756" s="25" t="s">
        <v>7500</v>
      </c>
      <c r="L756" s="20" t="s">
        <v>7501</v>
      </c>
      <c r="M756" s="23" t="s">
        <v>1241</v>
      </c>
      <c r="N756" s="18"/>
      <c r="O756" s="18"/>
      <c r="P756" s="18">
        <f>VLOOKUP($A756,MasterData!$C$1:$I$3001,1,FALSE)</f>
        <v>9407</v>
      </c>
      <c r="Q756" s="18" t="str">
        <f t="shared" si="2"/>
        <v>XAKN1</v>
      </c>
    </row>
    <row r="757" ht="15.75" customHeight="1">
      <c r="A757" s="31">
        <v>9414.0</v>
      </c>
      <c r="B757" s="22" t="s">
        <v>1246</v>
      </c>
      <c r="C757" s="24" t="s">
        <v>7512</v>
      </c>
      <c r="D757" s="32" t="s">
        <v>1246</v>
      </c>
      <c r="E757" s="22" t="s">
        <v>1245</v>
      </c>
      <c r="F757" s="19" t="str">
        <f t="shared" si="1"/>
        <v>XAKN1</v>
      </c>
      <c r="G757" s="19" t="s">
        <v>5408</v>
      </c>
      <c r="H757" s="20" t="s">
        <v>1212</v>
      </c>
      <c r="I757" s="19" t="s">
        <v>5409</v>
      </c>
      <c r="J757" s="19" t="s">
        <v>5410</v>
      </c>
      <c r="K757" s="25" t="s">
        <v>7500</v>
      </c>
      <c r="L757" s="20" t="s">
        <v>7501</v>
      </c>
      <c r="M757" s="23" t="s">
        <v>1244</v>
      </c>
      <c r="N757" s="18"/>
      <c r="O757" s="18"/>
      <c r="P757" s="18">
        <f>VLOOKUP($A757,MasterData!$C$1:$I$3001,1,FALSE)</f>
        <v>9414</v>
      </c>
      <c r="Q757" s="18" t="str">
        <f t="shared" si="2"/>
        <v>XAKN1</v>
      </c>
    </row>
    <row r="758" ht="15.75" customHeight="1">
      <c r="A758" s="31">
        <v>9426.0</v>
      </c>
      <c r="B758" s="22" t="s">
        <v>1249</v>
      </c>
      <c r="C758" s="24" t="s">
        <v>7513</v>
      </c>
      <c r="D758" s="32" t="s">
        <v>1249</v>
      </c>
      <c r="E758" s="22" t="s">
        <v>1248</v>
      </c>
      <c r="F758" s="19" t="str">
        <f t="shared" si="1"/>
        <v>XAKN1</v>
      </c>
      <c r="G758" s="19" t="s">
        <v>5408</v>
      </c>
      <c r="H758" s="20" t="s">
        <v>1212</v>
      </c>
      <c r="I758" s="19" t="s">
        <v>5409</v>
      </c>
      <c r="J758" s="19" t="s">
        <v>5410</v>
      </c>
      <c r="K758" s="25" t="s">
        <v>7500</v>
      </c>
      <c r="L758" s="20" t="s">
        <v>7501</v>
      </c>
      <c r="M758" s="23" t="s">
        <v>1247</v>
      </c>
      <c r="N758" s="18"/>
      <c r="O758" s="18"/>
      <c r="P758" s="18">
        <f>VLOOKUP($A758,MasterData!$C$1:$I$3001,1,FALSE)</f>
        <v>9426</v>
      </c>
      <c r="Q758" s="18" t="str">
        <f t="shared" si="2"/>
        <v>XAKN1</v>
      </c>
    </row>
    <row r="759" ht="15.75" customHeight="1">
      <c r="A759" s="31">
        <v>9435.0</v>
      </c>
      <c r="B759" s="22" t="s">
        <v>1252</v>
      </c>
      <c r="C759" s="24" t="s">
        <v>7514</v>
      </c>
      <c r="D759" s="32" t="s">
        <v>1252</v>
      </c>
      <c r="E759" s="22" t="s">
        <v>1251</v>
      </c>
      <c r="F759" s="19" t="str">
        <f t="shared" si="1"/>
        <v>XAKN1</v>
      </c>
      <c r="G759" s="19" t="s">
        <v>5408</v>
      </c>
      <c r="H759" s="20" t="s">
        <v>1212</v>
      </c>
      <c r="I759" s="19" t="s">
        <v>5409</v>
      </c>
      <c r="J759" s="19" t="s">
        <v>5410</v>
      </c>
      <c r="K759" s="25" t="s">
        <v>7500</v>
      </c>
      <c r="L759" s="20" t="s">
        <v>7501</v>
      </c>
      <c r="M759" s="23" t="s">
        <v>1250</v>
      </c>
      <c r="N759" s="18"/>
      <c r="O759" s="18"/>
      <c r="P759" s="18">
        <f>VLOOKUP($A759,MasterData!$C$1:$I$3001,1,FALSE)</f>
        <v>9435</v>
      </c>
      <c r="Q759" s="18" t="str">
        <f t="shared" si="2"/>
        <v>XAKN1</v>
      </c>
    </row>
    <row r="760" ht="15.75" customHeight="1">
      <c r="A760" s="31">
        <v>9451.0</v>
      </c>
      <c r="B760" s="22" t="s">
        <v>1255</v>
      </c>
      <c r="C760" s="24" t="s">
        <v>7515</v>
      </c>
      <c r="D760" s="32" t="s">
        <v>1255</v>
      </c>
      <c r="E760" s="22" t="s">
        <v>1254</v>
      </c>
      <c r="F760" s="19" t="str">
        <f t="shared" si="1"/>
        <v>XAKN1</v>
      </c>
      <c r="G760" s="19" t="s">
        <v>5408</v>
      </c>
      <c r="H760" s="20" t="s">
        <v>1212</v>
      </c>
      <c r="I760" s="19" t="s">
        <v>5409</v>
      </c>
      <c r="J760" s="19" t="s">
        <v>5410</v>
      </c>
      <c r="K760" s="25" t="s">
        <v>7500</v>
      </c>
      <c r="L760" s="20" t="s">
        <v>7501</v>
      </c>
      <c r="M760" s="23" t="s">
        <v>1253</v>
      </c>
      <c r="N760" s="18"/>
      <c r="O760" s="18"/>
      <c r="P760" s="18">
        <f>VLOOKUP($A760,MasterData!$C$1:$I$3001,1,FALSE)</f>
        <v>9451</v>
      </c>
      <c r="Q760" s="18" t="str">
        <f t="shared" si="2"/>
        <v>XAKN1</v>
      </c>
    </row>
    <row r="761" ht="15.75" customHeight="1">
      <c r="A761" s="31">
        <v>9463.0</v>
      </c>
      <c r="B761" s="22" t="s">
        <v>1258</v>
      </c>
      <c r="C761" s="24" t="s">
        <v>7516</v>
      </c>
      <c r="D761" s="32" t="s">
        <v>1258</v>
      </c>
      <c r="E761" s="22" t="s">
        <v>1257</v>
      </c>
      <c r="F761" s="19" t="str">
        <f t="shared" si="1"/>
        <v>XAKN1</v>
      </c>
      <c r="G761" s="19" t="s">
        <v>5408</v>
      </c>
      <c r="H761" s="20" t="s">
        <v>1212</v>
      </c>
      <c r="I761" s="19" t="s">
        <v>5409</v>
      </c>
      <c r="J761" s="19" t="s">
        <v>5410</v>
      </c>
      <c r="K761" s="25" t="s">
        <v>7500</v>
      </c>
      <c r="L761" s="20" t="s">
        <v>7501</v>
      </c>
      <c r="M761" s="23" t="s">
        <v>1256</v>
      </c>
      <c r="N761" s="18"/>
      <c r="O761" s="18"/>
      <c r="P761" s="18">
        <f>VLOOKUP($A761,MasterData!$C$1:$I$3001,1,FALSE)</f>
        <v>9463</v>
      </c>
      <c r="Q761" s="18" t="str">
        <f t="shared" si="2"/>
        <v>XAKN1</v>
      </c>
    </row>
    <row r="762" ht="15.75" customHeight="1">
      <c r="A762" s="31">
        <v>9488.0</v>
      </c>
      <c r="B762" s="22" t="s">
        <v>1261</v>
      </c>
      <c r="C762" s="24" t="s">
        <v>7517</v>
      </c>
      <c r="D762" s="32" t="s">
        <v>1261</v>
      </c>
      <c r="E762" s="22" t="s">
        <v>1260</v>
      </c>
      <c r="F762" s="19" t="str">
        <f t="shared" si="1"/>
        <v>XAKN1</v>
      </c>
      <c r="G762" s="19" t="s">
        <v>5408</v>
      </c>
      <c r="H762" s="20" t="s">
        <v>1212</v>
      </c>
      <c r="I762" s="19" t="s">
        <v>5409</v>
      </c>
      <c r="J762" s="19" t="s">
        <v>5410</v>
      </c>
      <c r="K762" s="25" t="s">
        <v>7500</v>
      </c>
      <c r="L762" s="20" t="s">
        <v>7501</v>
      </c>
      <c r="M762" s="23" t="s">
        <v>1259</v>
      </c>
      <c r="N762" s="18"/>
      <c r="O762" s="18"/>
      <c r="P762" s="18">
        <f>VLOOKUP($A762,MasterData!$C$1:$I$3001,1,FALSE)</f>
        <v>9488</v>
      </c>
      <c r="Q762" s="18" t="str">
        <f t="shared" si="2"/>
        <v>XAKN1</v>
      </c>
    </row>
    <row r="763" ht="15.75" customHeight="1">
      <c r="A763" s="31">
        <v>9515.0</v>
      </c>
      <c r="B763" s="22" t="s">
        <v>1264</v>
      </c>
      <c r="C763" s="24" t="s">
        <v>7518</v>
      </c>
      <c r="D763" s="32" t="s">
        <v>1264</v>
      </c>
      <c r="E763" s="22" t="s">
        <v>1263</v>
      </c>
      <c r="F763" s="19" t="str">
        <f t="shared" si="1"/>
        <v>XAKN1</v>
      </c>
      <c r="G763" s="19" t="s">
        <v>5408</v>
      </c>
      <c r="H763" s="20" t="s">
        <v>1212</v>
      </c>
      <c r="I763" s="19" t="s">
        <v>5409</v>
      </c>
      <c r="J763" s="19" t="s">
        <v>5410</v>
      </c>
      <c r="K763" s="25" t="s">
        <v>7500</v>
      </c>
      <c r="L763" s="20" t="s">
        <v>7501</v>
      </c>
      <c r="M763" s="23" t="s">
        <v>1262</v>
      </c>
      <c r="N763" s="18"/>
      <c r="O763" s="18"/>
      <c r="P763" s="18">
        <f>VLOOKUP($A763,MasterData!$C$1:$I$3001,1,FALSE)</f>
        <v>9515</v>
      </c>
      <c r="Q763" s="18" t="str">
        <f t="shared" si="2"/>
        <v>XAKN1</v>
      </c>
    </row>
    <row r="764" ht="15.75" customHeight="1">
      <c r="A764" s="31">
        <v>9527.0</v>
      </c>
      <c r="B764" s="22" t="s">
        <v>1266</v>
      </c>
      <c r="C764" s="24" t="s">
        <v>7519</v>
      </c>
      <c r="D764" s="32" t="s">
        <v>1266</v>
      </c>
      <c r="E764" s="22" t="s">
        <v>193</v>
      </c>
      <c r="F764" s="19" t="str">
        <f t="shared" si="1"/>
        <v>XAKN1</v>
      </c>
      <c r="G764" s="19" t="s">
        <v>5408</v>
      </c>
      <c r="H764" s="20" t="s">
        <v>1212</v>
      </c>
      <c r="I764" s="19" t="s">
        <v>5409</v>
      </c>
      <c r="J764" s="19" t="s">
        <v>5410</v>
      </c>
      <c r="K764" s="25" t="s">
        <v>7500</v>
      </c>
      <c r="L764" s="20" t="s">
        <v>7501</v>
      </c>
      <c r="M764" s="23" t="s">
        <v>1265</v>
      </c>
      <c r="N764" s="18"/>
      <c r="O764" s="18"/>
      <c r="P764" s="18">
        <f>VLOOKUP($A764,MasterData!$C$1:$I$3001,1,FALSE)</f>
        <v>9527</v>
      </c>
      <c r="Q764" s="18" t="str">
        <f t="shared" si="2"/>
        <v>XAKN1</v>
      </c>
    </row>
    <row r="765" ht="15.75" customHeight="1">
      <c r="A765" s="31">
        <v>9531.0</v>
      </c>
      <c r="B765" s="22" t="s">
        <v>1269</v>
      </c>
      <c r="C765" s="24" t="s">
        <v>7520</v>
      </c>
      <c r="D765" s="32" t="s">
        <v>1269</v>
      </c>
      <c r="E765" s="22" t="s">
        <v>1268</v>
      </c>
      <c r="F765" s="19" t="str">
        <f t="shared" si="1"/>
        <v>XAKN1</v>
      </c>
      <c r="G765" s="19" t="s">
        <v>5408</v>
      </c>
      <c r="H765" s="20" t="s">
        <v>1212</v>
      </c>
      <c r="I765" s="19" t="s">
        <v>5409</v>
      </c>
      <c r="J765" s="19" t="s">
        <v>5410</v>
      </c>
      <c r="K765" s="25" t="s">
        <v>7500</v>
      </c>
      <c r="L765" s="20" t="s">
        <v>7501</v>
      </c>
      <c r="M765" s="23" t="s">
        <v>1267</v>
      </c>
      <c r="N765" s="18"/>
      <c r="O765" s="18"/>
      <c r="P765" s="18">
        <f>VLOOKUP($A765,MasterData!$C$1:$I$3001,1,FALSE)</f>
        <v>9531</v>
      </c>
      <c r="Q765" s="18" t="str">
        <f t="shared" si="2"/>
        <v>XAKN1</v>
      </c>
    </row>
    <row r="766" ht="15.75" customHeight="1">
      <c r="A766" s="31">
        <v>9539.0</v>
      </c>
      <c r="B766" s="22" t="s">
        <v>1272</v>
      </c>
      <c r="C766" s="24" t="s">
        <v>7521</v>
      </c>
      <c r="D766" s="32" t="s">
        <v>1272</v>
      </c>
      <c r="E766" s="22" t="s">
        <v>1271</v>
      </c>
      <c r="F766" s="19" t="str">
        <f t="shared" si="1"/>
        <v>XAKN1</v>
      </c>
      <c r="G766" s="19" t="s">
        <v>5408</v>
      </c>
      <c r="H766" s="20" t="s">
        <v>1212</v>
      </c>
      <c r="I766" s="19" t="s">
        <v>5409</v>
      </c>
      <c r="J766" s="19" t="s">
        <v>5410</v>
      </c>
      <c r="K766" s="25" t="s">
        <v>7500</v>
      </c>
      <c r="L766" s="20" t="s">
        <v>7501</v>
      </c>
      <c r="M766" s="23" t="s">
        <v>1270</v>
      </c>
      <c r="N766" s="18"/>
      <c r="O766" s="18"/>
      <c r="P766" s="18">
        <f>VLOOKUP($A766,MasterData!$C$1:$I$3001,1,FALSE)</f>
        <v>9539</v>
      </c>
      <c r="Q766" s="18" t="str">
        <f t="shared" si="2"/>
        <v>XAKN1</v>
      </c>
    </row>
    <row r="767" ht="15.75" customHeight="1">
      <c r="A767" s="31">
        <v>9555.0</v>
      </c>
      <c r="B767" s="22" t="s">
        <v>1275</v>
      </c>
      <c r="C767" s="24" t="s">
        <v>7522</v>
      </c>
      <c r="D767" s="32" t="s">
        <v>1275</v>
      </c>
      <c r="E767" s="22" t="s">
        <v>1274</v>
      </c>
      <c r="F767" s="19" t="str">
        <f t="shared" si="1"/>
        <v>XAKN1</v>
      </c>
      <c r="G767" s="19" t="s">
        <v>5408</v>
      </c>
      <c r="H767" s="20" t="s">
        <v>1212</v>
      </c>
      <c r="I767" s="19" t="s">
        <v>5409</v>
      </c>
      <c r="J767" s="19" t="s">
        <v>5410</v>
      </c>
      <c r="K767" s="25" t="s">
        <v>7500</v>
      </c>
      <c r="L767" s="20" t="s">
        <v>7501</v>
      </c>
      <c r="M767" s="23" t="s">
        <v>1273</v>
      </c>
      <c r="N767" s="18"/>
      <c r="O767" s="18"/>
      <c r="P767" s="18">
        <f>VLOOKUP($A767,MasterData!$C$1:$I$3001,1,FALSE)</f>
        <v>9555</v>
      </c>
      <c r="Q767" s="18" t="str">
        <f t="shared" si="2"/>
        <v>XAKN1</v>
      </c>
    </row>
    <row r="768" ht="15.75" customHeight="1">
      <c r="A768" s="31">
        <v>9617.0</v>
      </c>
      <c r="B768" s="22" t="s">
        <v>1278</v>
      </c>
      <c r="C768" s="24" t="s">
        <v>7523</v>
      </c>
      <c r="D768" s="32" t="s">
        <v>1278</v>
      </c>
      <c r="E768" s="22" t="s">
        <v>1277</v>
      </c>
      <c r="F768" s="19" t="str">
        <f t="shared" si="1"/>
        <v>XAKN1</v>
      </c>
      <c r="G768" s="19" t="s">
        <v>5408</v>
      </c>
      <c r="H768" s="20" t="s">
        <v>1212</v>
      </c>
      <c r="I768" s="19" t="s">
        <v>5409</v>
      </c>
      <c r="J768" s="19" t="s">
        <v>5410</v>
      </c>
      <c r="K768" s="25" t="s">
        <v>7500</v>
      </c>
      <c r="L768" s="20" t="s">
        <v>7501</v>
      </c>
      <c r="M768" s="23" t="s">
        <v>1276</v>
      </c>
      <c r="N768" s="18"/>
      <c r="O768" s="18"/>
      <c r="P768" s="18">
        <f>VLOOKUP($A768,MasterData!$C$1:$I$3001,1,FALSE)</f>
        <v>9617</v>
      </c>
      <c r="Q768" s="18" t="str">
        <f t="shared" si="2"/>
        <v>XAKN1</v>
      </c>
    </row>
    <row r="769" ht="15.75" customHeight="1">
      <c r="A769" s="31">
        <v>9647.0</v>
      </c>
      <c r="B769" s="22" t="s">
        <v>1281</v>
      </c>
      <c r="C769" s="24" t="s">
        <v>7524</v>
      </c>
      <c r="D769" s="32" t="s">
        <v>1281</v>
      </c>
      <c r="E769" s="22" t="s">
        <v>1280</v>
      </c>
      <c r="F769" s="19" t="str">
        <f t="shared" si="1"/>
        <v>XAKN1</v>
      </c>
      <c r="G769" s="19" t="s">
        <v>5408</v>
      </c>
      <c r="H769" s="20" t="s">
        <v>1212</v>
      </c>
      <c r="I769" s="19" t="s">
        <v>5409</v>
      </c>
      <c r="J769" s="19" t="s">
        <v>5410</v>
      </c>
      <c r="K769" s="25" t="s">
        <v>7500</v>
      </c>
      <c r="L769" s="20" t="s">
        <v>7501</v>
      </c>
      <c r="M769" s="23" t="s">
        <v>1279</v>
      </c>
      <c r="N769" s="18"/>
      <c r="O769" s="18"/>
      <c r="P769" s="18">
        <f>VLOOKUP($A769,MasterData!$C$1:$I$3001,1,FALSE)</f>
        <v>9647</v>
      </c>
      <c r="Q769" s="18" t="str">
        <f t="shared" si="2"/>
        <v>XAKN1</v>
      </c>
    </row>
    <row r="770" ht="15.75" customHeight="1">
      <c r="A770" s="31">
        <v>9658.0</v>
      </c>
      <c r="B770" s="22" t="s">
        <v>1284</v>
      </c>
      <c r="C770" s="24" t="s">
        <v>7525</v>
      </c>
      <c r="D770" s="32" t="s">
        <v>1284</v>
      </c>
      <c r="E770" s="22" t="s">
        <v>1283</v>
      </c>
      <c r="F770" s="19" t="str">
        <f t="shared" si="1"/>
        <v>XAKN1</v>
      </c>
      <c r="G770" s="19" t="s">
        <v>5408</v>
      </c>
      <c r="H770" s="20" t="s">
        <v>1212</v>
      </c>
      <c r="I770" s="19" t="s">
        <v>5409</v>
      </c>
      <c r="J770" s="19" t="s">
        <v>5410</v>
      </c>
      <c r="K770" s="25" t="s">
        <v>7500</v>
      </c>
      <c r="L770" s="20" t="s">
        <v>7501</v>
      </c>
      <c r="M770" s="23" t="s">
        <v>1282</v>
      </c>
      <c r="N770" s="18"/>
      <c r="O770" s="18"/>
      <c r="P770" s="18">
        <f>VLOOKUP($A770,MasterData!$C$1:$I$3001,1,FALSE)</f>
        <v>9658</v>
      </c>
      <c r="Q770" s="18" t="str">
        <f t="shared" si="2"/>
        <v>XAKN1</v>
      </c>
    </row>
    <row r="771" ht="15.75" customHeight="1">
      <c r="A771" s="31">
        <v>9680.0</v>
      </c>
      <c r="B771" s="22" t="s">
        <v>1287</v>
      </c>
      <c r="C771" s="24" t="s">
        <v>7526</v>
      </c>
      <c r="D771" s="32" t="s">
        <v>1287</v>
      </c>
      <c r="E771" s="22" t="s">
        <v>1286</v>
      </c>
      <c r="F771" s="19" t="str">
        <f t="shared" si="1"/>
        <v>XAKN1</v>
      </c>
      <c r="G771" s="19" t="s">
        <v>5408</v>
      </c>
      <c r="H771" s="20" t="s">
        <v>1212</v>
      </c>
      <c r="I771" s="19" t="s">
        <v>5409</v>
      </c>
      <c r="J771" s="19" t="s">
        <v>5410</v>
      </c>
      <c r="K771" s="25" t="s">
        <v>7500</v>
      </c>
      <c r="L771" s="20" t="s">
        <v>7501</v>
      </c>
      <c r="M771" s="23" t="s">
        <v>1285</v>
      </c>
      <c r="N771" s="18"/>
      <c r="O771" s="18"/>
      <c r="P771" s="18">
        <f>VLOOKUP($A771,MasterData!$C$1:$I$3001,1,FALSE)</f>
        <v>9680</v>
      </c>
      <c r="Q771" s="18" t="str">
        <f t="shared" si="2"/>
        <v>XAKN1</v>
      </c>
    </row>
    <row r="772" ht="15.75" customHeight="1">
      <c r="A772" s="31">
        <v>9702.0</v>
      </c>
      <c r="B772" s="22" t="s">
        <v>1290</v>
      </c>
      <c r="C772" s="24" t="s">
        <v>7527</v>
      </c>
      <c r="D772" s="32" t="s">
        <v>1290</v>
      </c>
      <c r="E772" s="22" t="s">
        <v>1289</v>
      </c>
      <c r="F772" s="19" t="str">
        <f t="shared" si="1"/>
        <v>XAKN1</v>
      </c>
      <c r="G772" s="19" t="s">
        <v>5408</v>
      </c>
      <c r="H772" s="20" t="s">
        <v>1212</v>
      </c>
      <c r="I772" s="19" t="s">
        <v>5409</v>
      </c>
      <c r="J772" s="19" t="s">
        <v>5410</v>
      </c>
      <c r="K772" s="25" t="s">
        <v>7500</v>
      </c>
      <c r="L772" s="20" t="s">
        <v>7501</v>
      </c>
      <c r="M772" s="23" t="s">
        <v>1288</v>
      </c>
      <c r="N772" s="18"/>
      <c r="O772" s="18"/>
      <c r="P772" s="18">
        <f>VLOOKUP($A772,MasterData!$C$1:$I$3001,1,FALSE)</f>
        <v>9702</v>
      </c>
      <c r="Q772" s="18" t="str">
        <f t="shared" si="2"/>
        <v>XAKN1</v>
      </c>
    </row>
    <row r="773" ht="15.75" customHeight="1">
      <c r="A773" s="31">
        <v>9719.0</v>
      </c>
      <c r="B773" s="22" t="s">
        <v>1293</v>
      </c>
      <c r="C773" s="24" t="s">
        <v>7528</v>
      </c>
      <c r="D773" s="32" t="s">
        <v>1293</v>
      </c>
      <c r="E773" s="22" t="s">
        <v>1292</v>
      </c>
      <c r="F773" s="19" t="str">
        <f t="shared" si="1"/>
        <v>XAKN1</v>
      </c>
      <c r="G773" s="19" t="s">
        <v>5408</v>
      </c>
      <c r="H773" s="20" t="s">
        <v>1212</v>
      </c>
      <c r="I773" s="19" t="s">
        <v>5409</v>
      </c>
      <c r="J773" s="19" t="s">
        <v>5410</v>
      </c>
      <c r="K773" s="25" t="s">
        <v>7500</v>
      </c>
      <c r="L773" s="20" t="s">
        <v>7501</v>
      </c>
      <c r="M773" s="23" t="s">
        <v>1291</v>
      </c>
      <c r="N773" s="18"/>
      <c r="O773" s="18"/>
      <c r="P773" s="18">
        <f>VLOOKUP($A773,MasterData!$C$1:$I$3001,1,FALSE)</f>
        <v>9719</v>
      </c>
      <c r="Q773" s="18" t="str">
        <f t="shared" si="2"/>
        <v>XAKN1</v>
      </c>
    </row>
    <row r="774" ht="15.75" customHeight="1">
      <c r="A774" s="31">
        <v>9755.0</v>
      </c>
      <c r="B774" s="22" t="s">
        <v>1296</v>
      </c>
      <c r="C774" s="24" t="s">
        <v>7529</v>
      </c>
      <c r="D774" s="32" t="s">
        <v>1296</v>
      </c>
      <c r="E774" s="22" t="s">
        <v>1295</v>
      </c>
      <c r="F774" s="19" t="str">
        <f t="shared" si="1"/>
        <v>XAKN1</v>
      </c>
      <c r="G774" s="19" t="s">
        <v>5408</v>
      </c>
      <c r="H774" s="20" t="s">
        <v>1212</v>
      </c>
      <c r="I774" s="19" t="s">
        <v>5409</v>
      </c>
      <c r="J774" s="19" t="s">
        <v>5410</v>
      </c>
      <c r="K774" s="25" t="s">
        <v>7500</v>
      </c>
      <c r="L774" s="20" t="s">
        <v>7501</v>
      </c>
      <c r="M774" s="23" t="s">
        <v>1294</v>
      </c>
      <c r="N774" s="18"/>
      <c r="O774" s="18"/>
      <c r="P774" s="18">
        <f>VLOOKUP($A774,MasterData!$C$1:$I$3001,1,FALSE)</f>
        <v>9755</v>
      </c>
      <c r="Q774" s="18" t="str">
        <f t="shared" si="2"/>
        <v>XAKN1</v>
      </c>
    </row>
    <row r="775" ht="15.75" customHeight="1">
      <c r="A775" s="31">
        <v>9762.0</v>
      </c>
      <c r="B775" s="22" t="s">
        <v>1299</v>
      </c>
      <c r="C775" s="24" t="s">
        <v>7530</v>
      </c>
      <c r="D775" s="32" t="s">
        <v>1299</v>
      </c>
      <c r="E775" s="22" t="s">
        <v>1298</v>
      </c>
      <c r="F775" s="19" t="str">
        <f t="shared" si="1"/>
        <v>XAKN1</v>
      </c>
      <c r="G775" s="19" t="s">
        <v>5408</v>
      </c>
      <c r="H775" s="20" t="s">
        <v>1212</v>
      </c>
      <c r="I775" s="19" t="s">
        <v>5409</v>
      </c>
      <c r="J775" s="19" t="s">
        <v>5410</v>
      </c>
      <c r="K775" s="25" t="s">
        <v>7500</v>
      </c>
      <c r="L775" s="20" t="s">
        <v>7501</v>
      </c>
      <c r="M775" s="23" t="s">
        <v>1297</v>
      </c>
      <c r="N775" s="18"/>
      <c r="O775" s="18"/>
      <c r="P775" s="18">
        <f>VLOOKUP($A775,MasterData!$C$1:$I$3001,1,FALSE)</f>
        <v>9762</v>
      </c>
      <c r="Q775" s="18" t="str">
        <f t="shared" si="2"/>
        <v>XAKN1</v>
      </c>
    </row>
    <row r="776" ht="15.75" customHeight="1">
      <c r="A776" s="31">
        <v>9770.0</v>
      </c>
      <c r="B776" s="22" t="s">
        <v>1302</v>
      </c>
      <c r="C776" s="24" t="s">
        <v>7531</v>
      </c>
      <c r="D776" s="32" t="s">
        <v>1302</v>
      </c>
      <c r="E776" s="22" t="s">
        <v>1301</v>
      </c>
      <c r="F776" s="19" t="str">
        <f t="shared" si="1"/>
        <v>XAKN1</v>
      </c>
      <c r="G776" s="19" t="s">
        <v>5408</v>
      </c>
      <c r="H776" s="20" t="s">
        <v>1212</v>
      </c>
      <c r="I776" s="19" t="s">
        <v>5409</v>
      </c>
      <c r="J776" s="19" t="s">
        <v>5410</v>
      </c>
      <c r="K776" s="25" t="s">
        <v>7500</v>
      </c>
      <c r="L776" s="20" t="s">
        <v>7501</v>
      </c>
      <c r="M776" s="23" t="s">
        <v>1300</v>
      </c>
      <c r="N776" s="18"/>
      <c r="O776" s="18"/>
      <c r="P776" s="18">
        <f>VLOOKUP($A776,MasterData!$C$1:$I$3001,1,FALSE)</f>
        <v>9770</v>
      </c>
      <c r="Q776" s="18" t="str">
        <f t="shared" si="2"/>
        <v>XAKN1</v>
      </c>
    </row>
    <row r="777" ht="15.75" customHeight="1">
      <c r="A777" s="31">
        <v>9781.0</v>
      </c>
      <c r="B777" s="22" t="s">
        <v>1305</v>
      </c>
      <c r="C777" s="24" t="s">
        <v>7532</v>
      </c>
      <c r="D777" s="32" t="s">
        <v>1305</v>
      </c>
      <c r="E777" s="22" t="s">
        <v>1304</v>
      </c>
      <c r="F777" s="19" t="str">
        <f t="shared" si="1"/>
        <v>XAKN1</v>
      </c>
      <c r="G777" s="19" t="s">
        <v>5408</v>
      </c>
      <c r="H777" s="20" t="s">
        <v>1212</v>
      </c>
      <c r="I777" s="19" t="s">
        <v>5409</v>
      </c>
      <c r="J777" s="19" t="s">
        <v>5410</v>
      </c>
      <c r="K777" s="25" t="s">
        <v>7500</v>
      </c>
      <c r="L777" s="20" t="s">
        <v>7501</v>
      </c>
      <c r="M777" s="23" t="s">
        <v>1303</v>
      </c>
      <c r="N777" s="18"/>
      <c r="O777" s="18"/>
      <c r="P777" s="18">
        <f>VLOOKUP($A777,MasterData!$C$1:$I$3001,1,FALSE)</f>
        <v>9781</v>
      </c>
      <c r="Q777" s="18" t="str">
        <f t="shared" si="2"/>
        <v>XAKN1</v>
      </c>
    </row>
    <row r="778" ht="15.75" customHeight="1">
      <c r="A778" s="31">
        <v>9794.0</v>
      </c>
      <c r="B778" s="22" t="s">
        <v>1308</v>
      </c>
      <c r="C778" s="24" t="s">
        <v>7533</v>
      </c>
      <c r="D778" s="32" t="s">
        <v>1308</v>
      </c>
      <c r="E778" s="22" t="s">
        <v>1307</v>
      </c>
      <c r="F778" s="19" t="str">
        <f t="shared" si="1"/>
        <v>XAKN1</v>
      </c>
      <c r="G778" s="19" t="s">
        <v>5408</v>
      </c>
      <c r="H778" s="20" t="s">
        <v>1212</v>
      </c>
      <c r="I778" s="19" t="s">
        <v>5409</v>
      </c>
      <c r="J778" s="19" t="s">
        <v>5410</v>
      </c>
      <c r="K778" s="25" t="s">
        <v>7500</v>
      </c>
      <c r="L778" s="20" t="s">
        <v>7501</v>
      </c>
      <c r="M778" s="23" t="s">
        <v>1306</v>
      </c>
      <c r="N778" s="18"/>
      <c r="O778" s="18"/>
      <c r="P778" s="18">
        <f>VLOOKUP($A778,MasterData!$C$1:$I$3001,1,FALSE)</f>
        <v>9794</v>
      </c>
      <c r="Q778" s="18" t="str">
        <f t="shared" si="2"/>
        <v>XAKN1</v>
      </c>
    </row>
    <row r="779" ht="15.75" customHeight="1">
      <c r="A779" s="31">
        <v>9800.0</v>
      </c>
      <c r="B779" s="22" t="s">
        <v>1311</v>
      </c>
      <c r="C779" s="24" t="s">
        <v>7534</v>
      </c>
      <c r="D779" s="32" t="s">
        <v>1311</v>
      </c>
      <c r="E779" s="22" t="s">
        <v>1310</v>
      </c>
      <c r="F779" s="19" t="str">
        <f t="shared" si="1"/>
        <v>XAKN1</v>
      </c>
      <c r="G779" s="19" t="s">
        <v>5408</v>
      </c>
      <c r="H779" s="20" t="s">
        <v>1212</v>
      </c>
      <c r="I779" s="19" t="s">
        <v>5409</v>
      </c>
      <c r="J779" s="19" t="s">
        <v>5410</v>
      </c>
      <c r="K779" s="25" t="s">
        <v>7500</v>
      </c>
      <c r="L779" s="20" t="s">
        <v>7501</v>
      </c>
      <c r="M779" s="23" t="s">
        <v>1309</v>
      </c>
      <c r="N779" s="18"/>
      <c r="O779" s="18"/>
      <c r="P779" s="18">
        <f>VLOOKUP($A779,MasterData!$C$1:$I$3001,1,FALSE)</f>
        <v>9800</v>
      </c>
      <c r="Q779" s="18" t="str">
        <f t="shared" si="2"/>
        <v>XAKN1</v>
      </c>
    </row>
    <row r="780" ht="15.75" customHeight="1">
      <c r="A780" s="31">
        <v>9815.0</v>
      </c>
      <c r="B780" s="22" t="s">
        <v>1314</v>
      </c>
      <c r="C780" s="24" t="s">
        <v>7535</v>
      </c>
      <c r="D780" s="32" t="s">
        <v>1314</v>
      </c>
      <c r="E780" s="22" t="s">
        <v>1313</v>
      </c>
      <c r="F780" s="19" t="str">
        <f t="shared" si="1"/>
        <v>XAKN1</v>
      </c>
      <c r="G780" s="19" t="s">
        <v>5408</v>
      </c>
      <c r="H780" s="20" t="s">
        <v>1212</v>
      </c>
      <c r="I780" s="19" t="s">
        <v>5409</v>
      </c>
      <c r="J780" s="19" t="s">
        <v>5410</v>
      </c>
      <c r="K780" s="25" t="s">
        <v>7500</v>
      </c>
      <c r="L780" s="20" t="s">
        <v>7501</v>
      </c>
      <c r="M780" s="23" t="s">
        <v>1312</v>
      </c>
      <c r="N780" s="18"/>
      <c r="O780" s="18"/>
      <c r="P780" s="18">
        <f>VLOOKUP($A780,MasterData!$C$1:$I$3001,1,FALSE)</f>
        <v>9815</v>
      </c>
      <c r="Q780" s="18" t="str">
        <f t="shared" si="2"/>
        <v>XAKN1</v>
      </c>
    </row>
    <row r="781" ht="15.75" customHeight="1">
      <c r="A781" s="31">
        <v>9839.0</v>
      </c>
      <c r="B781" s="22" t="s">
        <v>1317</v>
      </c>
      <c r="C781" s="24" t="s">
        <v>7536</v>
      </c>
      <c r="D781" s="32" t="s">
        <v>1317</v>
      </c>
      <c r="E781" s="22" t="s">
        <v>1316</v>
      </c>
      <c r="F781" s="19" t="str">
        <f t="shared" si="1"/>
        <v>XAKN1</v>
      </c>
      <c r="G781" s="19" t="s">
        <v>5408</v>
      </c>
      <c r="H781" s="20" t="s">
        <v>1212</v>
      </c>
      <c r="I781" s="19" t="s">
        <v>5409</v>
      </c>
      <c r="J781" s="19" t="s">
        <v>5410</v>
      </c>
      <c r="K781" s="25" t="s">
        <v>7500</v>
      </c>
      <c r="L781" s="20" t="s">
        <v>7501</v>
      </c>
      <c r="M781" s="23" t="s">
        <v>1315</v>
      </c>
      <c r="N781" s="18"/>
      <c r="O781" s="18"/>
      <c r="P781" s="18">
        <f>VLOOKUP($A781,MasterData!$C$1:$I$3001,1,FALSE)</f>
        <v>9839</v>
      </c>
      <c r="Q781" s="18" t="str">
        <f t="shared" si="2"/>
        <v>XAKN1</v>
      </c>
    </row>
    <row r="782" ht="15.75" customHeight="1">
      <c r="A782" s="31">
        <v>9249.0</v>
      </c>
      <c r="B782" s="22" t="s">
        <v>1320</v>
      </c>
      <c r="C782" s="24" t="s">
        <v>7537</v>
      </c>
      <c r="D782" s="32" t="s">
        <v>1320</v>
      </c>
      <c r="E782" s="22" t="s">
        <v>1319</v>
      </c>
      <c r="F782" s="19" t="str">
        <f t="shared" si="1"/>
        <v>XAKN2</v>
      </c>
      <c r="G782" s="19" t="s">
        <v>5408</v>
      </c>
      <c r="H782" s="20" t="s">
        <v>1212</v>
      </c>
      <c r="I782" s="19" t="s">
        <v>5409</v>
      </c>
      <c r="J782" s="19" t="s">
        <v>5410</v>
      </c>
      <c r="K782" s="25" t="s">
        <v>7500</v>
      </c>
      <c r="L782" s="20" t="s">
        <v>7538</v>
      </c>
      <c r="M782" s="23" t="s">
        <v>1318</v>
      </c>
      <c r="N782" s="18"/>
      <c r="O782" s="18"/>
      <c r="P782" s="18">
        <f>VLOOKUP($A782,MasterData!$C$1:$I$3001,1,FALSE)</f>
        <v>9249</v>
      </c>
      <c r="Q782" s="18" t="str">
        <f t="shared" si="2"/>
        <v>XAKN2</v>
      </c>
    </row>
    <row r="783" ht="15.75" customHeight="1">
      <c r="A783" s="31">
        <v>9264.0</v>
      </c>
      <c r="B783" s="22" t="s">
        <v>1323</v>
      </c>
      <c r="C783" s="24" t="s">
        <v>7539</v>
      </c>
      <c r="D783" s="32" t="s">
        <v>1323</v>
      </c>
      <c r="E783" s="22" t="s">
        <v>1322</v>
      </c>
      <c r="F783" s="19" t="str">
        <f t="shared" si="1"/>
        <v>XAKN2</v>
      </c>
      <c r="G783" s="19" t="s">
        <v>5408</v>
      </c>
      <c r="H783" s="20" t="s">
        <v>1212</v>
      </c>
      <c r="I783" s="19" t="s">
        <v>5409</v>
      </c>
      <c r="J783" s="19" t="s">
        <v>5410</v>
      </c>
      <c r="K783" s="25" t="s">
        <v>7500</v>
      </c>
      <c r="L783" s="20" t="s">
        <v>7538</v>
      </c>
      <c r="M783" s="23" t="s">
        <v>1321</v>
      </c>
      <c r="N783" s="18"/>
      <c r="O783" s="18"/>
      <c r="P783" s="18">
        <f>VLOOKUP($A783,MasterData!$C$1:$I$3001,1,FALSE)</f>
        <v>9264</v>
      </c>
      <c r="Q783" s="18" t="str">
        <f t="shared" si="2"/>
        <v>XAKN2</v>
      </c>
    </row>
    <row r="784" ht="15.75" customHeight="1">
      <c r="A784" s="31">
        <v>9281.0</v>
      </c>
      <c r="B784" s="22" t="s">
        <v>1326</v>
      </c>
      <c r="C784" s="24" t="s">
        <v>7540</v>
      </c>
      <c r="D784" s="32" t="s">
        <v>1326</v>
      </c>
      <c r="E784" s="22" t="s">
        <v>1325</v>
      </c>
      <c r="F784" s="19" t="str">
        <f t="shared" si="1"/>
        <v>XAKN2</v>
      </c>
      <c r="G784" s="19" t="s">
        <v>5408</v>
      </c>
      <c r="H784" s="20" t="s">
        <v>1212</v>
      </c>
      <c r="I784" s="19" t="s">
        <v>5409</v>
      </c>
      <c r="J784" s="19" t="s">
        <v>5410</v>
      </c>
      <c r="K784" s="25" t="s">
        <v>7500</v>
      </c>
      <c r="L784" s="20" t="s">
        <v>7538</v>
      </c>
      <c r="M784" s="23" t="s">
        <v>1324</v>
      </c>
      <c r="N784" s="18"/>
      <c r="O784" s="18"/>
      <c r="P784" s="18">
        <f>VLOOKUP($A784,MasterData!$C$1:$I$3001,1,FALSE)</f>
        <v>9281</v>
      </c>
      <c r="Q784" s="18" t="str">
        <f t="shared" si="2"/>
        <v>XAKN2</v>
      </c>
    </row>
    <row r="785" ht="15.75" customHeight="1">
      <c r="A785" s="31">
        <v>9290.0</v>
      </c>
      <c r="B785" s="22" t="s">
        <v>1329</v>
      </c>
      <c r="C785" s="24" t="s">
        <v>7541</v>
      </c>
      <c r="D785" s="32" t="s">
        <v>1329</v>
      </c>
      <c r="E785" s="22" t="s">
        <v>1328</v>
      </c>
      <c r="F785" s="19" t="str">
        <f t="shared" si="1"/>
        <v>XAKN2</v>
      </c>
      <c r="G785" s="19" t="s">
        <v>5408</v>
      </c>
      <c r="H785" s="20" t="s">
        <v>1212</v>
      </c>
      <c r="I785" s="19" t="s">
        <v>5409</v>
      </c>
      <c r="J785" s="19" t="s">
        <v>5410</v>
      </c>
      <c r="K785" s="25" t="s">
        <v>7500</v>
      </c>
      <c r="L785" s="20" t="s">
        <v>7538</v>
      </c>
      <c r="M785" s="23" t="s">
        <v>1327</v>
      </c>
      <c r="N785" s="18"/>
      <c r="O785" s="18"/>
      <c r="P785" s="18">
        <f>VLOOKUP($A785,MasterData!$C$1:$I$3001,1,FALSE)</f>
        <v>9290</v>
      </c>
      <c r="Q785" s="18" t="str">
        <f t="shared" si="2"/>
        <v>XAKN2</v>
      </c>
    </row>
    <row r="786" ht="15.75" customHeight="1">
      <c r="A786" s="31">
        <v>9315.0</v>
      </c>
      <c r="B786" s="22" t="s">
        <v>1332</v>
      </c>
      <c r="C786" s="24" t="s">
        <v>7542</v>
      </c>
      <c r="D786" s="32" t="s">
        <v>1332</v>
      </c>
      <c r="E786" s="22" t="s">
        <v>1331</v>
      </c>
      <c r="F786" s="19" t="str">
        <f t="shared" si="1"/>
        <v>XAKN2</v>
      </c>
      <c r="G786" s="19" t="s">
        <v>5408</v>
      </c>
      <c r="H786" s="20" t="s">
        <v>1212</v>
      </c>
      <c r="I786" s="19" t="s">
        <v>5409</v>
      </c>
      <c r="J786" s="19" t="s">
        <v>5410</v>
      </c>
      <c r="K786" s="25" t="s">
        <v>7500</v>
      </c>
      <c r="L786" s="20" t="s">
        <v>7538</v>
      </c>
      <c r="M786" s="23" t="s">
        <v>1330</v>
      </c>
      <c r="N786" s="18"/>
      <c r="O786" s="18"/>
      <c r="P786" s="18">
        <f>VLOOKUP($A786,MasterData!$C$1:$I$3001,1,FALSE)</f>
        <v>9315</v>
      </c>
      <c r="Q786" s="18" t="str">
        <f t="shared" si="2"/>
        <v>XAKN2</v>
      </c>
    </row>
    <row r="787" ht="15.75" customHeight="1">
      <c r="A787" s="31">
        <v>9330.0</v>
      </c>
      <c r="B787" s="22" t="s">
        <v>1335</v>
      </c>
      <c r="C787" s="24" t="s">
        <v>7543</v>
      </c>
      <c r="D787" s="32" t="s">
        <v>1335</v>
      </c>
      <c r="E787" s="22" t="s">
        <v>1334</v>
      </c>
      <c r="F787" s="19" t="str">
        <f t="shared" si="1"/>
        <v>XAKN2</v>
      </c>
      <c r="G787" s="19" t="s">
        <v>5408</v>
      </c>
      <c r="H787" s="20" t="s">
        <v>1212</v>
      </c>
      <c r="I787" s="19" t="s">
        <v>5409</v>
      </c>
      <c r="J787" s="19" t="s">
        <v>5410</v>
      </c>
      <c r="K787" s="25" t="s">
        <v>7500</v>
      </c>
      <c r="L787" s="20" t="s">
        <v>7538</v>
      </c>
      <c r="M787" s="23" t="s">
        <v>1333</v>
      </c>
      <c r="N787" s="18"/>
      <c r="O787" s="18"/>
      <c r="P787" s="18">
        <f>VLOOKUP($A787,MasterData!$C$1:$I$3001,1,FALSE)</f>
        <v>9330</v>
      </c>
      <c r="Q787" s="18" t="str">
        <f t="shared" si="2"/>
        <v>XAKN2</v>
      </c>
    </row>
    <row r="788" ht="15.75" customHeight="1">
      <c r="A788" s="31">
        <v>9346.0</v>
      </c>
      <c r="B788" s="22" t="s">
        <v>1338</v>
      </c>
      <c r="C788" s="24" t="s">
        <v>7544</v>
      </c>
      <c r="D788" s="32" t="s">
        <v>1338</v>
      </c>
      <c r="E788" s="22" t="s">
        <v>1337</v>
      </c>
      <c r="F788" s="19" t="str">
        <f t="shared" si="1"/>
        <v>XAKN2</v>
      </c>
      <c r="G788" s="19" t="s">
        <v>5408</v>
      </c>
      <c r="H788" s="20" t="s">
        <v>1212</v>
      </c>
      <c r="I788" s="19" t="s">
        <v>5409</v>
      </c>
      <c r="J788" s="19" t="s">
        <v>5410</v>
      </c>
      <c r="K788" s="25" t="s">
        <v>7500</v>
      </c>
      <c r="L788" s="20" t="s">
        <v>7538</v>
      </c>
      <c r="M788" s="23" t="s">
        <v>1336</v>
      </c>
      <c r="N788" s="18"/>
      <c r="O788" s="18"/>
      <c r="P788" s="18">
        <f>VLOOKUP($A788,MasterData!$C$1:$I$3001,1,FALSE)</f>
        <v>9346</v>
      </c>
      <c r="Q788" s="18" t="str">
        <f t="shared" si="2"/>
        <v>XAKN2</v>
      </c>
    </row>
    <row r="789" ht="15.75" customHeight="1">
      <c r="A789" s="31">
        <v>9358.0</v>
      </c>
      <c r="B789" s="22" t="s">
        <v>1341</v>
      </c>
      <c r="C789" s="24" t="s">
        <v>7545</v>
      </c>
      <c r="D789" s="32" t="s">
        <v>1341</v>
      </c>
      <c r="E789" s="22" t="s">
        <v>1340</v>
      </c>
      <c r="F789" s="19" t="str">
        <f t="shared" si="1"/>
        <v>XAKN2</v>
      </c>
      <c r="G789" s="19" t="s">
        <v>5408</v>
      </c>
      <c r="H789" s="20" t="s">
        <v>1212</v>
      </c>
      <c r="I789" s="19" t="s">
        <v>5409</v>
      </c>
      <c r="J789" s="19" t="s">
        <v>5410</v>
      </c>
      <c r="K789" s="25" t="s">
        <v>7500</v>
      </c>
      <c r="L789" s="20" t="s">
        <v>7538</v>
      </c>
      <c r="M789" s="23" t="s">
        <v>1339</v>
      </c>
      <c r="N789" s="18"/>
      <c r="O789" s="18"/>
      <c r="P789" s="18">
        <f>VLOOKUP($A789,MasterData!$C$1:$I$3001,1,FALSE)</f>
        <v>9358</v>
      </c>
      <c r="Q789" s="18" t="str">
        <f t="shared" si="2"/>
        <v>XAKN2</v>
      </c>
    </row>
    <row r="790" ht="15.75" customHeight="1">
      <c r="A790" s="31">
        <v>9384.0</v>
      </c>
      <c r="B790" s="22" t="s">
        <v>1344</v>
      </c>
      <c r="C790" s="24" t="s">
        <v>7546</v>
      </c>
      <c r="D790" s="32" t="s">
        <v>1344</v>
      </c>
      <c r="E790" s="22" t="s">
        <v>1343</v>
      </c>
      <c r="F790" s="19" t="str">
        <f t="shared" si="1"/>
        <v>XAKN2</v>
      </c>
      <c r="G790" s="19" t="s">
        <v>5408</v>
      </c>
      <c r="H790" s="20" t="s">
        <v>1212</v>
      </c>
      <c r="I790" s="19" t="s">
        <v>5409</v>
      </c>
      <c r="J790" s="19" t="s">
        <v>5410</v>
      </c>
      <c r="K790" s="25" t="s">
        <v>7500</v>
      </c>
      <c r="L790" s="20" t="s">
        <v>7538</v>
      </c>
      <c r="M790" s="23" t="s">
        <v>1342</v>
      </c>
      <c r="N790" s="18"/>
      <c r="O790" s="18"/>
      <c r="P790" s="18">
        <f>VLOOKUP($A790,MasterData!$C$1:$I$3001,1,FALSE)</f>
        <v>9384</v>
      </c>
      <c r="Q790" s="18" t="str">
        <f t="shared" si="2"/>
        <v>XAKN2</v>
      </c>
    </row>
    <row r="791" ht="15.75" customHeight="1">
      <c r="A791" s="31">
        <v>9402.0</v>
      </c>
      <c r="B791" s="22" t="s">
        <v>1347</v>
      </c>
      <c r="C791" s="24" t="s">
        <v>7547</v>
      </c>
      <c r="D791" s="32" t="s">
        <v>1347</v>
      </c>
      <c r="E791" s="22" t="s">
        <v>1346</v>
      </c>
      <c r="F791" s="19" t="str">
        <f t="shared" si="1"/>
        <v>XAKN2</v>
      </c>
      <c r="G791" s="19" t="s">
        <v>5408</v>
      </c>
      <c r="H791" s="20" t="s">
        <v>1212</v>
      </c>
      <c r="I791" s="19" t="s">
        <v>5409</v>
      </c>
      <c r="J791" s="19" t="s">
        <v>5410</v>
      </c>
      <c r="K791" s="25" t="s">
        <v>7500</v>
      </c>
      <c r="L791" s="20" t="s">
        <v>7538</v>
      </c>
      <c r="M791" s="23" t="s">
        <v>1345</v>
      </c>
      <c r="N791" s="18"/>
      <c r="O791" s="18"/>
      <c r="P791" s="18">
        <f>VLOOKUP($A791,MasterData!$C$1:$I$3001,1,FALSE)</f>
        <v>9402</v>
      </c>
      <c r="Q791" s="18" t="str">
        <f t="shared" si="2"/>
        <v>XAKN2</v>
      </c>
    </row>
    <row r="792" ht="15.75" customHeight="1">
      <c r="A792" s="31">
        <v>9410.0</v>
      </c>
      <c r="B792" s="22" t="s">
        <v>1350</v>
      </c>
      <c r="C792" s="24" t="s">
        <v>7548</v>
      </c>
      <c r="D792" s="32" t="s">
        <v>1350</v>
      </c>
      <c r="E792" s="22" t="s">
        <v>1349</v>
      </c>
      <c r="F792" s="19" t="str">
        <f t="shared" si="1"/>
        <v>XAKN2</v>
      </c>
      <c r="G792" s="19" t="s">
        <v>5408</v>
      </c>
      <c r="H792" s="20" t="s">
        <v>1212</v>
      </c>
      <c r="I792" s="19" t="s">
        <v>5409</v>
      </c>
      <c r="J792" s="19" t="s">
        <v>5410</v>
      </c>
      <c r="K792" s="25" t="s">
        <v>7500</v>
      </c>
      <c r="L792" s="20" t="s">
        <v>7538</v>
      </c>
      <c r="M792" s="23" t="s">
        <v>1348</v>
      </c>
      <c r="N792" s="18"/>
      <c r="O792" s="18"/>
      <c r="P792" s="18">
        <f>VLOOKUP($A792,MasterData!$C$1:$I$3001,1,FALSE)</f>
        <v>9410</v>
      </c>
      <c r="Q792" s="18" t="str">
        <f t="shared" si="2"/>
        <v>XAKN2</v>
      </c>
    </row>
    <row r="793" ht="15.75" customHeight="1">
      <c r="A793" s="31">
        <v>9416.0</v>
      </c>
      <c r="B793" s="22" t="s">
        <v>1353</v>
      </c>
      <c r="C793" s="24" t="s">
        <v>7549</v>
      </c>
      <c r="D793" s="32" t="s">
        <v>1353</v>
      </c>
      <c r="E793" s="22" t="s">
        <v>1352</v>
      </c>
      <c r="F793" s="19" t="str">
        <f t="shared" si="1"/>
        <v>XAKN2</v>
      </c>
      <c r="G793" s="19" t="s">
        <v>5408</v>
      </c>
      <c r="H793" s="20" t="s">
        <v>1212</v>
      </c>
      <c r="I793" s="19" t="s">
        <v>5409</v>
      </c>
      <c r="J793" s="19" t="s">
        <v>5410</v>
      </c>
      <c r="K793" s="25" t="s">
        <v>7500</v>
      </c>
      <c r="L793" s="20" t="s">
        <v>7538</v>
      </c>
      <c r="M793" s="23" t="s">
        <v>1351</v>
      </c>
      <c r="N793" s="18"/>
      <c r="O793" s="18"/>
      <c r="P793" s="18">
        <f>VLOOKUP($A793,MasterData!$C$1:$I$3001,1,FALSE)</f>
        <v>9416</v>
      </c>
      <c r="Q793" s="18" t="str">
        <f t="shared" si="2"/>
        <v>XAKN2</v>
      </c>
    </row>
    <row r="794" ht="15.75" customHeight="1">
      <c r="A794" s="31">
        <v>9430.0</v>
      </c>
      <c r="B794" s="22" t="s">
        <v>1356</v>
      </c>
      <c r="C794" s="24" t="s">
        <v>7550</v>
      </c>
      <c r="D794" s="32" t="s">
        <v>1356</v>
      </c>
      <c r="E794" s="22" t="s">
        <v>1355</v>
      </c>
      <c r="F794" s="19" t="str">
        <f t="shared" si="1"/>
        <v>XAKN2</v>
      </c>
      <c r="G794" s="19" t="s">
        <v>5408</v>
      </c>
      <c r="H794" s="20" t="s">
        <v>1212</v>
      </c>
      <c r="I794" s="19" t="s">
        <v>5409</v>
      </c>
      <c r="J794" s="19" t="s">
        <v>5410</v>
      </c>
      <c r="K794" s="25" t="s">
        <v>7500</v>
      </c>
      <c r="L794" s="20" t="s">
        <v>7538</v>
      </c>
      <c r="M794" s="23" t="s">
        <v>1354</v>
      </c>
      <c r="N794" s="18"/>
      <c r="O794" s="18"/>
      <c r="P794" s="18">
        <f>VLOOKUP($A794,MasterData!$C$1:$I$3001,1,FALSE)</f>
        <v>9430</v>
      </c>
      <c r="Q794" s="18" t="str">
        <f t="shared" si="2"/>
        <v>XAKN2</v>
      </c>
    </row>
    <row r="795" ht="15.75" customHeight="1">
      <c r="A795" s="31">
        <v>9436.0</v>
      </c>
      <c r="B795" s="22" t="s">
        <v>1359</v>
      </c>
      <c r="C795" s="24" t="s">
        <v>7551</v>
      </c>
      <c r="D795" s="32" t="s">
        <v>1359</v>
      </c>
      <c r="E795" s="22" t="s">
        <v>1358</v>
      </c>
      <c r="F795" s="19" t="str">
        <f t="shared" si="1"/>
        <v>XAKN2</v>
      </c>
      <c r="G795" s="19" t="s">
        <v>5408</v>
      </c>
      <c r="H795" s="20" t="s">
        <v>1212</v>
      </c>
      <c r="I795" s="19" t="s">
        <v>5409</v>
      </c>
      <c r="J795" s="19" t="s">
        <v>5410</v>
      </c>
      <c r="K795" s="25" t="s">
        <v>7500</v>
      </c>
      <c r="L795" s="20" t="s">
        <v>7538</v>
      </c>
      <c r="M795" s="23" t="s">
        <v>1357</v>
      </c>
      <c r="N795" s="18"/>
      <c r="O795" s="18"/>
      <c r="P795" s="18">
        <f>VLOOKUP($A795,MasterData!$C$1:$I$3001,1,FALSE)</f>
        <v>9436</v>
      </c>
      <c r="Q795" s="18" t="str">
        <f t="shared" si="2"/>
        <v>XAKN2</v>
      </c>
    </row>
    <row r="796" ht="15.75" customHeight="1">
      <c r="A796" s="31">
        <v>9457.0</v>
      </c>
      <c r="B796" s="22" t="s">
        <v>1362</v>
      </c>
      <c r="C796" s="24" t="s">
        <v>7552</v>
      </c>
      <c r="D796" s="32" t="s">
        <v>1362</v>
      </c>
      <c r="E796" s="22" t="s">
        <v>1361</v>
      </c>
      <c r="F796" s="19" t="str">
        <f t="shared" si="1"/>
        <v>XAKN2</v>
      </c>
      <c r="G796" s="19" t="s">
        <v>5408</v>
      </c>
      <c r="H796" s="20" t="s">
        <v>1212</v>
      </c>
      <c r="I796" s="19" t="s">
        <v>5409</v>
      </c>
      <c r="J796" s="19" t="s">
        <v>5410</v>
      </c>
      <c r="K796" s="25" t="s">
        <v>7500</v>
      </c>
      <c r="L796" s="20" t="s">
        <v>7538</v>
      </c>
      <c r="M796" s="23" t="s">
        <v>1360</v>
      </c>
      <c r="N796" s="18"/>
      <c r="O796" s="18"/>
      <c r="P796" s="18">
        <f>VLOOKUP($A796,MasterData!$C$1:$I$3001,1,FALSE)</f>
        <v>9457</v>
      </c>
      <c r="Q796" s="18" t="str">
        <f t="shared" si="2"/>
        <v>XAKN2</v>
      </c>
    </row>
    <row r="797" ht="15.75" customHeight="1">
      <c r="A797" s="31">
        <v>9476.0</v>
      </c>
      <c r="B797" s="22" t="s">
        <v>1365</v>
      </c>
      <c r="C797" s="24" t="s">
        <v>7553</v>
      </c>
      <c r="D797" s="32" t="s">
        <v>1365</v>
      </c>
      <c r="E797" s="22" t="s">
        <v>1364</v>
      </c>
      <c r="F797" s="19" t="str">
        <f t="shared" si="1"/>
        <v>XAKN2</v>
      </c>
      <c r="G797" s="19" t="s">
        <v>5408</v>
      </c>
      <c r="H797" s="20" t="s">
        <v>1212</v>
      </c>
      <c r="I797" s="19" t="s">
        <v>5409</v>
      </c>
      <c r="J797" s="19" t="s">
        <v>5410</v>
      </c>
      <c r="K797" s="25" t="s">
        <v>7500</v>
      </c>
      <c r="L797" s="20" t="s">
        <v>7538</v>
      </c>
      <c r="M797" s="23" t="s">
        <v>1363</v>
      </c>
      <c r="N797" s="18"/>
      <c r="O797" s="18"/>
      <c r="P797" s="18">
        <f>VLOOKUP($A797,MasterData!$C$1:$I$3001,1,FALSE)</f>
        <v>9476</v>
      </c>
      <c r="Q797" s="18" t="str">
        <f t="shared" si="2"/>
        <v>XAKN2</v>
      </c>
    </row>
    <row r="798" ht="15.75" customHeight="1">
      <c r="A798" s="31">
        <v>9496.0</v>
      </c>
      <c r="B798" s="22" t="s">
        <v>1368</v>
      </c>
      <c r="C798" s="24" t="s">
        <v>7554</v>
      </c>
      <c r="D798" s="32" t="s">
        <v>1368</v>
      </c>
      <c r="E798" s="22" t="s">
        <v>1367</v>
      </c>
      <c r="F798" s="19" t="str">
        <f t="shared" si="1"/>
        <v>XAKN2</v>
      </c>
      <c r="G798" s="19" t="s">
        <v>5408</v>
      </c>
      <c r="H798" s="20" t="s">
        <v>1212</v>
      </c>
      <c r="I798" s="19" t="s">
        <v>5409</v>
      </c>
      <c r="J798" s="19" t="s">
        <v>5410</v>
      </c>
      <c r="K798" s="25" t="s">
        <v>7500</v>
      </c>
      <c r="L798" s="20" t="s">
        <v>7538</v>
      </c>
      <c r="M798" s="23" t="s">
        <v>1366</v>
      </c>
      <c r="N798" s="18"/>
      <c r="O798" s="18"/>
      <c r="P798" s="18">
        <f>VLOOKUP($A798,MasterData!$C$1:$I$3001,1,FALSE)</f>
        <v>9496</v>
      </c>
      <c r="Q798" s="18" t="str">
        <f t="shared" si="2"/>
        <v>XAKN2</v>
      </c>
    </row>
    <row r="799" ht="15.75" customHeight="1">
      <c r="A799" s="31">
        <v>9517.0</v>
      </c>
      <c r="B799" s="22" t="s">
        <v>1371</v>
      </c>
      <c r="C799" s="24" t="s">
        <v>7555</v>
      </c>
      <c r="D799" s="32" t="s">
        <v>1371</v>
      </c>
      <c r="E799" s="22" t="s">
        <v>1370</v>
      </c>
      <c r="F799" s="19" t="str">
        <f t="shared" si="1"/>
        <v>XAKN2</v>
      </c>
      <c r="G799" s="19" t="s">
        <v>5408</v>
      </c>
      <c r="H799" s="20" t="s">
        <v>1212</v>
      </c>
      <c r="I799" s="19" t="s">
        <v>5409</v>
      </c>
      <c r="J799" s="19" t="s">
        <v>5410</v>
      </c>
      <c r="K799" s="25" t="s">
        <v>7500</v>
      </c>
      <c r="L799" s="20" t="s">
        <v>7538</v>
      </c>
      <c r="M799" s="23" t="s">
        <v>1369</v>
      </c>
      <c r="N799" s="18"/>
      <c r="O799" s="18"/>
      <c r="P799" s="18">
        <f>VLOOKUP($A799,MasterData!$C$1:$I$3001,1,FALSE)</f>
        <v>9517</v>
      </c>
      <c r="Q799" s="18" t="str">
        <f t="shared" si="2"/>
        <v>XAKN2</v>
      </c>
    </row>
    <row r="800" ht="15.75" customHeight="1">
      <c r="A800" s="31">
        <v>9528.0</v>
      </c>
      <c r="B800" s="22" t="s">
        <v>1374</v>
      </c>
      <c r="C800" s="24" t="s">
        <v>7556</v>
      </c>
      <c r="D800" s="32" t="s">
        <v>1374</v>
      </c>
      <c r="E800" s="22" t="s">
        <v>1373</v>
      </c>
      <c r="F800" s="19" t="str">
        <f t="shared" si="1"/>
        <v>XAKN2</v>
      </c>
      <c r="G800" s="19" t="s">
        <v>5408</v>
      </c>
      <c r="H800" s="20" t="s">
        <v>1212</v>
      </c>
      <c r="I800" s="19" t="s">
        <v>5409</v>
      </c>
      <c r="J800" s="19" t="s">
        <v>5410</v>
      </c>
      <c r="K800" s="25" t="s">
        <v>7500</v>
      </c>
      <c r="L800" s="20" t="s">
        <v>7538</v>
      </c>
      <c r="M800" s="23" t="s">
        <v>1372</v>
      </c>
      <c r="N800" s="18"/>
      <c r="O800" s="18"/>
      <c r="P800" s="18">
        <f>VLOOKUP($A800,MasterData!$C$1:$I$3001,1,FALSE)</f>
        <v>9528</v>
      </c>
      <c r="Q800" s="18" t="str">
        <f t="shared" si="2"/>
        <v>XAKN2</v>
      </c>
    </row>
    <row r="801" ht="15.75" customHeight="1">
      <c r="A801" s="31">
        <v>9533.0</v>
      </c>
      <c r="B801" s="22" t="s">
        <v>1377</v>
      </c>
      <c r="C801" s="24" t="s">
        <v>7557</v>
      </c>
      <c r="D801" s="32" t="s">
        <v>1377</v>
      </c>
      <c r="E801" s="22" t="s">
        <v>1376</v>
      </c>
      <c r="F801" s="19" t="str">
        <f t="shared" si="1"/>
        <v>XAKN2</v>
      </c>
      <c r="G801" s="19" t="s">
        <v>5408</v>
      </c>
      <c r="H801" s="20" t="s">
        <v>1212</v>
      </c>
      <c r="I801" s="19" t="s">
        <v>5409</v>
      </c>
      <c r="J801" s="19" t="s">
        <v>5410</v>
      </c>
      <c r="K801" s="25" t="s">
        <v>7500</v>
      </c>
      <c r="L801" s="20" t="s">
        <v>7538</v>
      </c>
      <c r="M801" s="23" t="s">
        <v>1375</v>
      </c>
      <c r="N801" s="18"/>
      <c r="O801" s="18"/>
      <c r="P801" s="18">
        <f>VLOOKUP($A801,MasterData!$C$1:$I$3001,1,FALSE)</f>
        <v>9533</v>
      </c>
      <c r="Q801" s="18" t="str">
        <f t="shared" si="2"/>
        <v>XAKN2</v>
      </c>
    </row>
    <row r="802" ht="15.75" customHeight="1">
      <c r="A802" s="31">
        <v>9546.0</v>
      </c>
      <c r="B802" s="22" t="s">
        <v>1380</v>
      </c>
      <c r="C802" s="24" t="s">
        <v>7558</v>
      </c>
      <c r="D802" s="32" t="s">
        <v>1380</v>
      </c>
      <c r="E802" s="22" t="s">
        <v>1379</v>
      </c>
      <c r="F802" s="19" t="str">
        <f t="shared" si="1"/>
        <v>XAKN2</v>
      </c>
      <c r="G802" s="19" t="s">
        <v>5408</v>
      </c>
      <c r="H802" s="20" t="s">
        <v>1212</v>
      </c>
      <c r="I802" s="19" t="s">
        <v>5409</v>
      </c>
      <c r="J802" s="19" t="s">
        <v>5410</v>
      </c>
      <c r="K802" s="25" t="s">
        <v>7500</v>
      </c>
      <c r="L802" s="20" t="s">
        <v>7538</v>
      </c>
      <c r="M802" s="23" t="s">
        <v>1378</v>
      </c>
      <c r="N802" s="18"/>
      <c r="O802" s="18"/>
      <c r="P802" s="18">
        <f>VLOOKUP($A802,MasterData!$C$1:$I$3001,1,FALSE)</f>
        <v>9546</v>
      </c>
      <c r="Q802" s="18" t="str">
        <f t="shared" si="2"/>
        <v>XAKN2</v>
      </c>
    </row>
    <row r="803" ht="15.75" customHeight="1">
      <c r="A803" s="31">
        <v>9558.0</v>
      </c>
      <c r="B803" s="22" t="s">
        <v>1383</v>
      </c>
      <c r="C803" s="24" t="s">
        <v>7559</v>
      </c>
      <c r="D803" s="32" t="s">
        <v>1383</v>
      </c>
      <c r="E803" s="22" t="s">
        <v>1382</v>
      </c>
      <c r="F803" s="19" t="str">
        <f t="shared" si="1"/>
        <v>XAKN2</v>
      </c>
      <c r="G803" s="19" t="s">
        <v>5408</v>
      </c>
      <c r="H803" s="20" t="s">
        <v>1212</v>
      </c>
      <c r="I803" s="19" t="s">
        <v>5409</v>
      </c>
      <c r="J803" s="19" t="s">
        <v>5410</v>
      </c>
      <c r="K803" s="25" t="s">
        <v>7500</v>
      </c>
      <c r="L803" s="20" t="s">
        <v>7538</v>
      </c>
      <c r="M803" s="23" t="s">
        <v>1381</v>
      </c>
      <c r="N803" s="18"/>
      <c r="O803" s="18"/>
      <c r="P803" s="18">
        <f>VLOOKUP($A803,MasterData!$C$1:$I$3001,1,FALSE)</f>
        <v>9558</v>
      </c>
      <c r="Q803" s="18" t="str">
        <f t="shared" si="2"/>
        <v>XAKN2</v>
      </c>
    </row>
    <row r="804" ht="15.75" customHeight="1">
      <c r="A804" s="31">
        <v>9632.0</v>
      </c>
      <c r="B804" s="22" t="s">
        <v>1386</v>
      </c>
      <c r="C804" s="24" t="s">
        <v>7560</v>
      </c>
      <c r="D804" s="32" t="s">
        <v>1386</v>
      </c>
      <c r="E804" s="22" t="s">
        <v>1385</v>
      </c>
      <c r="F804" s="19" t="str">
        <f t="shared" si="1"/>
        <v>XAKN2</v>
      </c>
      <c r="G804" s="19" t="s">
        <v>5408</v>
      </c>
      <c r="H804" s="20" t="s">
        <v>1212</v>
      </c>
      <c r="I804" s="19" t="s">
        <v>5409</v>
      </c>
      <c r="J804" s="19" t="s">
        <v>5410</v>
      </c>
      <c r="K804" s="25" t="s">
        <v>7500</v>
      </c>
      <c r="L804" s="20" t="s">
        <v>7538</v>
      </c>
      <c r="M804" s="23" t="s">
        <v>1384</v>
      </c>
      <c r="N804" s="18"/>
      <c r="O804" s="18"/>
      <c r="P804" s="18">
        <f>VLOOKUP($A804,MasterData!$C$1:$I$3001,1,FALSE)</f>
        <v>9632</v>
      </c>
      <c r="Q804" s="18" t="str">
        <f t="shared" si="2"/>
        <v>XAKN2</v>
      </c>
    </row>
    <row r="805" ht="15.75" customHeight="1">
      <c r="A805" s="31">
        <v>9648.0</v>
      </c>
      <c r="B805" s="22" t="s">
        <v>1389</v>
      </c>
      <c r="C805" s="24" t="s">
        <v>7561</v>
      </c>
      <c r="D805" s="32" t="s">
        <v>1389</v>
      </c>
      <c r="E805" s="22" t="s">
        <v>1388</v>
      </c>
      <c r="F805" s="19" t="str">
        <f t="shared" si="1"/>
        <v>XAKN2</v>
      </c>
      <c r="G805" s="19" t="s">
        <v>5408</v>
      </c>
      <c r="H805" s="20" t="s">
        <v>1212</v>
      </c>
      <c r="I805" s="19" t="s">
        <v>5409</v>
      </c>
      <c r="J805" s="19" t="s">
        <v>5410</v>
      </c>
      <c r="K805" s="25" t="s">
        <v>7500</v>
      </c>
      <c r="L805" s="20" t="s">
        <v>7538</v>
      </c>
      <c r="M805" s="23" t="s">
        <v>1387</v>
      </c>
      <c r="N805" s="18"/>
      <c r="O805" s="18"/>
      <c r="P805" s="18">
        <f>VLOOKUP($A805,MasterData!$C$1:$I$3001,1,FALSE)</f>
        <v>9648</v>
      </c>
      <c r="Q805" s="18" t="str">
        <f t="shared" si="2"/>
        <v>XAKN2</v>
      </c>
    </row>
    <row r="806" ht="15.75" customHeight="1">
      <c r="A806" s="31">
        <v>9665.0</v>
      </c>
      <c r="B806" s="22" t="s">
        <v>1392</v>
      </c>
      <c r="C806" s="24" t="s">
        <v>7562</v>
      </c>
      <c r="D806" s="32" t="s">
        <v>1392</v>
      </c>
      <c r="E806" s="22" t="s">
        <v>1391</v>
      </c>
      <c r="F806" s="19" t="str">
        <f t="shared" si="1"/>
        <v>XAKN2</v>
      </c>
      <c r="G806" s="19" t="s">
        <v>5408</v>
      </c>
      <c r="H806" s="20" t="s">
        <v>1212</v>
      </c>
      <c r="I806" s="19" t="s">
        <v>5409</v>
      </c>
      <c r="J806" s="19" t="s">
        <v>5410</v>
      </c>
      <c r="K806" s="25" t="s">
        <v>7500</v>
      </c>
      <c r="L806" s="20" t="s">
        <v>7538</v>
      </c>
      <c r="M806" s="23" t="s">
        <v>1390</v>
      </c>
      <c r="N806" s="18"/>
      <c r="O806" s="18"/>
      <c r="P806" s="18">
        <f>VLOOKUP($A806,MasterData!$C$1:$I$3001,1,FALSE)</f>
        <v>9665</v>
      </c>
      <c r="Q806" s="18" t="str">
        <f t="shared" si="2"/>
        <v>XAKN2</v>
      </c>
    </row>
    <row r="807" ht="15.75" customHeight="1">
      <c r="A807" s="31">
        <v>9684.0</v>
      </c>
      <c r="B807" s="22" t="s">
        <v>1395</v>
      </c>
      <c r="C807" s="24" t="s">
        <v>7563</v>
      </c>
      <c r="D807" s="32" t="s">
        <v>1395</v>
      </c>
      <c r="E807" s="22" t="s">
        <v>1394</v>
      </c>
      <c r="F807" s="19" t="str">
        <f t="shared" si="1"/>
        <v>XAKN2</v>
      </c>
      <c r="G807" s="19" t="s">
        <v>5408</v>
      </c>
      <c r="H807" s="20" t="s">
        <v>1212</v>
      </c>
      <c r="I807" s="19" t="s">
        <v>5409</v>
      </c>
      <c r="J807" s="19" t="s">
        <v>5410</v>
      </c>
      <c r="K807" s="25" t="s">
        <v>7500</v>
      </c>
      <c r="L807" s="20" t="s">
        <v>7538</v>
      </c>
      <c r="M807" s="23" t="s">
        <v>1393</v>
      </c>
      <c r="N807" s="18"/>
      <c r="O807" s="18"/>
      <c r="P807" s="18">
        <f>VLOOKUP($A807,MasterData!$C$1:$I$3001,1,FALSE)</f>
        <v>9684</v>
      </c>
      <c r="Q807" s="18" t="str">
        <f t="shared" si="2"/>
        <v>XAKN2</v>
      </c>
    </row>
    <row r="808" ht="15.75" customHeight="1">
      <c r="A808" s="31">
        <v>9707.0</v>
      </c>
      <c r="B808" s="22" t="s">
        <v>1398</v>
      </c>
      <c r="C808" s="24" t="s">
        <v>7564</v>
      </c>
      <c r="D808" s="32" t="s">
        <v>1398</v>
      </c>
      <c r="E808" s="22" t="s">
        <v>1397</v>
      </c>
      <c r="F808" s="19" t="str">
        <f t="shared" si="1"/>
        <v>XAKN2</v>
      </c>
      <c r="G808" s="19" t="s">
        <v>5408</v>
      </c>
      <c r="H808" s="20" t="s">
        <v>1212</v>
      </c>
      <c r="I808" s="19" t="s">
        <v>5409</v>
      </c>
      <c r="J808" s="19" t="s">
        <v>5410</v>
      </c>
      <c r="K808" s="25" t="s">
        <v>7500</v>
      </c>
      <c r="L808" s="20" t="s">
        <v>7538</v>
      </c>
      <c r="M808" s="23" t="s">
        <v>1396</v>
      </c>
      <c r="N808" s="18"/>
      <c r="O808" s="18"/>
      <c r="P808" s="18">
        <f>VLOOKUP($A808,MasterData!$C$1:$I$3001,1,FALSE)</f>
        <v>9707</v>
      </c>
      <c r="Q808" s="18" t="str">
        <f t="shared" si="2"/>
        <v>XAKN2</v>
      </c>
    </row>
    <row r="809" ht="15.75" customHeight="1">
      <c r="A809" s="31">
        <v>9731.0</v>
      </c>
      <c r="B809" s="22" t="s">
        <v>1401</v>
      </c>
      <c r="C809" s="24" t="s">
        <v>7565</v>
      </c>
      <c r="D809" s="32" t="s">
        <v>1401</v>
      </c>
      <c r="E809" s="22" t="s">
        <v>1400</v>
      </c>
      <c r="F809" s="19" t="str">
        <f t="shared" si="1"/>
        <v>XAKN2</v>
      </c>
      <c r="G809" s="19" t="s">
        <v>5408</v>
      </c>
      <c r="H809" s="20" t="s">
        <v>1212</v>
      </c>
      <c r="I809" s="19" t="s">
        <v>5409</v>
      </c>
      <c r="J809" s="19" t="s">
        <v>5410</v>
      </c>
      <c r="K809" s="25" t="s">
        <v>7500</v>
      </c>
      <c r="L809" s="20" t="s">
        <v>7538</v>
      </c>
      <c r="M809" s="23" t="s">
        <v>1399</v>
      </c>
      <c r="N809" s="18"/>
      <c r="O809" s="18"/>
      <c r="P809" s="18">
        <f>VLOOKUP($A809,MasterData!$C$1:$I$3001,1,FALSE)</f>
        <v>9731</v>
      </c>
      <c r="Q809" s="18" t="str">
        <f t="shared" si="2"/>
        <v>XAKN2</v>
      </c>
    </row>
    <row r="810" ht="15.75" customHeight="1">
      <c r="A810" s="31">
        <v>9756.0</v>
      </c>
      <c r="B810" s="22" t="s">
        <v>1404</v>
      </c>
      <c r="C810" s="24" t="s">
        <v>7566</v>
      </c>
      <c r="D810" s="32" t="s">
        <v>1404</v>
      </c>
      <c r="E810" s="22" t="s">
        <v>1403</v>
      </c>
      <c r="F810" s="19" t="str">
        <f t="shared" si="1"/>
        <v>XAKN2</v>
      </c>
      <c r="G810" s="19" t="s">
        <v>5408</v>
      </c>
      <c r="H810" s="20" t="s">
        <v>1212</v>
      </c>
      <c r="I810" s="19" t="s">
        <v>5409</v>
      </c>
      <c r="J810" s="19" t="s">
        <v>5410</v>
      </c>
      <c r="K810" s="25" t="s">
        <v>7500</v>
      </c>
      <c r="L810" s="20" t="s">
        <v>7538</v>
      </c>
      <c r="M810" s="23" t="s">
        <v>1402</v>
      </c>
      <c r="N810" s="18"/>
      <c r="O810" s="18"/>
      <c r="P810" s="18">
        <f>VLOOKUP($A810,MasterData!$C$1:$I$3001,1,FALSE)</f>
        <v>9756</v>
      </c>
      <c r="Q810" s="18" t="str">
        <f t="shared" si="2"/>
        <v>XAKN2</v>
      </c>
    </row>
    <row r="811" ht="15.75" customHeight="1">
      <c r="A811" s="31">
        <v>9763.0</v>
      </c>
      <c r="B811" s="22" t="s">
        <v>1407</v>
      </c>
      <c r="C811" s="24" t="s">
        <v>7567</v>
      </c>
      <c r="D811" s="32" t="s">
        <v>1407</v>
      </c>
      <c r="E811" s="22" t="s">
        <v>1406</v>
      </c>
      <c r="F811" s="19" t="str">
        <f t="shared" si="1"/>
        <v>XAKN2</v>
      </c>
      <c r="G811" s="19" t="s">
        <v>5408</v>
      </c>
      <c r="H811" s="20" t="s">
        <v>1212</v>
      </c>
      <c r="I811" s="19" t="s">
        <v>5409</v>
      </c>
      <c r="J811" s="19" t="s">
        <v>5410</v>
      </c>
      <c r="K811" s="25" t="s">
        <v>7500</v>
      </c>
      <c r="L811" s="20" t="s">
        <v>7538</v>
      </c>
      <c r="M811" s="23" t="s">
        <v>1405</v>
      </c>
      <c r="N811" s="18"/>
      <c r="O811" s="18"/>
      <c r="P811" s="18">
        <f>VLOOKUP($A811,MasterData!$C$1:$I$3001,1,FALSE)</f>
        <v>9763</v>
      </c>
      <c r="Q811" s="18" t="str">
        <f t="shared" si="2"/>
        <v>XAKN2</v>
      </c>
    </row>
    <row r="812" ht="15.75" customHeight="1">
      <c r="A812" s="31">
        <v>9775.0</v>
      </c>
      <c r="B812" s="22" t="s">
        <v>1410</v>
      </c>
      <c r="C812" s="24" t="s">
        <v>7568</v>
      </c>
      <c r="D812" s="32" t="s">
        <v>1410</v>
      </c>
      <c r="E812" s="22" t="s">
        <v>1409</v>
      </c>
      <c r="F812" s="19" t="str">
        <f t="shared" si="1"/>
        <v>XAKN2</v>
      </c>
      <c r="G812" s="19" t="s">
        <v>5408</v>
      </c>
      <c r="H812" s="20" t="s">
        <v>1212</v>
      </c>
      <c r="I812" s="19" t="s">
        <v>5409</v>
      </c>
      <c r="J812" s="19" t="s">
        <v>5410</v>
      </c>
      <c r="K812" s="25" t="s">
        <v>7500</v>
      </c>
      <c r="L812" s="20" t="s">
        <v>7538</v>
      </c>
      <c r="M812" s="23" t="s">
        <v>1408</v>
      </c>
      <c r="N812" s="18"/>
      <c r="O812" s="18"/>
      <c r="P812" s="18">
        <f>VLOOKUP($A812,MasterData!$C$1:$I$3001,1,FALSE)</f>
        <v>9775</v>
      </c>
      <c r="Q812" s="18" t="str">
        <f t="shared" si="2"/>
        <v>XAKN2</v>
      </c>
    </row>
    <row r="813" ht="15.75" customHeight="1">
      <c r="A813" s="31">
        <v>9782.0</v>
      </c>
      <c r="B813" s="22" t="s">
        <v>1413</v>
      </c>
      <c r="C813" s="24" t="s">
        <v>7569</v>
      </c>
      <c r="D813" s="32" t="s">
        <v>1413</v>
      </c>
      <c r="E813" s="22" t="s">
        <v>1412</v>
      </c>
      <c r="F813" s="19" t="str">
        <f t="shared" si="1"/>
        <v>XAKN2</v>
      </c>
      <c r="G813" s="19" t="s">
        <v>5408</v>
      </c>
      <c r="H813" s="20" t="s">
        <v>1212</v>
      </c>
      <c r="I813" s="19" t="s">
        <v>5409</v>
      </c>
      <c r="J813" s="19" t="s">
        <v>5410</v>
      </c>
      <c r="K813" s="25" t="s">
        <v>7500</v>
      </c>
      <c r="L813" s="20" t="s">
        <v>7538</v>
      </c>
      <c r="M813" s="23" t="s">
        <v>1411</v>
      </c>
      <c r="N813" s="18"/>
      <c r="O813" s="18"/>
      <c r="P813" s="18">
        <f>VLOOKUP($A813,MasterData!$C$1:$I$3001,1,FALSE)</f>
        <v>9782</v>
      </c>
      <c r="Q813" s="18" t="str">
        <f t="shared" si="2"/>
        <v>XAKN2</v>
      </c>
    </row>
    <row r="814" ht="15.75" customHeight="1">
      <c r="A814" s="31">
        <v>9795.0</v>
      </c>
      <c r="B814" s="22" t="s">
        <v>1416</v>
      </c>
      <c r="C814" s="24" t="s">
        <v>7570</v>
      </c>
      <c r="D814" s="32" t="s">
        <v>1416</v>
      </c>
      <c r="E814" s="22" t="s">
        <v>1415</v>
      </c>
      <c r="F814" s="19" t="str">
        <f t="shared" si="1"/>
        <v>XAKN2</v>
      </c>
      <c r="G814" s="19" t="s">
        <v>5408</v>
      </c>
      <c r="H814" s="20" t="s">
        <v>1212</v>
      </c>
      <c r="I814" s="19" t="s">
        <v>5409</v>
      </c>
      <c r="J814" s="19" t="s">
        <v>5410</v>
      </c>
      <c r="K814" s="25" t="s">
        <v>7500</v>
      </c>
      <c r="L814" s="20" t="s">
        <v>7538</v>
      </c>
      <c r="M814" s="23" t="s">
        <v>1414</v>
      </c>
      <c r="N814" s="18"/>
      <c r="O814" s="18"/>
      <c r="P814" s="18">
        <f>VLOOKUP($A814,MasterData!$C$1:$I$3001,1,FALSE)</f>
        <v>9795</v>
      </c>
      <c r="Q814" s="18" t="str">
        <f t="shared" si="2"/>
        <v>XAKN2</v>
      </c>
    </row>
    <row r="815" ht="15.75" customHeight="1">
      <c r="A815" s="31">
        <v>9809.0</v>
      </c>
      <c r="B815" s="22" t="s">
        <v>1419</v>
      </c>
      <c r="C815" s="24" t="s">
        <v>7571</v>
      </c>
      <c r="D815" s="32" t="s">
        <v>1419</v>
      </c>
      <c r="E815" s="22" t="s">
        <v>1418</v>
      </c>
      <c r="F815" s="19" t="str">
        <f t="shared" si="1"/>
        <v>XAKN2</v>
      </c>
      <c r="G815" s="19" t="s">
        <v>5408</v>
      </c>
      <c r="H815" s="20" t="s">
        <v>1212</v>
      </c>
      <c r="I815" s="19" t="s">
        <v>5409</v>
      </c>
      <c r="J815" s="19" t="s">
        <v>5410</v>
      </c>
      <c r="K815" s="25" t="s">
        <v>7500</v>
      </c>
      <c r="L815" s="20" t="s">
        <v>7538</v>
      </c>
      <c r="M815" s="23" t="s">
        <v>1417</v>
      </c>
      <c r="N815" s="18"/>
      <c r="O815" s="18"/>
      <c r="P815" s="18">
        <f>VLOOKUP($A815,MasterData!$C$1:$I$3001,1,FALSE)</f>
        <v>9809</v>
      </c>
      <c r="Q815" s="18" t="str">
        <f t="shared" si="2"/>
        <v>XAKN2</v>
      </c>
    </row>
    <row r="816" ht="15.75" customHeight="1">
      <c r="A816" s="31">
        <v>9819.0</v>
      </c>
      <c r="B816" s="22" t="s">
        <v>1422</v>
      </c>
      <c r="C816" s="24" t="s">
        <v>7572</v>
      </c>
      <c r="D816" s="32" t="s">
        <v>1422</v>
      </c>
      <c r="E816" s="22" t="s">
        <v>1421</v>
      </c>
      <c r="F816" s="19" t="str">
        <f t="shared" si="1"/>
        <v>XAKN2</v>
      </c>
      <c r="G816" s="19" t="s">
        <v>5408</v>
      </c>
      <c r="H816" s="20" t="s">
        <v>1212</v>
      </c>
      <c r="I816" s="19" t="s">
        <v>5409</v>
      </c>
      <c r="J816" s="19" t="s">
        <v>5410</v>
      </c>
      <c r="K816" s="25" t="s">
        <v>7500</v>
      </c>
      <c r="L816" s="20" t="s">
        <v>7538</v>
      </c>
      <c r="M816" s="23" t="s">
        <v>1420</v>
      </c>
      <c r="N816" s="18"/>
      <c r="O816" s="18"/>
      <c r="P816" s="18">
        <f>VLOOKUP($A816,MasterData!$C$1:$I$3001,1,FALSE)</f>
        <v>9819</v>
      </c>
      <c r="Q816" s="18" t="str">
        <f t="shared" si="2"/>
        <v>XAKN2</v>
      </c>
    </row>
    <row r="817" ht="15.75" customHeight="1">
      <c r="A817" s="31">
        <v>9840.0</v>
      </c>
      <c r="B817" s="22" t="s">
        <v>1425</v>
      </c>
      <c r="C817" s="24" t="s">
        <v>7573</v>
      </c>
      <c r="D817" s="32" t="s">
        <v>1425</v>
      </c>
      <c r="E817" s="22" t="s">
        <v>1424</v>
      </c>
      <c r="F817" s="19" t="str">
        <f t="shared" si="1"/>
        <v>XAKN2</v>
      </c>
      <c r="G817" s="19" t="s">
        <v>5408</v>
      </c>
      <c r="H817" s="20" t="s">
        <v>1212</v>
      </c>
      <c r="I817" s="19" t="s">
        <v>5409</v>
      </c>
      <c r="J817" s="19" t="s">
        <v>5410</v>
      </c>
      <c r="K817" s="25" t="s">
        <v>7500</v>
      </c>
      <c r="L817" s="20" t="s">
        <v>7538</v>
      </c>
      <c r="M817" s="23" t="s">
        <v>1423</v>
      </c>
      <c r="N817" s="18"/>
      <c r="O817" s="18"/>
      <c r="P817" s="18">
        <f>VLOOKUP($A817,MasterData!$C$1:$I$3001,1,FALSE)</f>
        <v>9840</v>
      </c>
      <c r="Q817" s="18" t="str">
        <f t="shared" si="2"/>
        <v>XAKN2</v>
      </c>
    </row>
    <row r="818" ht="15.75" customHeight="1">
      <c r="A818" s="31">
        <v>9250.0</v>
      </c>
      <c r="B818" s="22" t="s">
        <v>1428</v>
      </c>
      <c r="C818" s="24" t="s">
        <v>7574</v>
      </c>
      <c r="D818" s="32" t="s">
        <v>1428</v>
      </c>
      <c r="E818" s="22" t="s">
        <v>1427</v>
      </c>
      <c r="F818" s="19" t="str">
        <f t="shared" si="1"/>
        <v>XAKN3</v>
      </c>
      <c r="G818" s="19" t="s">
        <v>5408</v>
      </c>
      <c r="H818" s="20" t="s">
        <v>1212</v>
      </c>
      <c r="I818" s="19" t="s">
        <v>5409</v>
      </c>
      <c r="J818" s="19" t="s">
        <v>5410</v>
      </c>
      <c r="K818" s="25" t="s">
        <v>7500</v>
      </c>
      <c r="L818" s="20" t="s">
        <v>7575</v>
      </c>
      <c r="M818" s="23" t="s">
        <v>1426</v>
      </c>
      <c r="N818" s="18"/>
      <c r="O818" s="18"/>
      <c r="P818" s="18">
        <f>VLOOKUP($A818,MasterData!$C$1:$I$3001,1,FALSE)</f>
        <v>9250</v>
      </c>
      <c r="Q818" s="18" t="str">
        <f t="shared" si="2"/>
        <v>XAKN3</v>
      </c>
    </row>
    <row r="819" ht="15.75" customHeight="1">
      <c r="A819" s="31">
        <v>9266.0</v>
      </c>
      <c r="B819" s="22" t="s">
        <v>1431</v>
      </c>
      <c r="C819" s="24" t="s">
        <v>7576</v>
      </c>
      <c r="D819" s="32" t="s">
        <v>1431</v>
      </c>
      <c r="E819" s="22" t="s">
        <v>1430</v>
      </c>
      <c r="F819" s="19" t="str">
        <f t="shared" si="1"/>
        <v>XAKN3</v>
      </c>
      <c r="G819" s="19" t="s">
        <v>5408</v>
      </c>
      <c r="H819" s="20" t="s">
        <v>1212</v>
      </c>
      <c r="I819" s="19" t="s">
        <v>5409</v>
      </c>
      <c r="J819" s="19" t="s">
        <v>5410</v>
      </c>
      <c r="K819" s="25" t="s">
        <v>7500</v>
      </c>
      <c r="L819" s="20" t="s">
        <v>7575</v>
      </c>
      <c r="M819" s="23" t="s">
        <v>1429</v>
      </c>
      <c r="N819" s="18"/>
      <c r="O819" s="18"/>
      <c r="P819" s="18">
        <f>VLOOKUP($A819,MasterData!$C$1:$I$3001,1,FALSE)</f>
        <v>9266</v>
      </c>
      <c r="Q819" s="18" t="str">
        <f t="shared" si="2"/>
        <v>XAKN3</v>
      </c>
    </row>
    <row r="820" ht="15.75" customHeight="1">
      <c r="A820" s="31">
        <v>9286.0</v>
      </c>
      <c r="B820" s="22" t="s">
        <v>1434</v>
      </c>
      <c r="C820" s="24" t="s">
        <v>7577</v>
      </c>
      <c r="D820" s="32" t="s">
        <v>1434</v>
      </c>
      <c r="E820" s="22" t="s">
        <v>1433</v>
      </c>
      <c r="F820" s="19" t="str">
        <f t="shared" si="1"/>
        <v>XAKN3</v>
      </c>
      <c r="G820" s="19" t="s">
        <v>5408</v>
      </c>
      <c r="H820" s="20" t="s">
        <v>1212</v>
      </c>
      <c r="I820" s="19" t="s">
        <v>5409</v>
      </c>
      <c r="J820" s="19" t="s">
        <v>5410</v>
      </c>
      <c r="K820" s="25" t="s">
        <v>7500</v>
      </c>
      <c r="L820" s="20" t="s">
        <v>7575</v>
      </c>
      <c r="M820" s="23" t="s">
        <v>1432</v>
      </c>
      <c r="N820" s="18"/>
      <c r="O820" s="18"/>
      <c r="P820" s="18">
        <f>VLOOKUP($A820,MasterData!$C$1:$I$3001,1,FALSE)</f>
        <v>9286</v>
      </c>
      <c r="Q820" s="18" t="str">
        <f t="shared" si="2"/>
        <v>XAKN3</v>
      </c>
    </row>
    <row r="821" ht="15.75" customHeight="1">
      <c r="A821" s="31">
        <v>9291.0</v>
      </c>
      <c r="B821" s="22" t="s">
        <v>1437</v>
      </c>
      <c r="C821" s="24" t="s">
        <v>7578</v>
      </c>
      <c r="D821" s="32" t="s">
        <v>1437</v>
      </c>
      <c r="E821" s="22" t="s">
        <v>1436</v>
      </c>
      <c r="F821" s="19" t="str">
        <f t="shared" si="1"/>
        <v>XAKN3</v>
      </c>
      <c r="G821" s="19" t="s">
        <v>5408</v>
      </c>
      <c r="H821" s="20" t="s">
        <v>1212</v>
      </c>
      <c r="I821" s="19" t="s">
        <v>5409</v>
      </c>
      <c r="J821" s="19" t="s">
        <v>5410</v>
      </c>
      <c r="K821" s="25" t="s">
        <v>7500</v>
      </c>
      <c r="L821" s="20" t="s">
        <v>7575</v>
      </c>
      <c r="M821" s="23" t="s">
        <v>1435</v>
      </c>
      <c r="N821" s="18"/>
      <c r="O821" s="18"/>
      <c r="P821" s="18">
        <f>VLOOKUP($A821,MasterData!$C$1:$I$3001,1,FALSE)</f>
        <v>9291</v>
      </c>
      <c r="Q821" s="18" t="str">
        <f t="shared" si="2"/>
        <v>XAKN3</v>
      </c>
    </row>
    <row r="822" ht="15.75" customHeight="1">
      <c r="A822" s="31">
        <v>9322.0</v>
      </c>
      <c r="B822" s="22" t="s">
        <v>1440</v>
      </c>
      <c r="C822" s="24" t="s">
        <v>7579</v>
      </c>
      <c r="D822" s="32" t="s">
        <v>1440</v>
      </c>
      <c r="E822" s="22" t="s">
        <v>1439</v>
      </c>
      <c r="F822" s="19" t="str">
        <f t="shared" si="1"/>
        <v>XAKN3</v>
      </c>
      <c r="G822" s="19" t="s">
        <v>5408</v>
      </c>
      <c r="H822" s="20" t="s">
        <v>1212</v>
      </c>
      <c r="I822" s="19" t="s">
        <v>5409</v>
      </c>
      <c r="J822" s="19" t="s">
        <v>5410</v>
      </c>
      <c r="K822" s="25" t="s">
        <v>7500</v>
      </c>
      <c r="L822" s="20" t="s">
        <v>7575</v>
      </c>
      <c r="M822" s="23" t="s">
        <v>1438</v>
      </c>
      <c r="N822" s="18"/>
      <c r="O822" s="18"/>
      <c r="P822" s="18">
        <f>VLOOKUP($A822,MasterData!$C$1:$I$3001,1,FALSE)</f>
        <v>9322</v>
      </c>
      <c r="Q822" s="18" t="str">
        <f t="shared" si="2"/>
        <v>XAKN3</v>
      </c>
    </row>
    <row r="823" ht="15.75" customHeight="1">
      <c r="A823" s="31">
        <v>9335.0</v>
      </c>
      <c r="B823" s="22" t="s">
        <v>1443</v>
      </c>
      <c r="C823" s="24" t="s">
        <v>7580</v>
      </c>
      <c r="D823" s="32" t="s">
        <v>1443</v>
      </c>
      <c r="E823" s="22" t="s">
        <v>1442</v>
      </c>
      <c r="F823" s="19" t="str">
        <f t="shared" si="1"/>
        <v>XAKN3</v>
      </c>
      <c r="G823" s="19" t="s">
        <v>5408</v>
      </c>
      <c r="H823" s="20" t="s">
        <v>1212</v>
      </c>
      <c r="I823" s="19" t="s">
        <v>5409</v>
      </c>
      <c r="J823" s="19" t="s">
        <v>5410</v>
      </c>
      <c r="K823" s="25" t="s">
        <v>7500</v>
      </c>
      <c r="L823" s="20" t="s">
        <v>7575</v>
      </c>
      <c r="M823" s="23" t="s">
        <v>1441</v>
      </c>
      <c r="N823" s="18"/>
      <c r="O823" s="18"/>
      <c r="P823" s="18">
        <f>VLOOKUP($A823,MasterData!$C$1:$I$3001,1,FALSE)</f>
        <v>9335</v>
      </c>
      <c r="Q823" s="18" t="str">
        <f t="shared" si="2"/>
        <v>XAKN3</v>
      </c>
    </row>
    <row r="824" ht="15.75" customHeight="1">
      <c r="A824" s="31">
        <v>9351.0</v>
      </c>
      <c r="B824" s="22" t="s">
        <v>1446</v>
      </c>
      <c r="C824" s="24" t="s">
        <v>7581</v>
      </c>
      <c r="D824" s="32" t="s">
        <v>1446</v>
      </c>
      <c r="E824" s="22" t="s">
        <v>1445</v>
      </c>
      <c r="F824" s="19" t="str">
        <f t="shared" si="1"/>
        <v>XAKN3</v>
      </c>
      <c r="G824" s="19" t="s">
        <v>5408</v>
      </c>
      <c r="H824" s="20" t="s">
        <v>1212</v>
      </c>
      <c r="I824" s="19" t="s">
        <v>5409</v>
      </c>
      <c r="J824" s="19" t="s">
        <v>5410</v>
      </c>
      <c r="K824" s="25" t="s">
        <v>7500</v>
      </c>
      <c r="L824" s="20" t="s">
        <v>7575</v>
      </c>
      <c r="M824" s="23" t="s">
        <v>1444</v>
      </c>
      <c r="N824" s="18"/>
      <c r="O824" s="18"/>
      <c r="P824" s="18">
        <f>VLOOKUP($A824,MasterData!$C$1:$I$3001,1,FALSE)</f>
        <v>9351</v>
      </c>
      <c r="Q824" s="18" t="str">
        <f t="shared" si="2"/>
        <v>XAKN3</v>
      </c>
    </row>
    <row r="825" ht="15.75" customHeight="1">
      <c r="A825" s="31">
        <v>9368.0</v>
      </c>
      <c r="B825" s="22" t="s">
        <v>1449</v>
      </c>
      <c r="C825" s="24" t="s">
        <v>7582</v>
      </c>
      <c r="D825" s="32" t="s">
        <v>1449</v>
      </c>
      <c r="E825" s="22" t="s">
        <v>1448</v>
      </c>
      <c r="F825" s="19" t="str">
        <f t="shared" si="1"/>
        <v>XAKN3</v>
      </c>
      <c r="G825" s="19" t="s">
        <v>5408</v>
      </c>
      <c r="H825" s="20" t="s">
        <v>1212</v>
      </c>
      <c r="I825" s="19" t="s">
        <v>5409</v>
      </c>
      <c r="J825" s="19" t="s">
        <v>5410</v>
      </c>
      <c r="K825" s="25" t="s">
        <v>7500</v>
      </c>
      <c r="L825" s="20" t="s">
        <v>7575</v>
      </c>
      <c r="M825" s="23" t="s">
        <v>1447</v>
      </c>
      <c r="N825" s="18"/>
      <c r="O825" s="18"/>
      <c r="P825" s="18">
        <f>VLOOKUP($A825,MasterData!$C$1:$I$3001,1,FALSE)</f>
        <v>9368</v>
      </c>
      <c r="Q825" s="18" t="str">
        <f t="shared" si="2"/>
        <v>XAKN3</v>
      </c>
    </row>
    <row r="826" ht="15.75" customHeight="1">
      <c r="A826" s="31">
        <v>9387.0</v>
      </c>
      <c r="B826" s="22" t="s">
        <v>1452</v>
      </c>
      <c r="C826" s="24" t="s">
        <v>7583</v>
      </c>
      <c r="D826" s="32" t="s">
        <v>1452</v>
      </c>
      <c r="E826" s="22" t="s">
        <v>1451</v>
      </c>
      <c r="F826" s="19" t="str">
        <f t="shared" si="1"/>
        <v>XAKN3</v>
      </c>
      <c r="G826" s="19" t="s">
        <v>5408</v>
      </c>
      <c r="H826" s="20" t="s">
        <v>1212</v>
      </c>
      <c r="I826" s="19" t="s">
        <v>5409</v>
      </c>
      <c r="J826" s="19" t="s">
        <v>5410</v>
      </c>
      <c r="K826" s="25" t="s">
        <v>7500</v>
      </c>
      <c r="L826" s="20" t="s">
        <v>7575</v>
      </c>
      <c r="M826" s="23" t="s">
        <v>1450</v>
      </c>
      <c r="N826" s="18"/>
      <c r="O826" s="18"/>
      <c r="P826" s="18">
        <f>VLOOKUP($A826,MasterData!$C$1:$I$3001,1,FALSE)</f>
        <v>9387</v>
      </c>
      <c r="Q826" s="18" t="str">
        <f t="shared" si="2"/>
        <v>XAKN3</v>
      </c>
    </row>
    <row r="827" ht="15.75" customHeight="1">
      <c r="A827" s="31">
        <v>9405.0</v>
      </c>
      <c r="B827" s="22" t="s">
        <v>1455</v>
      </c>
      <c r="C827" s="24" t="s">
        <v>7584</v>
      </c>
      <c r="D827" s="32" t="s">
        <v>1455</v>
      </c>
      <c r="E827" s="22" t="s">
        <v>1454</v>
      </c>
      <c r="F827" s="19" t="str">
        <f t="shared" si="1"/>
        <v>XAKN3</v>
      </c>
      <c r="G827" s="19" t="s">
        <v>5408</v>
      </c>
      <c r="H827" s="20" t="s">
        <v>1212</v>
      </c>
      <c r="I827" s="19" t="s">
        <v>5409</v>
      </c>
      <c r="J827" s="19" t="s">
        <v>5410</v>
      </c>
      <c r="K827" s="25" t="s">
        <v>7500</v>
      </c>
      <c r="L827" s="20" t="s">
        <v>7575</v>
      </c>
      <c r="M827" s="23" t="s">
        <v>1453</v>
      </c>
      <c r="N827" s="18"/>
      <c r="O827" s="18"/>
      <c r="P827" s="18">
        <f>VLOOKUP($A827,MasterData!$C$1:$I$3001,1,FALSE)</f>
        <v>9405</v>
      </c>
      <c r="Q827" s="18" t="str">
        <f t="shared" si="2"/>
        <v>XAKN3</v>
      </c>
    </row>
    <row r="828" ht="15.75" customHeight="1">
      <c r="A828" s="31">
        <v>9412.0</v>
      </c>
      <c r="B828" s="22" t="s">
        <v>1458</v>
      </c>
      <c r="C828" s="24" t="s">
        <v>7585</v>
      </c>
      <c r="D828" s="32" t="s">
        <v>1458</v>
      </c>
      <c r="E828" s="22" t="s">
        <v>1457</v>
      </c>
      <c r="F828" s="19" t="str">
        <f t="shared" si="1"/>
        <v>XAKN3</v>
      </c>
      <c r="G828" s="19" t="s">
        <v>5408</v>
      </c>
      <c r="H828" s="20" t="s">
        <v>1212</v>
      </c>
      <c r="I828" s="19" t="s">
        <v>5409</v>
      </c>
      <c r="J828" s="19" t="s">
        <v>5410</v>
      </c>
      <c r="K828" s="25" t="s">
        <v>7500</v>
      </c>
      <c r="L828" s="20" t="s">
        <v>7575</v>
      </c>
      <c r="M828" s="23" t="s">
        <v>1456</v>
      </c>
      <c r="N828" s="18"/>
      <c r="O828" s="18"/>
      <c r="P828" s="18">
        <f>VLOOKUP($A828,MasterData!$C$1:$I$3001,1,FALSE)</f>
        <v>9412</v>
      </c>
      <c r="Q828" s="18" t="str">
        <f t="shared" si="2"/>
        <v>XAKN3</v>
      </c>
    </row>
    <row r="829" ht="15.75" customHeight="1">
      <c r="A829" s="31">
        <v>9419.0</v>
      </c>
      <c r="B829" s="22" t="s">
        <v>1461</v>
      </c>
      <c r="C829" s="24" t="s">
        <v>7586</v>
      </c>
      <c r="D829" s="32" t="s">
        <v>1461</v>
      </c>
      <c r="E829" s="22" t="s">
        <v>1460</v>
      </c>
      <c r="F829" s="19" t="str">
        <f t="shared" si="1"/>
        <v>XAKN3</v>
      </c>
      <c r="G829" s="19" t="s">
        <v>5408</v>
      </c>
      <c r="H829" s="20" t="s">
        <v>1212</v>
      </c>
      <c r="I829" s="19" t="s">
        <v>5409</v>
      </c>
      <c r="J829" s="19" t="s">
        <v>5410</v>
      </c>
      <c r="K829" s="25" t="s">
        <v>7500</v>
      </c>
      <c r="L829" s="20" t="s">
        <v>7575</v>
      </c>
      <c r="M829" s="23" t="s">
        <v>1459</v>
      </c>
      <c r="N829" s="18"/>
      <c r="O829" s="18"/>
      <c r="P829" s="18">
        <f>VLOOKUP($A829,MasterData!$C$1:$I$3001,1,FALSE)</f>
        <v>9419</v>
      </c>
      <c r="Q829" s="18" t="str">
        <f t="shared" si="2"/>
        <v>XAKN3</v>
      </c>
    </row>
    <row r="830" ht="15.75" customHeight="1">
      <c r="A830" s="31">
        <v>9433.0</v>
      </c>
      <c r="B830" s="22" t="s">
        <v>1464</v>
      </c>
      <c r="C830" s="24" t="s">
        <v>7587</v>
      </c>
      <c r="D830" s="32" t="s">
        <v>1464</v>
      </c>
      <c r="E830" s="22" t="s">
        <v>1463</v>
      </c>
      <c r="F830" s="19" t="str">
        <f t="shared" si="1"/>
        <v>XAKN3</v>
      </c>
      <c r="G830" s="19" t="s">
        <v>5408</v>
      </c>
      <c r="H830" s="20" t="s">
        <v>1212</v>
      </c>
      <c r="I830" s="19" t="s">
        <v>5409</v>
      </c>
      <c r="J830" s="19" t="s">
        <v>5410</v>
      </c>
      <c r="K830" s="25" t="s">
        <v>7500</v>
      </c>
      <c r="L830" s="20" t="s">
        <v>7575</v>
      </c>
      <c r="M830" s="23" t="s">
        <v>1462</v>
      </c>
      <c r="N830" s="18"/>
      <c r="O830" s="18"/>
      <c r="P830" s="18">
        <f>VLOOKUP($A830,MasterData!$C$1:$I$3001,1,FALSE)</f>
        <v>9433</v>
      </c>
      <c r="Q830" s="18" t="str">
        <f t="shared" si="2"/>
        <v>XAKN3</v>
      </c>
    </row>
    <row r="831" ht="15.75" customHeight="1">
      <c r="A831" s="31">
        <v>9437.0</v>
      </c>
      <c r="B831" s="22" t="s">
        <v>1467</v>
      </c>
      <c r="C831" s="24" t="s">
        <v>7588</v>
      </c>
      <c r="D831" s="32" t="s">
        <v>1467</v>
      </c>
      <c r="E831" s="22" t="s">
        <v>1466</v>
      </c>
      <c r="F831" s="19" t="str">
        <f t="shared" si="1"/>
        <v>XAKN3</v>
      </c>
      <c r="G831" s="19" t="s">
        <v>5408</v>
      </c>
      <c r="H831" s="20" t="s">
        <v>1212</v>
      </c>
      <c r="I831" s="19" t="s">
        <v>5409</v>
      </c>
      <c r="J831" s="19" t="s">
        <v>5410</v>
      </c>
      <c r="K831" s="25" t="s">
        <v>7500</v>
      </c>
      <c r="L831" s="20" t="s">
        <v>7575</v>
      </c>
      <c r="M831" s="23" t="s">
        <v>1465</v>
      </c>
      <c r="N831" s="18"/>
      <c r="O831" s="18"/>
      <c r="P831" s="18">
        <f>VLOOKUP($A831,MasterData!$C$1:$I$3001,1,FALSE)</f>
        <v>9437</v>
      </c>
      <c r="Q831" s="18" t="str">
        <f t="shared" si="2"/>
        <v>XAKN3</v>
      </c>
    </row>
    <row r="832" ht="15.75" customHeight="1">
      <c r="A832" s="31">
        <v>9459.0</v>
      </c>
      <c r="B832" s="22" t="s">
        <v>1470</v>
      </c>
      <c r="C832" s="24" t="s">
        <v>7589</v>
      </c>
      <c r="D832" s="32" t="s">
        <v>1470</v>
      </c>
      <c r="E832" s="22" t="s">
        <v>1469</v>
      </c>
      <c r="F832" s="19" t="str">
        <f t="shared" si="1"/>
        <v>XAKN3</v>
      </c>
      <c r="G832" s="19" t="s">
        <v>5408</v>
      </c>
      <c r="H832" s="20" t="s">
        <v>1212</v>
      </c>
      <c r="I832" s="19" t="s">
        <v>5409</v>
      </c>
      <c r="J832" s="19" t="s">
        <v>5410</v>
      </c>
      <c r="K832" s="25" t="s">
        <v>7500</v>
      </c>
      <c r="L832" s="20" t="s">
        <v>7575</v>
      </c>
      <c r="M832" s="23" t="s">
        <v>1468</v>
      </c>
      <c r="N832" s="18"/>
      <c r="O832" s="18"/>
      <c r="P832" s="18">
        <f>VLOOKUP($A832,MasterData!$C$1:$I$3001,1,FALSE)</f>
        <v>9459</v>
      </c>
      <c r="Q832" s="18" t="str">
        <f t="shared" si="2"/>
        <v>XAKN3</v>
      </c>
    </row>
    <row r="833" ht="15.75" customHeight="1">
      <c r="A833" s="31">
        <v>9477.0</v>
      </c>
      <c r="B833" s="22" t="s">
        <v>1473</v>
      </c>
      <c r="C833" s="24" t="s">
        <v>7590</v>
      </c>
      <c r="D833" s="32" t="s">
        <v>1473</v>
      </c>
      <c r="E833" s="22" t="s">
        <v>1472</v>
      </c>
      <c r="F833" s="19" t="str">
        <f t="shared" si="1"/>
        <v>XAKN3</v>
      </c>
      <c r="G833" s="19" t="s">
        <v>5408</v>
      </c>
      <c r="H833" s="20" t="s">
        <v>1212</v>
      </c>
      <c r="I833" s="19" t="s">
        <v>5409</v>
      </c>
      <c r="J833" s="19" t="s">
        <v>5410</v>
      </c>
      <c r="K833" s="25" t="s">
        <v>7500</v>
      </c>
      <c r="L833" s="20" t="s">
        <v>7575</v>
      </c>
      <c r="M833" s="23" t="s">
        <v>1471</v>
      </c>
      <c r="N833" s="18"/>
      <c r="O833" s="18"/>
      <c r="P833" s="18">
        <f>VLOOKUP($A833,MasterData!$C$1:$I$3001,1,FALSE)</f>
        <v>9477</v>
      </c>
      <c r="Q833" s="18" t="str">
        <f t="shared" si="2"/>
        <v>XAKN3</v>
      </c>
    </row>
    <row r="834" ht="15.75" customHeight="1">
      <c r="A834" s="31">
        <v>9503.0</v>
      </c>
      <c r="B834" s="22" t="s">
        <v>1476</v>
      </c>
      <c r="C834" s="24" t="s">
        <v>7591</v>
      </c>
      <c r="D834" s="32" t="s">
        <v>1476</v>
      </c>
      <c r="E834" s="22" t="s">
        <v>1475</v>
      </c>
      <c r="F834" s="19" t="str">
        <f t="shared" si="1"/>
        <v>XAKN3</v>
      </c>
      <c r="G834" s="19" t="s">
        <v>5408</v>
      </c>
      <c r="H834" s="20" t="s">
        <v>1212</v>
      </c>
      <c r="I834" s="19" t="s">
        <v>5409</v>
      </c>
      <c r="J834" s="19" t="s">
        <v>5410</v>
      </c>
      <c r="K834" s="25" t="s">
        <v>7500</v>
      </c>
      <c r="L834" s="20" t="s">
        <v>7575</v>
      </c>
      <c r="M834" s="23" t="s">
        <v>1474</v>
      </c>
      <c r="N834" s="18"/>
      <c r="O834" s="18"/>
      <c r="P834" s="18">
        <f>VLOOKUP($A834,MasterData!$C$1:$I$3001,1,FALSE)</f>
        <v>9503</v>
      </c>
      <c r="Q834" s="18" t="str">
        <f t="shared" si="2"/>
        <v>XAKN3</v>
      </c>
    </row>
    <row r="835" ht="15.75" customHeight="1">
      <c r="A835" s="31">
        <v>9518.0</v>
      </c>
      <c r="B835" s="22" t="s">
        <v>1479</v>
      </c>
      <c r="C835" s="24" t="s">
        <v>7592</v>
      </c>
      <c r="D835" s="32" t="s">
        <v>1479</v>
      </c>
      <c r="E835" s="22" t="s">
        <v>1478</v>
      </c>
      <c r="F835" s="19" t="str">
        <f t="shared" si="1"/>
        <v>XAKN3</v>
      </c>
      <c r="G835" s="19" t="s">
        <v>5408</v>
      </c>
      <c r="H835" s="20" t="s">
        <v>1212</v>
      </c>
      <c r="I835" s="19" t="s">
        <v>5409</v>
      </c>
      <c r="J835" s="19" t="s">
        <v>5410</v>
      </c>
      <c r="K835" s="25" t="s">
        <v>7500</v>
      </c>
      <c r="L835" s="20" t="s">
        <v>7575</v>
      </c>
      <c r="M835" s="23" t="s">
        <v>1477</v>
      </c>
      <c r="N835" s="18"/>
      <c r="O835" s="18"/>
      <c r="P835" s="18">
        <f>VLOOKUP($A835,MasterData!$C$1:$I$3001,1,FALSE)</f>
        <v>9518</v>
      </c>
      <c r="Q835" s="18" t="str">
        <f t="shared" si="2"/>
        <v>XAKN3</v>
      </c>
    </row>
    <row r="836" ht="15.75" customHeight="1">
      <c r="A836" s="31">
        <v>9529.0</v>
      </c>
      <c r="B836" s="22" t="s">
        <v>1482</v>
      </c>
      <c r="C836" s="24" t="s">
        <v>7593</v>
      </c>
      <c r="D836" s="32" t="s">
        <v>1482</v>
      </c>
      <c r="E836" s="22" t="s">
        <v>1481</v>
      </c>
      <c r="F836" s="19" t="str">
        <f t="shared" si="1"/>
        <v>XAKN3</v>
      </c>
      <c r="G836" s="19" t="s">
        <v>5408</v>
      </c>
      <c r="H836" s="20" t="s">
        <v>1212</v>
      </c>
      <c r="I836" s="19" t="s">
        <v>5409</v>
      </c>
      <c r="J836" s="19" t="s">
        <v>5410</v>
      </c>
      <c r="K836" s="25" t="s">
        <v>7500</v>
      </c>
      <c r="L836" s="20" t="s">
        <v>7575</v>
      </c>
      <c r="M836" s="23" t="s">
        <v>1480</v>
      </c>
      <c r="N836" s="18"/>
      <c r="O836" s="18"/>
      <c r="P836" s="18">
        <f>VLOOKUP($A836,MasterData!$C$1:$I$3001,1,FALSE)</f>
        <v>9529</v>
      </c>
      <c r="Q836" s="18" t="str">
        <f t="shared" si="2"/>
        <v>XAKN3</v>
      </c>
    </row>
    <row r="837" ht="15.75" customHeight="1">
      <c r="A837" s="31">
        <v>9534.0</v>
      </c>
      <c r="B837" s="22" t="s">
        <v>1485</v>
      </c>
      <c r="C837" s="24" t="s">
        <v>7594</v>
      </c>
      <c r="D837" s="32" t="s">
        <v>1485</v>
      </c>
      <c r="E837" s="22" t="s">
        <v>1484</v>
      </c>
      <c r="F837" s="19" t="str">
        <f t="shared" si="1"/>
        <v>XAKN3</v>
      </c>
      <c r="G837" s="19" t="s">
        <v>5408</v>
      </c>
      <c r="H837" s="20" t="s">
        <v>1212</v>
      </c>
      <c r="I837" s="19" t="s">
        <v>5409</v>
      </c>
      <c r="J837" s="19" t="s">
        <v>5410</v>
      </c>
      <c r="K837" s="25" t="s">
        <v>7500</v>
      </c>
      <c r="L837" s="20" t="s">
        <v>7575</v>
      </c>
      <c r="M837" s="23" t="s">
        <v>1483</v>
      </c>
      <c r="N837" s="18"/>
      <c r="O837" s="18"/>
      <c r="P837" s="18">
        <f>VLOOKUP($A837,MasterData!$C$1:$I$3001,1,FALSE)</f>
        <v>9534</v>
      </c>
      <c r="Q837" s="18" t="str">
        <f t="shared" si="2"/>
        <v>XAKN3</v>
      </c>
    </row>
    <row r="838" ht="15.75" customHeight="1">
      <c r="A838" s="31">
        <v>9551.0</v>
      </c>
      <c r="B838" s="22" t="s">
        <v>1488</v>
      </c>
      <c r="C838" s="24" t="s">
        <v>7595</v>
      </c>
      <c r="D838" s="32" t="s">
        <v>1488</v>
      </c>
      <c r="E838" s="22" t="s">
        <v>1487</v>
      </c>
      <c r="F838" s="19" t="str">
        <f t="shared" si="1"/>
        <v>XAKN3</v>
      </c>
      <c r="G838" s="19" t="s">
        <v>5408</v>
      </c>
      <c r="H838" s="20" t="s">
        <v>1212</v>
      </c>
      <c r="I838" s="19" t="s">
        <v>5409</v>
      </c>
      <c r="J838" s="19" t="s">
        <v>5410</v>
      </c>
      <c r="K838" s="25" t="s">
        <v>7500</v>
      </c>
      <c r="L838" s="20" t="s">
        <v>7575</v>
      </c>
      <c r="M838" s="23" t="s">
        <v>1486</v>
      </c>
      <c r="N838" s="18"/>
      <c r="O838" s="18"/>
      <c r="P838" s="18">
        <f>VLOOKUP($A838,MasterData!$C$1:$I$3001,1,FALSE)</f>
        <v>9551</v>
      </c>
      <c r="Q838" s="18" t="str">
        <f t="shared" si="2"/>
        <v>XAKN3</v>
      </c>
    </row>
    <row r="839" ht="15.75" customHeight="1">
      <c r="A839" s="31">
        <v>9562.0</v>
      </c>
      <c r="B839" s="22" t="s">
        <v>1491</v>
      </c>
      <c r="C839" s="24" t="s">
        <v>7596</v>
      </c>
      <c r="D839" s="32" t="s">
        <v>1491</v>
      </c>
      <c r="E839" s="22" t="s">
        <v>1490</v>
      </c>
      <c r="F839" s="19" t="str">
        <f t="shared" si="1"/>
        <v>XAKN3</v>
      </c>
      <c r="G839" s="19" t="s">
        <v>5408</v>
      </c>
      <c r="H839" s="20" t="s">
        <v>1212</v>
      </c>
      <c r="I839" s="19" t="s">
        <v>5409</v>
      </c>
      <c r="J839" s="19" t="s">
        <v>5410</v>
      </c>
      <c r="K839" s="25" t="s">
        <v>7500</v>
      </c>
      <c r="L839" s="20" t="s">
        <v>7575</v>
      </c>
      <c r="M839" s="23" t="s">
        <v>1489</v>
      </c>
      <c r="N839" s="18"/>
      <c r="O839" s="18"/>
      <c r="P839" s="18">
        <f>VLOOKUP($A839,MasterData!$C$1:$I$3001,1,FALSE)</f>
        <v>9562</v>
      </c>
      <c r="Q839" s="18" t="str">
        <f t="shared" si="2"/>
        <v>XAKN3</v>
      </c>
    </row>
    <row r="840" ht="15.75" customHeight="1">
      <c r="A840" s="31">
        <v>9644.0</v>
      </c>
      <c r="B840" s="22" t="s">
        <v>1494</v>
      </c>
      <c r="C840" s="24" t="s">
        <v>7597</v>
      </c>
      <c r="D840" s="32" t="s">
        <v>1494</v>
      </c>
      <c r="E840" s="22" t="s">
        <v>1493</v>
      </c>
      <c r="F840" s="19" t="str">
        <f t="shared" si="1"/>
        <v>XAKN3</v>
      </c>
      <c r="G840" s="19" t="s">
        <v>5408</v>
      </c>
      <c r="H840" s="20" t="s">
        <v>1212</v>
      </c>
      <c r="I840" s="19" t="s">
        <v>5409</v>
      </c>
      <c r="J840" s="19" t="s">
        <v>5410</v>
      </c>
      <c r="K840" s="25" t="s">
        <v>7500</v>
      </c>
      <c r="L840" s="20" t="s">
        <v>7575</v>
      </c>
      <c r="M840" s="23" t="s">
        <v>1492</v>
      </c>
      <c r="N840" s="18"/>
      <c r="O840" s="18"/>
      <c r="P840" s="18">
        <f>VLOOKUP($A840,MasterData!$C$1:$I$3001,1,FALSE)</f>
        <v>9644</v>
      </c>
      <c r="Q840" s="18" t="str">
        <f t="shared" si="2"/>
        <v>XAKN3</v>
      </c>
    </row>
    <row r="841" ht="15.75" customHeight="1">
      <c r="A841" s="31">
        <v>9649.0</v>
      </c>
      <c r="B841" s="22" t="s">
        <v>1497</v>
      </c>
      <c r="C841" s="24" t="s">
        <v>7598</v>
      </c>
      <c r="D841" s="32" t="s">
        <v>1497</v>
      </c>
      <c r="E841" s="22" t="s">
        <v>1496</v>
      </c>
      <c r="F841" s="19" t="str">
        <f t="shared" si="1"/>
        <v>XAKN3</v>
      </c>
      <c r="G841" s="19" t="s">
        <v>5408</v>
      </c>
      <c r="H841" s="20" t="s">
        <v>1212</v>
      </c>
      <c r="I841" s="19" t="s">
        <v>5409</v>
      </c>
      <c r="J841" s="19" t="s">
        <v>5410</v>
      </c>
      <c r="K841" s="25" t="s">
        <v>7500</v>
      </c>
      <c r="L841" s="20" t="s">
        <v>7575</v>
      </c>
      <c r="M841" s="23" t="s">
        <v>1495</v>
      </c>
      <c r="N841" s="18"/>
      <c r="O841" s="18"/>
      <c r="P841" s="18">
        <f>VLOOKUP($A841,MasterData!$C$1:$I$3001,1,FALSE)</f>
        <v>9649</v>
      </c>
      <c r="Q841" s="18" t="str">
        <f t="shared" si="2"/>
        <v>XAKN3</v>
      </c>
    </row>
    <row r="842" ht="15.75" customHeight="1">
      <c r="A842" s="31">
        <v>9667.0</v>
      </c>
      <c r="B842" s="22" t="s">
        <v>1500</v>
      </c>
      <c r="C842" s="24" t="s">
        <v>7599</v>
      </c>
      <c r="D842" s="32" t="s">
        <v>1500</v>
      </c>
      <c r="E842" s="22" t="s">
        <v>1499</v>
      </c>
      <c r="F842" s="19" t="str">
        <f t="shared" si="1"/>
        <v>XAKN3</v>
      </c>
      <c r="G842" s="19" t="s">
        <v>5408</v>
      </c>
      <c r="H842" s="20" t="s">
        <v>1212</v>
      </c>
      <c r="I842" s="19" t="s">
        <v>5409</v>
      </c>
      <c r="J842" s="19" t="s">
        <v>5410</v>
      </c>
      <c r="K842" s="25" t="s">
        <v>7500</v>
      </c>
      <c r="L842" s="20" t="s">
        <v>7575</v>
      </c>
      <c r="M842" s="23" t="s">
        <v>1498</v>
      </c>
      <c r="N842" s="18"/>
      <c r="O842" s="18"/>
      <c r="P842" s="18">
        <f>VLOOKUP($A842,MasterData!$C$1:$I$3001,1,FALSE)</f>
        <v>9667</v>
      </c>
      <c r="Q842" s="18" t="str">
        <f t="shared" si="2"/>
        <v>XAKN3</v>
      </c>
    </row>
    <row r="843" ht="15.75" customHeight="1">
      <c r="A843" s="31">
        <v>9691.0</v>
      </c>
      <c r="B843" s="22" t="s">
        <v>1503</v>
      </c>
      <c r="C843" s="24" t="s">
        <v>7600</v>
      </c>
      <c r="D843" s="32" t="s">
        <v>1503</v>
      </c>
      <c r="E843" s="22" t="s">
        <v>1502</v>
      </c>
      <c r="F843" s="19" t="str">
        <f t="shared" si="1"/>
        <v>XAKN3</v>
      </c>
      <c r="G843" s="19" t="s">
        <v>5408</v>
      </c>
      <c r="H843" s="20" t="s">
        <v>1212</v>
      </c>
      <c r="I843" s="19" t="s">
        <v>5409</v>
      </c>
      <c r="J843" s="19" t="s">
        <v>5410</v>
      </c>
      <c r="K843" s="25" t="s">
        <v>7500</v>
      </c>
      <c r="L843" s="20" t="s">
        <v>7575</v>
      </c>
      <c r="M843" s="23" t="s">
        <v>1501</v>
      </c>
      <c r="N843" s="18"/>
      <c r="O843" s="18"/>
      <c r="P843" s="18">
        <f>VLOOKUP($A843,MasterData!$C$1:$I$3001,1,FALSE)</f>
        <v>9691</v>
      </c>
      <c r="Q843" s="18" t="str">
        <f t="shared" si="2"/>
        <v>XAKN3</v>
      </c>
    </row>
    <row r="844" ht="15.75" customHeight="1">
      <c r="A844" s="31">
        <v>9710.0</v>
      </c>
      <c r="B844" s="22" t="s">
        <v>1506</v>
      </c>
      <c r="C844" s="24" t="s">
        <v>7601</v>
      </c>
      <c r="D844" s="32" t="s">
        <v>1506</v>
      </c>
      <c r="E844" s="22" t="s">
        <v>1505</v>
      </c>
      <c r="F844" s="19" t="str">
        <f t="shared" si="1"/>
        <v>XAKN3</v>
      </c>
      <c r="G844" s="19" t="s">
        <v>5408</v>
      </c>
      <c r="H844" s="20" t="s">
        <v>1212</v>
      </c>
      <c r="I844" s="19" t="s">
        <v>5409</v>
      </c>
      <c r="J844" s="19" t="s">
        <v>5410</v>
      </c>
      <c r="K844" s="25" t="s">
        <v>7500</v>
      </c>
      <c r="L844" s="20" t="s">
        <v>7575</v>
      </c>
      <c r="M844" s="23" t="s">
        <v>1504</v>
      </c>
      <c r="N844" s="18"/>
      <c r="O844" s="18"/>
      <c r="P844" s="18">
        <f>VLOOKUP($A844,MasterData!$C$1:$I$3001,1,FALSE)</f>
        <v>9710</v>
      </c>
      <c r="Q844" s="18" t="str">
        <f t="shared" si="2"/>
        <v>XAKN3</v>
      </c>
    </row>
    <row r="845" ht="15.75" customHeight="1">
      <c r="A845" s="31">
        <v>9732.0</v>
      </c>
      <c r="B845" s="22" t="s">
        <v>1509</v>
      </c>
      <c r="C845" s="24" t="s">
        <v>7602</v>
      </c>
      <c r="D845" s="32" t="s">
        <v>1509</v>
      </c>
      <c r="E845" s="22" t="s">
        <v>1508</v>
      </c>
      <c r="F845" s="19" t="str">
        <f t="shared" si="1"/>
        <v>XAKN3</v>
      </c>
      <c r="G845" s="19" t="s">
        <v>5408</v>
      </c>
      <c r="H845" s="20" t="s">
        <v>1212</v>
      </c>
      <c r="I845" s="19" t="s">
        <v>5409</v>
      </c>
      <c r="J845" s="19" t="s">
        <v>5410</v>
      </c>
      <c r="K845" s="25" t="s">
        <v>7500</v>
      </c>
      <c r="L845" s="20" t="s">
        <v>7575</v>
      </c>
      <c r="M845" s="23" t="s">
        <v>1507</v>
      </c>
      <c r="N845" s="18"/>
      <c r="O845" s="18"/>
      <c r="P845" s="18">
        <f>VLOOKUP($A845,MasterData!$C$1:$I$3001,1,FALSE)</f>
        <v>9732</v>
      </c>
      <c r="Q845" s="18" t="str">
        <f t="shared" si="2"/>
        <v>XAKN3</v>
      </c>
    </row>
    <row r="846" ht="15.75" customHeight="1">
      <c r="A846" s="31">
        <v>9757.0</v>
      </c>
      <c r="B846" s="22" t="s">
        <v>1512</v>
      </c>
      <c r="C846" s="24" t="s">
        <v>7603</v>
      </c>
      <c r="D846" s="32" t="s">
        <v>1512</v>
      </c>
      <c r="E846" s="22" t="s">
        <v>1511</v>
      </c>
      <c r="F846" s="19" t="str">
        <f t="shared" si="1"/>
        <v>XAKN3</v>
      </c>
      <c r="G846" s="19" t="s">
        <v>5408</v>
      </c>
      <c r="H846" s="20" t="s">
        <v>1212</v>
      </c>
      <c r="I846" s="19" t="s">
        <v>5409</v>
      </c>
      <c r="J846" s="19" t="s">
        <v>5410</v>
      </c>
      <c r="K846" s="25" t="s">
        <v>7500</v>
      </c>
      <c r="L846" s="20" t="s">
        <v>7575</v>
      </c>
      <c r="M846" s="23" t="s">
        <v>1510</v>
      </c>
      <c r="N846" s="18"/>
      <c r="O846" s="18"/>
      <c r="P846" s="18">
        <f>VLOOKUP($A846,MasterData!$C$1:$I$3001,1,FALSE)</f>
        <v>9757</v>
      </c>
      <c r="Q846" s="18" t="str">
        <f t="shared" si="2"/>
        <v>XAKN3</v>
      </c>
    </row>
    <row r="847" ht="15.75" customHeight="1">
      <c r="A847" s="31">
        <v>9764.0</v>
      </c>
      <c r="B847" s="22" t="s">
        <v>1515</v>
      </c>
      <c r="C847" s="24" t="s">
        <v>7604</v>
      </c>
      <c r="D847" s="32" t="s">
        <v>1515</v>
      </c>
      <c r="E847" s="22" t="s">
        <v>1514</v>
      </c>
      <c r="F847" s="19" t="str">
        <f t="shared" si="1"/>
        <v>XAKN3</v>
      </c>
      <c r="G847" s="19" t="s">
        <v>5408</v>
      </c>
      <c r="H847" s="20" t="s">
        <v>1212</v>
      </c>
      <c r="I847" s="19" t="s">
        <v>5409</v>
      </c>
      <c r="J847" s="19" t="s">
        <v>5410</v>
      </c>
      <c r="K847" s="25" t="s">
        <v>7500</v>
      </c>
      <c r="L847" s="20" t="s">
        <v>7575</v>
      </c>
      <c r="M847" s="23" t="s">
        <v>1513</v>
      </c>
      <c r="N847" s="18"/>
      <c r="O847" s="18"/>
      <c r="P847" s="18">
        <f>VLOOKUP($A847,MasterData!$C$1:$I$3001,1,FALSE)</f>
        <v>9764</v>
      </c>
      <c r="Q847" s="18" t="str">
        <f t="shared" si="2"/>
        <v>XAKN3</v>
      </c>
    </row>
    <row r="848" ht="15.75" customHeight="1">
      <c r="A848" s="31">
        <v>9777.0</v>
      </c>
      <c r="B848" s="22" t="s">
        <v>1518</v>
      </c>
      <c r="C848" s="24" t="s">
        <v>7605</v>
      </c>
      <c r="D848" s="32" t="s">
        <v>1518</v>
      </c>
      <c r="E848" s="22" t="s">
        <v>1517</v>
      </c>
      <c r="F848" s="19" t="str">
        <f t="shared" si="1"/>
        <v>XAKN3</v>
      </c>
      <c r="G848" s="19" t="s">
        <v>5408</v>
      </c>
      <c r="H848" s="20" t="s">
        <v>1212</v>
      </c>
      <c r="I848" s="19" t="s">
        <v>5409</v>
      </c>
      <c r="J848" s="19" t="s">
        <v>5410</v>
      </c>
      <c r="K848" s="25" t="s">
        <v>7500</v>
      </c>
      <c r="L848" s="20" t="s">
        <v>7575</v>
      </c>
      <c r="M848" s="23" t="s">
        <v>1516</v>
      </c>
      <c r="N848" s="18"/>
      <c r="O848" s="18"/>
      <c r="P848" s="18">
        <f>VLOOKUP($A848,MasterData!$C$1:$I$3001,1,FALSE)</f>
        <v>9777</v>
      </c>
      <c r="Q848" s="18" t="str">
        <f t="shared" si="2"/>
        <v>XAKN3</v>
      </c>
    </row>
    <row r="849" ht="15.75" customHeight="1">
      <c r="A849" s="31">
        <v>9785.0</v>
      </c>
      <c r="B849" s="22" t="s">
        <v>1521</v>
      </c>
      <c r="C849" s="24" t="s">
        <v>7606</v>
      </c>
      <c r="D849" s="32" t="s">
        <v>1521</v>
      </c>
      <c r="E849" s="22" t="s">
        <v>1520</v>
      </c>
      <c r="F849" s="19" t="str">
        <f t="shared" si="1"/>
        <v>XAKN3</v>
      </c>
      <c r="G849" s="19" t="s">
        <v>5408</v>
      </c>
      <c r="H849" s="20" t="s">
        <v>1212</v>
      </c>
      <c r="I849" s="19" t="s">
        <v>5409</v>
      </c>
      <c r="J849" s="19" t="s">
        <v>5410</v>
      </c>
      <c r="K849" s="25" t="s">
        <v>7500</v>
      </c>
      <c r="L849" s="20" t="s">
        <v>7575</v>
      </c>
      <c r="M849" s="23" t="s">
        <v>1519</v>
      </c>
      <c r="N849" s="18"/>
      <c r="O849" s="18"/>
      <c r="P849" s="18">
        <f>VLOOKUP($A849,MasterData!$C$1:$I$3001,1,FALSE)</f>
        <v>9785</v>
      </c>
      <c r="Q849" s="18" t="str">
        <f t="shared" si="2"/>
        <v>XAKN3</v>
      </c>
    </row>
    <row r="850" ht="15.75" customHeight="1">
      <c r="A850" s="31">
        <v>9797.0</v>
      </c>
      <c r="B850" s="22" t="s">
        <v>1524</v>
      </c>
      <c r="C850" s="24" t="s">
        <v>7607</v>
      </c>
      <c r="D850" s="32" t="s">
        <v>1524</v>
      </c>
      <c r="E850" s="22" t="s">
        <v>1523</v>
      </c>
      <c r="F850" s="19" t="str">
        <f t="shared" si="1"/>
        <v>XAKN3</v>
      </c>
      <c r="G850" s="19" t="s">
        <v>5408</v>
      </c>
      <c r="H850" s="20" t="s">
        <v>1212</v>
      </c>
      <c r="I850" s="19" t="s">
        <v>5409</v>
      </c>
      <c r="J850" s="19" t="s">
        <v>5410</v>
      </c>
      <c r="K850" s="25" t="s">
        <v>7500</v>
      </c>
      <c r="L850" s="20" t="s">
        <v>7575</v>
      </c>
      <c r="M850" s="23" t="s">
        <v>1522</v>
      </c>
      <c r="N850" s="18"/>
      <c r="O850" s="18"/>
      <c r="P850" s="18">
        <f>VLOOKUP($A850,MasterData!$C$1:$I$3001,1,FALSE)</f>
        <v>9797</v>
      </c>
      <c r="Q850" s="18" t="str">
        <f t="shared" si="2"/>
        <v>XAKN3</v>
      </c>
    </row>
    <row r="851" ht="15.75" customHeight="1">
      <c r="A851" s="31">
        <v>9810.0</v>
      </c>
      <c r="B851" s="22" t="s">
        <v>1527</v>
      </c>
      <c r="C851" s="24" t="s">
        <v>7608</v>
      </c>
      <c r="D851" s="32" t="s">
        <v>1527</v>
      </c>
      <c r="E851" s="22" t="s">
        <v>1526</v>
      </c>
      <c r="F851" s="19" t="str">
        <f t="shared" si="1"/>
        <v>XAKN3</v>
      </c>
      <c r="G851" s="19" t="s">
        <v>5408</v>
      </c>
      <c r="H851" s="20" t="s">
        <v>1212</v>
      </c>
      <c r="I851" s="19" t="s">
        <v>5409</v>
      </c>
      <c r="J851" s="19" t="s">
        <v>5410</v>
      </c>
      <c r="K851" s="25" t="s">
        <v>7500</v>
      </c>
      <c r="L851" s="20" t="s">
        <v>7575</v>
      </c>
      <c r="M851" s="23" t="s">
        <v>1525</v>
      </c>
      <c r="N851" s="18"/>
      <c r="O851" s="18"/>
      <c r="P851" s="18">
        <f>VLOOKUP($A851,MasterData!$C$1:$I$3001,1,FALSE)</f>
        <v>9810</v>
      </c>
      <c r="Q851" s="18" t="str">
        <f t="shared" si="2"/>
        <v>XAKN3</v>
      </c>
    </row>
    <row r="852" ht="15.75" customHeight="1">
      <c r="A852" s="31">
        <v>9827.0</v>
      </c>
      <c r="B852" s="22" t="s">
        <v>1530</v>
      </c>
      <c r="C852" s="24" t="s">
        <v>7609</v>
      </c>
      <c r="D852" s="32" t="s">
        <v>1530</v>
      </c>
      <c r="E852" s="22" t="s">
        <v>1529</v>
      </c>
      <c r="F852" s="19" t="str">
        <f t="shared" si="1"/>
        <v>XAKN3</v>
      </c>
      <c r="G852" s="19" t="s">
        <v>5408</v>
      </c>
      <c r="H852" s="20" t="s">
        <v>1212</v>
      </c>
      <c r="I852" s="19" t="s">
        <v>5409</v>
      </c>
      <c r="J852" s="19" t="s">
        <v>5410</v>
      </c>
      <c r="K852" s="25" t="s">
        <v>7500</v>
      </c>
      <c r="L852" s="20" t="s">
        <v>7575</v>
      </c>
      <c r="M852" s="23" t="s">
        <v>1528</v>
      </c>
      <c r="N852" s="18"/>
      <c r="O852" s="18"/>
      <c r="P852" s="18">
        <f>VLOOKUP($A852,MasterData!$C$1:$I$3001,1,FALSE)</f>
        <v>9827</v>
      </c>
      <c r="Q852" s="18" t="str">
        <f t="shared" si="2"/>
        <v>XAKN3</v>
      </c>
    </row>
    <row r="853" ht="15.75" customHeight="1">
      <c r="A853" s="31">
        <v>9843.0</v>
      </c>
      <c r="B853" s="22" t="s">
        <v>1533</v>
      </c>
      <c r="C853" s="24" t="s">
        <v>7610</v>
      </c>
      <c r="D853" s="32" t="s">
        <v>1533</v>
      </c>
      <c r="E853" s="22" t="s">
        <v>1532</v>
      </c>
      <c r="F853" s="19" t="str">
        <f t="shared" si="1"/>
        <v>XAKN3</v>
      </c>
      <c r="G853" s="19" t="s">
        <v>5408</v>
      </c>
      <c r="H853" s="20" t="s">
        <v>1212</v>
      </c>
      <c r="I853" s="19" t="s">
        <v>5409</v>
      </c>
      <c r="J853" s="19" t="s">
        <v>5410</v>
      </c>
      <c r="K853" s="25" t="s">
        <v>7500</v>
      </c>
      <c r="L853" s="20" t="s">
        <v>7575</v>
      </c>
      <c r="M853" s="23" t="s">
        <v>1531</v>
      </c>
      <c r="N853" s="18"/>
      <c r="O853" s="18"/>
      <c r="P853" s="18">
        <f>VLOOKUP($A853,MasterData!$C$1:$I$3001,1,FALSE)</f>
        <v>9843</v>
      </c>
      <c r="Q853" s="18" t="str">
        <f t="shared" si="2"/>
        <v>XAKN3</v>
      </c>
    </row>
    <row r="854" ht="15.75" customHeight="1">
      <c r="A854" s="31">
        <v>9265.0</v>
      </c>
      <c r="B854" s="22" t="s">
        <v>1536</v>
      </c>
      <c r="C854" s="24" t="s">
        <v>7611</v>
      </c>
      <c r="D854" s="32" t="s">
        <v>1536</v>
      </c>
      <c r="E854" s="22" t="s">
        <v>1535</v>
      </c>
      <c r="F854" s="19" t="str">
        <f t="shared" si="1"/>
        <v>XAKN4</v>
      </c>
      <c r="G854" s="19" t="s">
        <v>5408</v>
      </c>
      <c r="H854" s="20" t="s">
        <v>1212</v>
      </c>
      <c r="I854" s="19" t="s">
        <v>5409</v>
      </c>
      <c r="J854" s="19" t="s">
        <v>5410</v>
      </c>
      <c r="K854" s="25" t="s">
        <v>7500</v>
      </c>
      <c r="L854" s="20" t="s">
        <v>7612</v>
      </c>
      <c r="M854" s="23" t="s">
        <v>1534</v>
      </c>
      <c r="N854" s="18"/>
      <c r="O854" s="18"/>
      <c r="P854" s="18">
        <f>VLOOKUP($A854,MasterData!$C$1:$I$3001,1,FALSE)</f>
        <v>9265</v>
      </c>
      <c r="Q854" s="18" t="str">
        <f t="shared" si="2"/>
        <v>XAKN4</v>
      </c>
    </row>
    <row r="855" ht="15.75" customHeight="1">
      <c r="A855" s="31">
        <v>9267.0</v>
      </c>
      <c r="B855" s="22" t="s">
        <v>1539</v>
      </c>
      <c r="C855" s="24" t="s">
        <v>7613</v>
      </c>
      <c r="D855" s="32" t="s">
        <v>1539</v>
      </c>
      <c r="E855" s="22" t="s">
        <v>1538</v>
      </c>
      <c r="F855" s="19" t="str">
        <f t="shared" si="1"/>
        <v>XAKN4</v>
      </c>
      <c r="G855" s="19" t="s">
        <v>5408</v>
      </c>
      <c r="H855" s="20" t="s">
        <v>1212</v>
      </c>
      <c r="I855" s="19" t="s">
        <v>5409</v>
      </c>
      <c r="J855" s="19" t="s">
        <v>5410</v>
      </c>
      <c r="K855" s="25" t="s">
        <v>7500</v>
      </c>
      <c r="L855" s="20" t="s">
        <v>7612</v>
      </c>
      <c r="M855" s="23" t="s">
        <v>1537</v>
      </c>
      <c r="N855" s="18"/>
      <c r="O855" s="18"/>
      <c r="P855" s="18">
        <f>VLOOKUP($A855,MasterData!$C$1:$I$3001,1,FALSE)</f>
        <v>9267</v>
      </c>
      <c r="Q855" s="18" t="str">
        <f t="shared" si="2"/>
        <v>XAKN4</v>
      </c>
    </row>
    <row r="856" ht="15.75" customHeight="1">
      <c r="A856" s="31">
        <v>9288.0</v>
      </c>
      <c r="B856" s="22" t="s">
        <v>1542</v>
      </c>
      <c r="C856" s="24" t="s">
        <v>7614</v>
      </c>
      <c r="D856" s="32" t="s">
        <v>1542</v>
      </c>
      <c r="E856" s="22" t="s">
        <v>1541</v>
      </c>
      <c r="F856" s="19" t="str">
        <f t="shared" si="1"/>
        <v>XAKN4</v>
      </c>
      <c r="G856" s="19" t="s">
        <v>5408</v>
      </c>
      <c r="H856" s="20" t="s">
        <v>1212</v>
      </c>
      <c r="I856" s="19" t="s">
        <v>5409</v>
      </c>
      <c r="J856" s="19" t="s">
        <v>5410</v>
      </c>
      <c r="K856" s="25" t="s">
        <v>7500</v>
      </c>
      <c r="L856" s="20" t="s">
        <v>7612</v>
      </c>
      <c r="M856" s="23" t="s">
        <v>1540</v>
      </c>
      <c r="N856" s="18"/>
      <c r="O856" s="18"/>
      <c r="P856" s="18">
        <f>VLOOKUP($A856,MasterData!$C$1:$I$3001,1,FALSE)</f>
        <v>9288</v>
      </c>
      <c r="Q856" s="18" t="str">
        <f t="shared" si="2"/>
        <v>XAKN4</v>
      </c>
    </row>
    <row r="857" ht="15.75" customHeight="1">
      <c r="A857" s="31">
        <v>9302.0</v>
      </c>
      <c r="B857" s="22" t="s">
        <v>1545</v>
      </c>
      <c r="C857" s="24" t="s">
        <v>7615</v>
      </c>
      <c r="D857" s="32" t="s">
        <v>1545</v>
      </c>
      <c r="E857" s="22" t="s">
        <v>1544</v>
      </c>
      <c r="F857" s="19" t="str">
        <f t="shared" si="1"/>
        <v>XAKN4</v>
      </c>
      <c r="G857" s="19" t="s">
        <v>5408</v>
      </c>
      <c r="H857" s="20" t="s">
        <v>1212</v>
      </c>
      <c r="I857" s="19" t="s">
        <v>5409</v>
      </c>
      <c r="J857" s="19" t="s">
        <v>5410</v>
      </c>
      <c r="K857" s="25" t="s">
        <v>7500</v>
      </c>
      <c r="L857" s="20" t="s">
        <v>7612</v>
      </c>
      <c r="M857" s="23" t="s">
        <v>1543</v>
      </c>
      <c r="N857" s="18"/>
      <c r="O857" s="18"/>
      <c r="P857" s="18">
        <f>VLOOKUP($A857,MasterData!$C$1:$I$3001,1,FALSE)</f>
        <v>9302</v>
      </c>
      <c r="Q857" s="18" t="str">
        <f t="shared" si="2"/>
        <v>XAKN4</v>
      </c>
    </row>
    <row r="858" ht="15.75" customHeight="1">
      <c r="A858" s="31">
        <v>9324.0</v>
      </c>
      <c r="B858" s="22" t="s">
        <v>1548</v>
      </c>
      <c r="C858" s="24" t="s">
        <v>7616</v>
      </c>
      <c r="D858" s="32" t="s">
        <v>1548</v>
      </c>
      <c r="E858" s="22" t="s">
        <v>1547</v>
      </c>
      <c r="F858" s="19" t="str">
        <f t="shared" si="1"/>
        <v>XAKN4</v>
      </c>
      <c r="G858" s="19" t="s">
        <v>5408</v>
      </c>
      <c r="H858" s="20" t="s">
        <v>1212</v>
      </c>
      <c r="I858" s="19" t="s">
        <v>5409</v>
      </c>
      <c r="J858" s="19" t="s">
        <v>5410</v>
      </c>
      <c r="K858" s="25" t="s">
        <v>7500</v>
      </c>
      <c r="L858" s="20" t="s">
        <v>7612</v>
      </c>
      <c r="M858" s="23" t="s">
        <v>1546</v>
      </c>
      <c r="N858" s="18"/>
      <c r="O858" s="18"/>
      <c r="P858" s="18">
        <f>VLOOKUP($A858,MasterData!$C$1:$I$3001,1,FALSE)</f>
        <v>9324</v>
      </c>
      <c r="Q858" s="18" t="str">
        <f t="shared" si="2"/>
        <v>XAKN4</v>
      </c>
    </row>
    <row r="859" ht="15.75" customHeight="1">
      <c r="A859" s="31">
        <v>9336.0</v>
      </c>
      <c r="B859" s="22" t="s">
        <v>1551</v>
      </c>
      <c r="C859" s="24" t="s">
        <v>7617</v>
      </c>
      <c r="D859" s="32" t="s">
        <v>1551</v>
      </c>
      <c r="E859" s="22" t="s">
        <v>1550</v>
      </c>
      <c r="F859" s="19" t="str">
        <f t="shared" si="1"/>
        <v>XAKN4</v>
      </c>
      <c r="G859" s="19" t="s">
        <v>5408</v>
      </c>
      <c r="H859" s="20" t="s">
        <v>1212</v>
      </c>
      <c r="I859" s="19" t="s">
        <v>5409</v>
      </c>
      <c r="J859" s="19" t="s">
        <v>5410</v>
      </c>
      <c r="K859" s="25" t="s">
        <v>7500</v>
      </c>
      <c r="L859" s="20" t="s">
        <v>7612</v>
      </c>
      <c r="M859" s="23" t="s">
        <v>1549</v>
      </c>
      <c r="N859" s="18"/>
      <c r="O859" s="18"/>
      <c r="P859" s="18">
        <f>VLOOKUP($A859,MasterData!$C$1:$I$3001,1,FALSE)</f>
        <v>9336</v>
      </c>
      <c r="Q859" s="18" t="str">
        <f t="shared" si="2"/>
        <v>XAKN4</v>
      </c>
    </row>
    <row r="860" ht="15.75" customHeight="1">
      <c r="A860" s="31">
        <v>9356.0</v>
      </c>
      <c r="B860" s="22" t="s">
        <v>1554</v>
      </c>
      <c r="C860" s="24" t="s">
        <v>7618</v>
      </c>
      <c r="D860" s="32" t="s">
        <v>1554</v>
      </c>
      <c r="E860" s="22" t="s">
        <v>1553</v>
      </c>
      <c r="F860" s="19" t="str">
        <f t="shared" si="1"/>
        <v>XAKN4</v>
      </c>
      <c r="G860" s="19" t="s">
        <v>5408</v>
      </c>
      <c r="H860" s="20" t="s">
        <v>1212</v>
      </c>
      <c r="I860" s="19" t="s">
        <v>5409</v>
      </c>
      <c r="J860" s="19" t="s">
        <v>5410</v>
      </c>
      <c r="K860" s="25" t="s">
        <v>7500</v>
      </c>
      <c r="L860" s="20" t="s">
        <v>7612</v>
      </c>
      <c r="M860" s="23" t="s">
        <v>1552</v>
      </c>
      <c r="N860" s="18"/>
      <c r="O860" s="18"/>
      <c r="P860" s="18">
        <f>VLOOKUP($A860,MasterData!$C$1:$I$3001,1,FALSE)</f>
        <v>9356</v>
      </c>
      <c r="Q860" s="18" t="str">
        <f t="shared" si="2"/>
        <v>XAKN4</v>
      </c>
    </row>
    <row r="861" ht="15.75" customHeight="1">
      <c r="A861" s="31">
        <v>9370.0</v>
      </c>
      <c r="B861" s="22" t="s">
        <v>1557</v>
      </c>
      <c r="C861" s="24" t="s">
        <v>7619</v>
      </c>
      <c r="D861" s="32" t="s">
        <v>1557</v>
      </c>
      <c r="E861" s="22" t="s">
        <v>1556</v>
      </c>
      <c r="F861" s="19" t="str">
        <f t="shared" si="1"/>
        <v>XAKN4</v>
      </c>
      <c r="G861" s="19" t="s">
        <v>5408</v>
      </c>
      <c r="H861" s="20" t="s">
        <v>1212</v>
      </c>
      <c r="I861" s="19" t="s">
        <v>5409</v>
      </c>
      <c r="J861" s="19" t="s">
        <v>5410</v>
      </c>
      <c r="K861" s="25" t="s">
        <v>7500</v>
      </c>
      <c r="L861" s="20" t="s">
        <v>7612</v>
      </c>
      <c r="M861" s="23" t="s">
        <v>1555</v>
      </c>
      <c r="N861" s="18"/>
      <c r="O861" s="18"/>
      <c r="P861" s="18">
        <f>VLOOKUP($A861,MasterData!$C$1:$I$3001,1,FALSE)</f>
        <v>9370</v>
      </c>
      <c r="Q861" s="18" t="str">
        <f t="shared" si="2"/>
        <v>XAKN4</v>
      </c>
    </row>
    <row r="862" ht="15.75" customHeight="1">
      <c r="A862" s="31">
        <v>9393.0</v>
      </c>
      <c r="B862" s="22" t="s">
        <v>1560</v>
      </c>
      <c r="C862" s="24" t="s">
        <v>7620</v>
      </c>
      <c r="D862" s="32" t="s">
        <v>1560</v>
      </c>
      <c r="E862" s="22" t="s">
        <v>1559</v>
      </c>
      <c r="F862" s="19" t="str">
        <f t="shared" si="1"/>
        <v>XAKN4</v>
      </c>
      <c r="G862" s="19" t="s">
        <v>5408</v>
      </c>
      <c r="H862" s="20" t="s">
        <v>1212</v>
      </c>
      <c r="I862" s="19" t="s">
        <v>5409</v>
      </c>
      <c r="J862" s="19" t="s">
        <v>5410</v>
      </c>
      <c r="K862" s="25" t="s">
        <v>7500</v>
      </c>
      <c r="L862" s="20" t="s">
        <v>7612</v>
      </c>
      <c r="M862" s="23" t="s">
        <v>1558</v>
      </c>
      <c r="N862" s="18"/>
      <c r="O862" s="18"/>
      <c r="P862" s="18">
        <f>VLOOKUP($A862,MasterData!$C$1:$I$3001,1,FALSE)</f>
        <v>9393</v>
      </c>
      <c r="Q862" s="18" t="str">
        <f t="shared" si="2"/>
        <v>XAKN4</v>
      </c>
    </row>
    <row r="863" ht="15.75" customHeight="1">
      <c r="A863" s="31">
        <v>9406.0</v>
      </c>
      <c r="B863" s="22" t="s">
        <v>1563</v>
      </c>
      <c r="C863" s="24" t="s">
        <v>7621</v>
      </c>
      <c r="D863" s="33" t="s">
        <v>1563</v>
      </c>
      <c r="E863" s="22" t="s">
        <v>1562</v>
      </c>
      <c r="F863" s="19" t="str">
        <f t="shared" si="1"/>
        <v>XAKN4</v>
      </c>
      <c r="G863" s="19" t="s">
        <v>5408</v>
      </c>
      <c r="H863" s="20" t="s">
        <v>1212</v>
      </c>
      <c r="I863" s="19" t="s">
        <v>5409</v>
      </c>
      <c r="J863" s="19" t="s">
        <v>5410</v>
      </c>
      <c r="K863" s="25" t="s">
        <v>7500</v>
      </c>
      <c r="L863" s="20" t="s">
        <v>7612</v>
      </c>
      <c r="M863" s="23" t="s">
        <v>1561</v>
      </c>
      <c r="N863" s="18"/>
      <c r="O863" s="18"/>
      <c r="P863" s="18">
        <f>VLOOKUP($A863,MasterData!$C$1:$I$3001,1,FALSE)</f>
        <v>9406</v>
      </c>
      <c r="Q863" s="18" t="str">
        <f t="shared" si="2"/>
        <v>XAKN4</v>
      </c>
    </row>
    <row r="864" ht="15.75" customHeight="1">
      <c r="A864" s="31">
        <v>9413.0</v>
      </c>
      <c r="B864" s="22" t="s">
        <v>1566</v>
      </c>
      <c r="C864" s="24" t="s">
        <v>7622</v>
      </c>
      <c r="D864" s="32" t="s">
        <v>1566</v>
      </c>
      <c r="E864" s="22" t="s">
        <v>1565</v>
      </c>
      <c r="F864" s="19" t="str">
        <f t="shared" si="1"/>
        <v>XAKN4</v>
      </c>
      <c r="G864" s="19" t="s">
        <v>5408</v>
      </c>
      <c r="H864" s="20" t="s">
        <v>1212</v>
      </c>
      <c r="I864" s="19" t="s">
        <v>5409</v>
      </c>
      <c r="J864" s="19" t="s">
        <v>5410</v>
      </c>
      <c r="K864" s="25" t="s">
        <v>7500</v>
      </c>
      <c r="L864" s="20" t="s">
        <v>7612</v>
      </c>
      <c r="M864" s="23" t="s">
        <v>1564</v>
      </c>
      <c r="N864" s="18"/>
      <c r="O864" s="18"/>
      <c r="P864" s="18">
        <f>VLOOKUP($A864,MasterData!$C$1:$I$3001,1,FALSE)</f>
        <v>9413</v>
      </c>
      <c r="Q864" s="18" t="str">
        <f t="shared" si="2"/>
        <v>XAKN4</v>
      </c>
    </row>
    <row r="865" ht="15.75" customHeight="1">
      <c r="A865" s="31">
        <v>9421.0</v>
      </c>
      <c r="B865" s="22" t="s">
        <v>1569</v>
      </c>
      <c r="C865" s="24" t="s">
        <v>7623</v>
      </c>
      <c r="D865" s="32" t="s">
        <v>1569</v>
      </c>
      <c r="E865" s="22" t="s">
        <v>1568</v>
      </c>
      <c r="F865" s="19" t="str">
        <f t="shared" si="1"/>
        <v>XAKN4</v>
      </c>
      <c r="G865" s="19" t="s">
        <v>5408</v>
      </c>
      <c r="H865" s="20" t="s">
        <v>1212</v>
      </c>
      <c r="I865" s="19" t="s">
        <v>5409</v>
      </c>
      <c r="J865" s="19" t="s">
        <v>5410</v>
      </c>
      <c r="K865" s="25" t="s">
        <v>7500</v>
      </c>
      <c r="L865" s="20" t="s">
        <v>7612</v>
      </c>
      <c r="M865" s="23" t="s">
        <v>1567</v>
      </c>
      <c r="N865" s="18"/>
      <c r="O865" s="18"/>
      <c r="P865" s="18">
        <f>VLOOKUP($A865,MasterData!$C$1:$I$3001,1,FALSE)</f>
        <v>9421</v>
      </c>
      <c r="Q865" s="18" t="str">
        <f t="shared" si="2"/>
        <v>XAKN4</v>
      </c>
    </row>
    <row r="866" ht="15.75" customHeight="1">
      <c r="A866" s="31">
        <v>9434.0</v>
      </c>
      <c r="B866" s="22" t="s">
        <v>1572</v>
      </c>
      <c r="C866" s="24" t="s">
        <v>7624</v>
      </c>
      <c r="D866" s="32" t="s">
        <v>1572</v>
      </c>
      <c r="E866" s="22" t="s">
        <v>1571</v>
      </c>
      <c r="F866" s="19" t="str">
        <f t="shared" si="1"/>
        <v>XAKN4</v>
      </c>
      <c r="G866" s="19" t="s">
        <v>5408</v>
      </c>
      <c r="H866" s="20" t="s">
        <v>1212</v>
      </c>
      <c r="I866" s="19" t="s">
        <v>5409</v>
      </c>
      <c r="J866" s="19" t="s">
        <v>5410</v>
      </c>
      <c r="K866" s="25" t="s">
        <v>7500</v>
      </c>
      <c r="L866" s="20" t="s">
        <v>7612</v>
      </c>
      <c r="M866" s="23" t="s">
        <v>1570</v>
      </c>
      <c r="N866" s="18"/>
      <c r="O866" s="18"/>
      <c r="P866" s="18">
        <f>VLOOKUP($A866,MasterData!$C$1:$I$3001,1,FALSE)</f>
        <v>9434</v>
      </c>
      <c r="Q866" s="18" t="str">
        <f t="shared" si="2"/>
        <v>XAKN4</v>
      </c>
    </row>
    <row r="867" ht="15.75" customHeight="1">
      <c r="A867" s="31">
        <v>9450.0</v>
      </c>
      <c r="B867" s="22" t="s">
        <v>1575</v>
      </c>
      <c r="C867" s="24" t="s">
        <v>7625</v>
      </c>
      <c r="D867" s="32" t="s">
        <v>1575</v>
      </c>
      <c r="E867" s="22" t="s">
        <v>1574</v>
      </c>
      <c r="F867" s="19" t="str">
        <f t="shared" si="1"/>
        <v>XAKN4</v>
      </c>
      <c r="G867" s="19" t="s">
        <v>5408</v>
      </c>
      <c r="H867" s="20" t="s">
        <v>1212</v>
      </c>
      <c r="I867" s="19" t="s">
        <v>5409</v>
      </c>
      <c r="J867" s="19" t="s">
        <v>5410</v>
      </c>
      <c r="K867" s="25" t="s">
        <v>7500</v>
      </c>
      <c r="L867" s="20" t="s">
        <v>7612</v>
      </c>
      <c r="M867" s="23" t="s">
        <v>1573</v>
      </c>
      <c r="N867" s="18"/>
      <c r="O867" s="18"/>
      <c r="P867" s="18">
        <f>VLOOKUP($A867,MasterData!$C$1:$I$3001,1,FALSE)</f>
        <v>9450</v>
      </c>
      <c r="Q867" s="18" t="str">
        <f t="shared" si="2"/>
        <v>XAKN4</v>
      </c>
    </row>
    <row r="868" ht="15.75" customHeight="1">
      <c r="A868" s="31">
        <v>9460.0</v>
      </c>
      <c r="B868" s="22" t="s">
        <v>1578</v>
      </c>
      <c r="C868" s="24" t="s">
        <v>7626</v>
      </c>
      <c r="D868" s="32" t="s">
        <v>1578</v>
      </c>
      <c r="E868" s="22" t="s">
        <v>1577</v>
      </c>
      <c r="F868" s="19" t="str">
        <f t="shared" si="1"/>
        <v>XAKN4</v>
      </c>
      <c r="G868" s="19" t="s">
        <v>5408</v>
      </c>
      <c r="H868" s="20" t="s">
        <v>1212</v>
      </c>
      <c r="I868" s="19" t="s">
        <v>5409</v>
      </c>
      <c r="J868" s="19" t="s">
        <v>5410</v>
      </c>
      <c r="K868" s="25" t="s">
        <v>7500</v>
      </c>
      <c r="L868" s="20" t="s">
        <v>7612</v>
      </c>
      <c r="M868" s="23" t="s">
        <v>1576</v>
      </c>
      <c r="N868" s="18"/>
      <c r="O868" s="18"/>
      <c r="P868" s="18">
        <f>VLOOKUP($A868,MasterData!$C$1:$I$3001,1,FALSE)</f>
        <v>9460</v>
      </c>
      <c r="Q868" s="18" t="str">
        <f t="shared" si="2"/>
        <v>XAKN4</v>
      </c>
    </row>
    <row r="869" ht="15.75" customHeight="1">
      <c r="A869" s="31">
        <v>9481.0</v>
      </c>
      <c r="B869" s="22" t="s">
        <v>1581</v>
      </c>
      <c r="C869" s="24" t="s">
        <v>7627</v>
      </c>
      <c r="D869" s="32" t="s">
        <v>1581</v>
      </c>
      <c r="E869" s="22" t="s">
        <v>1580</v>
      </c>
      <c r="F869" s="19" t="str">
        <f t="shared" si="1"/>
        <v>XAKN4</v>
      </c>
      <c r="G869" s="19" t="s">
        <v>5408</v>
      </c>
      <c r="H869" s="20" t="s">
        <v>1212</v>
      </c>
      <c r="I869" s="19" t="s">
        <v>5409</v>
      </c>
      <c r="J869" s="19" t="s">
        <v>5410</v>
      </c>
      <c r="K869" s="25" t="s">
        <v>7500</v>
      </c>
      <c r="L869" s="20" t="s">
        <v>7612</v>
      </c>
      <c r="M869" s="23" t="s">
        <v>1579</v>
      </c>
      <c r="N869" s="18"/>
      <c r="O869" s="18"/>
      <c r="P869" s="18">
        <f>VLOOKUP($A869,MasterData!$C$1:$I$3001,1,FALSE)</f>
        <v>9481</v>
      </c>
      <c r="Q869" s="18" t="str">
        <f t="shared" si="2"/>
        <v>XAKN4</v>
      </c>
    </row>
    <row r="870" ht="15.75" customHeight="1">
      <c r="A870" s="31">
        <v>9514.0</v>
      </c>
      <c r="B870" s="22" t="s">
        <v>1584</v>
      </c>
      <c r="C870" s="24" t="s">
        <v>7628</v>
      </c>
      <c r="D870" s="32" t="s">
        <v>1584</v>
      </c>
      <c r="E870" s="22" t="s">
        <v>1583</v>
      </c>
      <c r="F870" s="19" t="str">
        <f t="shared" si="1"/>
        <v>XAKN4</v>
      </c>
      <c r="G870" s="19" t="s">
        <v>5408</v>
      </c>
      <c r="H870" s="20" t="s">
        <v>1212</v>
      </c>
      <c r="I870" s="19" t="s">
        <v>5409</v>
      </c>
      <c r="J870" s="19" t="s">
        <v>5410</v>
      </c>
      <c r="K870" s="25" t="s">
        <v>7500</v>
      </c>
      <c r="L870" s="20" t="s">
        <v>7612</v>
      </c>
      <c r="M870" s="23" t="s">
        <v>1582</v>
      </c>
      <c r="N870" s="18"/>
      <c r="O870" s="18"/>
      <c r="P870" s="18">
        <f>VLOOKUP($A870,MasterData!$C$1:$I$3001,1,FALSE)</f>
        <v>9514</v>
      </c>
      <c r="Q870" s="18" t="str">
        <f t="shared" si="2"/>
        <v>XAKN4</v>
      </c>
    </row>
    <row r="871" ht="15.75" customHeight="1">
      <c r="A871" s="31">
        <v>9526.0</v>
      </c>
      <c r="B871" s="22" t="s">
        <v>1587</v>
      </c>
      <c r="C871" s="24" t="s">
        <v>7629</v>
      </c>
      <c r="D871" s="32" t="s">
        <v>1587</v>
      </c>
      <c r="E871" s="22" t="s">
        <v>1586</v>
      </c>
      <c r="F871" s="19" t="str">
        <f t="shared" si="1"/>
        <v>XAKN4</v>
      </c>
      <c r="G871" s="19" t="s">
        <v>5408</v>
      </c>
      <c r="H871" s="20" t="s">
        <v>1212</v>
      </c>
      <c r="I871" s="19" t="s">
        <v>5409</v>
      </c>
      <c r="J871" s="19" t="s">
        <v>5410</v>
      </c>
      <c r="K871" s="25" t="s">
        <v>7500</v>
      </c>
      <c r="L871" s="20" t="s">
        <v>7612</v>
      </c>
      <c r="M871" s="23" t="s">
        <v>1585</v>
      </c>
      <c r="N871" s="18"/>
      <c r="O871" s="18"/>
      <c r="P871" s="18">
        <f>VLOOKUP($A871,MasterData!$C$1:$I$3001,1,FALSE)</f>
        <v>9526</v>
      </c>
      <c r="Q871" s="18" t="str">
        <f t="shared" si="2"/>
        <v>XAKN4</v>
      </c>
    </row>
    <row r="872" ht="15.75" customHeight="1">
      <c r="A872" s="31">
        <v>9530.0</v>
      </c>
      <c r="B872" s="22" t="s">
        <v>1590</v>
      </c>
      <c r="C872" s="24" t="s">
        <v>7630</v>
      </c>
      <c r="D872" s="32" t="s">
        <v>1590</v>
      </c>
      <c r="E872" s="22" t="s">
        <v>1589</v>
      </c>
      <c r="F872" s="19" t="str">
        <f t="shared" si="1"/>
        <v>XAKN4</v>
      </c>
      <c r="G872" s="19" t="s">
        <v>5408</v>
      </c>
      <c r="H872" s="20" t="s">
        <v>1212</v>
      </c>
      <c r="I872" s="19" t="s">
        <v>5409</v>
      </c>
      <c r="J872" s="19" t="s">
        <v>5410</v>
      </c>
      <c r="K872" s="25" t="s">
        <v>7500</v>
      </c>
      <c r="L872" s="20" t="s">
        <v>7612</v>
      </c>
      <c r="M872" s="23" t="s">
        <v>1588</v>
      </c>
      <c r="N872" s="18"/>
      <c r="O872" s="18"/>
      <c r="P872" s="18">
        <f>VLOOKUP($A872,MasterData!$C$1:$I$3001,1,FALSE)</f>
        <v>9530</v>
      </c>
      <c r="Q872" s="18" t="str">
        <f t="shared" si="2"/>
        <v>XAKN4</v>
      </c>
    </row>
    <row r="873" ht="15.75" customHeight="1">
      <c r="A873" s="31">
        <v>9537.0</v>
      </c>
      <c r="B873" s="22" t="s">
        <v>1593</v>
      </c>
      <c r="C873" s="24" t="s">
        <v>7631</v>
      </c>
      <c r="D873" s="32" t="s">
        <v>1593</v>
      </c>
      <c r="E873" s="22" t="s">
        <v>1592</v>
      </c>
      <c r="F873" s="19" t="str">
        <f t="shared" si="1"/>
        <v>XAKN4</v>
      </c>
      <c r="G873" s="19" t="s">
        <v>5408</v>
      </c>
      <c r="H873" s="20" t="s">
        <v>1212</v>
      </c>
      <c r="I873" s="19" t="s">
        <v>5409</v>
      </c>
      <c r="J873" s="19" t="s">
        <v>5410</v>
      </c>
      <c r="K873" s="25" t="s">
        <v>7500</v>
      </c>
      <c r="L873" s="20" t="s">
        <v>7612</v>
      </c>
      <c r="M873" s="23" t="s">
        <v>1591</v>
      </c>
      <c r="N873" s="18"/>
      <c r="O873" s="18"/>
      <c r="P873" s="18">
        <f>VLOOKUP($A873,MasterData!$C$1:$I$3001,1,FALSE)</f>
        <v>9537</v>
      </c>
      <c r="Q873" s="18" t="str">
        <f t="shared" si="2"/>
        <v>XAKN4</v>
      </c>
    </row>
    <row r="874" ht="15.75" customHeight="1">
      <c r="A874" s="31">
        <v>9552.0</v>
      </c>
      <c r="B874" s="22" t="s">
        <v>1596</v>
      </c>
      <c r="C874" s="24" t="s">
        <v>7632</v>
      </c>
      <c r="D874" s="32" t="s">
        <v>1596</v>
      </c>
      <c r="E874" s="22" t="s">
        <v>1595</v>
      </c>
      <c r="F874" s="19" t="str">
        <f t="shared" si="1"/>
        <v>XAKN4</v>
      </c>
      <c r="G874" s="19" t="s">
        <v>5408</v>
      </c>
      <c r="H874" s="20" t="s">
        <v>1212</v>
      </c>
      <c r="I874" s="19" t="s">
        <v>5409</v>
      </c>
      <c r="J874" s="19" t="s">
        <v>5410</v>
      </c>
      <c r="K874" s="25" t="s">
        <v>7500</v>
      </c>
      <c r="L874" s="20" t="s">
        <v>7612</v>
      </c>
      <c r="M874" s="23" t="s">
        <v>1594</v>
      </c>
      <c r="N874" s="18"/>
      <c r="O874" s="18"/>
      <c r="P874" s="18">
        <f>VLOOKUP($A874,MasterData!$C$1:$I$3001,1,FALSE)</f>
        <v>9552</v>
      </c>
      <c r="Q874" s="18" t="str">
        <f t="shared" si="2"/>
        <v>XAKN4</v>
      </c>
    </row>
    <row r="875" ht="15.75" customHeight="1">
      <c r="A875" s="31">
        <v>9566.0</v>
      </c>
      <c r="B875" s="22" t="s">
        <v>1599</v>
      </c>
      <c r="C875" s="24" t="s">
        <v>7633</v>
      </c>
      <c r="D875" s="32" t="s">
        <v>1599</v>
      </c>
      <c r="E875" s="22" t="s">
        <v>1598</v>
      </c>
      <c r="F875" s="19" t="str">
        <f t="shared" si="1"/>
        <v>XAKN4</v>
      </c>
      <c r="G875" s="19" t="s">
        <v>5408</v>
      </c>
      <c r="H875" s="20" t="s">
        <v>1212</v>
      </c>
      <c r="I875" s="19" t="s">
        <v>5409</v>
      </c>
      <c r="J875" s="19" t="s">
        <v>5410</v>
      </c>
      <c r="K875" s="25" t="s">
        <v>7500</v>
      </c>
      <c r="L875" s="20" t="s">
        <v>7612</v>
      </c>
      <c r="M875" s="23" t="s">
        <v>1597</v>
      </c>
      <c r="N875" s="18"/>
      <c r="O875" s="18"/>
      <c r="P875" s="18">
        <f>VLOOKUP($A875,MasterData!$C$1:$I$3001,1,FALSE)</f>
        <v>9566</v>
      </c>
      <c r="Q875" s="18" t="str">
        <f t="shared" si="2"/>
        <v>XAKN4</v>
      </c>
    </row>
    <row r="876" ht="15.75" customHeight="1">
      <c r="A876" s="31">
        <v>9646.0</v>
      </c>
      <c r="B876" s="22" t="s">
        <v>1602</v>
      </c>
      <c r="C876" s="24" t="s">
        <v>7634</v>
      </c>
      <c r="D876" s="32" t="s">
        <v>1602</v>
      </c>
      <c r="E876" s="22" t="s">
        <v>1601</v>
      </c>
      <c r="F876" s="19" t="str">
        <f t="shared" si="1"/>
        <v>XAKN4</v>
      </c>
      <c r="G876" s="19" t="s">
        <v>5408</v>
      </c>
      <c r="H876" s="20" t="s">
        <v>1212</v>
      </c>
      <c r="I876" s="19" t="s">
        <v>5409</v>
      </c>
      <c r="J876" s="19" t="s">
        <v>5410</v>
      </c>
      <c r="K876" s="25" t="s">
        <v>7500</v>
      </c>
      <c r="L876" s="20" t="s">
        <v>7612</v>
      </c>
      <c r="M876" s="23" t="s">
        <v>1600</v>
      </c>
      <c r="N876" s="18"/>
      <c r="O876" s="18"/>
      <c r="P876" s="18">
        <f>VLOOKUP($A876,MasterData!$C$1:$I$3001,1,FALSE)</f>
        <v>9646</v>
      </c>
      <c r="Q876" s="18" t="str">
        <f t="shared" si="2"/>
        <v>XAKN4</v>
      </c>
    </row>
    <row r="877" ht="15.75" customHeight="1">
      <c r="A877" s="31">
        <v>9655.0</v>
      </c>
      <c r="B877" s="22" t="s">
        <v>1605</v>
      </c>
      <c r="C877" s="24" t="s">
        <v>7635</v>
      </c>
      <c r="D877" s="32" t="s">
        <v>1605</v>
      </c>
      <c r="E877" s="22" t="s">
        <v>1604</v>
      </c>
      <c r="F877" s="19" t="str">
        <f t="shared" si="1"/>
        <v>XAKN4</v>
      </c>
      <c r="G877" s="19" t="s">
        <v>5408</v>
      </c>
      <c r="H877" s="20" t="s">
        <v>1212</v>
      </c>
      <c r="I877" s="19" t="s">
        <v>5409</v>
      </c>
      <c r="J877" s="19" t="s">
        <v>5410</v>
      </c>
      <c r="K877" s="25" t="s">
        <v>7500</v>
      </c>
      <c r="L877" s="20" t="s">
        <v>7612</v>
      </c>
      <c r="M877" s="23" t="s">
        <v>1603</v>
      </c>
      <c r="N877" s="18"/>
      <c r="O877" s="18"/>
      <c r="P877" s="18">
        <f>VLOOKUP($A877,MasterData!$C$1:$I$3001,1,FALSE)</f>
        <v>9655</v>
      </c>
      <c r="Q877" s="18" t="str">
        <f t="shared" si="2"/>
        <v>XAKN4</v>
      </c>
    </row>
    <row r="878" ht="15.75" customHeight="1">
      <c r="A878" s="31">
        <v>9670.0</v>
      </c>
      <c r="B878" s="22" t="s">
        <v>1608</v>
      </c>
      <c r="C878" s="24" t="s">
        <v>7636</v>
      </c>
      <c r="D878" s="32" t="s">
        <v>1608</v>
      </c>
      <c r="E878" s="22" t="s">
        <v>1607</v>
      </c>
      <c r="F878" s="19" t="str">
        <f t="shared" si="1"/>
        <v>XAKN4</v>
      </c>
      <c r="G878" s="19" t="s">
        <v>5408</v>
      </c>
      <c r="H878" s="20" t="s">
        <v>1212</v>
      </c>
      <c r="I878" s="19" t="s">
        <v>5409</v>
      </c>
      <c r="J878" s="19" t="s">
        <v>5410</v>
      </c>
      <c r="K878" s="25" t="s">
        <v>7500</v>
      </c>
      <c r="L878" s="20" t="s">
        <v>7612</v>
      </c>
      <c r="M878" s="23" t="s">
        <v>1606</v>
      </c>
      <c r="N878" s="18"/>
      <c r="O878" s="18"/>
      <c r="P878" s="18">
        <f>VLOOKUP($A878,MasterData!$C$1:$I$3001,1,FALSE)</f>
        <v>9670</v>
      </c>
      <c r="Q878" s="18" t="str">
        <f t="shared" si="2"/>
        <v>XAKN4</v>
      </c>
    </row>
    <row r="879" ht="15.75" customHeight="1">
      <c r="A879" s="31">
        <v>9692.0</v>
      </c>
      <c r="B879" s="22" t="s">
        <v>1611</v>
      </c>
      <c r="C879" s="24" t="s">
        <v>7637</v>
      </c>
      <c r="D879" s="32" t="s">
        <v>1611</v>
      </c>
      <c r="E879" s="22" t="s">
        <v>1610</v>
      </c>
      <c r="F879" s="19" t="str">
        <f t="shared" si="1"/>
        <v>XAKN4</v>
      </c>
      <c r="G879" s="19" t="s">
        <v>5408</v>
      </c>
      <c r="H879" s="20" t="s">
        <v>1212</v>
      </c>
      <c r="I879" s="19" t="s">
        <v>5409</v>
      </c>
      <c r="J879" s="19" t="s">
        <v>5410</v>
      </c>
      <c r="K879" s="25" t="s">
        <v>7500</v>
      </c>
      <c r="L879" s="20" t="s">
        <v>7612</v>
      </c>
      <c r="M879" s="23" t="s">
        <v>1609</v>
      </c>
      <c r="N879" s="18"/>
      <c r="O879" s="18"/>
      <c r="P879" s="18">
        <f>VLOOKUP($A879,MasterData!$C$1:$I$3001,1,FALSE)</f>
        <v>9692</v>
      </c>
      <c r="Q879" s="18" t="str">
        <f t="shared" si="2"/>
        <v>XAKN4</v>
      </c>
    </row>
    <row r="880" ht="15.75" customHeight="1">
      <c r="A880" s="31">
        <v>9714.0</v>
      </c>
      <c r="B880" s="22" t="s">
        <v>1614</v>
      </c>
      <c r="C880" s="24" t="s">
        <v>7638</v>
      </c>
      <c r="D880" s="32" t="s">
        <v>1614</v>
      </c>
      <c r="E880" s="22" t="s">
        <v>1613</v>
      </c>
      <c r="F880" s="19" t="str">
        <f t="shared" si="1"/>
        <v>XAKN4</v>
      </c>
      <c r="G880" s="19" t="s">
        <v>5408</v>
      </c>
      <c r="H880" s="20" t="s">
        <v>1212</v>
      </c>
      <c r="I880" s="19" t="s">
        <v>5409</v>
      </c>
      <c r="J880" s="19" t="s">
        <v>5410</v>
      </c>
      <c r="K880" s="25" t="s">
        <v>7500</v>
      </c>
      <c r="L880" s="20" t="s">
        <v>7612</v>
      </c>
      <c r="M880" s="23" t="s">
        <v>1612</v>
      </c>
      <c r="N880" s="18"/>
      <c r="O880" s="18"/>
      <c r="P880" s="18">
        <f>VLOOKUP($A880,MasterData!$C$1:$I$3001,1,FALSE)</f>
        <v>9714</v>
      </c>
      <c r="Q880" s="18" t="str">
        <f t="shared" si="2"/>
        <v>XAKN4</v>
      </c>
    </row>
    <row r="881" ht="15.75" customHeight="1">
      <c r="A881" s="31">
        <v>9749.0</v>
      </c>
      <c r="B881" s="22" t="s">
        <v>1617</v>
      </c>
      <c r="C881" s="24" t="s">
        <v>7639</v>
      </c>
      <c r="D881" s="32" t="s">
        <v>1617</v>
      </c>
      <c r="E881" s="22" t="s">
        <v>1616</v>
      </c>
      <c r="F881" s="19" t="str">
        <f t="shared" si="1"/>
        <v>XAKN4</v>
      </c>
      <c r="G881" s="19" t="s">
        <v>5408</v>
      </c>
      <c r="H881" s="20" t="s">
        <v>1212</v>
      </c>
      <c r="I881" s="19" t="s">
        <v>5409</v>
      </c>
      <c r="J881" s="19" t="s">
        <v>5410</v>
      </c>
      <c r="K881" s="25" t="s">
        <v>7500</v>
      </c>
      <c r="L881" s="20" t="s">
        <v>7612</v>
      </c>
      <c r="M881" s="23" t="s">
        <v>1615</v>
      </c>
      <c r="N881" s="18"/>
      <c r="O881" s="18"/>
      <c r="P881" s="18">
        <f>VLOOKUP($A881,MasterData!$C$1:$I$3001,1,FALSE)</f>
        <v>9749</v>
      </c>
      <c r="Q881" s="18" t="str">
        <f t="shared" si="2"/>
        <v>XAKN4</v>
      </c>
    </row>
    <row r="882" ht="15.75" customHeight="1">
      <c r="A882" s="31">
        <v>9758.0</v>
      </c>
      <c r="B882" s="22" t="s">
        <v>1620</v>
      </c>
      <c r="C882" s="24" t="s">
        <v>7640</v>
      </c>
      <c r="D882" s="32" t="s">
        <v>1620</v>
      </c>
      <c r="E882" s="22" t="s">
        <v>1619</v>
      </c>
      <c r="F882" s="19" t="str">
        <f t="shared" si="1"/>
        <v>XAKN4</v>
      </c>
      <c r="G882" s="19" t="s">
        <v>5408</v>
      </c>
      <c r="H882" s="20" t="s">
        <v>1212</v>
      </c>
      <c r="I882" s="19" t="s">
        <v>5409</v>
      </c>
      <c r="J882" s="19" t="s">
        <v>5410</v>
      </c>
      <c r="K882" s="25" t="s">
        <v>7500</v>
      </c>
      <c r="L882" s="20" t="s">
        <v>7612</v>
      </c>
      <c r="M882" s="23" t="s">
        <v>1618</v>
      </c>
      <c r="N882" s="18"/>
      <c r="O882" s="18"/>
      <c r="P882" s="18">
        <f>VLOOKUP($A882,MasterData!$C$1:$I$3001,1,FALSE)</f>
        <v>9758</v>
      </c>
      <c r="Q882" s="18" t="str">
        <f t="shared" si="2"/>
        <v>XAKN4</v>
      </c>
    </row>
    <row r="883" ht="15.75" customHeight="1">
      <c r="A883" s="31">
        <v>9769.0</v>
      </c>
      <c r="B883" s="22" t="s">
        <v>1623</v>
      </c>
      <c r="C883" s="24" t="s">
        <v>7641</v>
      </c>
      <c r="D883" s="32" t="s">
        <v>1623</v>
      </c>
      <c r="E883" s="22" t="s">
        <v>1622</v>
      </c>
      <c r="F883" s="19" t="str">
        <f t="shared" si="1"/>
        <v>XAKN4</v>
      </c>
      <c r="G883" s="19" t="s">
        <v>5408</v>
      </c>
      <c r="H883" s="20" t="s">
        <v>1212</v>
      </c>
      <c r="I883" s="19" t="s">
        <v>5409</v>
      </c>
      <c r="J883" s="19" t="s">
        <v>5410</v>
      </c>
      <c r="K883" s="25" t="s">
        <v>7500</v>
      </c>
      <c r="L883" s="20" t="s">
        <v>7612</v>
      </c>
      <c r="M883" s="23" t="s">
        <v>1621</v>
      </c>
      <c r="N883" s="18"/>
      <c r="O883" s="18"/>
      <c r="P883" s="18">
        <f>VLOOKUP($A883,MasterData!$C$1:$I$3001,1,FALSE)</f>
        <v>9769</v>
      </c>
      <c r="Q883" s="18" t="str">
        <f t="shared" si="2"/>
        <v>XAKN4</v>
      </c>
    </row>
    <row r="884" ht="15.75" customHeight="1">
      <c r="A884" s="31">
        <v>9778.0</v>
      </c>
      <c r="B884" s="22" t="s">
        <v>1626</v>
      </c>
      <c r="C884" s="24" t="s">
        <v>7642</v>
      </c>
      <c r="D884" s="32" t="s">
        <v>1626</v>
      </c>
      <c r="E884" s="22" t="s">
        <v>1625</v>
      </c>
      <c r="F884" s="19" t="str">
        <f t="shared" si="1"/>
        <v>XAKN4</v>
      </c>
      <c r="G884" s="19" t="s">
        <v>5408</v>
      </c>
      <c r="H884" s="20" t="s">
        <v>1212</v>
      </c>
      <c r="I884" s="19" t="s">
        <v>5409</v>
      </c>
      <c r="J884" s="19" t="s">
        <v>5410</v>
      </c>
      <c r="K884" s="25" t="s">
        <v>7500</v>
      </c>
      <c r="L884" s="20" t="s">
        <v>7612</v>
      </c>
      <c r="M884" s="23" t="s">
        <v>1624</v>
      </c>
      <c r="N884" s="18"/>
      <c r="O884" s="18"/>
      <c r="P884" s="18">
        <f>VLOOKUP($A884,MasterData!$C$1:$I$3001,1,FALSE)</f>
        <v>9778</v>
      </c>
      <c r="Q884" s="18" t="str">
        <f t="shared" si="2"/>
        <v>XAKN4</v>
      </c>
    </row>
    <row r="885" ht="15.75" customHeight="1">
      <c r="A885" s="31">
        <v>9787.0</v>
      </c>
      <c r="B885" s="22" t="s">
        <v>1629</v>
      </c>
      <c r="C885" s="24" t="s">
        <v>7643</v>
      </c>
      <c r="D885" s="32" t="s">
        <v>1629</v>
      </c>
      <c r="E885" s="22" t="s">
        <v>1628</v>
      </c>
      <c r="F885" s="19" t="str">
        <f t="shared" si="1"/>
        <v>XAKN4</v>
      </c>
      <c r="G885" s="19" t="s">
        <v>5408</v>
      </c>
      <c r="H885" s="20" t="s">
        <v>1212</v>
      </c>
      <c r="I885" s="19" t="s">
        <v>5409</v>
      </c>
      <c r="J885" s="19" t="s">
        <v>5410</v>
      </c>
      <c r="K885" s="25" t="s">
        <v>7500</v>
      </c>
      <c r="L885" s="20" t="s">
        <v>7612</v>
      </c>
      <c r="M885" s="23" t="s">
        <v>1627</v>
      </c>
      <c r="N885" s="18"/>
      <c r="O885" s="18"/>
      <c r="P885" s="18">
        <f>VLOOKUP($A885,MasterData!$C$1:$I$3001,1,FALSE)</f>
        <v>9787</v>
      </c>
      <c r="Q885" s="18" t="str">
        <f t="shared" si="2"/>
        <v>XAKN4</v>
      </c>
    </row>
    <row r="886" ht="15.75" customHeight="1">
      <c r="A886" s="31">
        <v>9798.0</v>
      </c>
      <c r="B886" s="22" t="s">
        <v>1632</v>
      </c>
      <c r="C886" s="24" t="s">
        <v>7644</v>
      </c>
      <c r="D886" s="32" t="s">
        <v>1632</v>
      </c>
      <c r="E886" s="22" t="s">
        <v>1631</v>
      </c>
      <c r="F886" s="19" t="str">
        <f t="shared" si="1"/>
        <v>XAKN4</v>
      </c>
      <c r="G886" s="19" t="s">
        <v>5408</v>
      </c>
      <c r="H886" s="20" t="s">
        <v>1212</v>
      </c>
      <c r="I886" s="19" t="s">
        <v>5409</v>
      </c>
      <c r="J886" s="19" t="s">
        <v>5410</v>
      </c>
      <c r="K886" s="25" t="s">
        <v>7500</v>
      </c>
      <c r="L886" s="20" t="s">
        <v>7612</v>
      </c>
      <c r="M886" s="23" t="s">
        <v>1630</v>
      </c>
      <c r="N886" s="18"/>
      <c r="O886" s="18"/>
      <c r="P886" s="18">
        <f>VLOOKUP($A886,MasterData!$C$1:$I$3001,1,FALSE)</f>
        <v>9798</v>
      </c>
      <c r="Q886" s="18" t="str">
        <f t="shared" si="2"/>
        <v>XAKN4</v>
      </c>
    </row>
    <row r="887" ht="15.75" customHeight="1">
      <c r="A887" s="31">
        <v>9813.0</v>
      </c>
      <c r="B887" s="22" t="s">
        <v>1635</v>
      </c>
      <c r="C887" s="24" t="s">
        <v>7645</v>
      </c>
      <c r="D887" s="32" t="s">
        <v>1635</v>
      </c>
      <c r="E887" s="22" t="s">
        <v>1634</v>
      </c>
      <c r="F887" s="19" t="str">
        <f t="shared" si="1"/>
        <v>XAKN4</v>
      </c>
      <c r="G887" s="19" t="s">
        <v>5408</v>
      </c>
      <c r="H887" s="20" t="s">
        <v>1212</v>
      </c>
      <c r="I887" s="19" t="s">
        <v>5409</v>
      </c>
      <c r="J887" s="19" t="s">
        <v>5410</v>
      </c>
      <c r="K887" s="25" t="s">
        <v>7500</v>
      </c>
      <c r="L887" s="20" t="s">
        <v>7612</v>
      </c>
      <c r="M887" s="23" t="s">
        <v>1633</v>
      </c>
      <c r="N887" s="18"/>
      <c r="O887" s="18"/>
      <c r="P887" s="18">
        <f>VLOOKUP($A887,MasterData!$C$1:$I$3001,1,FALSE)</f>
        <v>9813</v>
      </c>
      <c r="Q887" s="18" t="str">
        <f t="shared" si="2"/>
        <v>XAKN4</v>
      </c>
    </row>
    <row r="888" ht="15.75" customHeight="1">
      <c r="A888" s="31">
        <v>9831.0</v>
      </c>
      <c r="B888" s="22" t="s">
        <v>1638</v>
      </c>
      <c r="C888" s="24" t="s">
        <v>7646</v>
      </c>
      <c r="D888" s="32" t="s">
        <v>1638</v>
      </c>
      <c r="E888" s="22" t="s">
        <v>1637</v>
      </c>
      <c r="F888" s="19" t="str">
        <f t="shared" si="1"/>
        <v>XAKN4</v>
      </c>
      <c r="G888" s="19" t="s">
        <v>5408</v>
      </c>
      <c r="H888" s="20" t="s">
        <v>1212</v>
      </c>
      <c r="I888" s="19" t="s">
        <v>5409</v>
      </c>
      <c r="J888" s="19" t="s">
        <v>5410</v>
      </c>
      <c r="K888" s="25" t="s">
        <v>7500</v>
      </c>
      <c r="L888" s="20" t="s">
        <v>7612</v>
      </c>
      <c r="M888" s="23" t="s">
        <v>1636</v>
      </c>
      <c r="N888" s="18"/>
      <c r="O888" s="18"/>
      <c r="P888" s="18">
        <f>VLOOKUP($A888,MasterData!$C$1:$I$3001,1,FALSE)</f>
        <v>9831</v>
      </c>
      <c r="Q888" s="18" t="str">
        <f t="shared" si="2"/>
        <v>XAKN4</v>
      </c>
    </row>
    <row r="889" ht="15.75" customHeight="1">
      <c r="A889" s="31">
        <v>9845.0</v>
      </c>
      <c r="B889" s="22" t="s">
        <v>1641</v>
      </c>
      <c r="C889" s="24" t="s">
        <v>7647</v>
      </c>
      <c r="D889" s="32" t="s">
        <v>1641</v>
      </c>
      <c r="E889" s="22" t="s">
        <v>1640</v>
      </c>
      <c r="F889" s="19" t="str">
        <f t="shared" si="1"/>
        <v>XAKN4</v>
      </c>
      <c r="G889" s="19" t="s">
        <v>5408</v>
      </c>
      <c r="H889" s="20" t="s">
        <v>1212</v>
      </c>
      <c r="I889" s="19" t="s">
        <v>5409</v>
      </c>
      <c r="J889" s="19" t="s">
        <v>5410</v>
      </c>
      <c r="K889" s="25" t="s">
        <v>7500</v>
      </c>
      <c r="L889" s="20" t="s">
        <v>7612</v>
      </c>
      <c r="M889" s="23" t="s">
        <v>1639</v>
      </c>
      <c r="N889" s="18"/>
      <c r="O889" s="18"/>
      <c r="P889" s="18">
        <f>VLOOKUP($A889,MasterData!$C$1:$I$3001,1,FALSE)</f>
        <v>9845</v>
      </c>
      <c r="Q889" s="18" t="str">
        <f t="shared" si="2"/>
        <v>XAKN4</v>
      </c>
    </row>
    <row r="890" ht="15.75" customHeight="1">
      <c r="A890" s="15">
        <v>8678.0</v>
      </c>
      <c r="B890" s="16" t="s">
        <v>7648</v>
      </c>
      <c r="C890" s="17" t="s">
        <v>7649</v>
      </c>
      <c r="D890" s="29" t="s">
        <v>7648</v>
      </c>
      <c r="E890" s="18" t="s">
        <v>3332</v>
      </c>
      <c r="F890" s="19" t="str">
        <f t="shared" si="1"/>
        <v>XIBCF1</v>
      </c>
      <c r="G890" s="19" t="s">
        <v>5408</v>
      </c>
      <c r="H890" s="20" t="s">
        <v>3045</v>
      </c>
      <c r="I890" s="19" t="s">
        <v>5409</v>
      </c>
      <c r="J890" s="19" t="s">
        <v>5410</v>
      </c>
      <c r="K890" s="21" t="s">
        <v>5411</v>
      </c>
      <c r="L890" s="19" t="s">
        <v>5898</v>
      </c>
      <c r="M890" s="16" t="s">
        <v>3331</v>
      </c>
      <c r="N890" s="18"/>
      <c r="O890" s="18"/>
      <c r="P890" s="18">
        <f>VLOOKUP($A890,MasterData!$C$1:$I$3001,1,FALSE)</f>
        <v>8678</v>
      </c>
      <c r="Q890" s="18" t="str">
        <f t="shared" si="2"/>
        <v>XIBCF1</v>
      </c>
    </row>
    <row r="891" ht="15.75" customHeight="1">
      <c r="A891" s="15">
        <v>8705.0</v>
      </c>
      <c r="B891" s="16" t="s">
        <v>7650</v>
      </c>
      <c r="C891" s="17" t="s">
        <v>7651</v>
      </c>
      <c r="D891" s="29" t="s">
        <v>7650</v>
      </c>
      <c r="E891" s="18" t="s">
        <v>3334</v>
      </c>
      <c r="F891" s="19" t="str">
        <f t="shared" si="1"/>
        <v>XIBCF1</v>
      </c>
      <c r="G891" s="19" t="s">
        <v>5408</v>
      </c>
      <c r="H891" s="20" t="s">
        <v>3045</v>
      </c>
      <c r="I891" s="19" t="s">
        <v>5409</v>
      </c>
      <c r="J891" s="19" t="s">
        <v>5410</v>
      </c>
      <c r="K891" s="21" t="s">
        <v>5411</v>
      </c>
      <c r="L891" s="19" t="s">
        <v>5898</v>
      </c>
      <c r="M891" s="16" t="s">
        <v>3333</v>
      </c>
      <c r="N891" s="18"/>
      <c r="O891" s="18"/>
      <c r="P891" s="18">
        <f>VLOOKUP($A891,MasterData!$C$1:$I$3001,1,FALSE)</f>
        <v>8705</v>
      </c>
      <c r="Q891" s="18" t="str">
        <f t="shared" si="2"/>
        <v>XIBCF1</v>
      </c>
    </row>
    <row r="892" ht="15.75" customHeight="1">
      <c r="A892" s="15">
        <v>8711.0</v>
      </c>
      <c r="B892" s="16" t="s">
        <v>7652</v>
      </c>
      <c r="C892" s="17" t="s">
        <v>7653</v>
      </c>
      <c r="D892" s="29" t="s">
        <v>7652</v>
      </c>
      <c r="E892" s="18" t="s">
        <v>3336</v>
      </c>
      <c r="F892" s="19" t="str">
        <f t="shared" si="1"/>
        <v>XIBCF1</v>
      </c>
      <c r="G892" s="19" t="s">
        <v>5408</v>
      </c>
      <c r="H892" s="20" t="s">
        <v>3045</v>
      </c>
      <c r="I892" s="19" t="s">
        <v>5409</v>
      </c>
      <c r="J892" s="19" t="s">
        <v>5410</v>
      </c>
      <c r="K892" s="21" t="s">
        <v>5411</v>
      </c>
      <c r="L892" s="19" t="s">
        <v>5898</v>
      </c>
      <c r="M892" s="16" t="s">
        <v>3335</v>
      </c>
      <c r="N892" s="18"/>
      <c r="O892" s="18"/>
      <c r="P892" s="18">
        <f>VLOOKUP($A892,MasterData!$C$1:$I$3001,1,FALSE)</f>
        <v>8711</v>
      </c>
      <c r="Q892" s="18" t="str">
        <f t="shared" si="2"/>
        <v>XIBCF1</v>
      </c>
    </row>
    <row r="893" ht="15.75" customHeight="1">
      <c r="A893" s="15">
        <v>8721.0</v>
      </c>
      <c r="B893" s="16" t="s">
        <v>7654</v>
      </c>
      <c r="C893" s="17" t="s">
        <v>7655</v>
      </c>
      <c r="D893" s="29" t="s">
        <v>7654</v>
      </c>
      <c r="E893" s="18" t="s">
        <v>3338</v>
      </c>
      <c r="F893" s="19" t="str">
        <f t="shared" si="1"/>
        <v>XIBCF1</v>
      </c>
      <c r="G893" s="19" t="s">
        <v>5408</v>
      </c>
      <c r="H893" s="20" t="s">
        <v>3045</v>
      </c>
      <c r="I893" s="19" t="s">
        <v>5409</v>
      </c>
      <c r="J893" s="19" t="s">
        <v>5410</v>
      </c>
      <c r="K893" s="21" t="s">
        <v>5411</v>
      </c>
      <c r="L893" s="19" t="s">
        <v>5898</v>
      </c>
      <c r="M893" s="16" t="s">
        <v>3337</v>
      </c>
      <c r="N893" s="18"/>
      <c r="O893" s="18"/>
      <c r="P893" s="18">
        <f>VLOOKUP($A893,MasterData!$C$1:$I$3001,1,FALSE)</f>
        <v>8721</v>
      </c>
      <c r="Q893" s="18" t="str">
        <f t="shared" si="2"/>
        <v>XIBCF1</v>
      </c>
    </row>
    <row r="894" ht="15.75" customHeight="1">
      <c r="A894" s="15">
        <v>8732.0</v>
      </c>
      <c r="B894" s="16" t="s">
        <v>7656</v>
      </c>
      <c r="C894" s="17" t="s">
        <v>7657</v>
      </c>
      <c r="D894" s="29" t="s">
        <v>7656</v>
      </c>
      <c r="E894" s="18" t="s">
        <v>3340</v>
      </c>
      <c r="F894" s="19" t="str">
        <f t="shared" si="1"/>
        <v>XIBCF1</v>
      </c>
      <c r="G894" s="19" t="s">
        <v>5408</v>
      </c>
      <c r="H894" s="20" t="s">
        <v>3045</v>
      </c>
      <c r="I894" s="19" t="s">
        <v>5409</v>
      </c>
      <c r="J894" s="19" t="s">
        <v>5410</v>
      </c>
      <c r="K894" s="21" t="s">
        <v>5411</v>
      </c>
      <c r="L894" s="19" t="s">
        <v>5898</v>
      </c>
      <c r="M894" s="16" t="s">
        <v>3339</v>
      </c>
      <c r="N894" s="18"/>
      <c r="O894" s="18"/>
      <c r="P894" s="18">
        <f>VLOOKUP($A894,MasterData!$C$1:$I$3001,1,FALSE)</f>
        <v>8732</v>
      </c>
      <c r="Q894" s="18" t="str">
        <f t="shared" si="2"/>
        <v>XIBCF1</v>
      </c>
    </row>
    <row r="895" ht="15.75" customHeight="1">
      <c r="A895" s="15">
        <v>8738.0</v>
      </c>
      <c r="B895" s="16" t="s">
        <v>7658</v>
      </c>
      <c r="C895" s="17" t="s">
        <v>7659</v>
      </c>
      <c r="D895" s="29" t="s">
        <v>7658</v>
      </c>
      <c r="E895" s="18" t="s">
        <v>3342</v>
      </c>
      <c r="F895" s="19" t="str">
        <f t="shared" si="1"/>
        <v>XIBCF1</v>
      </c>
      <c r="G895" s="19" t="s">
        <v>5408</v>
      </c>
      <c r="H895" s="20" t="s">
        <v>3045</v>
      </c>
      <c r="I895" s="19" t="s">
        <v>5409</v>
      </c>
      <c r="J895" s="19" t="s">
        <v>5410</v>
      </c>
      <c r="K895" s="21" t="s">
        <v>5411</v>
      </c>
      <c r="L895" s="19" t="s">
        <v>5898</v>
      </c>
      <c r="M895" s="16" t="s">
        <v>3341</v>
      </c>
      <c r="N895" s="18"/>
      <c r="O895" s="18"/>
      <c r="P895" s="18">
        <f>VLOOKUP($A895,MasterData!$C$1:$I$3001,1,FALSE)</f>
        <v>8738</v>
      </c>
      <c r="Q895" s="18" t="str">
        <f t="shared" si="2"/>
        <v>XIBCF1</v>
      </c>
    </row>
    <row r="896" ht="15.75" customHeight="1">
      <c r="A896" s="15">
        <v>8775.0</v>
      </c>
      <c r="B896" s="16" t="s">
        <v>7660</v>
      </c>
      <c r="C896" s="30" t="s">
        <v>7661</v>
      </c>
      <c r="D896" s="29" t="s">
        <v>7660</v>
      </c>
      <c r="E896" s="18" t="s">
        <v>3344</v>
      </c>
      <c r="F896" s="19" t="str">
        <f t="shared" si="1"/>
        <v>XIBCF1</v>
      </c>
      <c r="G896" s="19" t="s">
        <v>5408</v>
      </c>
      <c r="H896" s="20" t="s">
        <v>3045</v>
      </c>
      <c r="I896" s="19" t="s">
        <v>5409</v>
      </c>
      <c r="J896" s="19" t="s">
        <v>5410</v>
      </c>
      <c r="K896" s="21" t="s">
        <v>5411</v>
      </c>
      <c r="L896" s="19" t="s">
        <v>5898</v>
      </c>
      <c r="M896" s="16" t="s">
        <v>3343</v>
      </c>
      <c r="N896" s="18"/>
      <c r="O896" s="18"/>
      <c r="P896" s="18">
        <f>VLOOKUP($A896,MasterData!$C$1:$I$3001,1,FALSE)</f>
        <v>8775</v>
      </c>
      <c r="Q896" s="18" t="str">
        <f t="shared" si="2"/>
        <v>XIBCF1</v>
      </c>
    </row>
    <row r="897" ht="15.75" customHeight="1">
      <c r="A897" s="15">
        <v>8776.0</v>
      </c>
      <c r="B897" s="16" t="s">
        <v>7662</v>
      </c>
      <c r="C897" s="17" t="s">
        <v>7663</v>
      </c>
      <c r="D897" s="29" t="s">
        <v>7662</v>
      </c>
      <c r="E897" s="18" t="s">
        <v>3346</v>
      </c>
      <c r="F897" s="19" t="str">
        <f t="shared" si="1"/>
        <v>XIBCF1</v>
      </c>
      <c r="G897" s="19" t="s">
        <v>5408</v>
      </c>
      <c r="H897" s="20" t="s">
        <v>3045</v>
      </c>
      <c r="I897" s="19" t="s">
        <v>5409</v>
      </c>
      <c r="J897" s="19" t="s">
        <v>5410</v>
      </c>
      <c r="K897" s="21" t="s">
        <v>5411</v>
      </c>
      <c r="L897" s="19" t="s">
        <v>5898</v>
      </c>
      <c r="M897" s="16" t="s">
        <v>3345</v>
      </c>
      <c r="N897" s="18"/>
      <c r="O897" s="18"/>
      <c r="P897" s="18">
        <f>VLOOKUP($A897,MasterData!$C$1:$I$3001,1,FALSE)</f>
        <v>8776</v>
      </c>
      <c r="Q897" s="18" t="str">
        <f t="shared" si="2"/>
        <v>XIBCF1</v>
      </c>
    </row>
    <row r="898" ht="15.75" customHeight="1">
      <c r="A898" s="15">
        <v>8786.0</v>
      </c>
      <c r="B898" s="16" t="s">
        <v>7664</v>
      </c>
      <c r="C898" s="17" t="s">
        <v>7665</v>
      </c>
      <c r="D898" s="29" t="s">
        <v>7664</v>
      </c>
      <c r="E898" s="18" t="s">
        <v>3348</v>
      </c>
      <c r="F898" s="19" t="str">
        <f t="shared" si="1"/>
        <v>XIBCF1</v>
      </c>
      <c r="G898" s="19" t="s">
        <v>5408</v>
      </c>
      <c r="H898" s="20" t="s">
        <v>3045</v>
      </c>
      <c r="I898" s="19" t="s">
        <v>5409</v>
      </c>
      <c r="J898" s="19" t="s">
        <v>5410</v>
      </c>
      <c r="K898" s="21" t="s">
        <v>5411</v>
      </c>
      <c r="L898" s="19" t="s">
        <v>5898</v>
      </c>
      <c r="M898" s="16" t="s">
        <v>3347</v>
      </c>
      <c r="N898" s="18"/>
      <c r="O898" s="18"/>
      <c r="P898" s="18">
        <f>VLOOKUP($A898,MasterData!$C$1:$I$3001,1,FALSE)</f>
        <v>8786</v>
      </c>
      <c r="Q898" s="18" t="str">
        <f t="shared" si="2"/>
        <v>XIBCF1</v>
      </c>
    </row>
    <row r="899" ht="15.75" customHeight="1">
      <c r="A899" s="15">
        <v>8790.0</v>
      </c>
      <c r="B899" s="16" t="s">
        <v>7666</v>
      </c>
      <c r="C899" s="17" t="s">
        <v>7667</v>
      </c>
      <c r="D899" s="29" t="s">
        <v>7666</v>
      </c>
      <c r="E899" s="18" t="s">
        <v>3350</v>
      </c>
      <c r="F899" s="19" t="str">
        <f t="shared" si="1"/>
        <v>XIBCF1</v>
      </c>
      <c r="G899" s="19" t="s">
        <v>5408</v>
      </c>
      <c r="H899" s="20" t="s">
        <v>3045</v>
      </c>
      <c r="I899" s="19" t="s">
        <v>5409</v>
      </c>
      <c r="J899" s="19" t="s">
        <v>5410</v>
      </c>
      <c r="K899" s="21" t="s">
        <v>5411</v>
      </c>
      <c r="L899" s="19" t="s">
        <v>5898</v>
      </c>
      <c r="M899" s="16" t="s">
        <v>3349</v>
      </c>
      <c r="N899" s="18"/>
      <c r="O899" s="18"/>
      <c r="P899" s="18">
        <f>VLOOKUP($A899,MasterData!$C$1:$I$3001,1,FALSE)</f>
        <v>8790</v>
      </c>
      <c r="Q899" s="18" t="str">
        <f t="shared" si="2"/>
        <v>XIBCF1</v>
      </c>
    </row>
    <row r="900" ht="15.75" customHeight="1">
      <c r="A900" s="15">
        <v>8795.0</v>
      </c>
      <c r="B900" s="16" t="s">
        <v>7668</v>
      </c>
      <c r="C900" s="17" t="s">
        <v>7669</v>
      </c>
      <c r="D900" s="29" t="s">
        <v>7668</v>
      </c>
      <c r="E900" s="18" t="s">
        <v>3352</v>
      </c>
      <c r="F900" s="19" t="str">
        <f t="shared" si="1"/>
        <v>XIBCF1</v>
      </c>
      <c r="G900" s="19" t="s">
        <v>5408</v>
      </c>
      <c r="H900" s="20" t="s">
        <v>3045</v>
      </c>
      <c r="I900" s="19" t="s">
        <v>5409</v>
      </c>
      <c r="J900" s="19" t="s">
        <v>5410</v>
      </c>
      <c r="K900" s="21" t="s">
        <v>5411</v>
      </c>
      <c r="L900" s="19" t="s">
        <v>5898</v>
      </c>
      <c r="M900" s="16" t="s">
        <v>3351</v>
      </c>
      <c r="N900" s="18"/>
      <c r="O900" s="18"/>
      <c r="P900" s="18">
        <f>VLOOKUP($A900,MasterData!$C$1:$I$3001,1,FALSE)</f>
        <v>8795</v>
      </c>
      <c r="Q900" s="18" t="str">
        <f t="shared" si="2"/>
        <v>XIBCF1</v>
      </c>
    </row>
    <row r="901" ht="15.75" customHeight="1">
      <c r="A901" s="15">
        <v>8811.0</v>
      </c>
      <c r="B901" s="16" t="s">
        <v>7670</v>
      </c>
      <c r="C901" s="17" t="s">
        <v>7671</v>
      </c>
      <c r="D901" s="29" t="s">
        <v>7670</v>
      </c>
      <c r="E901" s="18" t="s">
        <v>3354</v>
      </c>
      <c r="F901" s="19" t="str">
        <f t="shared" si="1"/>
        <v>XIBCF1</v>
      </c>
      <c r="G901" s="19" t="s">
        <v>5408</v>
      </c>
      <c r="H901" s="20" t="s">
        <v>3045</v>
      </c>
      <c r="I901" s="19" t="s">
        <v>5409</v>
      </c>
      <c r="J901" s="19" t="s">
        <v>5410</v>
      </c>
      <c r="K901" s="21" t="s">
        <v>5411</v>
      </c>
      <c r="L901" s="19" t="s">
        <v>5898</v>
      </c>
      <c r="M901" s="16" t="s">
        <v>3353</v>
      </c>
      <c r="N901" s="18"/>
      <c r="O901" s="18"/>
      <c r="P901" s="18">
        <f>VLOOKUP($A901,MasterData!$C$1:$I$3001,1,FALSE)</f>
        <v>8811</v>
      </c>
      <c r="Q901" s="18" t="str">
        <f t="shared" si="2"/>
        <v>XIBCF1</v>
      </c>
    </row>
    <row r="902" ht="15.75" customHeight="1">
      <c r="A902" s="15">
        <v>8820.0</v>
      </c>
      <c r="B902" s="16" t="s">
        <v>7672</v>
      </c>
      <c r="C902" s="17" t="s">
        <v>7673</v>
      </c>
      <c r="D902" s="29" t="s">
        <v>7672</v>
      </c>
      <c r="E902" s="18" t="s">
        <v>3356</v>
      </c>
      <c r="F902" s="19" t="str">
        <f t="shared" si="1"/>
        <v>XIBCF1</v>
      </c>
      <c r="G902" s="19" t="s">
        <v>5408</v>
      </c>
      <c r="H902" s="20" t="s">
        <v>3045</v>
      </c>
      <c r="I902" s="19" t="s">
        <v>5409</v>
      </c>
      <c r="J902" s="19" t="s">
        <v>5410</v>
      </c>
      <c r="K902" s="21" t="s">
        <v>5411</v>
      </c>
      <c r="L902" s="19" t="s">
        <v>5898</v>
      </c>
      <c r="M902" s="16" t="s">
        <v>3355</v>
      </c>
      <c r="N902" s="18"/>
      <c r="O902" s="18"/>
      <c r="P902" s="18">
        <f>VLOOKUP($A902,MasterData!$C$1:$I$3001,1,FALSE)</f>
        <v>8820</v>
      </c>
      <c r="Q902" s="18" t="str">
        <f t="shared" si="2"/>
        <v>XIBCF1</v>
      </c>
    </row>
    <row r="903" ht="15.75" customHeight="1">
      <c r="A903" s="15">
        <v>8842.0</v>
      </c>
      <c r="B903" s="16" t="s">
        <v>7674</v>
      </c>
      <c r="C903" s="17" t="s">
        <v>7675</v>
      </c>
      <c r="D903" s="29" t="s">
        <v>7674</v>
      </c>
      <c r="E903" s="18" t="s">
        <v>3358</v>
      </c>
      <c r="F903" s="19" t="str">
        <f t="shared" si="1"/>
        <v>XIBCF1</v>
      </c>
      <c r="G903" s="19" t="s">
        <v>5408</v>
      </c>
      <c r="H903" s="20" t="s">
        <v>3045</v>
      </c>
      <c r="I903" s="19" t="s">
        <v>5409</v>
      </c>
      <c r="J903" s="19" t="s">
        <v>5410</v>
      </c>
      <c r="K903" s="21" t="s">
        <v>5411</v>
      </c>
      <c r="L903" s="19" t="s">
        <v>5898</v>
      </c>
      <c r="M903" s="16" t="s">
        <v>3357</v>
      </c>
      <c r="N903" s="18"/>
      <c r="O903" s="18"/>
      <c r="P903" s="18">
        <f>VLOOKUP($A903,MasterData!$C$1:$I$3001,1,FALSE)</f>
        <v>8842</v>
      </c>
      <c r="Q903" s="18" t="str">
        <f t="shared" si="2"/>
        <v>XIBCF1</v>
      </c>
    </row>
    <row r="904" ht="15.75" customHeight="1">
      <c r="A904" s="15">
        <v>8846.0</v>
      </c>
      <c r="B904" s="16" t="s">
        <v>7676</v>
      </c>
      <c r="C904" s="17" t="s">
        <v>7677</v>
      </c>
      <c r="D904" s="29" t="s">
        <v>7676</v>
      </c>
      <c r="E904" s="18" t="s">
        <v>3360</v>
      </c>
      <c r="F904" s="19" t="str">
        <f t="shared" si="1"/>
        <v>XIBCF1</v>
      </c>
      <c r="G904" s="19" t="s">
        <v>5408</v>
      </c>
      <c r="H904" s="20" t="s">
        <v>3045</v>
      </c>
      <c r="I904" s="19" t="s">
        <v>5409</v>
      </c>
      <c r="J904" s="19" t="s">
        <v>5410</v>
      </c>
      <c r="K904" s="21" t="s">
        <v>5411</v>
      </c>
      <c r="L904" s="19" t="s">
        <v>5898</v>
      </c>
      <c r="M904" s="16" t="s">
        <v>3359</v>
      </c>
      <c r="N904" s="18"/>
      <c r="O904" s="18"/>
      <c r="P904" s="18">
        <f>VLOOKUP($A904,MasterData!$C$1:$I$3001,1,FALSE)</f>
        <v>8846</v>
      </c>
      <c r="Q904" s="18" t="str">
        <f t="shared" si="2"/>
        <v>XIBCF1</v>
      </c>
    </row>
    <row r="905" ht="15.75" customHeight="1">
      <c r="A905" s="15">
        <v>8850.0</v>
      </c>
      <c r="B905" s="16" t="s">
        <v>7678</v>
      </c>
      <c r="C905" s="17" t="s">
        <v>7679</v>
      </c>
      <c r="D905" s="29" t="s">
        <v>7678</v>
      </c>
      <c r="E905" s="18" t="s">
        <v>3362</v>
      </c>
      <c r="F905" s="19" t="str">
        <f t="shared" si="1"/>
        <v>XIBCF1</v>
      </c>
      <c r="G905" s="19" t="s">
        <v>5408</v>
      </c>
      <c r="H905" s="20" t="s">
        <v>3045</v>
      </c>
      <c r="I905" s="19" t="s">
        <v>5409</v>
      </c>
      <c r="J905" s="19" t="s">
        <v>5410</v>
      </c>
      <c r="K905" s="21" t="s">
        <v>5411</v>
      </c>
      <c r="L905" s="19" t="s">
        <v>5898</v>
      </c>
      <c r="M905" s="16" t="s">
        <v>3361</v>
      </c>
      <c r="N905" s="18"/>
      <c r="O905" s="18"/>
      <c r="P905" s="18">
        <f>VLOOKUP($A905,MasterData!$C$1:$I$3001,1,FALSE)</f>
        <v>8850</v>
      </c>
      <c r="Q905" s="18" t="str">
        <f t="shared" si="2"/>
        <v>XIBCF1</v>
      </c>
    </row>
    <row r="906" ht="15.75" customHeight="1">
      <c r="A906" s="15">
        <v>8953.0</v>
      </c>
      <c r="B906" s="16" t="s">
        <v>7680</v>
      </c>
      <c r="C906" s="17" t="s">
        <v>7681</v>
      </c>
      <c r="D906" s="29" t="s">
        <v>7680</v>
      </c>
      <c r="E906" s="18" t="s">
        <v>3364</v>
      </c>
      <c r="F906" s="19" t="str">
        <f t="shared" si="1"/>
        <v>XIBCF1</v>
      </c>
      <c r="G906" s="19" t="s">
        <v>5408</v>
      </c>
      <c r="H906" s="20" t="s">
        <v>3045</v>
      </c>
      <c r="I906" s="19" t="s">
        <v>5409</v>
      </c>
      <c r="J906" s="19" t="s">
        <v>5410</v>
      </c>
      <c r="K906" s="21" t="s">
        <v>5411</v>
      </c>
      <c r="L906" s="19" t="s">
        <v>5898</v>
      </c>
      <c r="M906" s="16" t="s">
        <v>3363</v>
      </c>
      <c r="N906" s="18"/>
      <c r="O906" s="18"/>
      <c r="P906" s="18">
        <f>VLOOKUP($A906,MasterData!$C$1:$I$3001,1,FALSE)</f>
        <v>8953</v>
      </c>
      <c r="Q906" s="18" t="str">
        <f t="shared" si="2"/>
        <v>XIBCF1</v>
      </c>
    </row>
    <row r="907" ht="15.75" customHeight="1">
      <c r="A907" s="15">
        <v>8960.0</v>
      </c>
      <c r="B907" s="16" t="s">
        <v>7682</v>
      </c>
      <c r="C907" s="17" t="s">
        <v>7683</v>
      </c>
      <c r="D907" s="29" t="s">
        <v>7682</v>
      </c>
      <c r="E907" s="18" t="s">
        <v>3366</v>
      </c>
      <c r="F907" s="19" t="str">
        <f t="shared" si="1"/>
        <v>XIBCF1</v>
      </c>
      <c r="G907" s="19" t="s">
        <v>5408</v>
      </c>
      <c r="H907" s="20" t="s">
        <v>3045</v>
      </c>
      <c r="I907" s="19" t="s">
        <v>5409</v>
      </c>
      <c r="J907" s="19" t="s">
        <v>5410</v>
      </c>
      <c r="K907" s="21" t="s">
        <v>5411</v>
      </c>
      <c r="L907" s="19" t="s">
        <v>5898</v>
      </c>
      <c r="M907" s="16" t="s">
        <v>3365</v>
      </c>
      <c r="N907" s="18"/>
      <c r="O907" s="18"/>
      <c r="P907" s="18">
        <f>VLOOKUP($A907,MasterData!$C$1:$I$3001,1,FALSE)</f>
        <v>8960</v>
      </c>
      <c r="Q907" s="18" t="str">
        <f t="shared" si="2"/>
        <v>XIBCF1</v>
      </c>
    </row>
    <row r="908" ht="15.75" customHeight="1">
      <c r="A908" s="15">
        <v>9008.0</v>
      </c>
      <c r="B908" s="16" t="s">
        <v>7684</v>
      </c>
      <c r="C908" s="17" t="s">
        <v>7685</v>
      </c>
      <c r="D908" s="29" t="s">
        <v>7684</v>
      </c>
      <c r="E908" s="18" t="s">
        <v>3368</v>
      </c>
      <c r="F908" s="19" t="str">
        <f t="shared" si="1"/>
        <v>XIBCF1</v>
      </c>
      <c r="G908" s="19" t="s">
        <v>5408</v>
      </c>
      <c r="H908" s="20" t="s">
        <v>3045</v>
      </c>
      <c r="I908" s="19" t="s">
        <v>5409</v>
      </c>
      <c r="J908" s="19" t="s">
        <v>5410</v>
      </c>
      <c r="K908" s="21" t="s">
        <v>5411</v>
      </c>
      <c r="L908" s="19" t="s">
        <v>5898</v>
      </c>
      <c r="M908" s="16" t="s">
        <v>3367</v>
      </c>
      <c r="N908" s="18"/>
      <c r="O908" s="18"/>
      <c r="P908" s="18">
        <f>VLOOKUP($A908,MasterData!$C$1:$I$3001,1,FALSE)</f>
        <v>9008</v>
      </c>
      <c r="Q908" s="18" t="str">
        <f t="shared" si="2"/>
        <v>XIBCF1</v>
      </c>
    </row>
    <row r="909" ht="15.75" customHeight="1">
      <c r="A909" s="15">
        <v>9034.0</v>
      </c>
      <c r="B909" s="16" t="s">
        <v>7686</v>
      </c>
      <c r="C909" s="17" t="s">
        <v>7687</v>
      </c>
      <c r="D909" s="29" t="s">
        <v>7686</v>
      </c>
      <c r="E909" s="18" t="s">
        <v>3370</v>
      </c>
      <c r="F909" s="19" t="str">
        <f t="shared" si="1"/>
        <v>XIBCF1</v>
      </c>
      <c r="G909" s="19" t="s">
        <v>5408</v>
      </c>
      <c r="H909" s="20" t="s">
        <v>3045</v>
      </c>
      <c r="I909" s="19" t="s">
        <v>5409</v>
      </c>
      <c r="J909" s="19" t="s">
        <v>5410</v>
      </c>
      <c r="K909" s="21" t="s">
        <v>5411</v>
      </c>
      <c r="L909" s="19" t="s">
        <v>5898</v>
      </c>
      <c r="M909" s="16" t="s">
        <v>3369</v>
      </c>
      <c r="N909" s="18"/>
      <c r="O909" s="18"/>
      <c r="P909" s="18">
        <f>VLOOKUP($A909,MasterData!$C$1:$I$3001,1,FALSE)</f>
        <v>9034</v>
      </c>
      <c r="Q909" s="18" t="str">
        <f t="shared" si="2"/>
        <v>XIBCF1</v>
      </c>
    </row>
    <row r="910" ht="15.75" customHeight="1">
      <c r="A910" s="15">
        <v>9039.0</v>
      </c>
      <c r="B910" s="16" t="s">
        <v>7688</v>
      </c>
      <c r="C910" s="17" t="s">
        <v>7689</v>
      </c>
      <c r="D910" s="29" t="s">
        <v>7688</v>
      </c>
      <c r="E910" s="18" t="s">
        <v>3372</v>
      </c>
      <c r="F910" s="19" t="str">
        <f t="shared" si="1"/>
        <v>XIBCF1</v>
      </c>
      <c r="G910" s="19" t="s">
        <v>5408</v>
      </c>
      <c r="H910" s="20" t="s">
        <v>3045</v>
      </c>
      <c r="I910" s="19" t="s">
        <v>5409</v>
      </c>
      <c r="J910" s="19" t="s">
        <v>5410</v>
      </c>
      <c r="K910" s="21" t="s">
        <v>5411</v>
      </c>
      <c r="L910" s="19" t="s">
        <v>5898</v>
      </c>
      <c r="M910" s="16" t="s">
        <v>3371</v>
      </c>
      <c r="N910" s="18"/>
      <c r="O910" s="18"/>
      <c r="P910" s="18">
        <f>VLOOKUP($A910,MasterData!$C$1:$I$3001,1,FALSE)</f>
        <v>9039</v>
      </c>
      <c r="Q910" s="18" t="str">
        <f t="shared" si="2"/>
        <v>XIBCF1</v>
      </c>
    </row>
    <row r="911" ht="15.75" customHeight="1">
      <c r="A911" s="15">
        <v>9049.0</v>
      </c>
      <c r="B911" s="16" t="s">
        <v>7690</v>
      </c>
      <c r="C911" s="17" t="s">
        <v>7691</v>
      </c>
      <c r="D911" s="29" t="s">
        <v>7690</v>
      </c>
      <c r="E911" s="18" t="s">
        <v>3374</v>
      </c>
      <c r="F911" s="19" t="str">
        <f t="shared" si="1"/>
        <v>XIBCF1</v>
      </c>
      <c r="G911" s="19" t="s">
        <v>5408</v>
      </c>
      <c r="H911" s="20" t="s">
        <v>3045</v>
      </c>
      <c r="I911" s="19" t="s">
        <v>5409</v>
      </c>
      <c r="J911" s="19" t="s">
        <v>5410</v>
      </c>
      <c r="K911" s="21" t="s">
        <v>5411</v>
      </c>
      <c r="L911" s="19" t="s">
        <v>5898</v>
      </c>
      <c r="M911" s="16" t="s">
        <v>3373</v>
      </c>
      <c r="N911" s="18"/>
      <c r="O911" s="18"/>
      <c r="P911" s="18">
        <f>VLOOKUP($A911,MasterData!$C$1:$I$3001,1,FALSE)</f>
        <v>9049</v>
      </c>
      <c r="Q911" s="18" t="str">
        <f t="shared" si="2"/>
        <v>XIBCF1</v>
      </c>
    </row>
    <row r="912" ht="15.75" customHeight="1">
      <c r="A912" s="15">
        <v>9069.0</v>
      </c>
      <c r="B912" s="16" t="s">
        <v>7692</v>
      </c>
      <c r="C912" s="17" t="s">
        <v>7693</v>
      </c>
      <c r="D912" s="29" t="s">
        <v>7692</v>
      </c>
      <c r="E912" s="18" t="s">
        <v>3376</v>
      </c>
      <c r="F912" s="19" t="str">
        <f t="shared" si="1"/>
        <v>XIBCF1</v>
      </c>
      <c r="G912" s="19" t="s">
        <v>5408</v>
      </c>
      <c r="H912" s="20" t="s">
        <v>3045</v>
      </c>
      <c r="I912" s="19" t="s">
        <v>5409</v>
      </c>
      <c r="J912" s="19" t="s">
        <v>5410</v>
      </c>
      <c r="K912" s="21" t="s">
        <v>5411</v>
      </c>
      <c r="L912" s="19" t="s">
        <v>5898</v>
      </c>
      <c r="M912" s="16" t="s">
        <v>3375</v>
      </c>
      <c r="N912" s="18"/>
      <c r="O912" s="18"/>
      <c r="P912" s="18">
        <f>VLOOKUP($A912,MasterData!$C$1:$I$3001,1,FALSE)</f>
        <v>9069</v>
      </c>
      <c r="Q912" s="18" t="str">
        <f t="shared" si="2"/>
        <v>XIBCF1</v>
      </c>
    </row>
    <row r="913" ht="15.75" customHeight="1">
      <c r="A913" s="15">
        <v>9095.0</v>
      </c>
      <c r="B913" s="16" t="s">
        <v>7694</v>
      </c>
      <c r="C913" s="30" t="s">
        <v>7695</v>
      </c>
      <c r="D913" s="29" t="s">
        <v>7694</v>
      </c>
      <c r="E913" s="18" t="s">
        <v>3378</v>
      </c>
      <c r="F913" s="19" t="str">
        <f t="shared" si="1"/>
        <v>XIBCF1</v>
      </c>
      <c r="G913" s="19" t="s">
        <v>5408</v>
      </c>
      <c r="H913" s="20" t="s">
        <v>3045</v>
      </c>
      <c r="I913" s="19" t="s">
        <v>5409</v>
      </c>
      <c r="J913" s="19" t="s">
        <v>5410</v>
      </c>
      <c r="K913" s="21" t="s">
        <v>5411</v>
      </c>
      <c r="L913" s="19" t="s">
        <v>5898</v>
      </c>
      <c r="M913" s="16" t="s">
        <v>3377</v>
      </c>
      <c r="N913" s="18"/>
      <c r="O913" s="18"/>
      <c r="P913" s="18">
        <f>VLOOKUP($A913,MasterData!$C$1:$I$3001,1,FALSE)</f>
        <v>9095</v>
      </c>
      <c r="Q913" s="18" t="str">
        <f t="shared" si="2"/>
        <v>XIBCF1</v>
      </c>
    </row>
    <row r="914" ht="15.75" customHeight="1">
      <c r="A914" s="15">
        <v>9112.0</v>
      </c>
      <c r="B914" s="16" t="s">
        <v>7696</v>
      </c>
      <c r="C914" s="17" t="s">
        <v>7697</v>
      </c>
      <c r="D914" s="29" t="s">
        <v>7696</v>
      </c>
      <c r="E914" s="18" t="s">
        <v>3380</v>
      </c>
      <c r="F914" s="19" t="str">
        <f t="shared" si="1"/>
        <v>XIBCF1</v>
      </c>
      <c r="G914" s="19" t="s">
        <v>5408</v>
      </c>
      <c r="H914" s="20" t="s">
        <v>3045</v>
      </c>
      <c r="I914" s="19" t="s">
        <v>5409</v>
      </c>
      <c r="J914" s="19" t="s">
        <v>5410</v>
      </c>
      <c r="K914" s="21" t="s">
        <v>5411</v>
      </c>
      <c r="L914" s="19" t="s">
        <v>5898</v>
      </c>
      <c r="M914" s="16" t="s">
        <v>3379</v>
      </c>
      <c r="N914" s="18"/>
      <c r="O914" s="18"/>
      <c r="P914" s="18">
        <f>VLOOKUP($A914,MasterData!$C$1:$I$3001,1,FALSE)</f>
        <v>9112</v>
      </c>
      <c r="Q914" s="18" t="str">
        <f t="shared" si="2"/>
        <v>XIBCF1</v>
      </c>
    </row>
    <row r="915" ht="15.75" customHeight="1">
      <c r="A915" s="15">
        <v>9124.0</v>
      </c>
      <c r="B915" s="16" t="s">
        <v>7698</v>
      </c>
      <c r="C915" s="17" t="s">
        <v>7699</v>
      </c>
      <c r="D915" s="29" t="s">
        <v>7698</v>
      </c>
      <c r="E915" s="18" t="s">
        <v>3382</v>
      </c>
      <c r="F915" s="19" t="str">
        <f t="shared" si="1"/>
        <v>XIBCF1</v>
      </c>
      <c r="G915" s="19" t="s">
        <v>5408</v>
      </c>
      <c r="H915" s="20" t="s">
        <v>3045</v>
      </c>
      <c r="I915" s="19" t="s">
        <v>5409</v>
      </c>
      <c r="J915" s="19" t="s">
        <v>5410</v>
      </c>
      <c r="K915" s="21" t="s">
        <v>5411</v>
      </c>
      <c r="L915" s="19" t="s">
        <v>5898</v>
      </c>
      <c r="M915" s="16" t="s">
        <v>3381</v>
      </c>
      <c r="N915" s="18"/>
      <c r="O915" s="18"/>
      <c r="P915" s="18">
        <f>VLOOKUP($A915,MasterData!$C$1:$I$3001,1,FALSE)</f>
        <v>9124</v>
      </c>
      <c r="Q915" s="18" t="str">
        <f t="shared" si="2"/>
        <v>XIBCF1</v>
      </c>
    </row>
    <row r="916" ht="15.75" customHeight="1">
      <c r="A916" s="15">
        <v>9193.0</v>
      </c>
      <c r="B916" s="16" t="s">
        <v>7700</v>
      </c>
      <c r="C916" s="17" t="s">
        <v>7701</v>
      </c>
      <c r="D916" s="29" t="s">
        <v>7700</v>
      </c>
      <c r="E916" s="18" t="s">
        <v>3384</v>
      </c>
      <c r="F916" s="19" t="str">
        <f t="shared" si="1"/>
        <v>XIBCF1</v>
      </c>
      <c r="G916" s="19" t="s">
        <v>5408</v>
      </c>
      <c r="H916" s="20" t="s">
        <v>3045</v>
      </c>
      <c r="I916" s="19" t="s">
        <v>5409</v>
      </c>
      <c r="J916" s="19" t="s">
        <v>5410</v>
      </c>
      <c r="K916" s="21" t="s">
        <v>5411</v>
      </c>
      <c r="L916" s="19" t="s">
        <v>5898</v>
      </c>
      <c r="M916" s="16" t="s">
        <v>3383</v>
      </c>
      <c r="N916" s="18"/>
      <c r="O916" s="18"/>
      <c r="P916" s="18">
        <f>VLOOKUP($A916,MasterData!$C$1:$I$3001,1,FALSE)</f>
        <v>9193</v>
      </c>
      <c r="Q916" s="18" t="str">
        <f t="shared" si="2"/>
        <v>XIBCF1</v>
      </c>
    </row>
    <row r="917" ht="15.75" customHeight="1">
      <c r="A917" s="15">
        <v>9198.0</v>
      </c>
      <c r="B917" s="16" t="s">
        <v>7702</v>
      </c>
      <c r="C917" s="17" t="s">
        <v>7703</v>
      </c>
      <c r="D917" s="29" t="s">
        <v>7702</v>
      </c>
      <c r="E917" s="18" t="s">
        <v>3386</v>
      </c>
      <c r="F917" s="19" t="str">
        <f t="shared" si="1"/>
        <v>XIBCF1</v>
      </c>
      <c r="G917" s="19" t="s">
        <v>5408</v>
      </c>
      <c r="H917" s="20" t="s">
        <v>3045</v>
      </c>
      <c r="I917" s="19" t="s">
        <v>5409</v>
      </c>
      <c r="J917" s="19" t="s">
        <v>5410</v>
      </c>
      <c r="K917" s="21" t="s">
        <v>5411</v>
      </c>
      <c r="L917" s="19" t="s">
        <v>5898</v>
      </c>
      <c r="M917" s="16" t="s">
        <v>3385</v>
      </c>
      <c r="N917" s="18"/>
      <c r="O917" s="18"/>
      <c r="P917" s="18">
        <f>VLOOKUP($A917,MasterData!$C$1:$I$3001,1,FALSE)</f>
        <v>9198</v>
      </c>
      <c r="Q917" s="18" t="str">
        <f t="shared" si="2"/>
        <v>XIBCF1</v>
      </c>
    </row>
    <row r="918" ht="15.75" customHeight="1">
      <c r="A918" s="15">
        <v>9202.0</v>
      </c>
      <c r="B918" s="16" t="s">
        <v>7704</v>
      </c>
      <c r="C918" s="17" t="s">
        <v>7705</v>
      </c>
      <c r="D918" s="29" t="s">
        <v>7704</v>
      </c>
      <c r="E918" s="18" t="s">
        <v>3388</v>
      </c>
      <c r="F918" s="19" t="str">
        <f t="shared" si="1"/>
        <v>XIBCF1</v>
      </c>
      <c r="G918" s="19" t="s">
        <v>5408</v>
      </c>
      <c r="H918" s="20" t="s">
        <v>3045</v>
      </c>
      <c r="I918" s="19" t="s">
        <v>5409</v>
      </c>
      <c r="J918" s="19" t="s">
        <v>5410</v>
      </c>
      <c r="K918" s="21" t="s">
        <v>5411</v>
      </c>
      <c r="L918" s="19" t="s">
        <v>5898</v>
      </c>
      <c r="M918" s="16" t="s">
        <v>3387</v>
      </c>
      <c r="N918" s="18"/>
      <c r="O918" s="18"/>
      <c r="P918" s="18">
        <f>VLOOKUP($A918,MasterData!$C$1:$I$3001,1,FALSE)</f>
        <v>9202</v>
      </c>
      <c r="Q918" s="18" t="str">
        <f t="shared" si="2"/>
        <v>XIBCF1</v>
      </c>
    </row>
    <row r="919" ht="15.75" customHeight="1">
      <c r="A919" s="15">
        <v>9225.0</v>
      </c>
      <c r="B919" s="16" t="s">
        <v>7706</v>
      </c>
      <c r="C919" s="17" t="s">
        <v>7707</v>
      </c>
      <c r="D919" s="29" t="s">
        <v>7706</v>
      </c>
      <c r="E919" s="18" t="s">
        <v>3390</v>
      </c>
      <c r="F919" s="19" t="str">
        <f t="shared" si="1"/>
        <v>XIBCF1</v>
      </c>
      <c r="G919" s="19" t="s">
        <v>5408</v>
      </c>
      <c r="H919" s="20" t="s">
        <v>3045</v>
      </c>
      <c r="I919" s="19" t="s">
        <v>5409</v>
      </c>
      <c r="J919" s="19" t="s">
        <v>5410</v>
      </c>
      <c r="K919" s="21" t="s">
        <v>5411</v>
      </c>
      <c r="L919" s="19" t="s">
        <v>5898</v>
      </c>
      <c r="M919" s="16" t="s">
        <v>3389</v>
      </c>
      <c r="N919" s="18"/>
      <c r="O919" s="18"/>
      <c r="P919" s="18">
        <f>VLOOKUP($A919,MasterData!$C$1:$I$3001,1,FALSE)</f>
        <v>9225</v>
      </c>
      <c r="Q919" s="18" t="str">
        <f t="shared" si="2"/>
        <v>XIBCF1</v>
      </c>
    </row>
    <row r="920" ht="15.75" customHeight="1">
      <c r="A920" s="15">
        <v>9236.0</v>
      </c>
      <c r="B920" s="16" t="s">
        <v>7708</v>
      </c>
      <c r="C920" s="17" t="s">
        <v>7709</v>
      </c>
      <c r="D920" s="29" t="s">
        <v>7708</v>
      </c>
      <c r="E920" s="18" t="s">
        <v>3392</v>
      </c>
      <c r="F920" s="19" t="str">
        <f t="shared" si="1"/>
        <v>XIBCF1</v>
      </c>
      <c r="G920" s="19" t="s">
        <v>5408</v>
      </c>
      <c r="H920" s="20" t="s">
        <v>3045</v>
      </c>
      <c r="I920" s="19" t="s">
        <v>5409</v>
      </c>
      <c r="J920" s="19" t="s">
        <v>5410</v>
      </c>
      <c r="K920" s="21" t="s">
        <v>5411</v>
      </c>
      <c r="L920" s="19" t="s">
        <v>5898</v>
      </c>
      <c r="M920" s="16" t="s">
        <v>3391</v>
      </c>
      <c r="N920" s="18"/>
      <c r="O920" s="18"/>
      <c r="P920" s="18">
        <f>VLOOKUP($A920,MasterData!$C$1:$I$3001,1,FALSE)</f>
        <v>9236</v>
      </c>
      <c r="Q920" s="18" t="str">
        <f t="shared" si="2"/>
        <v>XIBCF1</v>
      </c>
    </row>
    <row r="921" ht="15.75" customHeight="1">
      <c r="A921" s="15">
        <v>9241.0</v>
      </c>
      <c r="B921" s="16" t="s">
        <v>7710</v>
      </c>
      <c r="C921" s="17" t="s">
        <v>7711</v>
      </c>
      <c r="D921" s="29" t="s">
        <v>7710</v>
      </c>
      <c r="E921" s="18" t="s">
        <v>3394</v>
      </c>
      <c r="F921" s="19" t="str">
        <f t="shared" si="1"/>
        <v>XIBCF1</v>
      </c>
      <c r="G921" s="19" t="s">
        <v>5408</v>
      </c>
      <c r="H921" s="20" t="s">
        <v>3045</v>
      </c>
      <c r="I921" s="19" t="s">
        <v>5409</v>
      </c>
      <c r="J921" s="19" t="s">
        <v>5410</v>
      </c>
      <c r="K921" s="21" t="s">
        <v>5411</v>
      </c>
      <c r="L921" s="19" t="s">
        <v>5898</v>
      </c>
      <c r="M921" s="16" t="s">
        <v>3393</v>
      </c>
      <c r="N921" s="18"/>
      <c r="O921" s="18"/>
      <c r="P921" s="18">
        <f>VLOOKUP($A921,MasterData!$C$1:$I$3001,1,FALSE)</f>
        <v>9241</v>
      </c>
      <c r="Q921" s="18" t="str">
        <f t="shared" si="2"/>
        <v>XIBCF1</v>
      </c>
    </row>
    <row r="922" ht="15.75" customHeight="1">
      <c r="A922" s="31">
        <v>9280.0</v>
      </c>
      <c r="B922" s="22" t="s">
        <v>1644</v>
      </c>
      <c r="C922" s="24" t="s">
        <v>7712</v>
      </c>
      <c r="D922" s="32" t="s">
        <v>1644</v>
      </c>
      <c r="E922" s="22" t="s">
        <v>1643</v>
      </c>
      <c r="F922" s="19" t="str">
        <f t="shared" si="1"/>
        <v>XDKV1</v>
      </c>
      <c r="G922" s="19" t="s">
        <v>5408</v>
      </c>
      <c r="H922" s="20" t="s">
        <v>1212</v>
      </c>
      <c r="I922" s="19" t="s">
        <v>5409</v>
      </c>
      <c r="J922" s="19" t="s">
        <v>5410</v>
      </c>
      <c r="K922" s="25" t="s">
        <v>7500</v>
      </c>
      <c r="L922" s="20" t="s">
        <v>6007</v>
      </c>
      <c r="M922" s="23" t="s">
        <v>1642</v>
      </c>
      <c r="N922" s="18"/>
      <c r="O922" s="18"/>
      <c r="P922" s="18">
        <f>VLOOKUP($A922,MasterData!$C$1:$I$3001,1,FALSE)</f>
        <v>9280</v>
      </c>
      <c r="Q922" s="18" t="str">
        <f t="shared" si="2"/>
        <v>XDKV1</v>
      </c>
    </row>
    <row r="923" ht="15.75" customHeight="1">
      <c r="A923" s="31">
        <v>9308.0</v>
      </c>
      <c r="B923" s="22" t="s">
        <v>1647</v>
      </c>
      <c r="C923" s="24" t="s">
        <v>7713</v>
      </c>
      <c r="D923" s="32" t="s">
        <v>1647</v>
      </c>
      <c r="E923" s="22" t="s">
        <v>1646</v>
      </c>
      <c r="F923" s="19" t="str">
        <f t="shared" si="1"/>
        <v>XDKV1</v>
      </c>
      <c r="G923" s="19" t="s">
        <v>5408</v>
      </c>
      <c r="H923" s="20" t="s">
        <v>1212</v>
      </c>
      <c r="I923" s="19" t="s">
        <v>5409</v>
      </c>
      <c r="J923" s="19" t="s">
        <v>5410</v>
      </c>
      <c r="K923" s="25" t="s">
        <v>7500</v>
      </c>
      <c r="L923" s="20" t="s">
        <v>6007</v>
      </c>
      <c r="M923" s="23" t="s">
        <v>1645</v>
      </c>
      <c r="N923" s="18"/>
      <c r="O923" s="18"/>
      <c r="P923" s="18">
        <f>VLOOKUP($A923,MasterData!$C$1:$I$3001,1,FALSE)</f>
        <v>9308</v>
      </c>
      <c r="Q923" s="18" t="str">
        <f t="shared" si="2"/>
        <v>XDKV1</v>
      </c>
    </row>
    <row r="924" ht="15.75" customHeight="1">
      <c r="A924" s="31">
        <v>9316.0</v>
      </c>
      <c r="B924" s="22" t="s">
        <v>1650</v>
      </c>
      <c r="C924" s="24" t="s">
        <v>7714</v>
      </c>
      <c r="D924" s="32" t="s">
        <v>1650</v>
      </c>
      <c r="E924" s="22" t="s">
        <v>1649</v>
      </c>
      <c r="F924" s="19" t="str">
        <f t="shared" si="1"/>
        <v>XDKV1</v>
      </c>
      <c r="G924" s="19" t="s">
        <v>5408</v>
      </c>
      <c r="H924" s="20" t="s">
        <v>1212</v>
      </c>
      <c r="I924" s="19" t="s">
        <v>5409</v>
      </c>
      <c r="J924" s="19" t="s">
        <v>5410</v>
      </c>
      <c r="K924" s="25" t="s">
        <v>7500</v>
      </c>
      <c r="L924" s="20" t="s">
        <v>6007</v>
      </c>
      <c r="M924" s="23" t="s">
        <v>1648</v>
      </c>
      <c r="N924" s="18"/>
      <c r="O924" s="18"/>
      <c r="P924" s="18">
        <f>VLOOKUP($A924,MasterData!$C$1:$I$3001,1,FALSE)</f>
        <v>9316</v>
      </c>
      <c r="Q924" s="18" t="str">
        <f t="shared" si="2"/>
        <v>XDKV1</v>
      </c>
    </row>
    <row r="925" ht="15.75" customHeight="1">
      <c r="A925" s="31">
        <v>9347.0</v>
      </c>
      <c r="B925" s="22" t="s">
        <v>1653</v>
      </c>
      <c r="C925" s="24" t="s">
        <v>7715</v>
      </c>
      <c r="D925" s="32" t="s">
        <v>1653</v>
      </c>
      <c r="E925" s="22" t="s">
        <v>1652</v>
      </c>
      <c r="F925" s="19" t="str">
        <f t="shared" si="1"/>
        <v>XDKV1</v>
      </c>
      <c r="G925" s="19" t="s">
        <v>5408</v>
      </c>
      <c r="H925" s="20" t="s">
        <v>1212</v>
      </c>
      <c r="I925" s="19" t="s">
        <v>5409</v>
      </c>
      <c r="J925" s="19" t="s">
        <v>5410</v>
      </c>
      <c r="K925" s="25" t="s">
        <v>7500</v>
      </c>
      <c r="L925" s="20" t="s">
        <v>6007</v>
      </c>
      <c r="M925" s="23" t="s">
        <v>1651</v>
      </c>
      <c r="N925" s="18"/>
      <c r="O925" s="18"/>
      <c r="P925" s="18">
        <f>VLOOKUP($A925,MasterData!$C$1:$I$3001,1,FALSE)</f>
        <v>9347</v>
      </c>
      <c r="Q925" s="18" t="str">
        <f t="shared" si="2"/>
        <v>XDKV1</v>
      </c>
    </row>
    <row r="926" ht="15.75" customHeight="1">
      <c r="A926" s="31">
        <v>9352.0</v>
      </c>
      <c r="B926" s="22" t="s">
        <v>1656</v>
      </c>
      <c r="C926" s="24" t="s">
        <v>7716</v>
      </c>
      <c r="D926" s="32" t="s">
        <v>1656</v>
      </c>
      <c r="E926" s="22" t="s">
        <v>1655</v>
      </c>
      <c r="F926" s="19" t="str">
        <f t="shared" si="1"/>
        <v>XDKV1</v>
      </c>
      <c r="G926" s="19" t="s">
        <v>5408</v>
      </c>
      <c r="H926" s="20" t="s">
        <v>1212</v>
      </c>
      <c r="I926" s="19" t="s">
        <v>5409</v>
      </c>
      <c r="J926" s="19" t="s">
        <v>5410</v>
      </c>
      <c r="K926" s="25" t="s">
        <v>7500</v>
      </c>
      <c r="L926" s="20" t="s">
        <v>6007</v>
      </c>
      <c r="M926" s="23" t="s">
        <v>1654</v>
      </c>
      <c r="N926" s="18"/>
      <c r="O926" s="18"/>
      <c r="P926" s="18">
        <f>VLOOKUP($A926,MasterData!$C$1:$I$3001,1,FALSE)</f>
        <v>9352</v>
      </c>
      <c r="Q926" s="18" t="str">
        <f t="shared" si="2"/>
        <v>XDKV1</v>
      </c>
    </row>
    <row r="927" ht="15.75" customHeight="1">
      <c r="A927" s="31">
        <v>9353.0</v>
      </c>
      <c r="B927" s="22" t="s">
        <v>1659</v>
      </c>
      <c r="C927" s="24" t="s">
        <v>7717</v>
      </c>
      <c r="D927" s="32" t="s">
        <v>1659</v>
      </c>
      <c r="E927" s="22" t="s">
        <v>1658</v>
      </c>
      <c r="F927" s="19" t="str">
        <f t="shared" si="1"/>
        <v>XDKV1</v>
      </c>
      <c r="G927" s="19" t="s">
        <v>5408</v>
      </c>
      <c r="H927" s="20" t="s">
        <v>1212</v>
      </c>
      <c r="I927" s="19" t="s">
        <v>5409</v>
      </c>
      <c r="J927" s="19" t="s">
        <v>5410</v>
      </c>
      <c r="K927" s="25" t="s">
        <v>7500</v>
      </c>
      <c r="L927" s="20" t="s">
        <v>6007</v>
      </c>
      <c r="M927" s="23" t="s">
        <v>1657</v>
      </c>
      <c r="N927" s="18"/>
      <c r="O927" s="18"/>
      <c r="P927" s="18">
        <f>VLOOKUP($A927,MasterData!$C$1:$I$3001,1,FALSE)</f>
        <v>9353</v>
      </c>
      <c r="Q927" s="18" t="str">
        <f t="shared" si="2"/>
        <v>XDKV1</v>
      </c>
    </row>
    <row r="928" ht="15.75" customHeight="1">
      <c r="A928" s="31">
        <v>9361.0</v>
      </c>
      <c r="B928" s="22" t="s">
        <v>1662</v>
      </c>
      <c r="C928" s="24" t="s">
        <v>7718</v>
      </c>
      <c r="D928" s="32" t="s">
        <v>1662</v>
      </c>
      <c r="E928" s="22" t="s">
        <v>1661</v>
      </c>
      <c r="F928" s="19" t="str">
        <f t="shared" si="1"/>
        <v>XDKV1</v>
      </c>
      <c r="G928" s="19" t="s">
        <v>5408</v>
      </c>
      <c r="H928" s="20" t="s">
        <v>1212</v>
      </c>
      <c r="I928" s="19" t="s">
        <v>5409</v>
      </c>
      <c r="J928" s="19" t="s">
        <v>5410</v>
      </c>
      <c r="K928" s="25" t="s">
        <v>7500</v>
      </c>
      <c r="L928" s="20" t="s">
        <v>6007</v>
      </c>
      <c r="M928" s="23" t="s">
        <v>1660</v>
      </c>
      <c r="N928" s="18"/>
      <c r="O928" s="18"/>
      <c r="P928" s="18">
        <f>VLOOKUP($A928,MasterData!$C$1:$I$3001,1,FALSE)</f>
        <v>9361</v>
      </c>
      <c r="Q928" s="18" t="str">
        <f t="shared" si="2"/>
        <v>XDKV1</v>
      </c>
    </row>
    <row r="929" ht="15.75" customHeight="1">
      <c r="A929" s="31">
        <v>9392.0</v>
      </c>
      <c r="B929" s="22" t="s">
        <v>1665</v>
      </c>
      <c r="C929" s="24" t="s">
        <v>7719</v>
      </c>
      <c r="D929" s="32" t="s">
        <v>1665</v>
      </c>
      <c r="E929" s="22" t="s">
        <v>1664</v>
      </c>
      <c r="F929" s="19" t="str">
        <f t="shared" si="1"/>
        <v>XDKV1</v>
      </c>
      <c r="G929" s="19" t="s">
        <v>5408</v>
      </c>
      <c r="H929" s="20" t="s">
        <v>1212</v>
      </c>
      <c r="I929" s="19" t="s">
        <v>5409</v>
      </c>
      <c r="J929" s="19" t="s">
        <v>5410</v>
      </c>
      <c r="K929" s="25" t="s">
        <v>7500</v>
      </c>
      <c r="L929" s="20" t="s">
        <v>6007</v>
      </c>
      <c r="M929" s="23" t="s">
        <v>1663</v>
      </c>
      <c r="N929" s="18"/>
      <c r="O929" s="18"/>
      <c r="P929" s="18">
        <f>VLOOKUP($A929,MasterData!$C$1:$I$3001,1,FALSE)</f>
        <v>9392</v>
      </c>
      <c r="Q929" s="18" t="str">
        <f t="shared" si="2"/>
        <v>XDKV1</v>
      </c>
    </row>
    <row r="930" ht="15.75" customHeight="1">
      <c r="A930" s="31">
        <v>9423.0</v>
      </c>
      <c r="B930" s="22" t="s">
        <v>1668</v>
      </c>
      <c r="C930" s="24" t="s">
        <v>7720</v>
      </c>
      <c r="D930" s="32" t="s">
        <v>1668</v>
      </c>
      <c r="E930" s="22" t="s">
        <v>1667</v>
      </c>
      <c r="F930" s="19" t="str">
        <f t="shared" si="1"/>
        <v>XDKV1</v>
      </c>
      <c r="G930" s="19" t="s">
        <v>5408</v>
      </c>
      <c r="H930" s="20" t="s">
        <v>1212</v>
      </c>
      <c r="I930" s="19" t="s">
        <v>5409</v>
      </c>
      <c r="J930" s="19" t="s">
        <v>5410</v>
      </c>
      <c r="K930" s="25" t="s">
        <v>7500</v>
      </c>
      <c r="L930" s="20" t="s">
        <v>6007</v>
      </c>
      <c r="M930" s="23" t="s">
        <v>1666</v>
      </c>
      <c r="N930" s="18"/>
      <c r="O930" s="18"/>
      <c r="P930" s="18">
        <f>VLOOKUP($A930,MasterData!$C$1:$I$3001,1,FALSE)</f>
        <v>9423</v>
      </c>
      <c r="Q930" s="18" t="str">
        <f t="shared" si="2"/>
        <v>XDKV1</v>
      </c>
    </row>
    <row r="931" ht="15.75" customHeight="1">
      <c r="A931" s="31">
        <v>9425.0</v>
      </c>
      <c r="B931" s="22" t="s">
        <v>1671</v>
      </c>
      <c r="C931" s="24" t="s">
        <v>7721</v>
      </c>
      <c r="D931" s="32" t="s">
        <v>1671</v>
      </c>
      <c r="E931" s="22" t="s">
        <v>1670</v>
      </c>
      <c r="F931" s="19" t="str">
        <f t="shared" si="1"/>
        <v>XDKV1</v>
      </c>
      <c r="G931" s="19" t="s">
        <v>5408</v>
      </c>
      <c r="H931" s="20" t="s">
        <v>1212</v>
      </c>
      <c r="I931" s="19" t="s">
        <v>5409</v>
      </c>
      <c r="J931" s="19" t="s">
        <v>5410</v>
      </c>
      <c r="K931" s="25" t="s">
        <v>7500</v>
      </c>
      <c r="L931" s="20" t="s">
        <v>6007</v>
      </c>
      <c r="M931" s="23" t="s">
        <v>1669</v>
      </c>
      <c r="N931" s="18"/>
      <c r="O931" s="18"/>
      <c r="P931" s="18">
        <f>VLOOKUP($A931,MasterData!$C$1:$I$3001,1,FALSE)</f>
        <v>9425</v>
      </c>
      <c r="Q931" s="18" t="str">
        <f t="shared" si="2"/>
        <v>XDKV1</v>
      </c>
    </row>
    <row r="932" ht="15.75" customHeight="1">
      <c r="A932" s="31">
        <v>9448.0</v>
      </c>
      <c r="B932" s="22" t="s">
        <v>1674</v>
      </c>
      <c r="C932" s="24" t="s">
        <v>7722</v>
      </c>
      <c r="D932" s="32" t="s">
        <v>1674</v>
      </c>
      <c r="E932" s="22" t="s">
        <v>1673</v>
      </c>
      <c r="F932" s="19" t="str">
        <f t="shared" si="1"/>
        <v>XDKV1</v>
      </c>
      <c r="G932" s="19" t="s">
        <v>5408</v>
      </c>
      <c r="H932" s="20" t="s">
        <v>1212</v>
      </c>
      <c r="I932" s="19" t="s">
        <v>5409</v>
      </c>
      <c r="J932" s="19" t="s">
        <v>5410</v>
      </c>
      <c r="K932" s="25" t="s">
        <v>7500</v>
      </c>
      <c r="L932" s="20" t="s">
        <v>6007</v>
      </c>
      <c r="M932" s="23" t="s">
        <v>1672</v>
      </c>
      <c r="N932" s="18"/>
      <c r="O932" s="18"/>
      <c r="P932" s="18">
        <f>VLOOKUP($A932,MasterData!$C$1:$I$3001,1,FALSE)</f>
        <v>9448</v>
      </c>
      <c r="Q932" s="18" t="str">
        <f t="shared" si="2"/>
        <v>XDKV1</v>
      </c>
    </row>
    <row r="933" ht="15.75" customHeight="1">
      <c r="A933" s="31">
        <v>9470.0</v>
      </c>
      <c r="B933" s="22" t="s">
        <v>1677</v>
      </c>
      <c r="C933" s="24" t="s">
        <v>7723</v>
      </c>
      <c r="D933" s="32" t="s">
        <v>1677</v>
      </c>
      <c r="E933" s="22" t="s">
        <v>1676</v>
      </c>
      <c r="F933" s="19" t="str">
        <f t="shared" si="1"/>
        <v>XDKV1</v>
      </c>
      <c r="G933" s="19" t="s">
        <v>5408</v>
      </c>
      <c r="H933" s="20" t="s">
        <v>1212</v>
      </c>
      <c r="I933" s="19" t="s">
        <v>5409</v>
      </c>
      <c r="J933" s="19" t="s">
        <v>5410</v>
      </c>
      <c r="K933" s="25" t="s">
        <v>7500</v>
      </c>
      <c r="L933" s="20" t="s">
        <v>6007</v>
      </c>
      <c r="M933" s="23" t="s">
        <v>1675</v>
      </c>
      <c r="N933" s="18"/>
      <c r="O933" s="18"/>
      <c r="P933" s="18">
        <f>VLOOKUP($A933,MasterData!$C$1:$I$3001,1,FALSE)</f>
        <v>9470</v>
      </c>
      <c r="Q933" s="18" t="str">
        <f t="shared" si="2"/>
        <v>XDKV1</v>
      </c>
    </row>
    <row r="934" ht="15.75" customHeight="1">
      <c r="A934" s="31">
        <v>9482.0</v>
      </c>
      <c r="B934" s="22" t="s">
        <v>1680</v>
      </c>
      <c r="C934" s="24" t="s">
        <v>7724</v>
      </c>
      <c r="D934" s="32" t="s">
        <v>1680</v>
      </c>
      <c r="E934" s="22" t="s">
        <v>1679</v>
      </c>
      <c r="F934" s="19" t="str">
        <f t="shared" si="1"/>
        <v>XDKV1</v>
      </c>
      <c r="G934" s="19" t="s">
        <v>5408</v>
      </c>
      <c r="H934" s="20" t="s">
        <v>1212</v>
      </c>
      <c r="I934" s="19" t="s">
        <v>5409</v>
      </c>
      <c r="J934" s="19" t="s">
        <v>5410</v>
      </c>
      <c r="K934" s="25" t="s">
        <v>7500</v>
      </c>
      <c r="L934" s="20" t="s">
        <v>6007</v>
      </c>
      <c r="M934" s="23" t="s">
        <v>1678</v>
      </c>
      <c r="N934" s="18"/>
      <c r="O934" s="18"/>
      <c r="P934" s="18">
        <f>VLOOKUP($A934,MasterData!$C$1:$I$3001,1,FALSE)</f>
        <v>9482</v>
      </c>
      <c r="Q934" s="18" t="str">
        <f t="shared" si="2"/>
        <v>XDKV1</v>
      </c>
    </row>
    <row r="935" ht="15.75" customHeight="1">
      <c r="A935" s="31">
        <v>9487.0</v>
      </c>
      <c r="B935" s="22" t="s">
        <v>1683</v>
      </c>
      <c r="C935" s="24" t="s">
        <v>7725</v>
      </c>
      <c r="D935" s="32" t="s">
        <v>1683</v>
      </c>
      <c r="E935" s="22" t="s">
        <v>1682</v>
      </c>
      <c r="F935" s="19" t="str">
        <f t="shared" si="1"/>
        <v>XDKV1</v>
      </c>
      <c r="G935" s="19" t="s">
        <v>5408</v>
      </c>
      <c r="H935" s="20" t="s">
        <v>1212</v>
      </c>
      <c r="I935" s="19" t="s">
        <v>5409</v>
      </c>
      <c r="J935" s="19" t="s">
        <v>5410</v>
      </c>
      <c r="K935" s="25" t="s">
        <v>7500</v>
      </c>
      <c r="L935" s="20" t="s">
        <v>6007</v>
      </c>
      <c r="M935" s="23" t="s">
        <v>1681</v>
      </c>
      <c r="N935" s="18"/>
      <c r="O935" s="18"/>
      <c r="P935" s="18">
        <f>VLOOKUP($A935,MasterData!$C$1:$I$3001,1,FALSE)</f>
        <v>9487</v>
      </c>
      <c r="Q935" s="18" t="str">
        <f t="shared" si="2"/>
        <v>XDKV1</v>
      </c>
    </row>
    <row r="936" ht="15.75" customHeight="1">
      <c r="A936" s="31">
        <v>9497.0</v>
      </c>
      <c r="B936" s="22" t="s">
        <v>1686</v>
      </c>
      <c r="C936" s="24" t="s">
        <v>7726</v>
      </c>
      <c r="D936" s="32" t="s">
        <v>1686</v>
      </c>
      <c r="E936" s="22" t="s">
        <v>1685</v>
      </c>
      <c r="F936" s="19" t="str">
        <f t="shared" si="1"/>
        <v>XDKV1</v>
      </c>
      <c r="G936" s="19" t="s">
        <v>5408</v>
      </c>
      <c r="H936" s="20" t="s">
        <v>1212</v>
      </c>
      <c r="I936" s="19" t="s">
        <v>5409</v>
      </c>
      <c r="J936" s="19" t="s">
        <v>5410</v>
      </c>
      <c r="K936" s="25" t="s">
        <v>7500</v>
      </c>
      <c r="L936" s="20" t="s">
        <v>6007</v>
      </c>
      <c r="M936" s="23" t="s">
        <v>1684</v>
      </c>
      <c r="N936" s="18"/>
      <c r="O936" s="18"/>
      <c r="P936" s="18">
        <f>VLOOKUP($A936,MasterData!$C$1:$I$3001,1,FALSE)</f>
        <v>9497</v>
      </c>
      <c r="Q936" s="18" t="str">
        <f t="shared" si="2"/>
        <v>XDKV1</v>
      </c>
    </row>
    <row r="937" ht="15.75" customHeight="1">
      <c r="A937" s="31">
        <v>9508.0</v>
      </c>
      <c r="B937" s="22" t="s">
        <v>1689</v>
      </c>
      <c r="C937" s="24" t="s">
        <v>7727</v>
      </c>
      <c r="D937" s="32" t="s">
        <v>1689</v>
      </c>
      <c r="E937" s="22" t="s">
        <v>1688</v>
      </c>
      <c r="F937" s="19" t="str">
        <f t="shared" si="1"/>
        <v>XDKV1</v>
      </c>
      <c r="G937" s="19" t="s">
        <v>5408</v>
      </c>
      <c r="H937" s="20" t="s">
        <v>1212</v>
      </c>
      <c r="I937" s="19" t="s">
        <v>5409</v>
      </c>
      <c r="J937" s="19" t="s">
        <v>5410</v>
      </c>
      <c r="K937" s="25" t="s">
        <v>7500</v>
      </c>
      <c r="L937" s="20" t="s">
        <v>6007</v>
      </c>
      <c r="M937" s="23" t="s">
        <v>1687</v>
      </c>
      <c r="N937" s="18"/>
      <c r="O937" s="18"/>
      <c r="P937" s="18">
        <f>VLOOKUP($A937,MasterData!$C$1:$I$3001,1,FALSE)</f>
        <v>9508</v>
      </c>
      <c r="Q937" s="18" t="str">
        <f t="shared" si="2"/>
        <v>XDKV1</v>
      </c>
    </row>
    <row r="938" ht="15.75" customHeight="1">
      <c r="A938" s="31">
        <v>9549.0</v>
      </c>
      <c r="B938" s="22" t="s">
        <v>1692</v>
      </c>
      <c r="C938" s="24" t="s">
        <v>7728</v>
      </c>
      <c r="D938" s="32" t="s">
        <v>1692</v>
      </c>
      <c r="E938" s="22" t="s">
        <v>1691</v>
      </c>
      <c r="F938" s="19" t="str">
        <f t="shared" si="1"/>
        <v>XDKV1</v>
      </c>
      <c r="G938" s="19" t="s">
        <v>5408</v>
      </c>
      <c r="H938" s="20" t="s">
        <v>1212</v>
      </c>
      <c r="I938" s="19" t="s">
        <v>5409</v>
      </c>
      <c r="J938" s="19" t="s">
        <v>5410</v>
      </c>
      <c r="K938" s="25" t="s">
        <v>7500</v>
      </c>
      <c r="L938" s="20" t="s">
        <v>6007</v>
      </c>
      <c r="M938" s="23" t="s">
        <v>1690</v>
      </c>
      <c r="N938" s="18"/>
      <c r="O938" s="18"/>
      <c r="P938" s="18">
        <f>VLOOKUP($A938,MasterData!$C$1:$I$3001,1,FALSE)</f>
        <v>9549</v>
      </c>
      <c r="Q938" s="18" t="str">
        <f t="shared" si="2"/>
        <v>XDKV1</v>
      </c>
    </row>
    <row r="939" ht="15.75" customHeight="1">
      <c r="A939" s="31">
        <v>9560.0</v>
      </c>
      <c r="B939" s="22" t="s">
        <v>1695</v>
      </c>
      <c r="C939" s="24" t="s">
        <v>7729</v>
      </c>
      <c r="D939" s="32" t="s">
        <v>1695</v>
      </c>
      <c r="E939" s="22" t="s">
        <v>1694</v>
      </c>
      <c r="F939" s="19" t="str">
        <f t="shared" si="1"/>
        <v>XDKV1</v>
      </c>
      <c r="G939" s="19" t="s">
        <v>5408</v>
      </c>
      <c r="H939" s="20" t="s">
        <v>1212</v>
      </c>
      <c r="I939" s="19" t="s">
        <v>5409</v>
      </c>
      <c r="J939" s="19" t="s">
        <v>5410</v>
      </c>
      <c r="K939" s="25" t="s">
        <v>7500</v>
      </c>
      <c r="L939" s="20" t="s">
        <v>6007</v>
      </c>
      <c r="M939" s="23" t="s">
        <v>1693</v>
      </c>
      <c r="N939" s="18"/>
      <c r="O939" s="18"/>
      <c r="P939" s="18">
        <f>VLOOKUP($A939,MasterData!$C$1:$I$3001,1,FALSE)</f>
        <v>9560</v>
      </c>
      <c r="Q939" s="18" t="str">
        <f t="shared" si="2"/>
        <v>XDKV1</v>
      </c>
    </row>
    <row r="940" ht="15.75" customHeight="1">
      <c r="A940" s="31">
        <v>9563.0</v>
      </c>
      <c r="B940" s="22" t="s">
        <v>1698</v>
      </c>
      <c r="C940" s="24" t="s">
        <v>7730</v>
      </c>
      <c r="D940" s="32" t="s">
        <v>1698</v>
      </c>
      <c r="E940" s="22" t="s">
        <v>1697</v>
      </c>
      <c r="F940" s="19" t="str">
        <f t="shared" si="1"/>
        <v>XDKV1</v>
      </c>
      <c r="G940" s="19" t="s">
        <v>5408</v>
      </c>
      <c r="H940" s="20" t="s">
        <v>1212</v>
      </c>
      <c r="I940" s="19" t="s">
        <v>5409</v>
      </c>
      <c r="J940" s="19" t="s">
        <v>5410</v>
      </c>
      <c r="K940" s="25" t="s">
        <v>7500</v>
      </c>
      <c r="L940" s="20" t="s">
        <v>6007</v>
      </c>
      <c r="M940" s="23" t="s">
        <v>1696</v>
      </c>
      <c r="N940" s="18"/>
      <c r="O940" s="18"/>
      <c r="P940" s="18">
        <f>VLOOKUP($A940,MasterData!$C$1:$I$3001,1,FALSE)</f>
        <v>9563</v>
      </c>
      <c r="Q940" s="18" t="str">
        <f t="shared" si="2"/>
        <v>XDKV1</v>
      </c>
    </row>
    <row r="941" ht="15.75" customHeight="1">
      <c r="A941" s="31">
        <v>9577.0</v>
      </c>
      <c r="B941" s="22" t="s">
        <v>1701</v>
      </c>
      <c r="C941" s="24" t="s">
        <v>7731</v>
      </c>
      <c r="D941" s="32" t="s">
        <v>1701</v>
      </c>
      <c r="E941" s="22" t="s">
        <v>1700</v>
      </c>
      <c r="F941" s="19" t="str">
        <f t="shared" si="1"/>
        <v>XDKV1</v>
      </c>
      <c r="G941" s="19" t="s">
        <v>5408</v>
      </c>
      <c r="H941" s="20" t="s">
        <v>1212</v>
      </c>
      <c r="I941" s="19" t="s">
        <v>5409</v>
      </c>
      <c r="J941" s="19" t="s">
        <v>5410</v>
      </c>
      <c r="K941" s="25" t="s">
        <v>7500</v>
      </c>
      <c r="L941" s="20" t="s">
        <v>6007</v>
      </c>
      <c r="M941" s="23" t="s">
        <v>1699</v>
      </c>
      <c r="N941" s="18"/>
      <c r="O941" s="18"/>
      <c r="P941" s="18">
        <f>VLOOKUP($A941,MasterData!$C$1:$I$3001,1,FALSE)</f>
        <v>9577</v>
      </c>
      <c r="Q941" s="18" t="str">
        <f t="shared" si="2"/>
        <v>XDKV1</v>
      </c>
    </row>
    <row r="942" ht="15.75" customHeight="1">
      <c r="A942" s="31">
        <v>9656.0</v>
      </c>
      <c r="B942" s="22" t="s">
        <v>1704</v>
      </c>
      <c r="C942" s="24" t="s">
        <v>7732</v>
      </c>
      <c r="D942" s="32" t="s">
        <v>1704</v>
      </c>
      <c r="E942" s="22" t="s">
        <v>1703</v>
      </c>
      <c r="F942" s="19" t="str">
        <f t="shared" si="1"/>
        <v>XDKV1</v>
      </c>
      <c r="G942" s="19" t="s">
        <v>5408</v>
      </c>
      <c r="H942" s="20" t="s">
        <v>1212</v>
      </c>
      <c r="I942" s="19" t="s">
        <v>5409</v>
      </c>
      <c r="J942" s="19" t="s">
        <v>5410</v>
      </c>
      <c r="K942" s="25" t="s">
        <v>7500</v>
      </c>
      <c r="L942" s="20" t="s">
        <v>6007</v>
      </c>
      <c r="M942" s="23" t="s">
        <v>1702</v>
      </c>
      <c r="N942" s="18"/>
      <c r="O942" s="18"/>
      <c r="P942" s="18">
        <f>VLOOKUP($A942,MasterData!$C$1:$I$3001,1,FALSE)</f>
        <v>9656</v>
      </c>
      <c r="Q942" s="18" t="str">
        <f t="shared" si="2"/>
        <v>XDKV1</v>
      </c>
    </row>
    <row r="943" ht="15.75" customHeight="1">
      <c r="A943" s="31">
        <v>9678.0</v>
      </c>
      <c r="B943" s="22" t="s">
        <v>1707</v>
      </c>
      <c r="C943" s="24" t="s">
        <v>7733</v>
      </c>
      <c r="D943" s="32" t="s">
        <v>1707</v>
      </c>
      <c r="E943" s="22" t="s">
        <v>1706</v>
      </c>
      <c r="F943" s="19" t="str">
        <f t="shared" si="1"/>
        <v>XDKV1</v>
      </c>
      <c r="G943" s="19" t="s">
        <v>5408</v>
      </c>
      <c r="H943" s="20" t="s">
        <v>1212</v>
      </c>
      <c r="I943" s="19" t="s">
        <v>5409</v>
      </c>
      <c r="J943" s="19" t="s">
        <v>5410</v>
      </c>
      <c r="K943" s="25" t="s">
        <v>7500</v>
      </c>
      <c r="L943" s="20" t="s">
        <v>6007</v>
      </c>
      <c r="M943" s="23" t="s">
        <v>1705</v>
      </c>
      <c r="N943" s="18"/>
      <c r="O943" s="18"/>
      <c r="P943" s="18">
        <f>VLOOKUP($A943,MasterData!$C$1:$I$3001,1,FALSE)</f>
        <v>9678</v>
      </c>
      <c r="Q943" s="18" t="str">
        <f t="shared" si="2"/>
        <v>XDKV1</v>
      </c>
    </row>
    <row r="944" ht="15.75" customHeight="1">
      <c r="A944" s="31">
        <v>9683.0</v>
      </c>
      <c r="B944" s="22" t="s">
        <v>1710</v>
      </c>
      <c r="C944" s="24" t="s">
        <v>7734</v>
      </c>
      <c r="D944" s="32" t="s">
        <v>1710</v>
      </c>
      <c r="E944" s="22" t="s">
        <v>1709</v>
      </c>
      <c r="F944" s="19" t="str">
        <f t="shared" si="1"/>
        <v>XDKV1</v>
      </c>
      <c r="G944" s="19" t="s">
        <v>5408</v>
      </c>
      <c r="H944" s="20" t="s">
        <v>1212</v>
      </c>
      <c r="I944" s="19" t="s">
        <v>5409</v>
      </c>
      <c r="J944" s="19" t="s">
        <v>5410</v>
      </c>
      <c r="K944" s="25" t="s">
        <v>7500</v>
      </c>
      <c r="L944" s="20" t="s">
        <v>6007</v>
      </c>
      <c r="M944" s="23" t="s">
        <v>1708</v>
      </c>
      <c r="N944" s="18"/>
      <c r="O944" s="18"/>
      <c r="P944" s="18">
        <f>VLOOKUP($A944,MasterData!$C$1:$I$3001,1,FALSE)</f>
        <v>9683</v>
      </c>
      <c r="Q944" s="18" t="str">
        <f t="shared" si="2"/>
        <v>XDKV1</v>
      </c>
    </row>
    <row r="945" ht="15.75" customHeight="1">
      <c r="A945" s="31">
        <v>9687.0</v>
      </c>
      <c r="B945" s="22" t="s">
        <v>1713</v>
      </c>
      <c r="C945" s="24" t="s">
        <v>7735</v>
      </c>
      <c r="D945" s="32" t="s">
        <v>1713</v>
      </c>
      <c r="E945" s="22" t="s">
        <v>1712</v>
      </c>
      <c r="F945" s="19" t="str">
        <f t="shared" si="1"/>
        <v>XDKV1</v>
      </c>
      <c r="G945" s="19" t="s">
        <v>5408</v>
      </c>
      <c r="H945" s="20" t="s">
        <v>1212</v>
      </c>
      <c r="I945" s="19" t="s">
        <v>5409</v>
      </c>
      <c r="J945" s="19" t="s">
        <v>5410</v>
      </c>
      <c r="K945" s="25" t="s">
        <v>7500</v>
      </c>
      <c r="L945" s="20" t="s">
        <v>6007</v>
      </c>
      <c r="M945" s="23" t="s">
        <v>1711</v>
      </c>
      <c r="N945" s="18"/>
      <c r="O945" s="18"/>
      <c r="P945" s="18">
        <f>VLOOKUP($A945,MasterData!$C$1:$I$3001,1,FALSE)</f>
        <v>9687</v>
      </c>
      <c r="Q945" s="18" t="str">
        <f t="shared" si="2"/>
        <v>XDKV1</v>
      </c>
    </row>
    <row r="946" ht="15.75" customHeight="1">
      <c r="A946" s="31">
        <v>9689.0</v>
      </c>
      <c r="B946" s="22" t="s">
        <v>1716</v>
      </c>
      <c r="C946" s="24" t="s">
        <v>7736</v>
      </c>
      <c r="D946" s="32" t="s">
        <v>1716</v>
      </c>
      <c r="E946" s="22" t="s">
        <v>1715</v>
      </c>
      <c r="F946" s="19" t="str">
        <f t="shared" si="1"/>
        <v>XDKV1</v>
      </c>
      <c r="G946" s="19" t="s">
        <v>5408</v>
      </c>
      <c r="H946" s="20" t="s">
        <v>1212</v>
      </c>
      <c r="I946" s="19" t="s">
        <v>5409</v>
      </c>
      <c r="J946" s="19" t="s">
        <v>5410</v>
      </c>
      <c r="K946" s="25" t="s">
        <v>7500</v>
      </c>
      <c r="L946" s="20" t="s">
        <v>6007</v>
      </c>
      <c r="M946" s="23" t="s">
        <v>1714</v>
      </c>
      <c r="N946" s="18"/>
      <c r="O946" s="18"/>
      <c r="P946" s="18">
        <f>VLOOKUP($A946,MasterData!$C$1:$I$3001,1,FALSE)</f>
        <v>9689</v>
      </c>
      <c r="Q946" s="18" t="str">
        <f t="shared" si="2"/>
        <v>XDKV1</v>
      </c>
    </row>
    <row r="947" ht="15.75" customHeight="1">
      <c r="A947" s="31">
        <v>9694.0</v>
      </c>
      <c r="B947" s="22" t="s">
        <v>1719</v>
      </c>
      <c r="C947" s="24" t="s">
        <v>7737</v>
      </c>
      <c r="D947" s="32" t="s">
        <v>1719</v>
      </c>
      <c r="E947" s="22" t="s">
        <v>1718</v>
      </c>
      <c r="F947" s="19" t="str">
        <f t="shared" si="1"/>
        <v>XDKV1</v>
      </c>
      <c r="G947" s="19" t="s">
        <v>5408</v>
      </c>
      <c r="H947" s="20" t="s">
        <v>1212</v>
      </c>
      <c r="I947" s="19" t="s">
        <v>5409</v>
      </c>
      <c r="J947" s="19" t="s">
        <v>5410</v>
      </c>
      <c r="K947" s="25" t="s">
        <v>7500</v>
      </c>
      <c r="L947" s="20" t="s">
        <v>6007</v>
      </c>
      <c r="M947" s="23" t="s">
        <v>1717</v>
      </c>
      <c r="N947" s="18"/>
      <c r="O947" s="18"/>
      <c r="P947" s="18">
        <f>VLOOKUP($A947,MasterData!$C$1:$I$3001,1,FALSE)</f>
        <v>9694</v>
      </c>
      <c r="Q947" s="18" t="str">
        <f t="shared" si="2"/>
        <v>XDKV1</v>
      </c>
    </row>
    <row r="948" ht="15.75" customHeight="1">
      <c r="A948" s="31">
        <v>9708.0</v>
      </c>
      <c r="B948" s="22" t="s">
        <v>1722</v>
      </c>
      <c r="C948" s="24" t="s">
        <v>7738</v>
      </c>
      <c r="D948" s="32" t="s">
        <v>1722</v>
      </c>
      <c r="E948" s="22" t="s">
        <v>1721</v>
      </c>
      <c r="F948" s="19" t="str">
        <f t="shared" si="1"/>
        <v>XDKV1</v>
      </c>
      <c r="G948" s="19" t="s">
        <v>5408</v>
      </c>
      <c r="H948" s="20" t="s">
        <v>1212</v>
      </c>
      <c r="I948" s="19" t="s">
        <v>5409</v>
      </c>
      <c r="J948" s="19" t="s">
        <v>5410</v>
      </c>
      <c r="K948" s="25" t="s">
        <v>7500</v>
      </c>
      <c r="L948" s="20" t="s">
        <v>6007</v>
      </c>
      <c r="M948" s="23" t="s">
        <v>1720</v>
      </c>
      <c r="N948" s="18"/>
      <c r="O948" s="18"/>
      <c r="P948" s="18">
        <f>VLOOKUP($A948,MasterData!$C$1:$I$3001,1,FALSE)</f>
        <v>9708</v>
      </c>
      <c r="Q948" s="18" t="str">
        <f t="shared" si="2"/>
        <v>XDKV1</v>
      </c>
    </row>
    <row r="949" ht="15.75" customHeight="1">
      <c r="A949" s="31">
        <v>9720.0</v>
      </c>
      <c r="B949" s="22" t="s">
        <v>1725</v>
      </c>
      <c r="C949" s="24" t="s">
        <v>7739</v>
      </c>
      <c r="D949" s="32" t="s">
        <v>1725</v>
      </c>
      <c r="E949" s="22" t="s">
        <v>1724</v>
      </c>
      <c r="F949" s="19" t="str">
        <f t="shared" si="1"/>
        <v>XDKV1</v>
      </c>
      <c r="G949" s="19" t="s">
        <v>5408</v>
      </c>
      <c r="H949" s="20" t="s">
        <v>1212</v>
      </c>
      <c r="I949" s="19" t="s">
        <v>5409</v>
      </c>
      <c r="J949" s="19" t="s">
        <v>5410</v>
      </c>
      <c r="K949" s="25" t="s">
        <v>7500</v>
      </c>
      <c r="L949" s="20" t="s">
        <v>6007</v>
      </c>
      <c r="M949" s="23" t="s">
        <v>1723</v>
      </c>
      <c r="N949" s="18"/>
      <c r="O949" s="18"/>
      <c r="P949" s="18">
        <f>VLOOKUP($A949,MasterData!$C$1:$I$3001,1,FALSE)</f>
        <v>9720</v>
      </c>
      <c r="Q949" s="18" t="str">
        <f t="shared" si="2"/>
        <v>XDKV1</v>
      </c>
    </row>
    <row r="950" ht="15.75" customHeight="1">
      <c r="A950" s="31">
        <v>9737.0</v>
      </c>
      <c r="B950" s="22" t="s">
        <v>1728</v>
      </c>
      <c r="C950" s="24" t="s">
        <v>7740</v>
      </c>
      <c r="D950" s="32" t="s">
        <v>1728</v>
      </c>
      <c r="E950" s="22" t="s">
        <v>1727</v>
      </c>
      <c r="F950" s="19" t="str">
        <f t="shared" si="1"/>
        <v>XDKV1</v>
      </c>
      <c r="G950" s="19" t="s">
        <v>5408</v>
      </c>
      <c r="H950" s="20" t="s">
        <v>1212</v>
      </c>
      <c r="I950" s="19" t="s">
        <v>5409</v>
      </c>
      <c r="J950" s="19" t="s">
        <v>5410</v>
      </c>
      <c r="K950" s="25" t="s">
        <v>7500</v>
      </c>
      <c r="L950" s="20" t="s">
        <v>6007</v>
      </c>
      <c r="M950" s="23" t="s">
        <v>1726</v>
      </c>
      <c r="N950" s="18"/>
      <c r="O950" s="18"/>
      <c r="P950" s="18">
        <f>VLOOKUP($A950,MasterData!$C$1:$I$3001,1,FALSE)</f>
        <v>9737</v>
      </c>
      <c r="Q950" s="18" t="str">
        <f t="shared" si="2"/>
        <v>XDKV1</v>
      </c>
    </row>
    <row r="951" ht="15.75" customHeight="1">
      <c r="A951" s="31">
        <v>9746.0</v>
      </c>
      <c r="B951" s="22" t="s">
        <v>1731</v>
      </c>
      <c r="C951" s="24" t="s">
        <v>7741</v>
      </c>
      <c r="D951" s="32" t="s">
        <v>1731</v>
      </c>
      <c r="E951" s="22" t="s">
        <v>1730</v>
      </c>
      <c r="F951" s="19" t="str">
        <f t="shared" si="1"/>
        <v>XDKV1</v>
      </c>
      <c r="G951" s="19" t="s">
        <v>5408</v>
      </c>
      <c r="H951" s="20" t="s">
        <v>1212</v>
      </c>
      <c r="I951" s="19" t="s">
        <v>5409</v>
      </c>
      <c r="J951" s="19" t="s">
        <v>5410</v>
      </c>
      <c r="K951" s="25" t="s">
        <v>7500</v>
      </c>
      <c r="L951" s="20" t="s">
        <v>6007</v>
      </c>
      <c r="M951" s="23" t="s">
        <v>1729</v>
      </c>
      <c r="N951" s="18"/>
      <c r="O951" s="18"/>
      <c r="P951" s="18">
        <f>VLOOKUP($A951,MasterData!$C$1:$I$3001,1,FALSE)</f>
        <v>9746</v>
      </c>
      <c r="Q951" s="18" t="str">
        <f t="shared" si="2"/>
        <v>XDKV1</v>
      </c>
    </row>
    <row r="952" ht="15.75" customHeight="1">
      <c r="A952" s="31">
        <v>9750.0</v>
      </c>
      <c r="B952" s="22" t="s">
        <v>1734</v>
      </c>
      <c r="C952" s="24" t="s">
        <v>7742</v>
      </c>
      <c r="D952" s="32" t="s">
        <v>1734</v>
      </c>
      <c r="E952" s="22" t="s">
        <v>1733</v>
      </c>
      <c r="F952" s="19" t="str">
        <f t="shared" si="1"/>
        <v>XDKV1</v>
      </c>
      <c r="G952" s="19" t="s">
        <v>5408</v>
      </c>
      <c r="H952" s="20" t="s">
        <v>1212</v>
      </c>
      <c r="I952" s="19" t="s">
        <v>5409</v>
      </c>
      <c r="J952" s="19" t="s">
        <v>5410</v>
      </c>
      <c r="K952" s="25" t="s">
        <v>7500</v>
      </c>
      <c r="L952" s="20" t="s">
        <v>6007</v>
      </c>
      <c r="M952" s="23" t="s">
        <v>1732</v>
      </c>
      <c r="N952" s="18"/>
      <c r="O952" s="18"/>
      <c r="P952" s="18">
        <f>VLOOKUP($A952,MasterData!$C$1:$I$3001,1,FALSE)</f>
        <v>9750</v>
      </c>
      <c r="Q952" s="18" t="str">
        <f t="shared" si="2"/>
        <v>XDKV1</v>
      </c>
    </row>
    <row r="953" ht="15.75" customHeight="1">
      <c r="A953" s="31">
        <v>9766.0</v>
      </c>
      <c r="B953" s="22" t="s">
        <v>1737</v>
      </c>
      <c r="C953" s="24" t="s">
        <v>7743</v>
      </c>
      <c r="D953" s="32" t="s">
        <v>1737</v>
      </c>
      <c r="E953" s="22" t="s">
        <v>1736</v>
      </c>
      <c r="F953" s="19" t="str">
        <f t="shared" si="1"/>
        <v>XDKV1</v>
      </c>
      <c r="G953" s="19" t="s">
        <v>5408</v>
      </c>
      <c r="H953" s="20" t="s">
        <v>1212</v>
      </c>
      <c r="I953" s="19" t="s">
        <v>5409</v>
      </c>
      <c r="J953" s="19" t="s">
        <v>5410</v>
      </c>
      <c r="K953" s="25" t="s">
        <v>7500</v>
      </c>
      <c r="L953" s="20" t="s">
        <v>6007</v>
      </c>
      <c r="M953" s="23" t="s">
        <v>1735</v>
      </c>
      <c r="N953" s="18"/>
      <c r="O953" s="18"/>
      <c r="P953" s="18">
        <f>VLOOKUP($A953,MasterData!$C$1:$I$3001,1,FALSE)</f>
        <v>9766</v>
      </c>
      <c r="Q953" s="18" t="str">
        <f t="shared" si="2"/>
        <v>XDKV1</v>
      </c>
    </row>
    <row r="954" ht="15.75" customHeight="1">
      <c r="A954" s="31">
        <v>9791.0</v>
      </c>
      <c r="B954" s="22" t="s">
        <v>1740</v>
      </c>
      <c r="C954" s="24" t="s">
        <v>7744</v>
      </c>
      <c r="D954" s="32" t="s">
        <v>1740</v>
      </c>
      <c r="E954" s="22" t="s">
        <v>1739</v>
      </c>
      <c r="F954" s="19" t="str">
        <f t="shared" si="1"/>
        <v>XDKV1</v>
      </c>
      <c r="G954" s="19" t="s">
        <v>5408</v>
      </c>
      <c r="H954" s="20" t="s">
        <v>1212</v>
      </c>
      <c r="I954" s="19" t="s">
        <v>5409</v>
      </c>
      <c r="J954" s="19" t="s">
        <v>5410</v>
      </c>
      <c r="K954" s="25" t="s">
        <v>7500</v>
      </c>
      <c r="L954" s="20" t="s">
        <v>6007</v>
      </c>
      <c r="M954" s="23" t="s">
        <v>1738</v>
      </c>
      <c r="N954" s="18"/>
      <c r="O954" s="18"/>
      <c r="P954" s="18">
        <f>VLOOKUP($A954,MasterData!$C$1:$I$3001,1,FALSE)</f>
        <v>9791</v>
      </c>
      <c r="Q954" s="18" t="str">
        <f t="shared" si="2"/>
        <v>XDKV1</v>
      </c>
    </row>
    <row r="955" ht="15.75" customHeight="1">
      <c r="A955" s="31">
        <v>9804.0</v>
      </c>
      <c r="B955" s="22" t="s">
        <v>1743</v>
      </c>
      <c r="C955" s="24" t="s">
        <v>7745</v>
      </c>
      <c r="D955" s="32" t="s">
        <v>1743</v>
      </c>
      <c r="E955" s="22" t="s">
        <v>1742</v>
      </c>
      <c r="F955" s="19" t="str">
        <f t="shared" si="1"/>
        <v>XDKV1</v>
      </c>
      <c r="G955" s="19" t="s">
        <v>5408</v>
      </c>
      <c r="H955" s="20" t="s">
        <v>1212</v>
      </c>
      <c r="I955" s="19" t="s">
        <v>5409</v>
      </c>
      <c r="J955" s="19" t="s">
        <v>5410</v>
      </c>
      <c r="K955" s="25" t="s">
        <v>7500</v>
      </c>
      <c r="L955" s="20" t="s">
        <v>6007</v>
      </c>
      <c r="M955" s="23" t="s">
        <v>1741</v>
      </c>
      <c r="N955" s="18"/>
      <c r="O955" s="18"/>
      <c r="P955" s="18">
        <f>VLOOKUP($A955,MasterData!$C$1:$I$3001,1,FALSE)</f>
        <v>9804</v>
      </c>
      <c r="Q955" s="18" t="str">
        <f t="shared" si="2"/>
        <v>XDKV1</v>
      </c>
    </row>
    <row r="956" ht="15.75" customHeight="1">
      <c r="A956" s="31">
        <v>9820.0</v>
      </c>
      <c r="B956" s="22" t="s">
        <v>1746</v>
      </c>
      <c r="C956" s="24" t="s">
        <v>7746</v>
      </c>
      <c r="D956" s="32" t="s">
        <v>1746</v>
      </c>
      <c r="E956" s="22" t="s">
        <v>1745</v>
      </c>
      <c r="F956" s="19" t="str">
        <f t="shared" si="1"/>
        <v>XDKV1</v>
      </c>
      <c r="G956" s="19" t="s">
        <v>5408</v>
      </c>
      <c r="H956" s="20" t="s">
        <v>1212</v>
      </c>
      <c r="I956" s="19" t="s">
        <v>5409</v>
      </c>
      <c r="J956" s="19" t="s">
        <v>5410</v>
      </c>
      <c r="K956" s="25" t="s">
        <v>7500</v>
      </c>
      <c r="L956" s="20" t="s">
        <v>6007</v>
      </c>
      <c r="M956" s="23" t="s">
        <v>1744</v>
      </c>
      <c r="N956" s="18"/>
      <c r="O956" s="18"/>
      <c r="P956" s="18">
        <f>VLOOKUP($A956,MasterData!$C$1:$I$3001,1,FALSE)</f>
        <v>9820</v>
      </c>
      <c r="Q956" s="18" t="str">
        <f t="shared" si="2"/>
        <v>XDKV1</v>
      </c>
    </row>
    <row r="957" ht="15.75" customHeight="1">
      <c r="A957" s="31">
        <v>9832.0</v>
      </c>
      <c r="B957" s="22" t="s">
        <v>1749</v>
      </c>
      <c r="C957" s="24" t="s">
        <v>7747</v>
      </c>
      <c r="D957" s="32" t="s">
        <v>1749</v>
      </c>
      <c r="E957" s="22" t="s">
        <v>1748</v>
      </c>
      <c r="F957" s="19" t="str">
        <f t="shared" si="1"/>
        <v>XDKV1</v>
      </c>
      <c r="G957" s="19" t="s">
        <v>5408</v>
      </c>
      <c r="H957" s="20" t="s">
        <v>1212</v>
      </c>
      <c r="I957" s="19" t="s">
        <v>5409</v>
      </c>
      <c r="J957" s="19" t="s">
        <v>5410</v>
      </c>
      <c r="K957" s="25" t="s">
        <v>7500</v>
      </c>
      <c r="L957" s="20" t="s">
        <v>6007</v>
      </c>
      <c r="M957" s="23" t="s">
        <v>1747</v>
      </c>
      <c r="N957" s="18"/>
      <c r="O957" s="18"/>
      <c r="P957" s="18">
        <f>VLOOKUP($A957,MasterData!$C$1:$I$3001,1,FALSE)</f>
        <v>9832</v>
      </c>
      <c r="Q957" s="18" t="str">
        <f t="shared" si="2"/>
        <v>XDKV1</v>
      </c>
    </row>
    <row r="958" ht="15.75" customHeight="1">
      <c r="A958" s="15">
        <v>8652.0</v>
      </c>
      <c r="B958" s="16" t="s">
        <v>7748</v>
      </c>
      <c r="C958" s="17" t="s">
        <v>7749</v>
      </c>
      <c r="D958" s="29" t="s">
        <v>7748</v>
      </c>
      <c r="E958" s="18" t="s">
        <v>3396</v>
      </c>
      <c r="F958" s="19" t="str">
        <f t="shared" si="1"/>
        <v>XIDKV1</v>
      </c>
      <c r="G958" s="19" t="s">
        <v>5408</v>
      </c>
      <c r="H958" s="20" t="s">
        <v>3045</v>
      </c>
      <c r="I958" s="19" t="s">
        <v>5409</v>
      </c>
      <c r="J958" s="19" t="s">
        <v>5410</v>
      </c>
      <c r="K958" s="21" t="s">
        <v>5411</v>
      </c>
      <c r="L958" s="19" t="s">
        <v>6007</v>
      </c>
      <c r="M958" s="16" t="s">
        <v>3395</v>
      </c>
      <c r="N958" s="18"/>
      <c r="O958" s="18"/>
      <c r="P958" s="18">
        <f>VLOOKUP($A958,MasterData!$C$1:$I$3001,1,FALSE)</f>
        <v>8652</v>
      </c>
      <c r="Q958" s="18" t="str">
        <f t="shared" si="2"/>
        <v>XIDKV1</v>
      </c>
    </row>
    <row r="959" ht="15.75" customHeight="1">
      <c r="A959" s="15">
        <v>8676.0</v>
      </c>
      <c r="B959" s="16" t="s">
        <v>7750</v>
      </c>
      <c r="C959" s="17" t="s">
        <v>7751</v>
      </c>
      <c r="D959" s="29" t="s">
        <v>7750</v>
      </c>
      <c r="E959" s="18" t="s">
        <v>3398</v>
      </c>
      <c r="F959" s="19" t="str">
        <f t="shared" si="1"/>
        <v>XIDKV1</v>
      </c>
      <c r="G959" s="19" t="s">
        <v>5408</v>
      </c>
      <c r="H959" s="20" t="s">
        <v>3045</v>
      </c>
      <c r="I959" s="19" t="s">
        <v>5409</v>
      </c>
      <c r="J959" s="19" t="s">
        <v>5410</v>
      </c>
      <c r="K959" s="21" t="s">
        <v>5411</v>
      </c>
      <c r="L959" s="19" t="s">
        <v>6007</v>
      </c>
      <c r="M959" s="16" t="s">
        <v>3397</v>
      </c>
      <c r="N959" s="18"/>
      <c r="O959" s="18"/>
      <c r="P959" s="18">
        <f>VLOOKUP($A959,MasterData!$C$1:$I$3001,1,FALSE)</f>
        <v>8676</v>
      </c>
      <c r="Q959" s="18" t="str">
        <f t="shared" si="2"/>
        <v>XIDKV1</v>
      </c>
    </row>
    <row r="960" ht="15.75" customHeight="1">
      <c r="A960" s="15">
        <v>8708.0</v>
      </c>
      <c r="B960" s="16" t="s">
        <v>7752</v>
      </c>
      <c r="C960" s="17" t="s">
        <v>7753</v>
      </c>
      <c r="D960" s="29" t="s">
        <v>7752</v>
      </c>
      <c r="E960" s="18" t="s">
        <v>3400</v>
      </c>
      <c r="F960" s="19" t="str">
        <f t="shared" si="1"/>
        <v>XIDKV1</v>
      </c>
      <c r="G960" s="19" t="s">
        <v>5408</v>
      </c>
      <c r="H960" s="20" t="s">
        <v>3045</v>
      </c>
      <c r="I960" s="19" t="s">
        <v>5409</v>
      </c>
      <c r="J960" s="19" t="s">
        <v>5410</v>
      </c>
      <c r="K960" s="21" t="s">
        <v>5411</v>
      </c>
      <c r="L960" s="19" t="s">
        <v>6007</v>
      </c>
      <c r="M960" s="16" t="s">
        <v>3399</v>
      </c>
      <c r="N960" s="18"/>
      <c r="O960" s="18"/>
      <c r="P960" s="18">
        <f>VLOOKUP($A960,MasterData!$C$1:$I$3001,1,FALSE)</f>
        <v>8708</v>
      </c>
      <c r="Q960" s="18" t="str">
        <f t="shared" si="2"/>
        <v>XIDKV1</v>
      </c>
    </row>
    <row r="961" ht="15.75" customHeight="1">
      <c r="A961" s="15">
        <v>8729.0</v>
      </c>
      <c r="B961" s="16" t="s">
        <v>7754</v>
      </c>
      <c r="C961" s="17" t="s">
        <v>7755</v>
      </c>
      <c r="D961" s="29" t="s">
        <v>7754</v>
      </c>
      <c r="E961" s="18" t="s">
        <v>3402</v>
      </c>
      <c r="F961" s="19" t="str">
        <f t="shared" si="1"/>
        <v>XIDKV1</v>
      </c>
      <c r="G961" s="19" t="s">
        <v>5408</v>
      </c>
      <c r="H961" s="20" t="s">
        <v>3045</v>
      </c>
      <c r="I961" s="19" t="s">
        <v>5409</v>
      </c>
      <c r="J961" s="19" t="s">
        <v>5410</v>
      </c>
      <c r="K961" s="21" t="s">
        <v>5411</v>
      </c>
      <c r="L961" s="19" t="s">
        <v>6007</v>
      </c>
      <c r="M961" s="16" t="s">
        <v>3401</v>
      </c>
      <c r="N961" s="18"/>
      <c r="O961" s="18"/>
      <c r="P961" s="18">
        <f>VLOOKUP($A961,MasterData!$C$1:$I$3001,1,FALSE)</f>
        <v>8729</v>
      </c>
      <c r="Q961" s="18" t="str">
        <f t="shared" si="2"/>
        <v>XIDKV1</v>
      </c>
    </row>
    <row r="962" ht="15.75" customHeight="1">
      <c r="A962" s="15">
        <v>8736.0</v>
      </c>
      <c r="B962" s="16" t="s">
        <v>7756</v>
      </c>
      <c r="C962" s="17" t="s">
        <v>7757</v>
      </c>
      <c r="D962" s="29" t="s">
        <v>7756</v>
      </c>
      <c r="E962" s="18" t="s">
        <v>3404</v>
      </c>
      <c r="F962" s="19" t="str">
        <f t="shared" si="1"/>
        <v>XIDKV1</v>
      </c>
      <c r="G962" s="19" t="s">
        <v>5408</v>
      </c>
      <c r="H962" s="20" t="s">
        <v>3045</v>
      </c>
      <c r="I962" s="19" t="s">
        <v>5409</v>
      </c>
      <c r="J962" s="19" t="s">
        <v>5410</v>
      </c>
      <c r="K962" s="21" t="s">
        <v>5411</v>
      </c>
      <c r="L962" s="19" t="s">
        <v>6007</v>
      </c>
      <c r="M962" s="16" t="s">
        <v>3403</v>
      </c>
      <c r="N962" s="18"/>
      <c r="O962" s="18"/>
      <c r="P962" s="18">
        <f>VLOOKUP($A962,MasterData!$C$1:$I$3001,1,FALSE)</f>
        <v>8736</v>
      </c>
      <c r="Q962" s="18" t="str">
        <f t="shared" si="2"/>
        <v>XIDKV1</v>
      </c>
    </row>
    <row r="963" ht="15.75" customHeight="1">
      <c r="A963" s="15">
        <v>8745.0</v>
      </c>
      <c r="B963" s="16" t="s">
        <v>7758</v>
      </c>
      <c r="C963" s="17" t="s">
        <v>7759</v>
      </c>
      <c r="D963" s="29" t="s">
        <v>7758</v>
      </c>
      <c r="E963" s="18" t="s">
        <v>3406</v>
      </c>
      <c r="F963" s="19" t="str">
        <f t="shared" si="1"/>
        <v>XIDKV1</v>
      </c>
      <c r="G963" s="19" t="s">
        <v>5408</v>
      </c>
      <c r="H963" s="20" t="s">
        <v>3045</v>
      </c>
      <c r="I963" s="19" t="s">
        <v>5409</v>
      </c>
      <c r="J963" s="19" t="s">
        <v>5410</v>
      </c>
      <c r="K963" s="21" t="s">
        <v>5411</v>
      </c>
      <c r="L963" s="19" t="s">
        <v>6007</v>
      </c>
      <c r="M963" s="16" t="s">
        <v>3405</v>
      </c>
      <c r="N963" s="18"/>
      <c r="O963" s="18"/>
      <c r="P963" s="18">
        <f>VLOOKUP($A963,MasterData!$C$1:$I$3001,1,FALSE)</f>
        <v>8745</v>
      </c>
      <c r="Q963" s="18" t="str">
        <f t="shared" si="2"/>
        <v>XIDKV1</v>
      </c>
    </row>
    <row r="964" ht="15.75" customHeight="1">
      <c r="A964" s="15">
        <v>8756.0</v>
      </c>
      <c r="B964" s="16" t="s">
        <v>7760</v>
      </c>
      <c r="C964" s="17" t="s">
        <v>7761</v>
      </c>
      <c r="D964" s="29" t="s">
        <v>7760</v>
      </c>
      <c r="E964" s="18" t="s">
        <v>3408</v>
      </c>
      <c r="F964" s="19" t="str">
        <f t="shared" si="1"/>
        <v>XIDKV1</v>
      </c>
      <c r="G964" s="19" t="s">
        <v>5408</v>
      </c>
      <c r="H964" s="20" t="s">
        <v>3045</v>
      </c>
      <c r="I964" s="19" t="s">
        <v>5409</v>
      </c>
      <c r="J964" s="19" t="s">
        <v>5410</v>
      </c>
      <c r="K964" s="21" t="s">
        <v>5411</v>
      </c>
      <c r="L964" s="19" t="s">
        <v>6007</v>
      </c>
      <c r="M964" s="16" t="s">
        <v>3407</v>
      </c>
      <c r="N964" s="18"/>
      <c r="O964" s="18"/>
      <c r="P964" s="18">
        <f>VLOOKUP($A964,MasterData!$C$1:$I$3001,1,FALSE)</f>
        <v>8756</v>
      </c>
      <c r="Q964" s="18" t="str">
        <f t="shared" si="2"/>
        <v>XIDKV1</v>
      </c>
    </row>
    <row r="965" ht="15.75" customHeight="1">
      <c r="A965" s="15">
        <v>8766.0</v>
      </c>
      <c r="B965" s="16" t="s">
        <v>7762</v>
      </c>
      <c r="C965" s="17" t="s">
        <v>7763</v>
      </c>
      <c r="D965" s="29" t="s">
        <v>7762</v>
      </c>
      <c r="E965" s="18" t="s">
        <v>3410</v>
      </c>
      <c r="F965" s="19" t="str">
        <f t="shared" si="1"/>
        <v>XIDKV1</v>
      </c>
      <c r="G965" s="19" t="s">
        <v>5408</v>
      </c>
      <c r="H965" s="20" t="s">
        <v>3045</v>
      </c>
      <c r="I965" s="19" t="s">
        <v>5409</v>
      </c>
      <c r="J965" s="19" t="s">
        <v>5410</v>
      </c>
      <c r="K965" s="21" t="s">
        <v>5411</v>
      </c>
      <c r="L965" s="19" t="s">
        <v>6007</v>
      </c>
      <c r="M965" s="16" t="s">
        <v>3409</v>
      </c>
      <c r="N965" s="18"/>
      <c r="O965" s="18"/>
      <c r="P965" s="18">
        <f>VLOOKUP($A965,MasterData!$C$1:$I$3001,1,FALSE)</f>
        <v>8766</v>
      </c>
      <c r="Q965" s="18" t="str">
        <f t="shared" si="2"/>
        <v>XIDKV1</v>
      </c>
    </row>
    <row r="966" ht="15.75" customHeight="1">
      <c r="A966" s="15">
        <v>8788.0</v>
      </c>
      <c r="B966" s="16" t="s">
        <v>7764</v>
      </c>
      <c r="C966" s="17" t="s">
        <v>7765</v>
      </c>
      <c r="D966" s="29" t="s">
        <v>7764</v>
      </c>
      <c r="E966" s="18" t="s">
        <v>3412</v>
      </c>
      <c r="F966" s="19" t="str">
        <f t="shared" si="1"/>
        <v>XIDKV1</v>
      </c>
      <c r="G966" s="19" t="s">
        <v>5408</v>
      </c>
      <c r="H966" s="20" t="s">
        <v>3045</v>
      </c>
      <c r="I966" s="19" t="s">
        <v>5409</v>
      </c>
      <c r="J966" s="19" t="s">
        <v>5410</v>
      </c>
      <c r="K966" s="21" t="s">
        <v>5411</v>
      </c>
      <c r="L966" s="19" t="s">
        <v>6007</v>
      </c>
      <c r="M966" s="16" t="s">
        <v>3411</v>
      </c>
      <c r="N966" s="18"/>
      <c r="O966" s="18"/>
      <c r="P966" s="18">
        <f>VLOOKUP($A966,MasterData!$C$1:$I$3001,1,FALSE)</f>
        <v>8788</v>
      </c>
      <c r="Q966" s="18" t="str">
        <f t="shared" si="2"/>
        <v>XIDKV1</v>
      </c>
    </row>
    <row r="967" ht="15.75" customHeight="1">
      <c r="A967" s="15">
        <v>8798.0</v>
      </c>
      <c r="B967" s="16" t="s">
        <v>7766</v>
      </c>
      <c r="C967" s="17" t="s">
        <v>7767</v>
      </c>
      <c r="D967" s="29" t="s">
        <v>7766</v>
      </c>
      <c r="E967" s="18" t="s">
        <v>3414</v>
      </c>
      <c r="F967" s="19" t="str">
        <f t="shared" si="1"/>
        <v>XIDKV1</v>
      </c>
      <c r="G967" s="19" t="s">
        <v>5408</v>
      </c>
      <c r="H967" s="20" t="s">
        <v>3045</v>
      </c>
      <c r="I967" s="19" t="s">
        <v>5409</v>
      </c>
      <c r="J967" s="19" t="s">
        <v>5410</v>
      </c>
      <c r="K967" s="21" t="s">
        <v>5411</v>
      </c>
      <c r="L967" s="19" t="s">
        <v>6007</v>
      </c>
      <c r="M967" s="16" t="s">
        <v>3413</v>
      </c>
      <c r="N967" s="18"/>
      <c r="O967" s="18"/>
      <c r="P967" s="18">
        <f>VLOOKUP($A967,MasterData!$C$1:$I$3001,1,FALSE)</f>
        <v>8798</v>
      </c>
      <c r="Q967" s="18" t="str">
        <f t="shared" si="2"/>
        <v>XIDKV1</v>
      </c>
    </row>
    <row r="968" ht="15.75" customHeight="1">
      <c r="A968" s="15">
        <v>8828.0</v>
      </c>
      <c r="B968" s="16" t="s">
        <v>7768</v>
      </c>
      <c r="C968" s="17" t="s">
        <v>7769</v>
      </c>
      <c r="D968" s="29" t="s">
        <v>7768</v>
      </c>
      <c r="E968" s="18" t="s">
        <v>3416</v>
      </c>
      <c r="F968" s="19" t="str">
        <f t="shared" si="1"/>
        <v>XIDKV1</v>
      </c>
      <c r="G968" s="19" t="s">
        <v>5408</v>
      </c>
      <c r="H968" s="20" t="s">
        <v>3045</v>
      </c>
      <c r="I968" s="19" t="s">
        <v>5409</v>
      </c>
      <c r="J968" s="19" t="s">
        <v>5410</v>
      </c>
      <c r="K968" s="21" t="s">
        <v>5411</v>
      </c>
      <c r="L968" s="19" t="s">
        <v>6007</v>
      </c>
      <c r="M968" s="16" t="s">
        <v>3415</v>
      </c>
      <c r="N968" s="18"/>
      <c r="O968" s="18"/>
      <c r="P968" s="18">
        <f>VLOOKUP($A968,MasterData!$C$1:$I$3001,1,FALSE)</f>
        <v>8828</v>
      </c>
      <c r="Q968" s="18" t="str">
        <f t="shared" si="2"/>
        <v>XIDKV1</v>
      </c>
    </row>
    <row r="969" ht="15.75" customHeight="1">
      <c r="A969" s="15">
        <v>8866.0</v>
      </c>
      <c r="B969" s="16" t="s">
        <v>7770</v>
      </c>
      <c r="C969" s="17" t="s">
        <v>7771</v>
      </c>
      <c r="D969" s="29" t="s">
        <v>7770</v>
      </c>
      <c r="E969" s="18" t="s">
        <v>3418</v>
      </c>
      <c r="F969" s="19" t="str">
        <f t="shared" si="1"/>
        <v>XIDKV1</v>
      </c>
      <c r="G969" s="19" t="s">
        <v>5408</v>
      </c>
      <c r="H969" s="20" t="s">
        <v>3045</v>
      </c>
      <c r="I969" s="19" t="s">
        <v>5409</v>
      </c>
      <c r="J969" s="19" t="s">
        <v>5410</v>
      </c>
      <c r="K969" s="21" t="s">
        <v>5411</v>
      </c>
      <c r="L969" s="19" t="s">
        <v>6007</v>
      </c>
      <c r="M969" s="16" t="s">
        <v>3417</v>
      </c>
      <c r="N969" s="18"/>
      <c r="O969" s="18"/>
      <c r="P969" s="18">
        <f>VLOOKUP($A969,MasterData!$C$1:$I$3001,1,FALSE)</f>
        <v>8866</v>
      </c>
      <c r="Q969" s="18" t="str">
        <f t="shared" si="2"/>
        <v>XIDKV1</v>
      </c>
    </row>
    <row r="970" ht="15.75" customHeight="1">
      <c r="A970" s="15">
        <v>8893.0</v>
      </c>
      <c r="B970" s="16" t="s">
        <v>7772</v>
      </c>
      <c r="C970" s="17" t="s">
        <v>7773</v>
      </c>
      <c r="D970" s="29" t="s">
        <v>7772</v>
      </c>
      <c r="E970" s="18" t="s">
        <v>3420</v>
      </c>
      <c r="F970" s="19" t="str">
        <f t="shared" si="1"/>
        <v>XIDKV1</v>
      </c>
      <c r="G970" s="19" t="s">
        <v>5408</v>
      </c>
      <c r="H970" s="20" t="s">
        <v>3045</v>
      </c>
      <c r="I970" s="19" t="s">
        <v>5409</v>
      </c>
      <c r="J970" s="19" t="s">
        <v>5410</v>
      </c>
      <c r="K970" s="21" t="s">
        <v>5411</v>
      </c>
      <c r="L970" s="19" t="s">
        <v>6007</v>
      </c>
      <c r="M970" s="16" t="s">
        <v>3419</v>
      </c>
      <c r="N970" s="18"/>
      <c r="O970" s="18"/>
      <c r="P970" s="18">
        <f>VLOOKUP($A970,MasterData!$C$1:$I$3001,1,FALSE)</f>
        <v>8893</v>
      </c>
      <c r="Q970" s="18" t="str">
        <f t="shared" si="2"/>
        <v>XIDKV1</v>
      </c>
    </row>
    <row r="971" ht="15.75" customHeight="1">
      <c r="A971" s="15">
        <v>8897.0</v>
      </c>
      <c r="B971" s="16" t="s">
        <v>7774</v>
      </c>
      <c r="C971" s="17" t="s">
        <v>7775</v>
      </c>
      <c r="D971" s="29" t="s">
        <v>7774</v>
      </c>
      <c r="E971" s="18" t="s">
        <v>3422</v>
      </c>
      <c r="F971" s="19" t="str">
        <f t="shared" si="1"/>
        <v>XIDKV1</v>
      </c>
      <c r="G971" s="19" t="s">
        <v>5408</v>
      </c>
      <c r="H971" s="20" t="s">
        <v>3045</v>
      </c>
      <c r="I971" s="19" t="s">
        <v>5409</v>
      </c>
      <c r="J971" s="19" t="s">
        <v>5410</v>
      </c>
      <c r="K971" s="21" t="s">
        <v>5411</v>
      </c>
      <c r="L971" s="19" t="s">
        <v>6007</v>
      </c>
      <c r="M971" s="16" t="s">
        <v>3421</v>
      </c>
      <c r="N971" s="18"/>
      <c r="O971" s="18"/>
      <c r="P971" s="18">
        <f>VLOOKUP($A971,MasterData!$C$1:$I$3001,1,FALSE)</f>
        <v>8897</v>
      </c>
      <c r="Q971" s="18" t="str">
        <f t="shared" si="2"/>
        <v>XIDKV1</v>
      </c>
    </row>
    <row r="972" ht="15.75" customHeight="1">
      <c r="A972" s="15">
        <v>8908.0</v>
      </c>
      <c r="B972" s="16" t="s">
        <v>7776</v>
      </c>
      <c r="C972" s="17" t="s">
        <v>7777</v>
      </c>
      <c r="D972" s="29" t="s">
        <v>7776</v>
      </c>
      <c r="E972" s="18" t="s">
        <v>3424</v>
      </c>
      <c r="F972" s="19" t="str">
        <f t="shared" si="1"/>
        <v>XIDKV1</v>
      </c>
      <c r="G972" s="19" t="s">
        <v>5408</v>
      </c>
      <c r="H972" s="20" t="s">
        <v>3045</v>
      </c>
      <c r="I972" s="19" t="s">
        <v>5409</v>
      </c>
      <c r="J972" s="19" t="s">
        <v>5410</v>
      </c>
      <c r="K972" s="21" t="s">
        <v>5411</v>
      </c>
      <c r="L972" s="19" t="s">
        <v>6007</v>
      </c>
      <c r="M972" s="16" t="s">
        <v>3423</v>
      </c>
      <c r="N972" s="18"/>
      <c r="O972" s="18"/>
      <c r="P972" s="18">
        <f>VLOOKUP($A972,MasterData!$C$1:$I$3001,1,FALSE)</f>
        <v>8908</v>
      </c>
      <c r="Q972" s="18" t="str">
        <f t="shared" si="2"/>
        <v>XIDKV1</v>
      </c>
    </row>
    <row r="973" ht="15.75" customHeight="1">
      <c r="A973" s="15">
        <v>8911.0</v>
      </c>
      <c r="B973" s="16" t="s">
        <v>7778</v>
      </c>
      <c r="C973" s="17" t="s">
        <v>7779</v>
      </c>
      <c r="D973" s="29" t="s">
        <v>7778</v>
      </c>
      <c r="E973" s="18" t="s">
        <v>3426</v>
      </c>
      <c r="F973" s="19" t="str">
        <f t="shared" si="1"/>
        <v>XIDKV1</v>
      </c>
      <c r="G973" s="19" t="s">
        <v>5408</v>
      </c>
      <c r="H973" s="20" t="s">
        <v>3045</v>
      </c>
      <c r="I973" s="19" t="s">
        <v>5409</v>
      </c>
      <c r="J973" s="19" t="s">
        <v>5410</v>
      </c>
      <c r="K973" s="21" t="s">
        <v>5411</v>
      </c>
      <c r="L973" s="19" t="s">
        <v>6007</v>
      </c>
      <c r="M973" s="16" t="s">
        <v>3425</v>
      </c>
      <c r="N973" s="18"/>
      <c r="O973" s="18"/>
      <c r="P973" s="18">
        <f>VLOOKUP($A973,MasterData!$C$1:$I$3001,1,FALSE)</f>
        <v>8911</v>
      </c>
      <c r="Q973" s="18" t="str">
        <f t="shared" si="2"/>
        <v>XIDKV1</v>
      </c>
    </row>
    <row r="974" ht="15.75" customHeight="1">
      <c r="A974" s="15">
        <v>8932.0</v>
      </c>
      <c r="B974" s="16" t="s">
        <v>7780</v>
      </c>
      <c r="C974" s="17" t="s">
        <v>7781</v>
      </c>
      <c r="D974" s="29" t="s">
        <v>7780</v>
      </c>
      <c r="E974" s="18" t="s">
        <v>3428</v>
      </c>
      <c r="F974" s="19" t="str">
        <f t="shared" si="1"/>
        <v>XIDKV1</v>
      </c>
      <c r="G974" s="19" t="s">
        <v>5408</v>
      </c>
      <c r="H974" s="20" t="s">
        <v>3045</v>
      </c>
      <c r="I974" s="19" t="s">
        <v>5409</v>
      </c>
      <c r="J974" s="19" t="s">
        <v>5410</v>
      </c>
      <c r="K974" s="21" t="s">
        <v>5411</v>
      </c>
      <c r="L974" s="19" t="s">
        <v>6007</v>
      </c>
      <c r="M974" s="16" t="s">
        <v>3427</v>
      </c>
      <c r="N974" s="18"/>
      <c r="O974" s="18"/>
      <c r="P974" s="18">
        <f>VLOOKUP($A974,MasterData!$C$1:$I$3001,1,FALSE)</f>
        <v>8932</v>
      </c>
      <c r="Q974" s="18" t="str">
        <f t="shared" si="2"/>
        <v>XIDKV1</v>
      </c>
    </row>
    <row r="975" ht="15.75" customHeight="1">
      <c r="A975" s="15">
        <v>8948.0</v>
      </c>
      <c r="B975" s="16" t="s">
        <v>7782</v>
      </c>
      <c r="C975" s="17" t="s">
        <v>7783</v>
      </c>
      <c r="D975" s="29" t="s">
        <v>7782</v>
      </c>
      <c r="E975" s="18" t="s">
        <v>3430</v>
      </c>
      <c r="F975" s="19" t="str">
        <f t="shared" si="1"/>
        <v>XIDKV1</v>
      </c>
      <c r="G975" s="19" t="s">
        <v>5408</v>
      </c>
      <c r="H975" s="20" t="s">
        <v>3045</v>
      </c>
      <c r="I975" s="19" t="s">
        <v>5409</v>
      </c>
      <c r="J975" s="19" t="s">
        <v>5410</v>
      </c>
      <c r="K975" s="21" t="s">
        <v>5411</v>
      </c>
      <c r="L975" s="19" t="s">
        <v>6007</v>
      </c>
      <c r="M975" s="16" t="s">
        <v>3429</v>
      </c>
      <c r="N975" s="18"/>
      <c r="O975" s="18"/>
      <c r="P975" s="18">
        <f>VLOOKUP($A975,MasterData!$C$1:$I$3001,1,FALSE)</f>
        <v>8948</v>
      </c>
      <c r="Q975" s="18" t="str">
        <f t="shared" si="2"/>
        <v>XIDKV1</v>
      </c>
    </row>
    <row r="976" ht="15.75" customHeight="1">
      <c r="A976" s="15">
        <v>8954.0</v>
      </c>
      <c r="B976" s="16" t="s">
        <v>7784</v>
      </c>
      <c r="C976" s="17" t="s">
        <v>7785</v>
      </c>
      <c r="D976" s="29" t="s">
        <v>7784</v>
      </c>
      <c r="E976" s="18" t="s">
        <v>3432</v>
      </c>
      <c r="F976" s="19" t="str">
        <f t="shared" si="1"/>
        <v>XIDKV1</v>
      </c>
      <c r="G976" s="19" t="s">
        <v>5408</v>
      </c>
      <c r="H976" s="20" t="s">
        <v>3045</v>
      </c>
      <c r="I976" s="19" t="s">
        <v>5409</v>
      </c>
      <c r="J976" s="19" t="s">
        <v>5410</v>
      </c>
      <c r="K976" s="21" t="s">
        <v>5411</v>
      </c>
      <c r="L976" s="19" t="s">
        <v>6007</v>
      </c>
      <c r="M976" s="16" t="s">
        <v>3431</v>
      </c>
      <c r="N976" s="18"/>
      <c r="O976" s="18"/>
      <c r="P976" s="18">
        <f>VLOOKUP($A976,MasterData!$C$1:$I$3001,1,FALSE)</f>
        <v>8954</v>
      </c>
      <c r="Q976" s="18" t="str">
        <f t="shared" si="2"/>
        <v>XIDKV1</v>
      </c>
    </row>
    <row r="977" ht="15.75" customHeight="1">
      <c r="A977" s="15">
        <v>8964.0</v>
      </c>
      <c r="B977" s="16" t="s">
        <v>7786</v>
      </c>
      <c r="C977" s="17" t="s">
        <v>7787</v>
      </c>
      <c r="D977" s="29" t="s">
        <v>7786</v>
      </c>
      <c r="E977" s="18" t="s">
        <v>3434</v>
      </c>
      <c r="F977" s="19" t="str">
        <f t="shared" si="1"/>
        <v>XIDKV1</v>
      </c>
      <c r="G977" s="19" t="s">
        <v>5408</v>
      </c>
      <c r="H977" s="20" t="s">
        <v>3045</v>
      </c>
      <c r="I977" s="19" t="s">
        <v>5409</v>
      </c>
      <c r="J977" s="19" t="s">
        <v>5410</v>
      </c>
      <c r="K977" s="21" t="s">
        <v>5411</v>
      </c>
      <c r="L977" s="19" t="s">
        <v>6007</v>
      </c>
      <c r="M977" s="16" t="s">
        <v>3433</v>
      </c>
      <c r="N977" s="18"/>
      <c r="O977" s="18"/>
      <c r="P977" s="18">
        <f>VLOOKUP($A977,MasterData!$C$1:$I$3001,1,FALSE)</f>
        <v>8964</v>
      </c>
      <c r="Q977" s="18" t="str">
        <f t="shared" si="2"/>
        <v>XIDKV1</v>
      </c>
    </row>
    <row r="978" ht="15.75" customHeight="1">
      <c r="A978" s="15">
        <v>9016.0</v>
      </c>
      <c r="B978" s="16" t="s">
        <v>7788</v>
      </c>
      <c r="C978" s="17" t="s">
        <v>7789</v>
      </c>
      <c r="D978" s="29" t="s">
        <v>7788</v>
      </c>
      <c r="E978" s="18" t="s">
        <v>3436</v>
      </c>
      <c r="F978" s="19" t="str">
        <f t="shared" si="1"/>
        <v>XIDKV1</v>
      </c>
      <c r="G978" s="19" t="s">
        <v>5408</v>
      </c>
      <c r="H978" s="20" t="s">
        <v>3045</v>
      </c>
      <c r="I978" s="19" t="s">
        <v>5409</v>
      </c>
      <c r="J978" s="19" t="s">
        <v>5410</v>
      </c>
      <c r="K978" s="21" t="s">
        <v>5411</v>
      </c>
      <c r="L978" s="19" t="s">
        <v>6007</v>
      </c>
      <c r="M978" s="16" t="s">
        <v>3435</v>
      </c>
      <c r="N978" s="18"/>
      <c r="O978" s="18"/>
      <c r="P978" s="18">
        <f>VLOOKUP($A978,MasterData!$C$1:$I$3001,1,FALSE)</f>
        <v>9016</v>
      </c>
      <c r="Q978" s="18" t="str">
        <f t="shared" si="2"/>
        <v>XIDKV1</v>
      </c>
    </row>
    <row r="979" ht="15.75" customHeight="1">
      <c r="A979" s="15">
        <v>9041.0</v>
      </c>
      <c r="B979" s="16" t="s">
        <v>7790</v>
      </c>
      <c r="C979" s="17" t="s">
        <v>7791</v>
      </c>
      <c r="D979" s="29" t="s">
        <v>7790</v>
      </c>
      <c r="E979" s="18" t="s">
        <v>3438</v>
      </c>
      <c r="F979" s="19" t="str">
        <f t="shared" si="1"/>
        <v>XIDKV1</v>
      </c>
      <c r="G979" s="19" t="s">
        <v>5408</v>
      </c>
      <c r="H979" s="20" t="s">
        <v>3045</v>
      </c>
      <c r="I979" s="19" t="s">
        <v>5409</v>
      </c>
      <c r="J979" s="19" t="s">
        <v>5410</v>
      </c>
      <c r="K979" s="21" t="s">
        <v>5411</v>
      </c>
      <c r="L979" s="19" t="s">
        <v>6007</v>
      </c>
      <c r="M979" s="16" t="s">
        <v>3437</v>
      </c>
      <c r="N979" s="18"/>
      <c r="O979" s="18"/>
      <c r="P979" s="18">
        <f>VLOOKUP($A979,MasterData!$C$1:$I$3001,1,FALSE)</f>
        <v>9041</v>
      </c>
      <c r="Q979" s="18" t="str">
        <f t="shared" si="2"/>
        <v>XIDKV1</v>
      </c>
    </row>
    <row r="980" ht="15.75" customHeight="1">
      <c r="A980" s="15">
        <v>9052.0</v>
      </c>
      <c r="B980" s="16" t="s">
        <v>7792</v>
      </c>
      <c r="C980" s="17" t="s">
        <v>7793</v>
      </c>
      <c r="D980" s="29" t="s">
        <v>7792</v>
      </c>
      <c r="E980" s="18" t="s">
        <v>3440</v>
      </c>
      <c r="F980" s="19" t="str">
        <f t="shared" si="1"/>
        <v>XIDKV1</v>
      </c>
      <c r="G980" s="19" t="s">
        <v>5408</v>
      </c>
      <c r="H980" s="20" t="s">
        <v>3045</v>
      </c>
      <c r="I980" s="19" t="s">
        <v>5409</v>
      </c>
      <c r="J980" s="19" t="s">
        <v>5410</v>
      </c>
      <c r="K980" s="21" t="s">
        <v>5411</v>
      </c>
      <c r="L980" s="19" t="s">
        <v>6007</v>
      </c>
      <c r="M980" s="16" t="s">
        <v>3439</v>
      </c>
      <c r="N980" s="18"/>
      <c r="O980" s="18"/>
      <c r="P980" s="18">
        <f>VLOOKUP($A980,MasterData!$C$1:$I$3001,1,FALSE)</f>
        <v>9052</v>
      </c>
      <c r="Q980" s="18" t="str">
        <f t="shared" si="2"/>
        <v>XIDKV1</v>
      </c>
    </row>
    <row r="981" ht="15.75" customHeight="1">
      <c r="A981" s="15">
        <v>9062.0</v>
      </c>
      <c r="B981" s="16" t="s">
        <v>7794</v>
      </c>
      <c r="C981" s="17" t="s">
        <v>7795</v>
      </c>
      <c r="D981" s="29" t="s">
        <v>7794</v>
      </c>
      <c r="E981" s="18" t="s">
        <v>3442</v>
      </c>
      <c r="F981" s="19" t="str">
        <f t="shared" si="1"/>
        <v>XIDKV1</v>
      </c>
      <c r="G981" s="19" t="s">
        <v>5408</v>
      </c>
      <c r="H981" s="20" t="s">
        <v>3045</v>
      </c>
      <c r="I981" s="19" t="s">
        <v>5409</v>
      </c>
      <c r="J981" s="19" t="s">
        <v>5410</v>
      </c>
      <c r="K981" s="21" t="s">
        <v>5411</v>
      </c>
      <c r="L981" s="19" t="s">
        <v>6007</v>
      </c>
      <c r="M981" s="16" t="s">
        <v>3441</v>
      </c>
      <c r="N981" s="18"/>
      <c r="O981" s="18"/>
      <c r="P981" s="18">
        <f>VLOOKUP($A981,MasterData!$C$1:$I$3001,1,FALSE)</f>
        <v>9062</v>
      </c>
      <c r="Q981" s="18" t="str">
        <f t="shared" si="2"/>
        <v>XIDKV1</v>
      </c>
    </row>
    <row r="982" ht="15.75" customHeight="1">
      <c r="A982" s="15">
        <v>9070.0</v>
      </c>
      <c r="B982" s="16" t="s">
        <v>7796</v>
      </c>
      <c r="C982" s="30" t="s">
        <v>7797</v>
      </c>
      <c r="D982" s="29" t="s">
        <v>7796</v>
      </c>
      <c r="E982" s="18" t="s">
        <v>3444</v>
      </c>
      <c r="F982" s="19" t="str">
        <f t="shared" si="1"/>
        <v>XIDKV1</v>
      </c>
      <c r="G982" s="19" t="s">
        <v>5408</v>
      </c>
      <c r="H982" s="20" t="s">
        <v>3045</v>
      </c>
      <c r="I982" s="19" t="s">
        <v>5409</v>
      </c>
      <c r="J982" s="19" t="s">
        <v>5410</v>
      </c>
      <c r="K982" s="21" t="s">
        <v>5411</v>
      </c>
      <c r="L982" s="19" t="s">
        <v>6007</v>
      </c>
      <c r="M982" s="16" t="s">
        <v>3443</v>
      </c>
      <c r="N982" s="18"/>
      <c r="O982" s="18"/>
      <c r="P982" s="18">
        <f>VLOOKUP($A982,MasterData!$C$1:$I$3001,1,FALSE)</f>
        <v>9070</v>
      </c>
      <c r="Q982" s="18" t="str">
        <f t="shared" si="2"/>
        <v>XIDKV1</v>
      </c>
    </row>
    <row r="983" ht="15.75" customHeight="1">
      <c r="A983" s="15">
        <v>9075.0</v>
      </c>
      <c r="B983" s="16" t="s">
        <v>7798</v>
      </c>
      <c r="C983" s="17" t="s">
        <v>7799</v>
      </c>
      <c r="D983" s="29" t="s">
        <v>7798</v>
      </c>
      <c r="E983" s="18" t="s">
        <v>3446</v>
      </c>
      <c r="F983" s="19" t="str">
        <f t="shared" si="1"/>
        <v>XIDKV1</v>
      </c>
      <c r="G983" s="19" t="s">
        <v>5408</v>
      </c>
      <c r="H983" s="20" t="s">
        <v>3045</v>
      </c>
      <c r="I983" s="19" t="s">
        <v>5409</v>
      </c>
      <c r="J983" s="19" t="s">
        <v>5410</v>
      </c>
      <c r="K983" s="21" t="s">
        <v>5411</v>
      </c>
      <c r="L983" s="19" t="s">
        <v>6007</v>
      </c>
      <c r="M983" s="16" t="s">
        <v>3445</v>
      </c>
      <c r="N983" s="18"/>
      <c r="O983" s="18"/>
      <c r="P983" s="18">
        <f>VLOOKUP($A983,MasterData!$C$1:$I$3001,1,FALSE)</f>
        <v>9075</v>
      </c>
      <c r="Q983" s="18" t="str">
        <f t="shared" si="2"/>
        <v>XIDKV1</v>
      </c>
    </row>
    <row r="984" ht="15.75" customHeight="1">
      <c r="A984" s="15">
        <v>9084.0</v>
      </c>
      <c r="B984" s="16" t="s">
        <v>7800</v>
      </c>
      <c r="C984" s="17" t="s">
        <v>7801</v>
      </c>
      <c r="D984" s="29" t="s">
        <v>7800</v>
      </c>
      <c r="E984" s="18" t="s">
        <v>3448</v>
      </c>
      <c r="F984" s="19" t="str">
        <f t="shared" si="1"/>
        <v>XIDKV1</v>
      </c>
      <c r="G984" s="19" t="s">
        <v>5408</v>
      </c>
      <c r="H984" s="20" t="s">
        <v>3045</v>
      </c>
      <c r="I984" s="19" t="s">
        <v>5409</v>
      </c>
      <c r="J984" s="19" t="s">
        <v>5410</v>
      </c>
      <c r="K984" s="21" t="s">
        <v>5411</v>
      </c>
      <c r="L984" s="19" t="s">
        <v>6007</v>
      </c>
      <c r="M984" s="16" t="s">
        <v>3447</v>
      </c>
      <c r="N984" s="18"/>
      <c r="O984" s="18"/>
      <c r="P984" s="18">
        <f>VLOOKUP($A984,MasterData!$C$1:$I$3001,1,FALSE)</f>
        <v>9084</v>
      </c>
      <c r="Q984" s="18" t="str">
        <f t="shared" si="2"/>
        <v>XIDKV1</v>
      </c>
    </row>
    <row r="985" ht="15.75" customHeight="1">
      <c r="A985" s="15">
        <v>9105.0</v>
      </c>
      <c r="B985" s="16" t="s">
        <v>7802</v>
      </c>
      <c r="C985" s="17" t="s">
        <v>7803</v>
      </c>
      <c r="D985" s="29" t="s">
        <v>7802</v>
      </c>
      <c r="E985" s="18" t="s">
        <v>3450</v>
      </c>
      <c r="F985" s="19" t="str">
        <f t="shared" si="1"/>
        <v>XIDKV1</v>
      </c>
      <c r="G985" s="19" t="s">
        <v>5408</v>
      </c>
      <c r="H985" s="20" t="s">
        <v>3045</v>
      </c>
      <c r="I985" s="19" t="s">
        <v>5409</v>
      </c>
      <c r="J985" s="19" t="s">
        <v>5410</v>
      </c>
      <c r="K985" s="21" t="s">
        <v>5411</v>
      </c>
      <c r="L985" s="19" t="s">
        <v>6007</v>
      </c>
      <c r="M985" s="16" t="s">
        <v>3449</v>
      </c>
      <c r="N985" s="18"/>
      <c r="O985" s="18"/>
      <c r="P985" s="18">
        <f>VLOOKUP($A985,MasterData!$C$1:$I$3001,1,FALSE)</f>
        <v>9105</v>
      </c>
      <c r="Q985" s="18" t="str">
        <f t="shared" si="2"/>
        <v>XIDKV1</v>
      </c>
    </row>
    <row r="986" ht="15.75" customHeight="1">
      <c r="A986" s="15">
        <v>9126.0</v>
      </c>
      <c r="B986" s="16" t="s">
        <v>7804</v>
      </c>
      <c r="C986" s="17" t="s">
        <v>7805</v>
      </c>
      <c r="D986" s="29" t="s">
        <v>7804</v>
      </c>
      <c r="E986" s="18" t="s">
        <v>3452</v>
      </c>
      <c r="F986" s="19" t="str">
        <f t="shared" si="1"/>
        <v>XIDKV1</v>
      </c>
      <c r="G986" s="19" t="s">
        <v>5408</v>
      </c>
      <c r="H986" s="20" t="s">
        <v>3045</v>
      </c>
      <c r="I986" s="19" t="s">
        <v>5409</v>
      </c>
      <c r="J986" s="19" t="s">
        <v>5410</v>
      </c>
      <c r="K986" s="21" t="s">
        <v>5411</v>
      </c>
      <c r="L986" s="19" t="s">
        <v>6007</v>
      </c>
      <c r="M986" s="16" t="s">
        <v>3451</v>
      </c>
      <c r="N986" s="18"/>
      <c r="O986" s="18"/>
      <c r="P986" s="18">
        <f>VLOOKUP($A986,MasterData!$C$1:$I$3001,1,FALSE)</f>
        <v>9126</v>
      </c>
      <c r="Q986" s="18" t="str">
        <f t="shared" si="2"/>
        <v>XIDKV1</v>
      </c>
    </row>
    <row r="987" ht="15.75" customHeight="1">
      <c r="A987" s="15">
        <v>9130.0</v>
      </c>
      <c r="B987" s="16" t="s">
        <v>7806</v>
      </c>
      <c r="C987" s="17" t="s">
        <v>7807</v>
      </c>
      <c r="D987" s="29" t="s">
        <v>7806</v>
      </c>
      <c r="E987" s="18" t="s">
        <v>3454</v>
      </c>
      <c r="F987" s="19" t="str">
        <f t="shared" si="1"/>
        <v>XIDKV1</v>
      </c>
      <c r="G987" s="19" t="s">
        <v>5408</v>
      </c>
      <c r="H987" s="20" t="s">
        <v>3045</v>
      </c>
      <c r="I987" s="19" t="s">
        <v>5409</v>
      </c>
      <c r="J987" s="19" t="s">
        <v>5410</v>
      </c>
      <c r="K987" s="21" t="s">
        <v>5411</v>
      </c>
      <c r="L987" s="19" t="s">
        <v>6007</v>
      </c>
      <c r="M987" s="16" t="s">
        <v>3453</v>
      </c>
      <c r="N987" s="18"/>
      <c r="O987" s="18"/>
      <c r="P987" s="18">
        <f>VLOOKUP($A987,MasterData!$C$1:$I$3001,1,FALSE)</f>
        <v>9130</v>
      </c>
      <c r="Q987" s="18" t="str">
        <f t="shared" si="2"/>
        <v>XIDKV1</v>
      </c>
    </row>
    <row r="988" ht="15.75" customHeight="1">
      <c r="A988" s="15">
        <v>9153.0</v>
      </c>
      <c r="B988" s="16" t="s">
        <v>7808</v>
      </c>
      <c r="C988" s="17" t="s">
        <v>7809</v>
      </c>
      <c r="D988" s="29" t="s">
        <v>7808</v>
      </c>
      <c r="E988" s="18" t="s">
        <v>3456</v>
      </c>
      <c r="F988" s="19" t="str">
        <f t="shared" si="1"/>
        <v>XIDKV1</v>
      </c>
      <c r="G988" s="19" t="s">
        <v>5408</v>
      </c>
      <c r="H988" s="20" t="s">
        <v>3045</v>
      </c>
      <c r="I988" s="19" t="s">
        <v>5409</v>
      </c>
      <c r="J988" s="19" t="s">
        <v>5410</v>
      </c>
      <c r="K988" s="21" t="s">
        <v>5411</v>
      </c>
      <c r="L988" s="19" t="s">
        <v>6007</v>
      </c>
      <c r="M988" s="16" t="s">
        <v>3455</v>
      </c>
      <c r="N988" s="18"/>
      <c r="O988" s="18"/>
      <c r="P988" s="18">
        <f>VLOOKUP($A988,MasterData!$C$1:$I$3001,1,FALSE)</f>
        <v>9153</v>
      </c>
      <c r="Q988" s="18" t="str">
        <f t="shared" si="2"/>
        <v>XIDKV1</v>
      </c>
    </row>
    <row r="989" ht="15.75" customHeight="1">
      <c r="A989" s="15">
        <v>9161.0</v>
      </c>
      <c r="B989" s="16" t="s">
        <v>7810</v>
      </c>
      <c r="C989" s="17" t="s">
        <v>7811</v>
      </c>
      <c r="D989" s="29" t="s">
        <v>7810</v>
      </c>
      <c r="E989" s="18" t="s">
        <v>3458</v>
      </c>
      <c r="F989" s="19" t="str">
        <f t="shared" si="1"/>
        <v>XIDKV1</v>
      </c>
      <c r="G989" s="19" t="s">
        <v>5408</v>
      </c>
      <c r="H989" s="20" t="s">
        <v>3045</v>
      </c>
      <c r="I989" s="19" t="s">
        <v>5409</v>
      </c>
      <c r="J989" s="19" t="s">
        <v>5410</v>
      </c>
      <c r="K989" s="21" t="s">
        <v>5411</v>
      </c>
      <c r="L989" s="19" t="s">
        <v>6007</v>
      </c>
      <c r="M989" s="16" t="s">
        <v>3457</v>
      </c>
      <c r="N989" s="18"/>
      <c r="O989" s="18"/>
      <c r="P989" s="18">
        <f>VLOOKUP($A989,MasterData!$C$1:$I$3001,1,FALSE)</f>
        <v>9161</v>
      </c>
      <c r="Q989" s="18" t="str">
        <f t="shared" si="2"/>
        <v>XIDKV1</v>
      </c>
    </row>
    <row r="990" ht="15.75" customHeight="1">
      <c r="A990" s="15">
        <v>9171.0</v>
      </c>
      <c r="B990" s="16" t="s">
        <v>7812</v>
      </c>
      <c r="C990" s="17" t="s">
        <v>7813</v>
      </c>
      <c r="D990" s="29" t="s">
        <v>7812</v>
      </c>
      <c r="E990" s="18" t="s">
        <v>3460</v>
      </c>
      <c r="F990" s="19" t="str">
        <f t="shared" si="1"/>
        <v>XIDKV1</v>
      </c>
      <c r="G990" s="19" t="s">
        <v>5408</v>
      </c>
      <c r="H990" s="20" t="s">
        <v>3045</v>
      </c>
      <c r="I990" s="19" t="s">
        <v>5409</v>
      </c>
      <c r="J990" s="19" t="s">
        <v>5410</v>
      </c>
      <c r="K990" s="21" t="s">
        <v>5411</v>
      </c>
      <c r="L990" s="19" t="s">
        <v>6007</v>
      </c>
      <c r="M990" s="16" t="s">
        <v>3459</v>
      </c>
      <c r="N990" s="18"/>
      <c r="O990" s="18"/>
      <c r="P990" s="18">
        <f>VLOOKUP($A990,MasterData!$C$1:$I$3001,1,FALSE)</f>
        <v>9171</v>
      </c>
      <c r="Q990" s="18" t="str">
        <f t="shared" si="2"/>
        <v>XIDKV1</v>
      </c>
    </row>
    <row r="991" ht="15.75" customHeight="1">
      <c r="A991" s="15">
        <v>9182.0</v>
      </c>
      <c r="B991" s="16" t="s">
        <v>7814</v>
      </c>
      <c r="C991" s="17" t="s">
        <v>7815</v>
      </c>
      <c r="D991" s="29" t="s">
        <v>7814</v>
      </c>
      <c r="E991" s="18" t="s">
        <v>3462</v>
      </c>
      <c r="F991" s="19" t="str">
        <f t="shared" si="1"/>
        <v>XIDKV1</v>
      </c>
      <c r="G991" s="19" t="s">
        <v>5408</v>
      </c>
      <c r="H991" s="20" t="s">
        <v>3045</v>
      </c>
      <c r="I991" s="19" t="s">
        <v>5409</v>
      </c>
      <c r="J991" s="19" t="s">
        <v>5410</v>
      </c>
      <c r="K991" s="21" t="s">
        <v>5411</v>
      </c>
      <c r="L991" s="19" t="s">
        <v>6007</v>
      </c>
      <c r="M991" s="16" t="s">
        <v>3461</v>
      </c>
      <c r="N991" s="18"/>
      <c r="O991" s="18"/>
      <c r="P991" s="18">
        <f>VLOOKUP($A991,MasterData!$C$1:$I$3001,1,FALSE)</f>
        <v>9182</v>
      </c>
      <c r="Q991" s="18" t="str">
        <f t="shared" si="2"/>
        <v>XIDKV1</v>
      </c>
    </row>
    <row r="992" ht="15.75" customHeight="1">
      <c r="A992" s="15">
        <v>9201.0</v>
      </c>
      <c r="B992" s="16" t="s">
        <v>7816</v>
      </c>
      <c r="C992" s="17" t="s">
        <v>7817</v>
      </c>
      <c r="D992" s="29" t="s">
        <v>7816</v>
      </c>
      <c r="E992" s="18" t="s">
        <v>3464</v>
      </c>
      <c r="F992" s="19" t="str">
        <f t="shared" si="1"/>
        <v>XIDKV1</v>
      </c>
      <c r="G992" s="19" t="s">
        <v>5408</v>
      </c>
      <c r="H992" s="20" t="s">
        <v>3045</v>
      </c>
      <c r="I992" s="19" t="s">
        <v>5409</v>
      </c>
      <c r="J992" s="19" t="s">
        <v>5410</v>
      </c>
      <c r="K992" s="21" t="s">
        <v>5411</v>
      </c>
      <c r="L992" s="19" t="s">
        <v>6007</v>
      </c>
      <c r="M992" s="16" t="s">
        <v>3463</v>
      </c>
      <c r="N992" s="18"/>
      <c r="O992" s="18"/>
      <c r="P992" s="18">
        <f>VLOOKUP($A992,MasterData!$C$1:$I$3001,1,FALSE)</f>
        <v>9201</v>
      </c>
      <c r="Q992" s="18" t="str">
        <f t="shared" si="2"/>
        <v>XIDKV1</v>
      </c>
    </row>
    <row r="993" ht="15.75" customHeight="1">
      <c r="A993" s="15">
        <v>9232.0</v>
      </c>
      <c r="B993" s="16" t="s">
        <v>7818</v>
      </c>
      <c r="C993" s="17" t="s">
        <v>7819</v>
      </c>
      <c r="D993" s="29" t="s">
        <v>7818</v>
      </c>
      <c r="E993" s="18" t="s">
        <v>3466</v>
      </c>
      <c r="F993" s="19" t="str">
        <f t="shared" si="1"/>
        <v>XIDKV1</v>
      </c>
      <c r="G993" s="19" t="s">
        <v>5408</v>
      </c>
      <c r="H993" s="20" t="s">
        <v>3045</v>
      </c>
      <c r="I993" s="19" t="s">
        <v>5409</v>
      </c>
      <c r="J993" s="19" t="s">
        <v>5410</v>
      </c>
      <c r="K993" s="21" t="s">
        <v>5411</v>
      </c>
      <c r="L993" s="19" t="s">
        <v>6007</v>
      </c>
      <c r="M993" s="16" t="s">
        <v>3465</v>
      </c>
      <c r="N993" s="18"/>
      <c r="O993" s="18"/>
      <c r="P993" s="18">
        <f>VLOOKUP($A993,MasterData!$C$1:$I$3001,1,FALSE)</f>
        <v>9232</v>
      </c>
      <c r="Q993" s="18" t="str">
        <f t="shared" si="2"/>
        <v>XIDKV1</v>
      </c>
    </row>
    <row r="994" ht="15.75" customHeight="1">
      <c r="A994" s="31">
        <v>9305.0</v>
      </c>
      <c r="B994" s="22" t="s">
        <v>1752</v>
      </c>
      <c r="C994" s="24" t="s">
        <v>7820</v>
      </c>
      <c r="D994" s="32" t="s">
        <v>1752</v>
      </c>
      <c r="E994" s="22" t="s">
        <v>1751</v>
      </c>
      <c r="F994" s="19" t="str">
        <f t="shared" si="1"/>
        <v>XDKV2</v>
      </c>
      <c r="G994" s="19" t="s">
        <v>5408</v>
      </c>
      <c r="H994" s="20" t="s">
        <v>1212</v>
      </c>
      <c r="I994" s="19" t="s">
        <v>5409</v>
      </c>
      <c r="J994" s="19" t="s">
        <v>5410</v>
      </c>
      <c r="K994" s="25" t="s">
        <v>7500</v>
      </c>
      <c r="L994" s="20" t="s">
        <v>6116</v>
      </c>
      <c r="M994" s="23" t="s">
        <v>1750</v>
      </c>
      <c r="N994" s="18"/>
      <c r="O994" s="18"/>
      <c r="P994" s="18">
        <f>VLOOKUP($A994,MasterData!$C$1:$I$3001,1,FALSE)</f>
        <v>9305</v>
      </c>
      <c r="Q994" s="18" t="str">
        <f t="shared" si="2"/>
        <v>XDKV2</v>
      </c>
    </row>
    <row r="995" ht="15.75" customHeight="1">
      <c r="A995" s="31">
        <v>9312.0</v>
      </c>
      <c r="B995" s="22" t="s">
        <v>1755</v>
      </c>
      <c r="C995" s="24" t="s">
        <v>7821</v>
      </c>
      <c r="D995" s="32" t="s">
        <v>1755</v>
      </c>
      <c r="E995" s="22" t="s">
        <v>1754</v>
      </c>
      <c r="F995" s="19" t="str">
        <f t="shared" si="1"/>
        <v>XDKV2</v>
      </c>
      <c r="G995" s="19" t="s">
        <v>5408</v>
      </c>
      <c r="H995" s="20" t="s">
        <v>1212</v>
      </c>
      <c r="I995" s="19" t="s">
        <v>5409</v>
      </c>
      <c r="J995" s="19" t="s">
        <v>5410</v>
      </c>
      <c r="K995" s="25" t="s">
        <v>7500</v>
      </c>
      <c r="L995" s="20" t="s">
        <v>6116</v>
      </c>
      <c r="M995" s="23" t="s">
        <v>1753</v>
      </c>
      <c r="N995" s="18"/>
      <c r="O995" s="18"/>
      <c r="P995" s="18">
        <f>VLOOKUP($A995,MasterData!$C$1:$I$3001,1,FALSE)</f>
        <v>9312</v>
      </c>
      <c r="Q995" s="18" t="str">
        <f t="shared" si="2"/>
        <v>XDKV2</v>
      </c>
    </row>
    <row r="996" ht="15.75" customHeight="1">
      <c r="A996" s="31">
        <v>9326.0</v>
      </c>
      <c r="B996" s="22" t="s">
        <v>1758</v>
      </c>
      <c r="C996" s="24" t="s">
        <v>7822</v>
      </c>
      <c r="D996" s="32" t="s">
        <v>1758</v>
      </c>
      <c r="E996" s="22" t="s">
        <v>1757</v>
      </c>
      <c r="F996" s="19" t="str">
        <f t="shared" si="1"/>
        <v>XDKV2</v>
      </c>
      <c r="G996" s="19" t="s">
        <v>5408</v>
      </c>
      <c r="H996" s="20" t="s">
        <v>1212</v>
      </c>
      <c r="I996" s="19" t="s">
        <v>5409</v>
      </c>
      <c r="J996" s="19" t="s">
        <v>5410</v>
      </c>
      <c r="K996" s="25" t="s">
        <v>7500</v>
      </c>
      <c r="L996" s="20" t="s">
        <v>6116</v>
      </c>
      <c r="M996" s="23" t="s">
        <v>1756</v>
      </c>
      <c r="N996" s="18"/>
      <c r="O996" s="18"/>
      <c r="P996" s="18">
        <f>VLOOKUP($A996,MasterData!$C$1:$I$3001,1,FALSE)</f>
        <v>9326</v>
      </c>
      <c r="Q996" s="18" t="str">
        <f t="shared" si="2"/>
        <v>XDKV2</v>
      </c>
    </row>
    <row r="997" ht="15.75" customHeight="1">
      <c r="A997" s="31">
        <v>9348.0</v>
      </c>
      <c r="B997" s="22" t="s">
        <v>1761</v>
      </c>
      <c r="C997" s="24" t="s">
        <v>7823</v>
      </c>
      <c r="D997" s="32" t="s">
        <v>1761</v>
      </c>
      <c r="E997" s="22" t="s">
        <v>1760</v>
      </c>
      <c r="F997" s="19" t="str">
        <f t="shared" si="1"/>
        <v>XDKV2</v>
      </c>
      <c r="G997" s="19" t="s">
        <v>5408</v>
      </c>
      <c r="H997" s="20" t="s">
        <v>1212</v>
      </c>
      <c r="I997" s="19" t="s">
        <v>5409</v>
      </c>
      <c r="J997" s="19" t="s">
        <v>5410</v>
      </c>
      <c r="K997" s="25" t="s">
        <v>7500</v>
      </c>
      <c r="L997" s="20" t="s">
        <v>6116</v>
      </c>
      <c r="M997" s="23" t="s">
        <v>1759</v>
      </c>
      <c r="N997" s="18"/>
      <c r="O997" s="18"/>
      <c r="P997" s="18">
        <f>VLOOKUP($A997,MasterData!$C$1:$I$3001,1,FALSE)</f>
        <v>9348</v>
      </c>
      <c r="Q997" s="18" t="str">
        <f t="shared" si="2"/>
        <v>XDKV2</v>
      </c>
    </row>
    <row r="998" ht="15.75" customHeight="1">
      <c r="A998" s="31">
        <v>9360.0</v>
      </c>
      <c r="B998" s="22" t="s">
        <v>1764</v>
      </c>
      <c r="C998" s="24" t="s">
        <v>7824</v>
      </c>
      <c r="D998" s="32" t="s">
        <v>1764</v>
      </c>
      <c r="E998" s="22" t="s">
        <v>1763</v>
      </c>
      <c r="F998" s="19" t="str">
        <f t="shared" si="1"/>
        <v>XDKV2</v>
      </c>
      <c r="G998" s="19" t="s">
        <v>5408</v>
      </c>
      <c r="H998" s="20" t="s">
        <v>1212</v>
      </c>
      <c r="I998" s="19" t="s">
        <v>5409</v>
      </c>
      <c r="J998" s="19" t="s">
        <v>5410</v>
      </c>
      <c r="K998" s="25" t="s">
        <v>7500</v>
      </c>
      <c r="L998" s="20" t="s">
        <v>6116</v>
      </c>
      <c r="M998" s="23" t="s">
        <v>1762</v>
      </c>
      <c r="N998" s="18"/>
      <c r="O998" s="18"/>
      <c r="P998" s="18">
        <f>VLOOKUP($A998,MasterData!$C$1:$I$3001,1,FALSE)</f>
        <v>9360</v>
      </c>
      <c r="Q998" s="18" t="str">
        <f t="shared" si="2"/>
        <v>XDKV2</v>
      </c>
    </row>
    <row r="999" ht="15.75" customHeight="1">
      <c r="A999" s="31">
        <v>9366.0</v>
      </c>
      <c r="B999" s="22" t="s">
        <v>1767</v>
      </c>
      <c r="C999" s="24" t="s">
        <v>7825</v>
      </c>
      <c r="D999" s="32" t="s">
        <v>1767</v>
      </c>
      <c r="E999" s="22" t="s">
        <v>1766</v>
      </c>
      <c r="F999" s="19" t="str">
        <f t="shared" si="1"/>
        <v>XDKV2</v>
      </c>
      <c r="G999" s="19" t="s">
        <v>5408</v>
      </c>
      <c r="H999" s="20" t="s">
        <v>1212</v>
      </c>
      <c r="I999" s="19" t="s">
        <v>5409</v>
      </c>
      <c r="J999" s="19" t="s">
        <v>5410</v>
      </c>
      <c r="K999" s="25" t="s">
        <v>7500</v>
      </c>
      <c r="L999" s="20" t="s">
        <v>6116</v>
      </c>
      <c r="M999" s="23" t="s">
        <v>1765</v>
      </c>
      <c r="N999" s="18"/>
      <c r="O999" s="18"/>
      <c r="P999" s="18">
        <f>VLOOKUP($A999,MasterData!$C$1:$I$3001,1,FALSE)</f>
        <v>9366</v>
      </c>
      <c r="Q999" s="18" t="str">
        <f t="shared" si="2"/>
        <v>XDKV2</v>
      </c>
    </row>
    <row r="1000" ht="15.75" customHeight="1">
      <c r="A1000" s="31">
        <v>9401.0</v>
      </c>
      <c r="B1000" s="22" t="s">
        <v>1770</v>
      </c>
      <c r="C1000" s="24" t="s">
        <v>7826</v>
      </c>
      <c r="D1000" s="32" t="s">
        <v>1770</v>
      </c>
      <c r="E1000" s="22" t="s">
        <v>1769</v>
      </c>
      <c r="F1000" s="19" t="str">
        <f t="shared" si="1"/>
        <v>XDKV2</v>
      </c>
      <c r="G1000" s="19" t="s">
        <v>5408</v>
      </c>
      <c r="H1000" s="20" t="s">
        <v>1212</v>
      </c>
      <c r="I1000" s="19" t="s">
        <v>5409</v>
      </c>
      <c r="J1000" s="19" t="s">
        <v>5410</v>
      </c>
      <c r="K1000" s="25" t="s">
        <v>7500</v>
      </c>
      <c r="L1000" s="20" t="s">
        <v>6116</v>
      </c>
      <c r="M1000" s="23" t="s">
        <v>1768</v>
      </c>
      <c r="N1000" s="18"/>
      <c r="O1000" s="18"/>
      <c r="P1000" s="18">
        <f>VLOOKUP($A1000,MasterData!$C$1:$I$3001,1,FALSE)</f>
        <v>9401</v>
      </c>
      <c r="Q1000" s="18" t="str">
        <f t="shared" si="2"/>
        <v>XDKV2</v>
      </c>
    </row>
    <row r="1001" ht="15.75" customHeight="1">
      <c r="A1001" s="31">
        <v>9424.0</v>
      </c>
      <c r="B1001" s="22" t="s">
        <v>1773</v>
      </c>
      <c r="C1001" s="24" t="s">
        <v>7827</v>
      </c>
      <c r="D1001" s="32" t="s">
        <v>1773</v>
      </c>
      <c r="E1001" s="22" t="s">
        <v>1772</v>
      </c>
      <c r="F1001" s="19" t="str">
        <f t="shared" si="1"/>
        <v>XDKV2</v>
      </c>
      <c r="G1001" s="19" t="s">
        <v>5408</v>
      </c>
      <c r="H1001" s="20" t="s">
        <v>1212</v>
      </c>
      <c r="I1001" s="19" t="s">
        <v>5409</v>
      </c>
      <c r="J1001" s="19" t="s">
        <v>5410</v>
      </c>
      <c r="K1001" s="25" t="s">
        <v>7500</v>
      </c>
      <c r="L1001" s="20" t="s">
        <v>6116</v>
      </c>
      <c r="M1001" s="23" t="s">
        <v>1771</v>
      </c>
      <c r="N1001" s="18"/>
      <c r="O1001" s="18"/>
      <c r="P1001" s="18">
        <f>VLOOKUP($A1001,MasterData!$C$1:$I$3001,1,FALSE)</f>
        <v>9424</v>
      </c>
      <c r="Q1001" s="18" t="str">
        <f t="shared" si="2"/>
        <v>XDKV2</v>
      </c>
    </row>
    <row r="1002" ht="15.75" customHeight="1">
      <c r="A1002" s="31">
        <v>9439.0</v>
      </c>
      <c r="B1002" s="22" t="s">
        <v>1776</v>
      </c>
      <c r="C1002" s="24" t="s">
        <v>7828</v>
      </c>
      <c r="D1002" s="32" t="s">
        <v>1776</v>
      </c>
      <c r="E1002" s="22" t="s">
        <v>1775</v>
      </c>
      <c r="F1002" s="19" t="str">
        <f t="shared" si="1"/>
        <v>XDKV2</v>
      </c>
      <c r="G1002" s="19" t="s">
        <v>5408</v>
      </c>
      <c r="H1002" s="20" t="s">
        <v>1212</v>
      </c>
      <c r="I1002" s="19" t="s">
        <v>5409</v>
      </c>
      <c r="J1002" s="19" t="s">
        <v>5410</v>
      </c>
      <c r="K1002" s="25" t="s">
        <v>7500</v>
      </c>
      <c r="L1002" s="20" t="s">
        <v>6116</v>
      </c>
      <c r="M1002" s="23" t="s">
        <v>1774</v>
      </c>
      <c r="N1002" s="18"/>
      <c r="O1002" s="18"/>
      <c r="P1002" s="18">
        <f>VLOOKUP($A1002,MasterData!$C$1:$I$3001,1,FALSE)</f>
        <v>9439</v>
      </c>
      <c r="Q1002" s="18" t="str">
        <f t="shared" si="2"/>
        <v>XDKV2</v>
      </c>
    </row>
    <row r="1003" ht="15.75" customHeight="1">
      <c r="A1003" s="31">
        <v>9456.0</v>
      </c>
      <c r="B1003" s="22" t="s">
        <v>1779</v>
      </c>
      <c r="C1003" s="24" t="s">
        <v>7829</v>
      </c>
      <c r="D1003" s="32" t="s">
        <v>1779</v>
      </c>
      <c r="E1003" s="22" t="s">
        <v>1778</v>
      </c>
      <c r="F1003" s="19" t="str">
        <f t="shared" si="1"/>
        <v>XDKV2</v>
      </c>
      <c r="G1003" s="19" t="s">
        <v>5408</v>
      </c>
      <c r="H1003" s="20" t="s">
        <v>1212</v>
      </c>
      <c r="I1003" s="19" t="s">
        <v>5409</v>
      </c>
      <c r="J1003" s="19" t="s">
        <v>5410</v>
      </c>
      <c r="K1003" s="25" t="s">
        <v>7500</v>
      </c>
      <c r="L1003" s="20" t="s">
        <v>6116</v>
      </c>
      <c r="M1003" s="23" t="s">
        <v>1777</v>
      </c>
      <c r="N1003" s="18"/>
      <c r="O1003" s="18"/>
      <c r="P1003" s="18">
        <f>VLOOKUP($A1003,MasterData!$C$1:$I$3001,1,FALSE)</f>
        <v>9456</v>
      </c>
      <c r="Q1003" s="18" t="str">
        <f t="shared" si="2"/>
        <v>XDKV2</v>
      </c>
    </row>
    <row r="1004" ht="15.75" customHeight="1">
      <c r="A1004" s="31">
        <v>9478.0</v>
      </c>
      <c r="B1004" s="22" t="s">
        <v>1782</v>
      </c>
      <c r="C1004" s="24" t="s">
        <v>7830</v>
      </c>
      <c r="D1004" s="32" t="s">
        <v>1782</v>
      </c>
      <c r="E1004" s="22" t="s">
        <v>1781</v>
      </c>
      <c r="F1004" s="19" t="str">
        <f t="shared" si="1"/>
        <v>XDKV2</v>
      </c>
      <c r="G1004" s="19" t="s">
        <v>5408</v>
      </c>
      <c r="H1004" s="20" t="s">
        <v>1212</v>
      </c>
      <c r="I1004" s="19" t="s">
        <v>5409</v>
      </c>
      <c r="J1004" s="19" t="s">
        <v>5410</v>
      </c>
      <c r="K1004" s="25" t="s">
        <v>7500</v>
      </c>
      <c r="L1004" s="20" t="s">
        <v>6116</v>
      </c>
      <c r="M1004" s="23" t="s">
        <v>1780</v>
      </c>
      <c r="N1004" s="18"/>
      <c r="O1004" s="18"/>
      <c r="P1004" s="18">
        <f>VLOOKUP($A1004,MasterData!$C$1:$I$3001,1,FALSE)</f>
        <v>9478</v>
      </c>
      <c r="Q1004" s="18" t="str">
        <f t="shared" si="2"/>
        <v>XDKV2</v>
      </c>
    </row>
    <row r="1005" ht="15.75" customHeight="1">
      <c r="A1005" s="31">
        <v>9484.0</v>
      </c>
      <c r="B1005" s="22" t="s">
        <v>1785</v>
      </c>
      <c r="C1005" s="24" t="s">
        <v>7831</v>
      </c>
      <c r="D1005" s="32" t="s">
        <v>1785</v>
      </c>
      <c r="E1005" s="22" t="s">
        <v>1784</v>
      </c>
      <c r="F1005" s="19" t="str">
        <f t="shared" si="1"/>
        <v>XDKV2</v>
      </c>
      <c r="G1005" s="19" t="s">
        <v>5408</v>
      </c>
      <c r="H1005" s="20" t="s">
        <v>1212</v>
      </c>
      <c r="I1005" s="19" t="s">
        <v>5409</v>
      </c>
      <c r="J1005" s="19" t="s">
        <v>5410</v>
      </c>
      <c r="K1005" s="25" t="s">
        <v>7500</v>
      </c>
      <c r="L1005" s="20" t="s">
        <v>6116</v>
      </c>
      <c r="M1005" s="23" t="s">
        <v>1783</v>
      </c>
      <c r="N1005" s="18"/>
      <c r="O1005" s="18"/>
      <c r="P1005" s="18">
        <f>VLOOKUP($A1005,MasterData!$C$1:$I$3001,1,FALSE)</f>
        <v>9484</v>
      </c>
      <c r="Q1005" s="18" t="str">
        <f t="shared" si="2"/>
        <v>XDKV2</v>
      </c>
    </row>
    <row r="1006" ht="15.75" customHeight="1">
      <c r="A1006" s="31">
        <v>9494.0</v>
      </c>
      <c r="B1006" s="22" t="s">
        <v>1788</v>
      </c>
      <c r="C1006" s="24" t="s">
        <v>7832</v>
      </c>
      <c r="D1006" s="32" t="s">
        <v>1788</v>
      </c>
      <c r="E1006" s="22" t="s">
        <v>1787</v>
      </c>
      <c r="F1006" s="19" t="str">
        <f t="shared" si="1"/>
        <v>XDKV2</v>
      </c>
      <c r="G1006" s="19" t="s">
        <v>5408</v>
      </c>
      <c r="H1006" s="20" t="s">
        <v>1212</v>
      </c>
      <c r="I1006" s="19" t="s">
        <v>5409</v>
      </c>
      <c r="J1006" s="19" t="s">
        <v>5410</v>
      </c>
      <c r="K1006" s="25" t="s">
        <v>7500</v>
      </c>
      <c r="L1006" s="20" t="s">
        <v>6116</v>
      </c>
      <c r="M1006" s="23" t="s">
        <v>1786</v>
      </c>
      <c r="N1006" s="18"/>
      <c r="O1006" s="18"/>
      <c r="P1006" s="18">
        <f>VLOOKUP($A1006,MasterData!$C$1:$I$3001,1,FALSE)</f>
        <v>9494</v>
      </c>
      <c r="Q1006" s="18" t="str">
        <f t="shared" si="2"/>
        <v>XDKV2</v>
      </c>
    </row>
    <row r="1007" ht="15.75" customHeight="1">
      <c r="A1007" s="31">
        <v>9498.0</v>
      </c>
      <c r="B1007" s="22" t="s">
        <v>1791</v>
      </c>
      <c r="C1007" s="24" t="s">
        <v>7833</v>
      </c>
      <c r="D1007" s="32" t="s">
        <v>1791</v>
      </c>
      <c r="E1007" s="22" t="s">
        <v>1790</v>
      </c>
      <c r="F1007" s="19" t="str">
        <f t="shared" si="1"/>
        <v>XDKV2</v>
      </c>
      <c r="G1007" s="19" t="s">
        <v>5408</v>
      </c>
      <c r="H1007" s="20" t="s">
        <v>1212</v>
      </c>
      <c r="I1007" s="19" t="s">
        <v>5409</v>
      </c>
      <c r="J1007" s="19" t="s">
        <v>5410</v>
      </c>
      <c r="K1007" s="25" t="s">
        <v>7500</v>
      </c>
      <c r="L1007" s="20" t="s">
        <v>6116</v>
      </c>
      <c r="M1007" s="23" t="s">
        <v>1789</v>
      </c>
      <c r="N1007" s="18"/>
      <c r="O1007" s="18"/>
      <c r="P1007" s="18">
        <f>VLOOKUP($A1007,MasterData!$C$1:$I$3001,1,FALSE)</f>
        <v>9498</v>
      </c>
      <c r="Q1007" s="18" t="str">
        <f t="shared" si="2"/>
        <v>XDKV2</v>
      </c>
    </row>
    <row r="1008" ht="15.75" customHeight="1">
      <c r="A1008" s="31">
        <v>9524.0</v>
      </c>
      <c r="B1008" s="22" t="s">
        <v>1794</v>
      </c>
      <c r="C1008" s="24" t="s">
        <v>7834</v>
      </c>
      <c r="D1008" s="32" t="s">
        <v>1794</v>
      </c>
      <c r="E1008" s="22" t="s">
        <v>1793</v>
      </c>
      <c r="F1008" s="19" t="str">
        <f t="shared" si="1"/>
        <v>XDKV2</v>
      </c>
      <c r="G1008" s="19" t="s">
        <v>5408</v>
      </c>
      <c r="H1008" s="20" t="s">
        <v>1212</v>
      </c>
      <c r="I1008" s="19" t="s">
        <v>5409</v>
      </c>
      <c r="J1008" s="19" t="s">
        <v>5410</v>
      </c>
      <c r="K1008" s="25" t="s">
        <v>7500</v>
      </c>
      <c r="L1008" s="20" t="s">
        <v>6116</v>
      </c>
      <c r="M1008" s="23" t="s">
        <v>1792</v>
      </c>
      <c r="N1008" s="18"/>
      <c r="O1008" s="18"/>
      <c r="P1008" s="18">
        <f>VLOOKUP($A1008,MasterData!$C$1:$I$3001,1,FALSE)</f>
        <v>9524</v>
      </c>
      <c r="Q1008" s="18" t="str">
        <f t="shared" si="2"/>
        <v>XDKV2</v>
      </c>
    </row>
    <row r="1009" ht="15.75" customHeight="1">
      <c r="A1009" s="31">
        <v>9557.0</v>
      </c>
      <c r="B1009" s="22" t="s">
        <v>1797</v>
      </c>
      <c r="C1009" s="24" t="s">
        <v>7835</v>
      </c>
      <c r="D1009" s="32" t="s">
        <v>1797</v>
      </c>
      <c r="E1009" s="22" t="s">
        <v>1796</v>
      </c>
      <c r="F1009" s="19" t="str">
        <f t="shared" si="1"/>
        <v>XDKV2</v>
      </c>
      <c r="G1009" s="19" t="s">
        <v>5408</v>
      </c>
      <c r="H1009" s="20" t="s">
        <v>1212</v>
      </c>
      <c r="I1009" s="19" t="s">
        <v>5409</v>
      </c>
      <c r="J1009" s="19" t="s">
        <v>5410</v>
      </c>
      <c r="K1009" s="25" t="s">
        <v>7500</v>
      </c>
      <c r="L1009" s="20" t="s">
        <v>6116</v>
      </c>
      <c r="M1009" s="23" t="s">
        <v>1795</v>
      </c>
      <c r="N1009" s="18"/>
      <c r="O1009" s="18"/>
      <c r="P1009" s="18">
        <f>VLOOKUP($A1009,MasterData!$C$1:$I$3001,1,FALSE)</f>
        <v>9557</v>
      </c>
      <c r="Q1009" s="18" t="str">
        <f t="shared" si="2"/>
        <v>XDKV2</v>
      </c>
    </row>
    <row r="1010" ht="15.75" customHeight="1">
      <c r="A1010" s="31">
        <v>9561.0</v>
      </c>
      <c r="B1010" s="22" t="s">
        <v>1800</v>
      </c>
      <c r="C1010" s="24" t="s">
        <v>7836</v>
      </c>
      <c r="D1010" s="32" t="s">
        <v>1800</v>
      </c>
      <c r="E1010" s="22" t="s">
        <v>1799</v>
      </c>
      <c r="F1010" s="19" t="str">
        <f t="shared" si="1"/>
        <v>XDKV2</v>
      </c>
      <c r="G1010" s="19" t="s">
        <v>5408</v>
      </c>
      <c r="H1010" s="20" t="s">
        <v>1212</v>
      </c>
      <c r="I1010" s="19" t="s">
        <v>5409</v>
      </c>
      <c r="J1010" s="19" t="s">
        <v>5410</v>
      </c>
      <c r="K1010" s="25" t="s">
        <v>7500</v>
      </c>
      <c r="L1010" s="20" t="s">
        <v>6116</v>
      </c>
      <c r="M1010" s="23" t="s">
        <v>1798</v>
      </c>
      <c r="N1010" s="18"/>
      <c r="O1010" s="18"/>
      <c r="P1010" s="18">
        <f>VLOOKUP($A1010,MasterData!$C$1:$I$3001,1,FALSE)</f>
        <v>9561</v>
      </c>
      <c r="Q1010" s="18" t="str">
        <f t="shared" si="2"/>
        <v>XDKV2</v>
      </c>
    </row>
    <row r="1011" ht="15.75" customHeight="1">
      <c r="A1011" s="31">
        <v>9568.0</v>
      </c>
      <c r="B1011" s="22" t="s">
        <v>1803</v>
      </c>
      <c r="C1011" s="24" t="s">
        <v>7837</v>
      </c>
      <c r="D1011" s="32" t="s">
        <v>1803</v>
      </c>
      <c r="E1011" s="22" t="s">
        <v>1802</v>
      </c>
      <c r="F1011" s="19" t="str">
        <f t="shared" si="1"/>
        <v>XDKV2</v>
      </c>
      <c r="G1011" s="19" t="s">
        <v>5408</v>
      </c>
      <c r="H1011" s="20" t="s">
        <v>1212</v>
      </c>
      <c r="I1011" s="19" t="s">
        <v>5409</v>
      </c>
      <c r="J1011" s="19" t="s">
        <v>5410</v>
      </c>
      <c r="K1011" s="25" t="s">
        <v>7500</v>
      </c>
      <c r="L1011" s="20" t="s">
        <v>6116</v>
      </c>
      <c r="M1011" s="23" t="s">
        <v>1801</v>
      </c>
      <c r="N1011" s="18"/>
      <c r="O1011" s="18"/>
      <c r="P1011" s="18">
        <f>VLOOKUP($A1011,MasterData!$C$1:$I$3001,1,FALSE)</f>
        <v>9568</v>
      </c>
      <c r="Q1011" s="18" t="str">
        <f t="shared" si="2"/>
        <v>XDKV2</v>
      </c>
    </row>
    <row r="1012" ht="15.75" customHeight="1">
      <c r="A1012" s="31">
        <v>9629.0</v>
      </c>
      <c r="B1012" s="22" t="s">
        <v>1806</v>
      </c>
      <c r="C1012" s="24" t="s">
        <v>7838</v>
      </c>
      <c r="D1012" s="32" t="s">
        <v>1806</v>
      </c>
      <c r="E1012" s="22" t="s">
        <v>1805</v>
      </c>
      <c r="F1012" s="19" t="str">
        <f t="shared" si="1"/>
        <v>XDKV2</v>
      </c>
      <c r="G1012" s="19" t="s">
        <v>5408</v>
      </c>
      <c r="H1012" s="20" t="s">
        <v>1212</v>
      </c>
      <c r="I1012" s="19" t="s">
        <v>5409</v>
      </c>
      <c r="J1012" s="19" t="s">
        <v>5410</v>
      </c>
      <c r="K1012" s="25" t="s">
        <v>7500</v>
      </c>
      <c r="L1012" s="20" t="s">
        <v>6116</v>
      </c>
      <c r="M1012" s="23" t="s">
        <v>1804</v>
      </c>
      <c r="N1012" s="18"/>
      <c r="O1012" s="18"/>
      <c r="P1012" s="18">
        <f>VLOOKUP($A1012,MasterData!$C$1:$I$3001,1,FALSE)</f>
        <v>9629</v>
      </c>
      <c r="Q1012" s="18" t="str">
        <f t="shared" si="2"/>
        <v>XDKV2</v>
      </c>
    </row>
    <row r="1013" ht="15.75" customHeight="1">
      <c r="A1013" s="31">
        <v>9663.0</v>
      </c>
      <c r="B1013" s="22" t="s">
        <v>1809</v>
      </c>
      <c r="C1013" s="24" t="s">
        <v>7839</v>
      </c>
      <c r="D1013" s="32" t="s">
        <v>1809</v>
      </c>
      <c r="E1013" s="22" t="s">
        <v>1808</v>
      </c>
      <c r="F1013" s="19" t="str">
        <f t="shared" si="1"/>
        <v>XDKV2</v>
      </c>
      <c r="G1013" s="19" t="s">
        <v>5408</v>
      </c>
      <c r="H1013" s="20" t="s">
        <v>1212</v>
      </c>
      <c r="I1013" s="19" t="s">
        <v>5409</v>
      </c>
      <c r="J1013" s="19" t="s">
        <v>5410</v>
      </c>
      <c r="K1013" s="25" t="s">
        <v>7500</v>
      </c>
      <c r="L1013" s="20" t="s">
        <v>6116</v>
      </c>
      <c r="M1013" s="23" t="s">
        <v>1807</v>
      </c>
      <c r="N1013" s="18"/>
      <c r="O1013" s="18"/>
      <c r="P1013" s="18">
        <f>VLOOKUP($A1013,MasterData!$C$1:$I$3001,1,FALSE)</f>
        <v>9663</v>
      </c>
      <c r="Q1013" s="18" t="str">
        <f t="shared" si="2"/>
        <v>XDKV2</v>
      </c>
    </row>
    <row r="1014" ht="15.75" customHeight="1">
      <c r="A1014" s="31">
        <v>9682.0</v>
      </c>
      <c r="B1014" s="22" t="s">
        <v>1812</v>
      </c>
      <c r="C1014" s="24" t="s">
        <v>7840</v>
      </c>
      <c r="D1014" s="32" t="s">
        <v>1812</v>
      </c>
      <c r="E1014" s="22" t="s">
        <v>1811</v>
      </c>
      <c r="F1014" s="19" t="str">
        <f t="shared" si="1"/>
        <v>XDKV2</v>
      </c>
      <c r="G1014" s="19" t="s">
        <v>5408</v>
      </c>
      <c r="H1014" s="20" t="s">
        <v>1212</v>
      </c>
      <c r="I1014" s="19" t="s">
        <v>5409</v>
      </c>
      <c r="J1014" s="19" t="s">
        <v>5410</v>
      </c>
      <c r="K1014" s="25" t="s">
        <v>7500</v>
      </c>
      <c r="L1014" s="20" t="s">
        <v>6116</v>
      </c>
      <c r="M1014" s="23" t="s">
        <v>1810</v>
      </c>
      <c r="N1014" s="18"/>
      <c r="O1014" s="18"/>
      <c r="P1014" s="18">
        <f>VLOOKUP($A1014,MasterData!$C$1:$I$3001,1,FALSE)</f>
        <v>9682</v>
      </c>
      <c r="Q1014" s="18" t="str">
        <f t="shared" si="2"/>
        <v>XDKV2</v>
      </c>
    </row>
    <row r="1015" ht="15.75" customHeight="1">
      <c r="A1015" s="31">
        <v>9685.0</v>
      </c>
      <c r="B1015" s="22" t="s">
        <v>1815</v>
      </c>
      <c r="C1015" s="24" t="s">
        <v>7841</v>
      </c>
      <c r="D1015" s="32" t="s">
        <v>1815</v>
      </c>
      <c r="E1015" s="22" t="s">
        <v>1814</v>
      </c>
      <c r="F1015" s="19" t="str">
        <f t="shared" si="1"/>
        <v>XDKV2</v>
      </c>
      <c r="G1015" s="19" t="s">
        <v>5408</v>
      </c>
      <c r="H1015" s="20" t="s">
        <v>1212</v>
      </c>
      <c r="I1015" s="19" t="s">
        <v>5409</v>
      </c>
      <c r="J1015" s="19" t="s">
        <v>5410</v>
      </c>
      <c r="K1015" s="25" t="s">
        <v>7500</v>
      </c>
      <c r="L1015" s="20" t="s">
        <v>6116</v>
      </c>
      <c r="M1015" s="23" t="s">
        <v>1813</v>
      </c>
      <c r="N1015" s="18"/>
      <c r="O1015" s="18"/>
      <c r="P1015" s="18">
        <f>VLOOKUP($A1015,MasterData!$C$1:$I$3001,1,FALSE)</f>
        <v>9685</v>
      </c>
      <c r="Q1015" s="18" t="str">
        <f t="shared" si="2"/>
        <v>XDKV2</v>
      </c>
    </row>
    <row r="1016" ht="15.75" customHeight="1">
      <c r="A1016" s="31">
        <v>9688.0</v>
      </c>
      <c r="B1016" s="22" t="s">
        <v>1818</v>
      </c>
      <c r="C1016" s="24" t="s">
        <v>7842</v>
      </c>
      <c r="D1016" s="32" t="s">
        <v>1818</v>
      </c>
      <c r="E1016" s="22" t="s">
        <v>1817</v>
      </c>
      <c r="F1016" s="19" t="str">
        <f t="shared" si="1"/>
        <v>XDKV2</v>
      </c>
      <c r="G1016" s="19" t="s">
        <v>5408</v>
      </c>
      <c r="H1016" s="20" t="s">
        <v>1212</v>
      </c>
      <c r="I1016" s="19" t="s">
        <v>5409</v>
      </c>
      <c r="J1016" s="19" t="s">
        <v>5410</v>
      </c>
      <c r="K1016" s="25" t="s">
        <v>7500</v>
      </c>
      <c r="L1016" s="20" t="s">
        <v>6116</v>
      </c>
      <c r="M1016" s="23" t="s">
        <v>1816</v>
      </c>
      <c r="N1016" s="18"/>
      <c r="O1016" s="18"/>
      <c r="P1016" s="18">
        <f>VLOOKUP($A1016,MasterData!$C$1:$I$3001,1,FALSE)</f>
        <v>9688</v>
      </c>
      <c r="Q1016" s="18" t="str">
        <f t="shared" si="2"/>
        <v>XDKV2</v>
      </c>
    </row>
    <row r="1017" ht="15.75" customHeight="1">
      <c r="A1017" s="31">
        <v>9690.0</v>
      </c>
      <c r="B1017" s="22" t="s">
        <v>1821</v>
      </c>
      <c r="C1017" s="24" t="s">
        <v>7843</v>
      </c>
      <c r="D1017" s="32" t="s">
        <v>1821</v>
      </c>
      <c r="E1017" s="22" t="s">
        <v>1820</v>
      </c>
      <c r="F1017" s="19" t="str">
        <f t="shared" si="1"/>
        <v>XDKV2</v>
      </c>
      <c r="G1017" s="19" t="s">
        <v>5408</v>
      </c>
      <c r="H1017" s="20" t="s">
        <v>1212</v>
      </c>
      <c r="I1017" s="19" t="s">
        <v>5409</v>
      </c>
      <c r="J1017" s="19" t="s">
        <v>5410</v>
      </c>
      <c r="K1017" s="25" t="s">
        <v>7500</v>
      </c>
      <c r="L1017" s="20" t="s">
        <v>6116</v>
      </c>
      <c r="M1017" s="23" t="s">
        <v>1819</v>
      </c>
      <c r="N1017" s="18"/>
      <c r="O1017" s="18"/>
      <c r="P1017" s="18">
        <f>VLOOKUP($A1017,MasterData!$C$1:$I$3001,1,FALSE)</f>
        <v>9690</v>
      </c>
      <c r="Q1017" s="18" t="str">
        <f t="shared" si="2"/>
        <v>XDKV2</v>
      </c>
    </row>
    <row r="1018" ht="15.75" customHeight="1">
      <c r="A1018" s="31">
        <v>9700.0</v>
      </c>
      <c r="B1018" s="22" t="s">
        <v>1824</v>
      </c>
      <c r="C1018" s="24" t="s">
        <v>7844</v>
      </c>
      <c r="D1018" s="32" t="s">
        <v>1824</v>
      </c>
      <c r="E1018" s="22" t="s">
        <v>1823</v>
      </c>
      <c r="F1018" s="19" t="str">
        <f t="shared" si="1"/>
        <v>XDKV2</v>
      </c>
      <c r="G1018" s="19" t="s">
        <v>5408</v>
      </c>
      <c r="H1018" s="20" t="s">
        <v>1212</v>
      </c>
      <c r="I1018" s="19" t="s">
        <v>5409</v>
      </c>
      <c r="J1018" s="19" t="s">
        <v>5410</v>
      </c>
      <c r="K1018" s="25" t="s">
        <v>7500</v>
      </c>
      <c r="L1018" s="20" t="s">
        <v>6116</v>
      </c>
      <c r="M1018" s="23" t="s">
        <v>1822</v>
      </c>
      <c r="N1018" s="18"/>
      <c r="O1018" s="18"/>
      <c r="P1018" s="18">
        <f>VLOOKUP($A1018,MasterData!$C$1:$I$3001,1,FALSE)</f>
        <v>9700</v>
      </c>
      <c r="Q1018" s="18" t="str">
        <f t="shared" si="2"/>
        <v>XDKV2</v>
      </c>
    </row>
    <row r="1019" ht="15.75" customHeight="1">
      <c r="A1019" s="31">
        <v>9718.0</v>
      </c>
      <c r="B1019" s="22" t="s">
        <v>1827</v>
      </c>
      <c r="C1019" s="24" t="s">
        <v>7845</v>
      </c>
      <c r="D1019" s="32" t="s">
        <v>1827</v>
      </c>
      <c r="E1019" s="22" t="s">
        <v>1826</v>
      </c>
      <c r="F1019" s="19" t="str">
        <f t="shared" si="1"/>
        <v>XDKV2</v>
      </c>
      <c r="G1019" s="19" t="s">
        <v>5408</v>
      </c>
      <c r="H1019" s="20" t="s">
        <v>1212</v>
      </c>
      <c r="I1019" s="19" t="s">
        <v>5409</v>
      </c>
      <c r="J1019" s="19" t="s">
        <v>5410</v>
      </c>
      <c r="K1019" s="25" t="s">
        <v>7500</v>
      </c>
      <c r="L1019" s="20" t="s">
        <v>6116</v>
      </c>
      <c r="M1019" s="23" t="s">
        <v>1825</v>
      </c>
      <c r="N1019" s="18"/>
      <c r="O1019" s="18"/>
      <c r="P1019" s="18">
        <f>VLOOKUP($A1019,MasterData!$C$1:$I$3001,1,FALSE)</f>
        <v>9718</v>
      </c>
      <c r="Q1019" s="18" t="str">
        <f t="shared" si="2"/>
        <v>XDKV2</v>
      </c>
    </row>
    <row r="1020" ht="15.75" customHeight="1">
      <c r="A1020" s="31">
        <v>9736.0</v>
      </c>
      <c r="B1020" s="22" t="s">
        <v>1830</v>
      </c>
      <c r="C1020" s="24" t="s">
        <v>7846</v>
      </c>
      <c r="D1020" s="32" t="s">
        <v>1830</v>
      </c>
      <c r="E1020" s="22" t="s">
        <v>1829</v>
      </c>
      <c r="F1020" s="19" t="str">
        <f t="shared" si="1"/>
        <v>XDKV2</v>
      </c>
      <c r="G1020" s="19" t="s">
        <v>5408</v>
      </c>
      <c r="H1020" s="20" t="s">
        <v>1212</v>
      </c>
      <c r="I1020" s="19" t="s">
        <v>5409</v>
      </c>
      <c r="J1020" s="19" t="s">
        <v>5410</v>
      </c>
      <c r="K1020" s="25" t="s">
        <v>7500</v>
      </c>
      <c r="L1020" s="20" t="s">
        <v>6116</v>
      </c>
      <c r="M1020" s="23" t="s">
        <v>1828</v>
      </c>
      <c r="N1020" s="18"/>
      <c r="O1020" s="18"/>
      <c r="P1020" s="18">
        <f>VLOOKUP($A1020,MasterData!$C$1:$I$3001,1,FALSE)</f>
        <v>9736</v>
      </c>
      <c r="Q1020" s="18" t="str">
        <f t="shared" si="2"/>
        <v>XDKV2</v>
      </c>
    </row>
    <row r="1021" ht="15.75" customHeight="1">
      <c r="A1021" s="31">
        <v>9738.0</v>
      </c>
      <c r="B1021" s="22" t="s">
        <v>1833</v>
      </c>
      <c r="C1021" s="24" t="s">
        <v>7847</v>
      </c>
      <c r="D1021" s="32" t="s">
        <v>1833</v>
      </c>
      <c r="E1021" s="22" t="s">
        <v>1832</v>
      </c>
      <c r="F1021" s="19" t="str">
        <f t="shared" si="1"/>
        <v>XDKV2</v>
      </c>
      <c r="G1021" s="19" t="s">
        <v>5408</v>
      </c>
      <c r="H1021" s="20" t="s">
        <v>1212</v>
      </c>
      <c r="I1021" s="19" t="s">
        <v>5409</v>
      </c>
      <c r="J1021" s="19" t="s">
        <v>5410</v>
      </c>
      <c r="K1021" s="25" t="s">
        <v>7500</v>
      </c>
      <c r="L1021" s="20" t="s">
        <v>6116</v>
      </c>
      <c r="M1021" s="23" t="s">
        <v>1831</v>
      </c>
      <c r="N1021" s="18"/>
      <c r="O1021" s="18"/>
      <c r="P1021" s="18">
        <f>VLOOKUP($A1021,MasterData!$C$1:$I$3001,1,FALSE)</f>
        <v>9738</v>
      </c>
      <c r="Q1021" s="18" t="str">
        <f t="shared" si="2"/>
        <v>XDKV2</v>
      </c>
    </row>
    <row r="1022" ht="15.75" customHeight="1">
      <c r="A1022" s="31">
        <v>9748.0</v>
      </c>
      <c r="B1022" s="22" t="s">
        <v>1836</v>
      </c>
      <c r="C1022" s="24" t="s">
        <v>7848</v>
      </c>
      <c r="D1022" s="32" t="s">
        <v>1836</v>
      </c>
      <c r="E1022" s="22" t="s">
        <v>1835</v>
      </c>
      <c r="F1022" s="19" t="str">
        <f t="shared" si="1"/>
        <v>XDKV2</v>
      </c>
      <c r="G1022" s="19" t="s">
        <v>5408</v>
      </c>
      <c r="H1022" s="20" t="s">
        <v>1212</v>
      </c>
      <c r="I1022" s="19" t="s">
        <v>5409</v>
      </c>
      <c r="J1022" s="19" t="s">
        <v>5410</v>
      </c>
      <c r="K1022" s="25" t="s">
        <v>7500</v>
      </c>
      <c r="L1022" s="20" t="s">
        <v>6116</v>
      </c>
      <c r="M1022" s="23" t="s">
        <v>1834</v>
      </c>
      <c r="N1022" s="18"/>
      <c r="O1022" s="18"/>
      <c r="P1022" s="18">
        <f>VLOOKUP($A1022,MasterData!$C$1:$I$3001,1,FALSE)</f>
        <v>9748</v>
      </c>
      <c r="Q1022" s="18" t="str">
        <f t="shared" si="2"/>
        <v>XDKV2</v>
      </c>
    </row>
    <row r="1023" ht="15.75" customHeight="1">
      <c r="A1023" s="31">
        <v>9759.0</v>
      </c>
      <c r="B1023" s="22" t="s">
        <v>1839</v>
      </c>
      <c r="C1023" s="24" t="s">
        <v>7849</v>
      </c>
      <c r="D1023" s="32" t="s">
        <v>1839</v>
      </c>
      <c r="E1023" s="22" t="s">
        <v>1838</v>
      </c>
      <c r="F1023" s="19" t="str">
        <f t="shared" si="1"/>
        <v>XDKV2</v>
      </c>
      <c r="G1023" s="19" t="s">
        <v>5408</v>
      </c>
      <c r="H1023" s="20" t="s">
        <v>1212</v>
      </c>
      <c r="I1023" s="19" t="s">
        <v>5409</v>
      </c>
      <c r="J1023" s="19" t="s">
        <v>5410</v>
      </c>
      <c r="K1023" s="25" t="s">
        <v>7500</v>
      </c>
      <c r="L1023" s="20" t="s">
        <v>6116</v>
      </c>
      <c r="M1023" s="23" t="s">
        <v>1837</v>
      </c>
      <c r="N1023" s="18"/>
      <c r="O1023" s="18"/>
      <c r="P1023" s="18">
        <f>VLOOKUP($A1023,MasterData!$C$1:$I$3001,1,FALSE)</f>
        <v>9759</v>
      </c>
      <c r="Q1023" s="18" t="str">
        <f t="shared" si="2"/>
        <v>XDKV2</v>
      </c>
    </row>
    <row r="1024" ht="15.75" customHeight="1">
      <c r="A1024" s="31">
        <v>9786.0</v>
      </c>
      <c r="B1024" s="22" t="s">
        <v>1842</v>
      </c>
      <c r="C1024" s="24" t="s">
        <v>7850</v>
      </c>
      <c r="D1024" s="32" t="s">
        <v>1842</v>
      </c>
      <c r="E1024" s="22" t="s">
        <v>1841</v>
      </c>
      <c r="F1024" s="19" t="str">
        <f t="shared" si="1"/>
        <v>XDKV2</v>
      </c>
      <c r="G1024" s="19" t="s">
        <v>5408</v>
      </c>
      <c r="H1024" s="20" t="s">
        <v>1212</v>
      </c>
      <c r="I1024" s="19" t="s">
        <v>5409</v>
      </c>
      <c r="J1024" s="19" t="s">
        <v>5410</v>
      </c>
      <c r="K1024" s="25" t="s">
        <v>7500</v>
      </c>
      <c r="L1024" s="20" t="s">
        <v>6116</v>
      </c>
      <c r="M1024" s="23" t="s">
        <v>1840</v>
      </c>
      <c r="N1024" s="18"/>
      <c r="O1024" s="18"/>
      <c r="P1024" s="18">
        <f>VLOOKUP($A1024,MasterData!$C$1:$I$3001,1,FALSE)</f>
        <v>9786</v>
      </c>
      <c r="Q1024" s="18" t="str">
        <f t="shared" si="2"/>
        <v>XDKV2</v>
      </c>
    </row>
    <row r="1025" ht="15.75" customHeight="1">
      <c r="A1025" s="31">
        <v>9802.0</v>
      </c>
      <c r="B1025" s="22" t="s">
        <v>1845</v>
      </c>
      <c r="C1025" s="24" t="s">
        <v>7851</v>
      </c>
      <c r="D1025" s="32" t="s">
        <v>1845</v>
      </c>
      <c r="E1025" s="22" t="s">
        <v>1844</v>
      </c>
      <c r="F1025" s="19" t="str">
        <f t="shared" si="1"/>
        <v>XDKV2</v>
      </c>
      <c r="G1025" s="19" t="s">
        <v>5408</v>
      </c>
      <c r="H1025" s="20" t="s">
        <v>1212</v>
      </c>
      <c r="I1025" s="19" t="s">
        <v>5409</v>
      </c>
      <c r="J1025" s="19" t="s">
        <v>5410</v>
      </c>
      <c r="K1025" s="25" t="s">
        <v>7500</v>
      </c>
      <c r="L1025" s="20" t="s">
        <v>6116</v>
      </c>
      <c r="M1025" s="23" t="s">
        <v>1843</v>
      </c>
      <c r="N1025" s="18"/>
      <c r="O1025" s="18"/>
      <c r="P1025" s="18">
        <f>VLOOKUP($A1025,MasterData!$C$1:$I$3001,1,FALSE)</f>
        <v>9802</v>
      </c>
      <c r="Q1025" s="18" t="str">
        <f t="shared" si="2"/>
        <v>XDKV2</v>
      </c>
    </row>
    <row r="1026" ht="15.75" customHeight="1">
      <c r="A1026" s="31">
        <v>9811.0</v>
      </c>
      <c r="B1026" s="22" t="s">
        <v>1848</v>
      </c>
      <c r="C1026" s="24" t="s">
        <v>7852</v>
      </c>
      <c r="D1026" s="32" t="s">
        <v>1848</v>
      </c>
      <c r="E1026" s="22" t="s">
        <v>1847</v>
      </c>
      <c r="F1026" s="19" t="str">
        <f t="shared" si="1"/>
        <v>XDKV2</v>
      </c>
      <c r="G1026" s="19" t="s">
        <v>5408</v>
      </c>
      <c r="H1026" s="20" t="s">
        <v>1212</v>
      </c>
      <c r="I1026" s="19" t="s">
        <v>5409</v>
      </c>
      <c r="J1026" s="19" t="s">
        <v>5410</v>
      </c>
      <c r="K1026" s="25" t="s">
        <v>7500</v>
      </c>
      <c r="L1026" s="20" t="s">
        <v>6116</v>
      </c>
      <c r="M1026" s="23" t="s">
        <v>1846</v>
      </c>
      <c r="N1026" s="18"/>
      <c r="O1026" s="18"/>
      <c r="P1026" s="18">
        <f>VLOOKUP($A1026,MasterData!$C$1:$I$3001,1,FALSE)</f>
        <v>9811</v>
      </c>
      <c r="Q1026" s="18" t="str">
        <f t="shared" si="2"/>
        <v>XDKV2</v>
      </c>
    </row>
    <row r="1027" ht="15.75" customHeight="1">
      <c r="A1027" s="31">
        <v>9821.0</v>
      </c>
      <c r="B1027" s="22" t="s">
        <v>1851</v>
      </c>
      <c r="C1027" s="24" t="s">
        <v>7853</v>
      </c>
      <c r="D1027" s="32" t="s">
        <v>1851</v>
      </c>
      <c r="E1027" s="22" t="s">
        <v>1850</v>
      </c>
      <c r="F1027" s="19" t="str">
        <f t="shared" si="1"/>
        <v>XDKV2</v>
      </c>
      <c r="G1027" s="19" t="s">
        <v>5408</v>
      </c>
      <c r="H1027" s="20" t="s">
        <v>1212</v>
      </c>
      <c r="I1027" s="19" t="s">
        <v>5409</v>
      </c>
      <c r="J1027" s="19" t="s">
        <v>5410</v>
      </c>
      <c r="K1027" s="25" t="s">
        <v>7500</v>
      </c>
      <c r="L1027" s="20" t="s">
        <v>6116</v>
      </c>
      <c r="M1027" s="23" t="s">
        <v>1849</v>
      </c>
      <c r="N1027" s="18"/>
      <c r="O1027" s="18"/>
      <c r="P1027" s="18">
        <f>VLOOKUP($A1027,MasterData!$C$1:$I$3001,1,FALSE)</f>
        <v>9821</v>
      </c>
      <c r="Q1027" s="18" t="str">
        <f t="shared" si="2"/>
        <v>XDKV2</v>
      </c>
    </row>
    <row r="1028" ht="15.75" customHeight="1">
      <c r="A1028" s="31">
        <v>9837.0</v>
      </c>
      <c r="B1028" s="22" t="s">
        <v>1853</v>
      </c>
      <c r="C1028" s="24" t="s">
        <v>7854</v>
      </c>
      <c r="D1028" s="32" t="s">
        <v>1853</v>
      </c>
      <c r="E1028" s="22" t="s">
        <v>1852</v>
      </c>
      <c r="F1028" s="19" t="str">
        <f t="shared" si="1"/>
        <v>XDKV2</v>
      </c>
      <c r="G1028" s="19" t="s">
        <v>5408</v>
      </c>
      <c r="H1028" s="20" t="s">
        <v>1212</v>
      </c>
      <c r="I1028" s="19" t="s">
        <v>5409</v>
      </c>
      <c r="J1028" s="19" t="s">
        <v>5410</v>
      </c>
      <c r="K1028" s="25" t="s">
        <v>7500</v>
      </c>
      <c r="L1028" s="20" t="s">
        <v>6116</v>
      </c>
      <c r="M1028" s="23" t="s">
        <v>1741</v>
      </c>
      <c r="N1028" s="18"/>
      <c r="O1028" s="18"/>
      <c r="P1028" s="18">
        <f>VLOOKUP($A1028,MasterData!$C$1:$I$3001,1,FALSE)</f>
        <v>9837</v>
      </c>
      <c r="Q1028" s="18" t="str">
        <f t="shared" si="2"/>
        <v>XDKV2</v>
      </c>
    </row>
    <row r="1029" ht="15.75" customHeight="1">
      <c r="A1029" s="31">
        <v>9841.0</v>
      </c>
      <c r="B1029" s="22" t="s">
        <v>1856</v>
      </c>
      <c r="C1029" s="24" t="s">
        <v>7855</v>
      </c>
      <c r="D1029" s="32" t="s">
        <v>1856</v>
      </c>
      <c r="E1029" s="22" t="s">
        <v>1855</v>
      </c>
      <c r="F1029" s="19" t="str">
        <f t="shared" si="1"/>
        <v>XDKV2</v>
      </c>
      <c r="G1029" s="19" t="s">
        <v>5408</v>
      </c>
      <c r="H1029" s="20" t="s">
        <v>1212</v>
      </c>
      <c r="I1029" s="19" t="s">
        <v>5409</v>
      </c>
      <c r="J1029" s="19" t="s">
        <v>5410</v>
      </c>
      <c r="K1029" s="25" t="s">
        <v>7500</v>
      </c>
      <c r="L1029" s="20" t="s">
        <v>6116</v>
      </c>
      <c r="M1029" s="23" t="s">
        <v>1854</v>
      </c>
      <c r="N1029" s="18"/>
      <c r="O1029" s="18"/>
      <c r="P1029" s="18">
        <f>VLOOKUP($A1029,MasterData!$C$1:$I$3001,1,FALSE)</f>
        <v>9841</v>
      </c>
      <c r="Q1029" s="18" t="str">
        <f t="shared" si="2"/>
        <v>XDKV2</v>
      </c>
    </row>
    <row r="1030" ht="15.75" customHeight="1">
      <c r="A1030" s="15">
        <v>8659.0</v>
      </c>
      <c r="B1030" s="16" t="s">
        <v>7856</v>
      </c>
      <c r="C1030" s="17" t="s">
        <v>7857</v>
      </c>
      <c r="D1030" s="29" t="s">
        <v>7856</v>
      </c>
      <c r="E1030" s="18" t="s">
        <v>3468</v>
      </c>
      <c r="F1030" s="19" t="str">
        <f t="shared" si="1"/>
        <v>XIDKV2</v>
      </c>
      <c r="G1030" s="19" t="s">
        <v>5408</v>
      </c>
      <c r="H1030" s="20" t="s">
        <v>3045</v>
      </c>
      <c r="I1030" s="19" t="s">
        <v>5409</v>
      </c>
      <c r="J1030" s="19" t="s">
        <v>5410</v>
      </c>
      <c r="K1030" s="21" t="s">
        <v>5411</v>
      </c>
      <c r="L1030" s="19" t="s">
        <v>6116</v>
      </c>
      <c r="M1030" s="16" t="s">
        <v>3467</v>
      </c>
      <c r="N1030" s="18"/>
      <c r="O1030" s="18"/>
      <c r="P1030" s="18">
        <f>VLOOKUP($A1030,MasterData!$C$1:$I$3001,1,FALSE)</f>
        <v>8659</v>
      </c>
      <c r="Q1030" s="18" t="str">
        <f t="shared" si="2"/>
        <v>XIDKV2</v>
      </c>
    </row>
    <row r="1031" ht="15.75" customHeight="1">
      <c r="A1031" s="15">
        <v>8688.0</v>
      </c>
      <c r="B1031" s="16" t="s">
        <v>7858</v>
      </c>
      <c r="C1031" s="17" t="s">
        <v>7859</v>
      </c>
      <c r="D1031" s="29" t="s">
        <v>7858</v>
      </c>
      <c r="E1031" s="18" t="s">
        <v>3470</v>
      </c>
      <c r="F1031" s="19" t="str">
        <f t="shared" si="1"/>
        <v>XIDKV2</v>
      </c>
      <c r="G1031" s="19" t="s">
        <v>5408</v>
      </c>
      <c r="H1031" s="20" t="s">
        <v>3045</v>
      </c>
      <c r="I1031" s="19" t="s">
        <v>5409</v>
      </c>
      <c r="J1031" s="19" t="s">
        <v>5410</v>
      </c>
      <c r="K1031" s="21" t="s">
        <v>5411</v>
      </c>
      <c r="L1031" s="19" t="s">
        <v>6116</v>
      </c>
      <c r="M1031" s="16" t="s">
        <v>3469</v>
      </c>
      <c r="N1031" s="18"/>
      <c r="O1031" s="18"/>
      <c r="P1031" s="18">
        <f>VLOOKUP($A1031,MasterData!$C$1:$I$3001,1,FALSE)</f>
        <v>8688</v>
      </c>
      <c r="Q1031" s="18" t="str">
        <f t="shared" si="2"/>
        <v>XIDKV2</v>
      </c>
    </row>
    <row r="1032" ht="15.75" customHeight="1">
      <c r="A1032" s="15">
        <v>8726.0</v>
      </c>
      <c r="B1032" s="16" t="s">
        <v>7860</v>
      </c>
      <c r="C1032" s="17" t="s">
        <v>7861</v>
      </c>
      <c r="D1032" s="29" t="s">
        <v>7860</v>
      </c>
      <c r="E1032" s="18" t="s">
        <v>3472</v>
      </c>
      <c r="F1032" s="19" t="str">
        <f t="shared" si="1"/>
        <v>XIDKV2</v>
      </c>
      <c r="G1032" s="19" t="s">
        <v>5408</v>
      </c>
      <c r="H1032" s="20" t="s">
        <v>3045</v>
      </c>
      <c r="I1032" s="19" t="s">
        <v>5409</v>
      </c>
      <c r="J1032" s="19" t="s">
        <v>5410</v>
      </c>
      <c r="K1032" s="21" t="s">
        <v>5411</v>
      </c>
      <c r="L1032" s="19" t="s">
        <v>6116</v>
      </c>
      <c r="M1032" s="16" t="s">
        <v>3471</v>
      </c>
      <c r="N1032" s="18"/>
      <c r="O1032" s="18"/>
      <c r="P1032" s="18">
        <f>VLOOKUP($A1032,MasterData!$C$1:$I$3001,1,FALSE)</f>
        <v>8726</v>
      </c>
      <c r="Q1032" s="18" t="str">
        <f t="shared" si="2"/>
        <v>XIDKV2</v>
      </c>
    </row>
    <row r="1033" ht="15.75" customHeight="1">
      <c r="A1033" s="15">
        <v>8730.0</v>
      </c>
      <c r="B1033" s="16" t="s">
        <v>7862</v>
      </c>
      <c r="C1033" s="17" t="s">
        <v>7863</v>
      </c>
      <c r="D1033" s="29" t="s">
        <v>7862</v>
      </c>
      <c r="E1033" s="18" t="s">
        <v>3474</v>
      </c>
      <c r="F1033" s="19" t="str">
        <f t="shared" si="1"/>
        <v>XIDKV2</v>
      </c>
      <c r="G1033" s="19" t="s">
        <v>5408</v>
      </c>
      <c r="H1033" s="20" t="s">
        <v>3045</v>
      </c>
      <c r="I1033" s="19" t="s">
        <v>5409</v>
      </c>
      <c r="J1033" s="19" t="s">
        <v>5410</v>
      </c>
      <c r="K1033" s="21" t="s">
        <v>5411</v>
      </c>
      <c r="L1033" s="19" t="s">
        <v>6116</v>
      </c>
      <c r="M1033" s="16" t="s">
        <v>3473</v>
      </c>
      <c r="N1033" s="18"/>
      <c r="O1033" s="18"/>
      <c r="P1033" s="18">
        <f>VLOOKUP($A1033,MasterData!$C$1:$I$3001,1,FALSE)</f>
        <v>8730</v>
      </c>
      <c r="Q1033" s="18" t="str">
        <f t="shared" si="2"/>
        <v>XIDKV2</v>
      </c>
    </row>
    <row r="1034" ht="15.75" customHeight="1">
      <c r="A1034" s="15">
        <v>8739.0</v>
      </c>
      <c r="B1034" s="16" t="s">
        <v>7864</v>
      </c>
      <c r="C1034" s="17" t="s">
        <v>7865</v>
      </c>
      <c r="D1034" s="29" t="s">
        <v>7864</v>
      </c>
      <c r="E1034" s="18" t="s">
        <v>3476</v>
      </c>
      <c r="F1034" s="19" t="str">
        <f t="shared" si="1"/>
        <v>XIDKV2</v>
      </c>
      <c r="G1034" s="19" t="s">
        <v>5408</v>
      </c>
      <c r="H1034" s="20" t="s">
        <v>3045</v>
      </c>
      <c r="I1034" s="19" t="s">
        <v>5409</v>
      </c>
      <c r="J1034" s="19" t="s">
        <v>5410</v>
      </c>
      <c r="K1034" s="21" t="s">
        <v>5411</v>
      </c>
      <c r="L1034" s="19" t="s">
        <v>6116</v>
      </c>
      <c r="M1034" s="16" t="s">
        <v>3475</v>
      </c>
      <c r="N1034" s="18"/>
      <c r="O1034" s="18"/>
      <c r="P1034" s="18">
        <f>VLOOKUP($A1034,MasterData!$C$1:$I$3001,1,FALSE)</f>
        <v>8739</v>
      </c>
      <c r="Q1034" s="18" t="str">
        <f t="shared" si="2"/>
        <v>XIDKV2</v>
      </c>
    </row>
    <row r="1035" ht="15.75" customHeight="1">
      <c r="A1035" s="15">
        <v>8755.0</v>
      </c>
      <c r="B1035" s="16" t="s">
        <v>7866</v>
      </c>
      <c r="C1035" s="30" t="s">
        <v>7867</v>
      </c>
      <c r="D1035" s="29" t="s">
        <v>7866</v>
      </c>
      <c r="E1035" s="18" t="s">
        <v>3478</v>
      </c>
      <c r="F1035" s="19" t="str">
        <f t="shared" si="1"/>
        <v>XIDKV2</v>
      </c>
      <c r="G1035" s="19" t="s">
        <v>5408</v>
      </c>
      <c r="H1035" s="20" t="s">
        <v>3045</v>
      </c>
      <c r="I1035" s="19" t="s">
        <v>5409</v>
      </c>
      <c r="J1035" s="19" t="s">
        <v>5410</v>
      </c>
      <c r="K1035" s="21" t="s">
        <v>5411</v>
      </c>
      <c r="L1035" s="19" t="s">
        <v>6116</v>
      </c>
      <c r="M1035" s="16" t="s">
        <v>3477</v>
      </c>
      <c r="N1035" s="18"/>
      <c r="O1035" s="18"/>
      <c r="P1035" s="18">
        <f>VLOOKUP($A1035,MasterData!$C$1:$I$3001,1,FALSE)</f>
        <v>8755</v>
      </c>
      <c r="Q1035" s="18" t="str">
        <f t="shared" si="2"/>
        <v>XIDKV2</v>
      </c>
    </row>
    <row r="1036" ht="15.75" customHeight="1">
      <c r="A1036" s="15">
        <v>8765.0</v>
      </c>
      <c r="B1036" s="16" t="s">
        <v>7868</v>
      </c>
      <c r="C1036" s="17" t="s">
        <v>7869</v>
      </c>
      <c r="D1036" s="29" t="s">
        <v>7868</v>
      </c>
      <c r="E1036" s="18" t="s">
        <v>3480</v>
      </c>
      <c r="F1036" s="19" t="str">
        <f t="shared" si="1"/>
        <v>XIDKV2</v>
      </c>
      <c r="G1036" s="19" t="s">
        <v>5408</v>
      </c>
      <c r="H1036" s="20" t="s">
        <v>3045</v>
      </c>
      <c r="I1036" s="19" t="s">
        <v>5409</v>
      </c>
      <c r="J1036" s="19" t="s">
        <v>5410</v>
      </c>
      <c r="K1036" s="21" t="s">
        <v>5411</v>
      </c>
      <c r="L1036" s="19" t="s">
        <v>6116</v>
      </c>
      <c r="M1036" s="16" t="s">
        <v>3479</v>
      </c>
      <c r="N1036" s="18"/>
      <c r="O1036" s="18"/>
      <c r="P1036" s="18">
        <f>VLOOKUP($A1036,MasterData!$C$1:$I$3001,1,FALSE)</f>
        <v>8765</v>
      </c>
      <c r="Q1036" s="18" t="str">
        <f t="shared" si="2"/>
        <v>XIDKV2</v>
      </c>
    </row>
    <row r="1037" ht="15.75" customHeight="1">
      <c r="A1037" s="15">
        <v>8770.0</v>
      </c>
      <c r="B1037" s="16" t="s">
        <v>7870</v>
      </c>
      <c r="C1037" s="17" t="s">
        <v>7871</v>
      </c>
      <c r="D1037" s="29" t="s">
        <v>7870</v>
      </c>
      <c r="E1037" s="18" t="s">
        <v>3482</v>
      </c>
      <c r="F1037" s="19" t="str">
        <f t="shared" si="1"/>
        <v>XIDKV2</v>
      </c>
      <c r="G1037" s="19" t="s">
        <v>5408</v>
      </c>
      <c r="H1037" s="20" t="s">
        <v>3045</v>
      </c>
      <c r="I1037" s="19" t="s">
        <v>5409</v>
      </c>
      <c r="J1037" s="19" t="s">
        <v>5410</v>
      </c>
      <c r="K1037" s="21" t="s">
        <v>5411</v>
      </c>
      <c r="L1037" s="19" t="s">
        <v>6116</v>
      </c>
      <c r="M1037" s="16" t="s">
        <v>3481</v>
      </c>
      <c r="N1037" s="18"/>
      <c r="O1037" s="18"/>
      <c r="P1037" s="18">
        <f>VLOOKUP($A1037,MasterData!$C$1:$I$3001,1,FALSE)</f>
        <v>8770</v>
      </c>
      <c r="Q1037" s="18" t="str">
        <f t="shared" si="2"/>
        <v>XIDKV2</v>
      </c>
    </row>
    <row r="1038" ht="15.75" customHeight="1">
      <c r="A1038" s="15">
        <v>8794.0</v>
      </c>
      <c r="B1038" s="16" t="s">
        <v>7872</v>
      </c>
      <c r="C1038" s="17" t="s">
        <v>7873</v>
      </c>
      <c r="D1038" s="29" t="s">
        <v>7872</v>
      </c>
      <c r="E1038" s="18" t="s">
        <v>3484</v>
      </c>
      <c r="F1038" s="19" t="str">
        <f t="shared" si="1"/>
        <v>XIDKV2</v>
      </c>
      <c r="G1038" s="19" t="s">
        <v>5408</v>
      </c>
      <c r="H1038" s="20" t="s">
        <v>3045</v>
      </c>
      <c r="I1038" s="19" t="s">
        <v>5409</v>
      </c>
      <c r="J1038" s="19" t="s">
        <v>5410</v>
      </c>
      <c r="K1038" s="21" t="s">
        <v>5411</v>
      </c>
      <c r="L1038" s="19" t="s">
        <v>6116</v>
      </c>
      <c r="M1038" s="16" t="s">
        <v>3483</v>
      </c>
      <c r="N1038" s="18"/>
      <c r="O1038" s="18"/>
      <c r="P1038" s="18">
        <f>VLOOKUP($A1038,MasterData!$C$1:$I$3001,1,FALSE)</f>
        <v>8794</v>
      </c>
      <c r="Q1038" s="18" t="str">
        <f t="shared" si="2"/>
        <v>XIDKV2</v>
      </c>
    </row>
    <row r="1039" ht="15.75" customHeight="1">
      <c r="A1039" s="15">
        <v>8812.0</v>
      </c>
      <c r="B1039" s="16" t="s">
        <v>7874</v>
      </c>
      <c r="C1039" s="30" t="s">
        <v>7875</v>
      </c>
      <c r="D1039" s="29" t="s">
        <v>7874</v>
      </c>
      <c r="E1039" s="18" t="s">
        <v>3486</v>
      </c>
      <c r="F1039" s="19" t="str">
        <f t="shared" si="1"/>
        <v>XIDKV2</v>
      </c>
      <c r="G1039" s="19" t="s">
        <v>5408</v>
      </c>
      <c r="H1039" s="20" t="s">
        <v>3045</v>
      </c>
      <c r="I1039" s="19" t="s">
        <v>5409</v>
      </c>
      <c r="J1039" s="19" t="s">
        <v>5410</v>
      </c>
      <c r="K1039" s="21" t="s">
        <v>5411</v>
      </c>
      <c r="L1039" s="19" t="s">
        <v>6116</v>
      </c>
      <c r="M1039" s="16" t="s">
        <v>3485</v>
      </c>
      <c r="N1039" s="18"/>
      <c r="O1039" s="18"/>
      <c r="P1039" s="18">
        <f>VLOOKUP($A1039,MasterData!$C$1:$I$3001,1,FALSE)</f>
        <v>8812</v>
      </c>
      <c r="Q1039" s="18" t="str">
        <f t="shared" si="2"/>
        <v>XIDKV2</v>
      </c>
    </row>
    <row r="1040" ht="15.75" customHeight="1">
      <c r="A1040" s="15">
        <v>8833.0</v>
      </c>
      <c r="B1040" s="16" t="s">
        <v>7876</v>
      </c>
      <c r="C1040" s="17" t="s">
        <v>7877</v>
      </c>
      <c r="D1040" s="29" t="s">
        <v>7876</v>
      </c>
      <c r="E1040" s="18" t="s">
        <v>3488</v>
      </c>
      <c r="F1040" s="19" t="str">
        <f t="shared" si="1"/>
        <v>XIDKV2</v>
      </c>
      <c r="G1040" s="19" t="s">
        <v>5408</v>
      </c>
      <c r="H1040" s="20" t="s">
        <v>3045</v>
      </c>
      <c r="I1040" s="19" t="s">
        <v>5409</v>
      </c>
      <c r="J1040" s="19" t="s">
        <v>5410</v>
      </c>
      <c r="K1040" s="21" t="s">
        <v>5411</v>
      </c>
      <c r="L1040" s="19" t="s">
        <v>6116</v>
      </c>
      <c r="M1040" s="16" t="s">
        <v>3487</v>
      </c>
      <c r="N1040" s="18"/>
      <c r="O1040" s="18"/>
      <c r="P1040" s="18">
        <f>VLOOKUP($A1040,MasterData!$C$1:$I$3001,1,FALSE)</f>
        <v>8833</v>
      </c>
      <c r="Q1040" s="18" t="str">
        <f t="shared" si="2"/>
        <v>XIDKV2</v>
      </c>
    </row>
    <row r="1041" ht="15.75" customHeight="1">
      <c r="A1041" s="15">
        <v>8873.0</v>
      </c>
      <c r="B1041" s="16" t="s">
        <v>7878</v>
      </c>
      <c r="C1041" s="17" t="s">
        <v>7879</v>
      </c>
      <c r="D1041" s="29" t="s">
        <v>7878</v>
      </c>
      <c r="E1041" s="18" t="s">
        <v>3490</v>
      </c>
      <c r="F1041" s="19" t="str">
        <f t="shared" si="1"/>
        <v>XIDKV2</v>
      </c>
      <c r="G1041" s="19" t="s">
        <v>5408</v>
      </c>
      <c r="H1041" s="20" t="s">
        <v>3045</v>
      </c>
      <c r="I1041" s="19" t="s">
        <v>5409</v>
      </c>
      <c r="J1041" s="19" t="s">
        <v>5410</v>
      </c>
      <c r="K1041" s="21" t="s">
        <v>5411</v>
      </c>
      <c r="L1041" s="19" t="s">
        <v>6116</v>
      </c>
      <c r="M1041" s="16" t="s">
        <v>3489</v>
      </c>
      <c r="N1041" s="18"/>
      <c r="O1041" s="18"/>
      <c r="P1041" s="18">
        <f>VLOOKUP($A1041,MasterData!$C$1:$I$3001,1,FALSE)</f>
        <v>8873</v>
      </c>
      <c r="Q1041" s="18" t="str">
        <f t="shared" si="2"/>
        <v>XIDKV2</v>
      </c>
    </row>
    <row r="1042" ht="15.75" customHeight="1">
      <c r="A1042" s="15">
        <v>8894.0</v>
      </c>
      <c r="B1042" s="16" t="s">
        <v>7880</v>
      </c>
      <c r="C1042" s="17" t="s">
        <v>7881</v>
      </c>
      <c r="D1042" s="29" t="s">
        <v>7880</v>
      </c>
      <c r="E1042" s="18" t="s">
        <v>3492</v>
      </c>
      <c r="F1042" s="19" t="str">
        <f t="shared" si="1"/>
        <v>XIDKV2</v>
      </c>
      <c r="G1042" s="19" t="s">
        <v>5408</v>
      </c>
      <c r="H1042" s="20" t="s">
        <v>3045</v>
      </c>
      <c r="I1042" s="19" t="s">
        <v>5409</v>
      </c>
      <c r="J1042" s="19" t="s">
        <v>5410</v>
      </c>
      <c r="K1042" s="21" t="s">
        <v>5411</v>
      </c>
      <c r="L1042" s="19" t="s">
        <v>6116</v>
      </c>
      <c r="M1042" s="16" t="s">
        <v>3491</v>
      </c>
      <c r="N1042" s="18"/>
      <c r="O1042" s="18"/>
      <c r="P1042" s="18">
        <f>VLOOKUP($A1042,MasterData!$C$1:$I$3001,1,FALSE)</f>
        <v>8894</v>
      </c>
      <c r="Q1042" s="18" t="str">
        <f t="shared" si="2"/>
        <v>XIDKV2</v>
      </c>
    </row>
    <row r="1043" ht="15.75" customHeight="1">
      <c r="A1043" s="15">
        <v>8901.0</v>
      </c>
      <c r="B1043" s="16" t="s">
        <v>7882</v>
      </c>
      <c r="C1043" s="17" t="s">
        <v>7883</v>
      </c>
      <c r="D1043" s="29" t="s">
        <v>7882</v>
      </c>
      <c r="E1043" s="18" t="s">
        <v>3494</v>
      </c>
      <c r="F1043" s="19" t="str">
        <f t="shared" si="1"/>
        <v>XIDKV2</v>
      </c>
      <c r="G1043" s="19" t="s">
        <v>5408</v>
      </c>
      <c r="H1043" s="20" t="s">
        <v>3045</v>
      </c>
      <c r="I1043" s="19" t="s">
        <v>5409</v>
      </c>
      <c r="J1043" s="19" t="s">
        <v>5410</v>
      </c>
      <c r="K1043" s="21" t="s">
        <v>5411</v>
      </c>
      <c r="L1043" s="19" t="s">
        <v>6116</v>
      </c>
      <c r="M1043" s="16" t="s">
        <v>3493</v>
      </c>
      <c r="N1043" s="18"/>
      <c r="O1043" s="18"/>
      <c r="P1043" s="18">
        <f>VLOOKUP($A1043,MasterData!$C$1:$I$3001,1,FALSE)</f>
        <v>8901</v>
      </c>
      <c r="Q1043" s="18" t="str">
        <f t="shared" si="2"/>
        <v>XIDKV2</v>
      </c>
    </row>
    <row r="1044" ht="15.75" customHeight="1">
      <c r="A1044" s="15">
        <v>8909.0</v>
      </c>
      <c r="B1044" s="16" t="s">
        <v>7884</v>
      </c>
      <c r="C1044" s="17" t="s">
        <v>7885</v>
      </c>
      <c r="D1044" s="29" t="s">
        <v>7884</v>
      </c>
      <c r="E1044" s="18" t="s">
        <v>3496</v>
      </c>
      <c r="F1044" s="19" t="str">
        <f t="shared" si="1"/>
        <v>XIDKV2</v>
      </c>
      <c r="G1044" s="19" t="s">
        <v>5408</v>
      </c>
      <c r="H1044" s="20" t="s">
        <v>3045</v>
      </c>
      <c r="I1044" s="19" t="s">
        <v>5409</v>
      </c>
      <c r="J1044" s="19" t="s">
        <v>5410</v>
      </c>
      <c r="K1044" s="21" t="s">
        <v>5411</v>
      </c>
      <c r="L1044" s="19" t="s">
        <v>6116</v>
      </c>
      <c r="M1044" s="16" t="s">
        <v>3495</v>
      </c>
      <c r="N1044" s="18"/>
      <c r="O1044" s="18"/>
      <c r="P1044" s="18">
        <f>VLOOKUP($A1044,MasterData!$C$1:$I$3001,1,FALSE)</f>
        <v>8909</v>
      </c>
      <c r="Q1044" s="18" t="str">
        <f t="shared" si="2"/>
        <v>XIDKV2</v>
      </c>
    </row>
    <row r="1045" ht="15.75" customHeight="1">
      <c r="A1045" s="15">
        <v>8918.0</v>
      </c>
      <c r="B1045" s="16" t="s">
        <v>7886</v>
      </c>
      <c r="C1045" s="17" t="s">
        <v>7887</v>
      </c>
      <c r="D1045" s="29" t="s">
        <v>7886</v>
      </c>
      <c r="E1045" s="18" t="s">
        <v>3498</v>
      </c>
      <c r="F1045" s="19" t="str">
        <f t="shared" si="1"/>
        <v>XIDKV2</v>
      </c>
      <c r="G1045" s="19" t="s">
        <v>5408</v>
      </c>
      <c r="H1045" s="20" t="s">
        <v>3045</v>
      </c>
      <c r="I1045" s="19" t="s">
        <v>5409</v>
      </c>
      <c r="J1045" s="19" t="s">
        <v>5410</v>
      </c>
      <c r="K1045" s="21" t="s">
        <v>5411</v>
      </c>
      <c r="L1045" s="19" t="s">
        <v>6116</v>
      </c>
      <c r="M1045" s="16" t="s">
        <v>3497</v>
      </c>
      <c r="N1045" s="18"/>
      <c r="O1045" s="18"/>
      <c r="P1045" s="18">
        <f>VLOOKUP($A1045,MasterData!$C$1:$I$3001,1,FALSE)</f>
        <v>8918</v>
      </c>
      <c r="Q1045" s="18" t="str">
        <f t="shared" si="2"/>
        <v>XIDKV2</v>
      </c>
    </row>
    <row r="1046" ht="15.75" customHeight="1">
      <c r="A1046" s="15">
        <v>8939.0</v>
      </c>
      <c r="B1046" s="16" t="s">
        <v>7888</v>
      </c>
      <c r="C1046" s="17" t="s">
        <v>7889</v>
      </c>
      <c r="D1046" s="29" t="s">
        <v>7888</v>
      </c>
      <c r="E1046" s="18" t="s">
        <v>3500</v>
      </c>
      <c r="F1046" s="19" t="str">
        <f t="shared" si="1"/>
        <v>XIDKV2</v>
      </c>
      <c r="G1046" s="19" t="s">
        <v>5408</v>
      </c>
      <c r="H1046" s="20" t="s">
        <v>3045</v>
      </c>
      <c r="I1046" s="19" t="s">
        <v>5409</v>
      </c>
      <c r="J1046" s="19" t="s">
        <v>5410</v>
      </c>
      <c r="K1046" s="21" t="s">
        <v>5411</v>
      </c>
      <c r="L1046" s="19" t="s">
        <v>6116</v>
      </c>
      <c r="M1046" s="16" t="s">
        <v>3499</v>
      </c>
      <c r="N1046" s="18"/>
      <c r="O1046" s="18"/>
      <c r="P1046" s="18">
        <f>VLOOKUP($A1046,MasterData!$C$1:$I$3001,1,FALSE)</f>
        <v>8939</v>
      </c>
      <c r="Q1046" s="18" t="str">
        <f t="shared" si="2"/>
        <v>XIDKV2</v>
      </c>
    </row>
    <row r="1047" ht="15.75" customHeight="1">
      <c r="A1047" s="15">
        <v>8951.0</v>
      </c>
      <c r="B1047" s="16" t="s">
        <v>7890</v>
      </c>
      <c r="C1047" s="17" t="s">
        <v>7891</v>
      </c>
      <c r="D1047" s="29" t="s">
        <v>7890</v>
      </c>
      <c r="E1047" s="18" t="s">
        <v>3502</v>
      </c>
      <c r="F1047" s="19" t="str">
        <f t="shared" si="1"/>
        <v>XIDKV2</v>
      </c>
      <c r="G1047" s="19" t="s">
        <v>5408</v>
      </c>
      <c r="H1047" s="20" t="s">
        <v>3045</v>
      </c>
      <c r="I1047" s="19" t="s">
        <v>5409</v>
      </c>
      <c r="J1047" s="19" t="s">
        <v>5410</v>
      </c>
      <c r="K1047" s="21" t="s">
        <v>5411</v>
      </c>
      <c r="L1047" s="19" t="s">
        <v>6116</v>
      </c>
      <c r="M1047" s="16" t="s">
        <v>3501</v>
      </c>
      <c r="N1047" s="18"/>
      <c r="O1047" s="18"/>
      <c r="P1047" s="18">
        <f>VLOOKUP($A1047,MasterData!$C$1:$I$3001,1,FALSE)</f>
        <v>8951</v>
      </c>
      <c r="Q1047" s="18" t="str">
        <f t="shared" si="2"/>
        <v>XIDKV2</v>
      </c>
    </row>
    <row r="1048" ht="15.75" customHeight="1">
      <c r="A1048" s="15">
        <v>8961.0</v>
      </c>
      <c r="B1048" s="16" t="s">
        <v>7892</v>
      </c>
      <c r="C1048" s="17" t="s">
        <v>7893</v>
      </c>
      <c r="D1048" s="29" t="s">
        <v>7892</v>
      </c>
      <c r="E1048" s="18" t="s">
        <v>3504</v>
      </c>
      <c r="F1048" s="19" t="str">
        <f t="shared" si="1"/>
        <v>XIDKV2</v>
      </c>
      <c r="G1048" s="19" t="s">
        <v>5408</v>
      </c>
      <c r="H1048" s="20" t="s">
        <v>3045</v>
      </c>
      <c r="I1048" s="19" t="s">
        <v>5409</v>
      </c>
      <c r="J1048" s="19" t="s">
        <v>5410</v>
      </c>
      <c r="K1048" s="21" t="s">
        <v>5411</v>
      </c>
      <c r="L1048" s="19" t="s">
        <v>6116</v>
      </c>
      <c r="M1048" s="16" t="s">
        <v>3503</v>
      </c>
      <c r="N1048" s="18"/>
      <c r="O1048" s="18"/>
      <c r="P1048" s="18">
        <f>VLOOKUP($A1048,MasterData!$C$1:$I$3001,1,FALSE)</f>
        <v>8961</v>
      </c>
      <c r="Q1048" s="18" t="str">
        <f t="shared" si="2"/>
        <v>XIDKV2</v>
      </c>
    </row>
    <row r="1049" ht="15.75" customHeight="1">
      <c r="A1049" s="15">
        <v>9024.0</v>
      </c>
      <c r="B1049" s="16" t="s">
        <v>7894</v>
      </c>
      <c r="C1049" s="17" t="s">
        <v>7895</v>
      </c>
      <c r="D1049" s="29" t="s">
        <v>7894</v>
      </c>
      <c r="E1049" s="18" t="s">
        <v>3506</v>
      </c>
      <c r="F1049" s="19" t="str">
        <f t="shared" si="1"/>
        <v>XIDKV2</v>
      </c>
      <c r="G1049" s="19" t="s">
        <v>5408</v>
      </c>
      <c r="H1049" s="20" t="s">
        <v>3045</v>
      </c>
      <c r="I1049" s="19" t="s">
        <v>5409</v>
      </c>
      <c r="J1049" s="19" t="s">
        <v>5410</v>
      </c>
      <c r="K1049" s="21" t="s">
        <v>5411</v>
      </c>
      <c r="L1049" s="19" t="s">
        <v>6116</v>
      </c>
      <c r="M1049" s="16" t="s">
        <v>3505</v>
      </c>
      <c r="N1049" s="18"/>
      <c r="O1049" s="18"/>
      <c r="P1049" s="18">
        <f>VLOOKUP($A1049,MasterData!$C$1:$I$3001,1,FALSE)</f>
        <v>9024</v>
      </c>
      <c r="Q1049" s="18" t="str">
        <f t="shared" si="2"/>
        <v>XIDKV2</v>
      </c>
    </row>
    <row r="1050" ht="15.75" customHeight="1">
      <c r="A1050" s="15">
        <v>9051.0</v>
      </c>
      <c r="B1050" s="16" t="s">
        <v>7896</v>
      </c>
      <c r="C1050" s="17" t="s">
        <v>7897</v>
      </c>
      <c r="D1050" s="29" t="s">
        <v>7896</v>
      </c>
      <c r="E1050" s="18" t="s">
        <v>3508</v>
      </c>
      <c r="F1050" s="19" t="str">
        <f t="shared" si="1"/>
        <v>XIDKV2</v>
      </c>
      <c r="G1050" s="19" t="s">
        <v>5408</v>
      </c>
      <c r="H1050" s="20" t="s">
        <v>3045</v>
      </c>
      <c r="I1050" s="19" t="s">
        <v>5409</v>
      </c>
      <c r="J1050" s="19" t="s">
        <v>5410</v>
      </c>
      <c r="K1050" s="21" t="s">
        <v>5411</v>
      </c>
      <c r="L1050" s="19" t="s">
        <v>6116</v>
      </c>
      <c r="M1050" s="16" t="s">
        <v>3507</v>
      </c>
      <c r="N1050" s="18"/>
      <c r="O1050" s="18"/>
      <c r="P1050" s="18">
        <f>VLOOKUP($A1050,MasterData!$C$1:$I$3001,1,FALSE)</f>
        <v>9051</v>
      </c>
      <c r="Q1050" s="18" t="str">
        <f t="shared" si="2"/>
        <v>XIDKV2</v>
      </c>
    </row>
    <row r="1051" ht="15.75" customHeight="1">
      <c r="A1051" s="15">
        <v>9057.0</v>
      </c>
      <c r="B1051" s="16" t="s">
        <v>7898</v>
      </c>
      <c r="C1051" s="17" t="s">
        <v>7899</v>
      </c>
      <c r="D1051" s="29" t="s">
        <v>7898</v>
      </c>
      <c r="E1051" s="18" t="s">
        <v>3510</v>
      </c>
      <c r="F1051" s="19" t="str">
        <f t="shared" si="1"/>
        <v>XIDKV2</v>
      </c>
      <c r="G1051" s="19" t="s">
        <v>5408</v>
      </c>
      <c r="H1051" s="20" t="s">
        <v>3045</v>
      </c>
      <c r="I1051" s="19" t="s">
        <v>5409</v>
      </c>
      <c r="J1051" s="19" t="s">
        <v>5410</v>
      </c>
      <c r="K1051" s="21" t="s">
        <v>5411</v>
      </c>
      <c r="L1051" s="19" t="s">
        <v>6116</v>
      </c>
      <c r="M1051" s="16" t="s">
        <v>3509</v>
      </c>
      <c r="N1051" s="18"/>
      <c r="O1051" s="18"/>
      <c r="P1051" s="18">
        <f>VLOOKUP($A1051,MasterData!$C$1:$I$3001,1,FALSE)</f>
        <v>9057</v>
      </c>
      <c r="Q1051" s="18" t="str">
        <f t="shared" si="2"/>
        <v>XIDKV2</v>
      </c>
    </row>
    <row r="1052" ht="15.75" customHeight="1">
      <c r="A1052" s="15">
        <v>9064.0</v>
      </c>
      <c r="B1052" s="16" t="s">
        <v>7900</v>
      </c>
      <c r="C1052" s="17" t="s">
        <v>7901</v>
      </c>
      <c r="D1052" s="29" t="s">
        <v>7900</v>
      </c>
      <c r="E1052" s="18" t="s">
        <v>3512</v>
      </c>
      <c r="F1052" s="19" t="str">
        <f t="shared" si="1"/>
        <v>XIDKV2</v>
      </c>
      <c r="G1052" s="19" t="s">
        <v>5408</v>
      </c>
      <c r="H1052" s="20" t="s">
        <v>3045</v>
      </c>
      <c r="I1052" s="19" t="s">
        <v>5409</v>
      </c>
      <c r="J1052" s="19" t="s">
        <v>5410</v>
      </c>
      <c r="K1052" s="21" t="s">
        <v>5411</v>
      </c>
      <c r="L1052" s="19" t="s">
        <v>6116</v>
      </c>
      <c r="M1052" s="16" t="s">
        <v>3511</v>
      </c>
      <c r="N1052" s="18"/>
      <c r="O1052" s="18"/>
      <c r="P1052" s="18">
        <f>VLOOKUP($A1052,MasterData!$C$1:$I$3001,1,FALSE)</f>
        <v>9064</v>
      </c>
      <c r="Q1052" s="18" t="str">
        <f t="shared" si="2"/>
        <v>XIDKV2</v>
      </c>
    </row>
    <row r="1053" ht="15.75" customHeight="1">
      <c r="A1053" s="15">
        <v>9072.0</v>
      </c>
      <c r="B1053" s="16" t="s">
        <v>7902</v>
      </c>
      <c r="C1053" s="17" t="s">
        <v>7903</v>
      </c>
      <c r="D1053" s="29" t="s">
        <v>7902</v>
      </c>
      <c r="E1053" s="18" t="s">
        <v>3514</v>
      </c>
      <c r="F1053" s="19" t="str">
        <f t="shared" si="1"/>
        <v>XIDKV2</v>
      </c>
      <c r="G1053" s="19" t="s">
        <v>5408</v>
      </c>
      <c r="H1053" s="20" t="s">
        <v>3045</v>
      </c>
      <c r="I1053" s="19" t="s">
        <v>5409</v>
      </c>
      <c r="J1053" s="19" t="s">
        <v>5410</v>
      </c>
      <c r="K1053" s="21" t="s">
        <v>5411</v>
      </c>
      <c r="L1053" s="19" t="s">
        <v>6116</v>
      </c>
      <c r="M1053" s="16" t="s">
        <v>3513</v>
      </c>
      <c r="N1053" s="18"/>
      <c r="O1053" s="18"/>
      <c r="P1053" s="18">
        <f>VLOOKUP($A1053,MasterData!$C$1:$I$3001,1,FALSE)</f>
        <v>9072</v>
      </c>
      <c r="Q1053" s="18" t="str">
        <f t="shared" si="2"/>
        <v>XIDKV2</v>
      </c>
    </row>
    <row r="1054" ht="15.75" customHeight="1">
      <c r="A1054" s="15">
        <v>9076.0</v>
      </c>
      <c r="B1054" s="16" t="s">
        <v>7904</v>
      </c>
      <c r="C1054" s="17" t="s">
        <v>7905</v>
      </c>
      <c r="D1054" s="29" t="s">
        <v>7904</v>
      </c>
      <c r="E1054" s="18" t="s">
        <v>3516</v>
      </c>
      <c r="F1054" s="19" t="str">
        <f t="shared" si="1"/>
        <v>XIDKV2</v>
      </c>
      <c r="G1054" s="19" t="s">
        <v>5408</v>
      </c>
      <c r="H1054" s="20" t="s">
        <v>3045</v>
      </c>
      <c r="I1054" s="19" t="s">
        <v>5409</v>
      </c>
      <c r="J1054" s="19" t="s">
        <v>5410</v>
      </c>
      <c r="K1054" s="21" t="s">
        <v>5411</v>
      </c>
      <c r="L1054" s="19" t="s">
        <v>6116</v>
      </c>
      <c r="M1054" s="16" t="s">
        <v>3515</v>
      </c>
      <c r="N1054" s="18"/>
      <c r="O1054" s="18"/>
      <c r="P1054" s="18">
        <f>VLOOKUP($A1054,MasterData!$C$1:$I$3001,1,FALSE)</f>
        <v>9076</v>
      </c>
      <c r="Q1054" s="18" t="str">
        <f t="shared" si="2"/>
        <v>XIDKV2</v>
      </c>
    </row>
    <row r="1055" ht="15.75" customHeight="1">
      <c r="A1055" s="15">
        <v>9097.0</v>
      </c>
      <c r="B1055" s="16" t="s">
        <v>7906</v>
      </c>
      <c r="C1055" s="17" t="s">
        <v>7907</v>
      </c>
      <c r="D1055" s="29" t="s">
        <v>7906</v>
      </c>
      <c r="E1055" s="18" t="s">
        <v>3518</v>
      </c>
      <c r="F1055" s="19" t="str">
        <f t="shared" si="1"/>
        <v>XIDKV2</v>
      </c>
      <c r="G1055" s="19" t="s">
        <v>5408</v>
      </c>
      <c r="H1055" s="20" t="s">
        <v>3045</v>
      </c>
      <c r="I1055" s="19" t="s">
        <v>5409</v>
      </c>
      <c r="J1055" s="19" t="s">
        <v>5410</v>
      </c>
      <c r="K1055" s="21" t="s">
        <v>5411</v>
      </c>
      <c r="L1055" s="19" t="s">
        <v>6116</v>
      </c>
      <c r="M1055" s="16" t="s">
        <v>3517</v>
      </c>
      <c r="N1055" s="18"/>
      <c r="O1055" s="18"/>
      <c r="P1055" s="18">
        <f>VLOOKUP($A1055,MasterData!$C$1:$I$3001,1,FALSE)</f>
        <v>9097</v>
      </c>
      <c r="Q1055" s="18" t="str">
        <f t="shared" si="2"/>
        <v>XIDKV2</v>
      </c>
    </row>
    <row r="1056" ht="15.75" customHeight="1">
      <c r="A1056" s="15">
        <v>9117.0</v>
      </c>
      <c r="B1056" s="16" t="s">
        <v>7908</v>
      </c>
      <c r="C1056" s="17" t="s">
        <v>7909</v>
      </c>
      <c r="D1056" s="29" t="s">
        <v>7908</v>
      </c>
      <c r="E1056" s="18" t="s">
        <v>3520</v>
      </c>
      <c r="F1056" s="19" t="str">
        <f t="shared" si="1"/>
        <v>XIDKV2</v>
      </c>
      <c r="G1056" s="19" t="s">
        <v>5408</v>
      </c>
      <c r="H1056" s="20" t="s">
        <v>3045</v>
      </c>
      <c r="I1056" s="19" t="s">
        <v>5409</v>
      </c>
      <c r="J1056" s="19" t="s">
        <v>5410</v>
      </c>
      <c r="K1056" s="21" t="s">
        <v>5411</v>
      </c>
      <c r="L1056" s="19" t="s">
        <v>6116</v>
      </c>
      <c r="M1056" s="16" t="s">
        <v>3519</v>
      </c>
      <c r="N1056" s="18"/>
      <c r="O1056" s="18"/>
      <c r="P1056" s="18">
        <f>VLOOKUP($A1056,MasterData!$C$1:$I$3001,1,FALSE)</f>
        <v>9117</v>
      </c>
      <c r="Q1056" s="18" t="str">
        <f t="shared" si="2"/>
        <v>XIDKV2</v>
      </c>
    </row>
    <row r="1057" ht="15.75" customHeight="1">
      <c r="A1057" s="15">
        <v>9127.0</v>
      </c>
      <c r="B1057" s="16" t="s">
        <v>7910</v>
      </c>
      <c r="C1057" s="17" t="s">
        <v>7911</v>
      </c>
      <c r="D1057" s="29" t="s">
        <v>7910</v>
      </c>
      <c r="E1057" s="18" t="s">
        <v>3522</v>
      </c>
      <c r="F1057" s="19" t="str">
        <f t="shared" si="1"/>
        <v>XIDKV2</v>
      </c>
      <c r="G1057" s="19" t="s">
        <v>5408</v>
      </c>
      <c r="H1057" s="20" t="s">
        <v>3045</v>
      </c>
      <c r="I1057" s="19" t="s">
        <v>5409</v>
      </c>
      <c r="J1057" s="19" t="s">
        <v>5410</v>
      </c>
      <c r="K1057" s="21" t="s">
        <v>5411</v>
      </c>
      <c r="L1057" s="19" t="s">
        <v>6116</v>
      </c>
      <c r="M1057" s="16" t="s">
        <v>3521</v>
      </c>
      <c r="N1057" s="18"/>
      <c r="O1057" s="18"/>
      <c r="P1057" s="18">
        <f>VLOOKUP($A1057,MasterData!$C$1:$I$3001,1,FALSE)</f>
        <v>9127</v>
      </c>
      <c r="Q1057" s="18" t="str">
        <f t="shared" si="2"/>
        <v>XIDKV2</v>
      </c>
    </row>
    <row r="1058" ht="15.75" customHeight="1">
      <c r="A1058" s="15">
        <v>9134.0</v>
      </c>
      <c r="B1058" s="16" t="s">
        <v>7912</v>
      </c>
      <c r="C1058" s="17" t="s">
        <v>7913</v>
      </c>
      <c r="D1058" s="29" t="s">
        <v>7912</v>
      </c>
      <c r="E1058" s="18" t="s">
        <v>3524</v>
      </c>
      <c r="F1058" s="19" t="str">
        <f t="shared" si="1"/>
        <v>XIDKV2</v>
      </c>
      <c r="G1058" s="19" t="s">
        <v>5408</v>
      </c>
      <c r="H1058" s="20" t="s">
        <v>3045</v>
      </c>
      <c r="I1058" s="19" t="s">
        <v>5409</v>
      </c>
      <c r="J1058" s="19" t="s">
        <v>5410</v>
      </c>
      <c r="K1058" s="21" t="s">
        <v>5411</v>
      </c>
      <c r="L1058" s="19" t="s">
        <v>6116</v>
      </c>
      <c r="M1058" s="16" t="s">
        <v>3523</v>
      </c>
      <c r="N1058" s="18"/>
      <c r="O1058" s="18"/>
      <c r="P1058" s="18">
        <f>VLOOKUP($A1058,MasterData!$C$1:$I$3001,1,FALSE)</f>
        <v>9134</v>
      </c>
      <c r="Q1058" s="18" t="str">
        <f t="shared" si="2"/>
        <v>XIDKV2</v>
      </c>
    </row>
    <row r="1059" ht="15.75" customHeight="1">
      <c r="A1059" s="15">
        <v>9157.0</v>
      </c>
      <c r="B1059" s="16" t="s">
        <v>7914</v>
      </c>
      <c r="C1059" s="17" t="s">
        <v>7915</v>
      </c>
      <c r="D1059" s="29" t="s">
        <v>7914</v>
      </c>
      <c r="E1059" s="18" t="s">
        <v>3526</v>
      </c>
      <c r="F1059" s="19" t="str">
        <f t="shared" si="1"/>
        <v>XIDKV2</v>
      </c>
      <c r="G1059" s="19" t="s">
        <v>5408</v>
      </c>
      <c r="H1059" s="20" t="s">
        <v>3045</v>
      </c>
      <c r="I1059" s="19" t="s">
        <v>5409</v>
      </c>
      <c r="J1059" s="19" t="s">
        <v>5410</v>
      </c>
      <c r="K1059" s="21" t="s">
        <v>5411</v>
      </c>
      <c r="L1059" s="19" t="s">
        <v>6116</v>
      </c>
      <c r="M1059" s="16" t="s">
        <v>3525</v>
      </c>
      <c r="N1059" s="18"/>
      <c r="O1059" s="18"/>
      <c r="P1059" s="18">
        <f>VLOOKUP($A1059,MasterData!$C$1:$I$3001,1,FALSE)</f>
        <v>9157</v>
      </c>
      <c r="Q1059" s="18" t="str">
        <f t="shared" si="2"/>
        <v>XIDKV2</v>
      </c>
    </row>
    <row r="1060" ht="15.75" customHeight="1">
      <c r="A1060" s="15">
        <v>9170.0</v>
      </c>
      <c r="B1060" s="16" t="s">
        <v>7916</v>
      </c>
      <c r="C1060" s="17" t="s">
        <v>7917</v>
      </c>
      <c r="D1060" s="29" t="s">
        <v>7916</v>
      </c>
      <c r="E1060" s="18" t="s">
        <v>3528</v>
      </c>
      <c r="F1060" s="19" t="str">
        <f t="shared" si="1"/>
        <v>XIDKV2</v>
      </c>
      <c r="G1060" s="19" t="s">
        <v>5408</v>
      </c>
      <c r="H1060" s="20" t="s">
        <v>3045</v>
      </c>
      <c r="I1060" s="19" t="s">
        <v>5409</v>
      </c>
      <c r="J1060" s="19" t="s">
        <v>5410</v>
      </c>
      <c r="K1060" s="21" t="s">
        <v>5411</v>
      </c>
      <c r="L1060" s="19" t="s">
        <v>6116</v>
      </c>
      <c r="M1060" s="16" t="s">
        <v>3527</v>
      </c>
      <c r="N1060" s="18"/>
      <c r="O1060" s="18"/>
      <c r="P1060" s="18">
        <f>VLOOKUP($A1060,MasterData!$C$1:$I$3001,1,FALSE)</f>
        <v>9170</v>
      </c>
      <c r="Q1060" s="18" t="str">
        <f t="shared" si="2"/>
        <v>XIDKV2</v>
      </c>
    </row>
    <row r="1061" ht="15.75" customHeight="1">
      <c r="A1061" s="15">
        <v>9180.0</v>
      </c>
      <c r="B1061" s="16" t="s">
        <v>7918</v>
      </c>
      <c r="C1061" s="17" t="s">
        <v>7919</v>
      </c>
      <c r="D1061" s="29" t="s">
        <v>7918</v>
      </c>
      <c r="E1061" s="18" t="s">
        <v>3530</v>
      </c>
      <c r="F1061" s="19" t="str">
        <f t="shared" si="1"/>
        <v>XIDKV2</v>
      </c>
      <c r="G1061" s="19" t="s">
        <v>5408</v>
      </c>
      <c r="H1061" s="20" t="s">
        <v>3045</v>
      </c>
      <c r="I1061" s="19" t="s">
        <v>5409</v>
      </c>
      <c r="J1061" s="19" t="s">
        <v>5410</v>
      </c>
      <c r="K1061" s="21" t="s">
        <v>5411</v>
      </c>
      <c r="L1061" s="19" t="s">
        <v>6116</v>
      </c>
      <c r="M1061" s="16" t="s">
        <v>3529</v>
      </c>
      <c r="N1061" s="18"/>
      <c r="O1061" s="18"/>
      <c r="P1061" s="18">
        <f>VLOOKUP($A1061,MasterData!$C$1:$I$3001,1,FALSE)</f>
        <v>9180</v>
      </c>
      <c r="Q1061" s="18" t="str">
        <f t="shared" si="2"/>
        <v>XIDKV2</v>
      </c>
    </row>
    <row r="1062" ht="15.75" customHeight="1">
      <c r="A1062" s="15">
        <v>9183.0</v>
      </c>
      <c r="B1062" s="16" t="s">
        <v>7920</v>
      </c>
      <c r="C1062" s="17" t="s">
        <v>7921</v>
      </c>
      <c r="D1062" s="29" t="s">
        <v>7920</v>
      </c>
      <c r="E1062" s="18" t="s">
        <v>3532</v>
      </c>
      <c r="F1062" s="19" t="str">
        <f t="shared" si="1"/>
        <v>XIDKV2</v>
      </c>
      <c r="G1062" s="19" t="s">
        <v>5408</v>
      </c>
      <c r="H1062" s="20" t="s">
        <v>3045</v>
      </c>
      <c r="I1062" s="19" t="s">
        <v>5409</v>
      </c>
      <c r="J1062" s="19" t="s">
        <v>5410</v>
      </c>
      <c r="K1062" s="21" t="s">
        <v>5411</v>
      </c>
      <c r="L1062" s="19" t="s">
        <v>6116</v>
      </c>
      <c r="M1062" s="16" t="s">
        <v>3531</v>
      </c>
      <c r="N1062" s="18"/>
      <c r="O1062" s="18"/>
      <c r="P1062" s="18">
        <f>VLOOKUP($A1062,MasterData!$C$1:$I$3001,1,FALSE)</f>
        <v>9183</v>
      </c>
      <c r="Q1062" s="18" t="str">
        <f t="shared" si="2"/>
        <v>XIDKV2</v>
      </c>
    </row>
    <row r="1063" ht="15.75" customHeight="1">
      <c r="A1063" s="15">
        <v>9215.0</v>
      </c>
      <c r="B1063" s="16" t="s">
        <v>7922</v>
      </c>
      <c r="C1063" s="17" t="s">
        <v>7923</v>
      </c>
      <c r="D1063" s="29" t="s">
        <v>7922</v>
      </c>
      <c r="E1063" s="18" t="s">
        <v>3534</v>
      </c>
      <c r="F1063" s="19" t="str">
        <f t="shared" si="1"/>
        <v>XIDKV2</v>
      </c>
      <c r="G1063" s="19" t="s">
        <v>5408</v>
      </c>
      <c r="H1063" s="20" t="s">
        <v>3045</v>
      </c>
      <c r="I1063" s="19" t="s">
        <v>5409</v>
      </c>
      <c r="J1063" s="19" t="s">
        <v>5410</v>
      </c>
      <c r="K1063" s="21" t="s">
        <v>5411</v>
      </c>
      <c r="L1063" s="19" t="s">
        <v>6116</v>
      </c>
      <c r="M1063" s="16" t="s">
        <v>3533</v>
      </c>
      <c r="N1063" s="18"/>
      <c r="O1063" s="18"/>
      <c r="P1063" s="18">
        <f>VLOOKUP($A1063,MasterData!$C$1:$I$3001,1,FALSE)</f>
        <v>9215</v>
      </c>
      <c r="Q1063" s="18" t="str">
        <f t="shared" si="2"/>
        <v>XIDKV2</v>
      </c>
    </row>
    <row r="1064" ht="15.75" customHeight="1">
      <c r="A1064" s="15">
        <v>9235.0</v>
      </c>
      <c r="B1064" s="16" t="s">
        <v>7924</v>
      </c>
      <c r="C1064" s="17" t="s">
        <v>7925</v>
      </c>
      <c r="D1064" s="29" t="s">
        <v>7924</v>
      </c>
      <c r="E1064" s="18" t="s">
        <v>3536</v>
      </c>
      <c r="F1064" s="19" t="str">
        <f t="shared" si="1"/>
        <v>XIDKV2</v>
      </c>
      <c r="G1064" s="19" t="s">
        <v>5408</v>
      </c>
      <c r="H1064" s="20" t="s">
        <v>3045</v>
      </c>
      <c r="I1064" s="19" t="s">
        <v>5409</v>
      </c>
      <c r="J1064" s="19" t="s">
        <v>5410</v>
      </c>
      <c r="K1064" s="21" t="s">
        <v>5411</v>
      </c>
      <c r="L1064" s="19" t="s">
        <v>6116</v>
      </c>
      <c r="M1064" s="16" t="s">
        <v>3535</v>
      </c>
      <c r="N1064" s="18"/>
      <c r="O1064" s="18"/>
      <c r="P1064" s="18">
        <f>VLOOKUP($A1064,MasterData!$C$1:$I$3001,1,FALSE)</f>
        <v>9235</v>
      </c>
      <c r="Q1064" s="18" t="str">
        <f t="shared" si="2"/>
        <v>XIDKV2</v>
      </c>
    </row>
    <row r="1065" ht="15.75" customHeight="1">
      <c r="A1065" s="15">
        <v>8638.0</v>
      </c>
      <c r="B1065" s="16" t="s">
        <v>7926</v>
      </c>
      <c r="C1065" s="17" t="s">
        <v>7927</v>
      </c>
      <c r="D1065" s="29" t="s">
        <v>7926</v>
      </c>
      <c r="E1065" s="18" t="s">
        <v>3538</v>
      </c>
      <c r="F1065" s="19" t="str">
        <f t="shared" si="1"/>
        <v>XIJKT1</v>
      </c>
      <c r="G1065" s="19" t="s">
        <v>5408</v>
      </c>
      <c r="H1065" s="20" t="s">
        <v>3045</v>
      </c>
      <c r="I1065" s="19" t="s">
        <v>5409</v>
      </c>
      <c r="J1065" s="19" t="s">
        <v>5410</v>
      </c>
      <c r="K1065" s="21" t="s">
        <v>5411</v>
      </c>
      <c r="L1065" s="19" t="s">
        <v>6226</v>
      </c>
      <c r="M1065" s="16" t="s">
        <v>3537</v>
      </c>
      <c r="N1065" s="18"/>
      <c r="O1065" s="18"/>
      <c r="P1065" s="18">
        <f>VLOOKUP($A1065,MasterData!$C$1:$I$3001,1,FALSE)</f>
        <v>8638</v>
      </c>
      <c r="Q1065" s="18" t="str">
        <f t="shared" si="2"/>
        <v>XIJKT1</v>
      </c>
    </row>
    <row r="1066" ht="15.75" customHeight="1">
      <c r="A1066" s="15">
        <v>8662.0</v>
      </c>
      <c r="B1066" s="16" t="s">
        <v>7928</v>
      </c>
      <c r="C1066" s="17" t="s">
        <v>7929</v>
      </c>
      <c r="D1066" s="29" t="s">
        <v>7928</v>
      </c>
      <c r="E1066" s="18" t="s">
        <v>3540</v>
      </c>
      <c r="F1066" s="19" t="str">
        <f t="shared" si="1"/>
        <v>XIJKT1</v>
      </c>
      <c r="G1066" s="19" t="s">
        <v>5408</v>
      </c>
      <c r="H1066" s="20" t="s">
        <v>3045</v>
      </c>
      <c r="I1066" s="19" t="s">
        <v>5409</v>
      </c>
      <c r="J1066" s="19" t="s">
        <v>5410</v>
      </c>
      <c r="K1066" s="21" t="s">
        <v>5411</v>
      </c>
      <c r="L1066" s="19" t="s">
        <v>6226</v>
      </c>
      <c r="M1066" s="16" t="s">
        <v>3539</v>
      </c>
      <c r="N1066" s="18"/>
      <c r="O1066" s="18"/>
      <c r="P1066" s="18">
        <f>VLOOKUP($A1066,MasterData!$C$1:$I$3001,1,FALSE)</f>
        <v>8662</v>
      </c>
      <c r="Q1066" s="18" t="str">
        <f t="shared" si="2"/>
        <v>XIJKT1</v>
      </c>
    </row>
    <row r="1067" ht="15.75" customHeight="1">
      <c r="A1067" s="15">
        <v>8681.0</v>
      </c>
      <c r="B1067" s="16" t="s">
        <v>7930</v>
      </c>
      <c r="C1067" s="17" t="s">
        <v>7931</v>
      </c>
      <c r="D1067" s="29" t="s">
        <v>7930</v>
      </c>
      <c r="E1067" s="18" t="s">
        <v>3542</v>
      </c>
      <c r="F1067" s="19" t="str">
        <f t="shared" si="1"/>
        <v>XIJKT1</v>
      </c>
      <c r="G1067" s="19" t="s">
        <v>5408</v>
      </c>
      <c r="H1067" s="20" t="s">
        <v>3045</v>
      </c>
      <c r="I1067" s="19" t="s">
        <v>5409</v>
      </c>
      <c r="J1067" s="19" t="s">
        <v>5410</v>
      </c>
      <c r="K1067" s="21" t="s">
        <v>5411</v>
      </c>
      <c r="L1067" s="19" t="s">
        <v>6226</v>
      </c>
      <c r="M1067" s="16" t="s">
        <v>3541</v>
      </c>
      <c r="N1067" s="18"/>
      <c r="O1067" s="18"/>
      <c r="P1067" s="18">
        <f>VLOOKUP($A1067,MasterData!$C$1:$I$3001,1,FALSE)</f>
        <v>8681</v>
      </c>
      <c r="Q1067" s="18" t="str">
        <f t="shared" si="2"/>
        <v>XIJKT1</v>
      </c>
    </row>
    <row r="1068" ht="15.75" customHeight="1">
      <c r="A1068" s="15">
        <v>8687.0</v>
      </c>
      <c r="B1068" s="16" t="s">
        <v>7932</v>
      </c>
      <c r="C1068" s="17" t="s">
        <v>7933</v>
      </c>
      <c r="D1068" s="29" t="s">
        <v>7932</v>
      </c>
      <c r="E1068" s="18" t="s">
        <v>3544</v>
      </c>
      <c r="F1068" s="19" t="str">
        <f t="shared" si="1"/>
        <v>XIJKT1</v>
      </c>
      <c r="G1068" s="19" t="s">
        <v>5408</v>
      </c>
      <c r="H1068" s="20" t="s">
        <v>3045</v>
      </c>
      <c r="I1068" s="19" t="s">
        <v>5409</v>
      </c>
      <c r="J1068" s="19" t="s">
        <v>5410</v>
      </c>
      <c r="K1068" s="21" t="s">
        <v>5411</v>
      </c>
      <c r="L1068" s="19" t="s">
        <v>6226</v>
      </c>
      <c r="M1068" s="16" t="s">
        <v>3543</v>
      </c>
      <c r="N1068" s="18"/>
      <c r="O1068" s="18"/>
      <c r="P1068" s="18">
        <f>VLOOKUP($A1068,MasterData!$C$1:$I$3001,1,FALSE)</f>
        <v>8687</v>
      </c>
      <c r="Q1068" s="18" t="str">
        <f t="shared" si="2"/>
        <v>XIJKT1</v>
      </c>
    </row>
    <row r="1069" ht="15.75" customHeight="1">
      <c r="A1069" s="15">
        <v>8744.0</v>
      </c>
      <c r="B1069" s="16" t="s">
        <v>7934</v>
      </c>
      <c r="C1069" s="17" t="s">
        <v>7935</v>
      </c>
      <c r="D1069" s="29" t="s">
        <v>7934</v>
      </c>
      <c r="E1069" s="18" t="s">
        <v>3546</v>
      </c>
      <c r="F1069" s="19" t="str">
        <f t="shared" si="1"/>
        <v>XIJKT1</v>
      </c>
      <c r="G1069" s="19" t="s">
        <v>5408</v>
      </c>
      <c r="H1069" s="20" t="s">
        <v>3045</v>
      </c>
      <c r="I1069" s="19" t="s">
        <v>5409</v>
      </c>
      <c r="J1069" s="19" t="s">
        <v>5410</v>
      </c>
      <c r="K1069" s="21" t="s">
        <v>5411</v>
      </c>
      <c r="L1069" s="19" t="s">
        <v>6226</v>
      </c>
      <c r="M1069" s="16" t="s">
        <v>3545</v>
      </c>
      <c r="N1069" s="18"/>
      <c r="O1069" s="18"/>
      <c r="P1069" s="18">
        <f>VLOOKUP($A1069,MasterData!$C$1:$I$3001,1,FALSE)</f>
        <v>8744</v>
      </c>
      <c r="Q1069" s="18" t="str">
        <f t="shared" si="2"/>
        <v>XIJKT1</v>
      </c>
    </row>
    <row r="1070" ht="15.75" customHeight="1">
      <c r="A1070" s="15">
        <v>8768.0</v>
      </c>
      <c r="B1070" s="16" t="s">
        <v>7936</v>
      </c>
      <c r="C1070" s="17" t="s">
        <v>7937</v>
      </c>
      <c r="D1070" s="29" t="s">
        <v>7936</v>
      </c>
      <c r="E1070" s="18" t="s">
        <v>3548</v>
      </c>
      <c r="F1070" s="19" t="str">
        <f t="shared" si="1"/>
        <v>XIJKT1</v>
      </c>
      <c r="G1070" s="19" t="s">
        <v>5408</v>
      </c>
      <c r="H1070" s="20" t="s">
        <v>3045</v>
      </c>
      <c r="I1070" s="19" t="s">
        <v>5409</v>
      </c>
      <c r="J1070" s="19" t="s">
        <v>5410</v>
      </c>
      <c r="K1070" s="21" t="s">
        <v>5411</v>
      </c>
      <c r="L1070" s="19" t="s">
        <v>6226</v>
      </c>
      <c r="M1070" s="16" t="s">
        <v>3547</v>
      </c>
      <c r="N1070" s="18"/>
      <c r="O1070" s="18"/>
      <c r="P1070" s="18">
        <f>VLOOKUP($A1070,MasterData!$C$1:$I$3001,1,FALSE)</f>
        <v>8768</v>
      </c>
      <c r="Q1070" s="18" t="str">
        <f t="shared" si="2"/>
        <v>XIJKT1</v>
      </c>
    </row>
    <row r="1071" ht="15.75" customHeight="1">
      <c r="A1071" s="15">
        <v>8796.0</v>
      </c>
      <c r="B1071" s="16" t="s">
        <v>7938</v>
      </c>
      <c r="C1071" s="17" t="s">
        <v>7939</v>
      </c>
      <c r="D1071" s="29" t="s">
        <v>7938</v>
      </c>
      <c r="E1071" s="18" t="s">
        <v>3550</v>
      </c>
      <c r="F1071" s="19" t="str">
        <f t="shared" si="1"/>
        <v>XIJKT1</v>
      </c>
      <c r="G1071" s="19" t="s">
        <v>5408</v>
      </c>
      <c r="H1071" s="20" t="s">
        <v>3045</v>
      </c>
      <c r="I1071" s="19" t="s">
        <v>5409</v>
      </c>
      <c r="J1071" s="19" t="s">
        <v>5410</v>
      </c>
      <c r="K1071" s="21" t="s">
        <v>5411</v>
      </c>
      <c r="L1071" s="19" t="s">
        <v>6226</v>
      </c>
      <c r="M1071" s="16" t="s">
        <v>3549</v>
      </c>
      <c r="N1071" s="18"/>
      <c r="O1071" s="18"/>
      <c r="P1071" s="18">
        <f>VLOOKUP($A1071,MasterData!$C$1:$I$3001,1,FALSE)</f>
        <v>8796</v>
      </c>
      <c r="Q1071" s="18" t="str">
        <f t="shared" si="2"/>
        <v>XIJKT1</v>
      </c>
    </row>
    <row r="1072" ht="15.75" customHeight="1">
      <c r="A1072" s="15">
        <v>8802.0</v>
      </c>
      <c r="B1072" s="16" t="s">
        <v>7940</v>
      </c>
      <c r="C1072" s="17" t="s">
        <v>7941</v>
      </c>
      <c r="D1072" s="29" t="s">
        <v>7940</v>
      </c>
      <c r="E1072" s="18" t="s">
        <v>3552</v>
      </c>
      <c r="F1072" s="19" t="str">
        <f t="shared" si="1"/>
        <v>XIJKT1</v>
      </c>
      <c r="G1072" s="19" t="s">
        <v>5408</v>
      </c>
      <c r="H1072" s="20" t="s">
        <v>3045</v>
      </c>
      <c r="I1072" s="19" t="s">
        <v>5409</v>
      </c>
      <c r="J1072" s="19" t="s">
        <v>5410</v>
      </c>
      <c r="K1072" s="21" t="s">
        <v>5411</v>
      </c>
      <c r="L1072" s="19" t="s">
        <v>6226</v>
      </c>
      <c r="M1072" s="16" t="s">
        <v>3551</v>
      </c>
      <c r="N1072" s="18"/>
      <c r="O1072" s="18"/>
      <c r="P1072" s="18">
        <f>VLOOKUP($A1072,MasterData!$C$1:$I$3001,1,FALSE)</f>
        <v>8802</v>
      </c>
      <c r="Q1072" s="18" t="str">
        <f t="shared" si="2"/>
        <v>XIJKT1</v>
      </c>
    </row>
    <row r="1073" ht="15.75" customHeight="1">
      <c r="A1073" s="15">
        <v>8819.0</v>
      </c>
      <c r="B1073" s="16" t="s">
        <v>7942</v>
      </c>
      <c r="C1073" s="17" t="s">
        <v>7943</v>
      </c>
      <c r="D1073" s="29" t="s">
        <v>7942</v>
      </c>
      <c r="E1073" s="18" t="s">
        <v>3554</v>
      </c>
      <c r="F1073" s="19" t="str">
        <f t="shared" si="1"/>
        <v>XIJKT1</v>
      </c>
      <c r="G1073" s="19" t="s">
        <v>5408</v>
      </c>
      <c r="H1073" s="20" t="s">
        <v>3045</v>
      </c>
      <c r="I1073" s="19" t="s">
        <v>5409</v>
      </c>
      <c r="J1073" s="19" t="s">
        <v>5410</v>
      </c>
      <c r="K1073" s="21" t="s">
        <v>5411</v>
      </c>
      <c r="L1073" s="19" t="s">
        <v>6226</v>
      </c>
      <c r="M1073" s="16" t="s">
        <v>3553</v>
      </c>
      <c r="N1073" s="18"/>
      <c r="O1073" s="18"/>
      <c r="P1073" s="18">
        <f>VLOOKUP($A1073,MasterData!$C$1:$I$3001,1,FALSE)</f>
        <v>8819</v>
      </c>
      <c r="Q1073" s="18" t="str">
        <f t="shared" si="2"/>
        <v>XIJKT1</v>
      </c>
    </row>
    <row r="1074" ht="15.75" customHeight="1">
      <c r="A1074" s="15">
        <v>8831.0</v>
      </c>
      <c r="B1074" s="16" t="s">
        <v>7944</v>
      </c>
      <c r="C1074" s="17" t="s">
        <v>7945</v>
      </c>
      <c r="D1074" s="29" t="s">
        <v>7944</v>
      </c>
      <c r="E1074" s="18" t="s">
        <v>3556</v>
      </c>
      <c r="F1074" s="19" t="str">
        <f t="shared" si="1"/>
        <v>XIJKT1</v>
      </c>
      <c r="G1074" s="19" t="s">
        <v>5408</v>
      </c>
      <c r="H1074" s="20" t="s">
        <v>3045</v>
      </c>
      <c r="I1074" s="19" t="s">
        <v>5409</v>
      </c>
      <c r="J1074" s="19" t="s">
        <v>5410</v>
      </c>
      <c r="K1074" s="21" t="s">
        <v>5411</v>
      </c>
      <c r="L1074" s="19" t="s">
        <v>6226</v>
      </c>
      <c r="M1074" s="16" t="s">
        <v>3555</v>
      </c>
      <c r="N1074" s="18"/>
      <c r="O1074" s="18"/>
      <c r="P1074" s="18">
        <f>VLOOKUP($A1074,MasterData!$C$1:$I$3001,1,FALSE)</f>
        <v>8831</v>
      </c>
      <c r="Q1074" s="18" t="str">
        <f t="shared" si="2"/>
        <v>XIJKT1</v>
      </c>
    </row>
    <row r="1075" ht="15.75" customHeight="1">
      <c r="A1075" s="15">
        <v>8857.0</v>
      </c>
      <c r="B1075" s="16" t="s">
        <v>7946</v>
      </c>
      <c r="C1075" s="17" t="s">
        <v>7947</v>
      </c>
      <c r="D1075" s="29" t="s">
        <v>7946</v>
      </c>
      <c r="E1075" s="18" t="s">
        <v>3558</v>
      </c>
      <c r="F1075" s="19" t="str">
        <f t="shared" si="1"/>
        <v>XIJKT1</v>
      </c>
      <c r="G1075" s="19" t="s">
        <v>5408</v>
      </c>
      <c r="H1075" s="20" t="s">
        <v>3045</v>
      </c>
      <c r="I1075" s="19" t="s">
        <v>5409</v>
      </c>
      <c r="J1075" s="19" t="s">
        <v>5410</v>
      </c>
      <c r="K1075" s="21" t="s">
        <v>5411</v>
      </c>
      <c r="L1075" s="19" t="s">
        <v>6226</v>
      </c>
      <c r="M1075" s="16" t="s">
        <v>3557</v>
      </c>
      <c r="N1075" s="18"/>
      <c r="O1075" s="18"/>
      <c r="P1075" s="18">
        <f>VLOOKUP($A1075,MasterData!$C$1:$I$3001,1,FALSE)</f>
        <v>8857</v>
      </c>
      <c r="Q1075" s="18" t="str">
        <f t="shared" si="2"/>
        <v>XIJKT1</v>
      </c>
    </row>
    <row r="1076" ht="15.75" customHeight="1">
      <c r="A1076" s="15">
        <v>8882.0</v>
      </c>
      <c r="B1076" s="16" t="s">
        <v>7948</v>
      </c>
      <c r="C1076" s="17" t="s">
        <v>7949</v>
      </c>
      <c r="D1076" s="16" t="s">
        <v>7948</v>
      </c>
      <c r="E1076" s="18" t="s">
        <v>3560</v>
      </c>
      <c r="F1076" s="19" t="str">
        <f t="shared" si="1"/>
        <v>XIJKT1</v>
      </c>
      <c r="G1076" s="19" t="s">
        <v>5408</v>
      </c>
      <c r="H1076" s="20" t="s">
        <v>3045</v>
      </c>
      <c r="I1076" s="19" t="s">
        <v>5409</v>
      </c>
      <c r="J1076" s="19" t="s">
        <v>5410</v>
      </c>
      <c r="K1076" s="21" t="s">
        <v>5411</v>
      </c>
      <c r="L1076" s="19" t="s">
        <v>6226</v>
      </c>
      <c r="M1076" s="16" t="s">
        <v>3559</v>
      </c>
      <c r="N1076" s="18"/>
      <c r="O1076" s="18"/>
      <c r="P1076" s="18">
        <f>VLOOKUP($A1076,MasterData!$C$1:$I$3001,1,FALSE)</f>
        <v>8882</v>
      </c>
      <c r="Q1076" s="18" t="str">
        <f t="shared" si="2"/>
        <v>XIJKT1</v>
      </c>
    </row>
    <row r="1077" ht="15.75" customHeight="1">
      <c r="A1077" s="15">
        <v>8903.0</v>
      </c>
      <c r="B1077" s="16" t="s">
        <v>7950</v>
      </c>
      <c r="C1077" s="17" t="s">
        <v>7951</v>
      </c>
      <c r="D1077" s="29" t="s">
        <v>7950</v>
      </c>
      <c r="E1077" s="18" t="s">
        <v>3562</v>
      </c>
      <c r="F1077" s="19" t="str">
        <f t="shared" si="1"/>
        <v>XIJKT1</v>
      </c>
      <c r="G1077" s="19" t="s">
        <v>5408</v>
      </c>
      <c r="H1077" s="20" t="s">
        <v>3045</v>
      </c>
      <c r="I1077" s="19" t="s">
        <v>5409</v>
      </c>
      <c r="J1077" s="19" t="s">
        <v>5410</v>
      </c>
      <c r="K1077" s="21" t="s">
        <v>5411</v>
      </c>
      <c r="L1077" s="19" t="s">
        <v>6226</v>
      </c>
      <c r="M1077" s="16" t="s">
        <v>3561</v>
      </c>
      <c r="N1077" s="18"/>
      <c r="O1077" s="18"/>
      <c r="P1077" s="18">
        <f>VLOOKUP($A1077,MasterData!$C$1:$I$3001,1,FALSE)</f>
        <v>8903</v>
      </c>
      <c r="Q1077" s="18" t="str">
        <f t="shared" si="2"/>
        <v>XIJKT1</v>
      </c>
    </row>
    <row r="1078" ht="15.75" customHeight="1">
      <c r="A1078" s="15">
        <v>8924.0</v>
      </c>
      <c r="B1078" s="16" t="s">
        <v>7952</v>
      </c>
      <c r="C1078" s="17" t="s">
        <v>7953</v>
      </c>
      <c r="D1078" s="16" t="s">
        <v>7952</v>
      </c>
      <c r="E1078" s="18" t="s">
        <v>3564</v>
      </c>
      <c r="F1078" s="19" t="str">
        <f t="shared" si="1"/>
        <v>XIJKT1</v>
      </c>
      <c r="G1078" s="19" t="s">
        <v>5408</v>
      </c>
      <c r="H1078" s="20" t="s">
        <v>3045</v>
      </c>
      <c r="I1078" s="19" t="s">
        <v>5409</v>
      </c>
      <c r="J1078" s="19" t="s">
        <v>5410</v>
      </c>
      <c r="K1078" s="21" t="s">
        <v>5411</v>
      </c>
      <c r="L1078" s="19" t="s">
        <v>6226</v>
      </c>
      <c r="M1078" s="16" t="s">
        <v>3563</v>
      </c>
      <c r="N1078" s="18"/>
      <c r="O1078" s="18"/>
      <c r="P1078" s="18">
        <f>VLOOKUP($A1078,MasterData!$C$1:$I$3001,1,FALSE)</f>
        <v>8924</v>
      </c>
      <c r="Q1078" s="18" t="str">
        <f t="shared" si="2"/>
        <v>XIJKT1</v>
      </c>
    </row>
    <row r="1079" ht="15.75" customHeight="1">
      <c r="A1079" s="15">
        <v>8943.0</v>
      </c>
      <c r="B1079" s="16" t="s">
        <v>7954</v>
      </c>
      <c r="C1079" s="17" t="s">
        <v>7955</v>
      </c>
      <c r="D1079" s="29" t="s">
        <v>7954</v>
      </c>
      <c r="E1079" s="18" t="s">
        <v>3566</v>
      </c>
      <c r="F1079" s="19" t="str">
        <f t="shared" si="1"/>
        <v>XIJKT1</v>
      </c>
      <c r="G1079" s="19" t="s">
        <v>5408</v>
      </c>
      <c r="H1079" s="20" t="s">
        <v>3045</v>
      </c>
      <c r="I1079" s="19" t="s">
        <v>5409</v>
      </c>
      <c r="J1079" s="19" t="s">
        <v>5410</v>
      </c>
      <c r="K1079" s="21" t="s">
        <v>5411</v>
      </c>
      <c r="L1079" s="19" t="s">
        <v>6226</v>
      </c>
      <c r="M1079" s="16" t="s">
        <v>3565</v>
      </c>
      <c r="N1079" s="18"/>
      <c r="O1079" s="18"/>
      <c r="P1079" s="18">
        <f>VLOOKUP($A1079,MasterData!$C$1:$I$3001,1,FALSE)</f>
        <v>8943</v>
      </c>
      <c r="Q1079" s="18" t="str">
        <f t="shared" si="2"/>
        <v>XIJKT1</v>
      </c>
    </row>
    <row r="1080" ht="15.75" customHeight="1">
      <c r="A1080" s="15">
        <v>8957.0</v>
      </c>
      <c r="B1080" s="16" t="s">
        <v>7956</v>
      </c>
      <c r="C1080" s="17" t="s">
        <v>7957</v>
      </c>
      <c r="D1080" s="29" t="s">
        <v>7956</v>
      </c>
      <c r="E1080" s="18" t="s">
        <v>3568</v>
      </c>
      <c r="F1080" s="19" t="str">
        <f t="shared" si="1"/>
        <v>XIJKT1</v>
      </c>
      <c r="G1080" s="19" t="s">
        <v>5408</v>
      </c>
      <c r="H1080" s="20" t="s">
        <v>3045</v>
      </c>
      <c r="I1080" s="19" t="s">
        <v>5409</v>
      </c>
      <c r="J1080" s="19" t="s">
        <v>5410</v>
      </c>
      <c r="K1080" s="21" t="s">
        <v>5411</v>
      </c>
      <c r="L1080" s="19" t="s">
        <v>6226</v>
      </c>
      <c r="M1080" s="16" t="s">
        <v>3567</v>
      </c>
      <c r="N1080" s="18"/>
      <c r="O1080" s="18"/>
      <c r="P1080" s="18">
        <f>VLOOKUP($A1080,MasterData!$C$1:$I$3001,1,FALSE)</f>
        <v>8957</v>
      </c>
      <c r="Q1080" s="18" t="str">
        <f t="shared" si="2"/>
        <v>XIJKT1</v>
      </c>
    </row>
    <row r="1081" ht="15.75" customHeight="1">
      <c r="A1081" s="15">
        <v>8970.0</v>
      </c>
      <c r="B1081" s="16" t="s">
        <v>7958</v>
      </c>
      <c r="C1081" s="17" t="s">
        <v>7959</v>
      </c>
      <c r="D1081" s="29" t="s">
        <v>7958</v>
      </c>
      <c r="E1081" s="18" t="s">
        <v>3570</v>
      </c>
      <c r="F1081" s="19" t="str">
        <f t="shared" si="1"/>
        <v>XIJKT1</v>
      </c>
      <c r="G1081" s="19" t="s">
        <v>5408</v>
      </c>
      <c r="H1081" s="20" t="s">
        <v>3045</v>
      </c>
      <c r="I1081" s="19" t="s">
        <v>5409</v>
      </c>
      <c r="J1081" s="19" t="s">
        <v>5410</v>
      </c>
      <c r="K1081" s="21" t="s">
        <v>5411</v>
      </c>
      <c r="L1081" s="19" t="s">
        <v>6226</v>
      </c>
      <c r="M1081" s="16" t="s">
        <v>3569</v>
      </c>
      <c r="N1081" s="18"/>
      <c r="O1081" s="18"/>
      <c r="P1081" s="18">
        <f>VLOOKUP($A1081,MasterData!$C$1:$I$3001,1,FALSE)</f>
        <v>8970</v>
      </c>
      <c r="Q1081" s="18" t="str">
        <f t="shared" si="2"/>
        <v>XIJKT1</v>
      </c>
    </row>
    <row r="1082" ht="15.75" customHeight="1">
      <c r="A1082" s="15">
        <v>8985.0</v>
      </c>
      <c r="B1082" s="16" t="s">
        <v>7960</v>
      </c>
      <c r="C1082" s="17" t="s">
        <v>7961</v>
      </c>
      <c r="D1082" s="29" t="s">
        <v>7960</v>
      </c>
      <c r="E1082" s="18" t="s">
        <v>3572</v>
      </c>
      <c r="F1082" s="19" t="str">
        <f t="shared" si="1"/>
        <v>XIJKT1</v>
      </c>
      <c r="G1082" s="19" t="s">
        <v>5408</v>
      </c>
      <c r="H1082" s="20" t="s">
        <v>3045</v>
      </c>
      <c r="I1082" s="19" t="s">
        <v>5409</v>
      </c>
      <c r="J1082" s="19" t="s">
        <v>5410</v>
      </c>
      <c r="K1082" s="21" t="s">
        <v>5411</v>
      </c>
      <c r="L1082" s="19" t="s">
        <v>6226</v>
      </c>
      <c r="M1082" s="16" t="s">
        <v>3571</v>
      </c>
      <c r="N1082" s="18"/>
      <c r="O1082" s="18"/>
      <c r="P1082" s="18">
        <f>VLOOKUP($A1082,MasterData!$C$1:$I$3001,1,FALSE)</f>
        <v>8985</v>
      </c>
      <c r="Q1082" s="18" t="str">
        <f t="shared" si="2"/>
        <v>XIJKT1</v>
      </c>
    </row>
    <row r="1083" ht="15.75" customHeight="1">
      <c r="A1083" s="15">
        <v>8992.0</v>
      </c>
      <c r="B1083" s="16" t="s">
        <v>7962</v>
      </c>
      <c r="C1083" s="17" t="s">
        <v>7963</v>
      </c>
      <c r="D1083" s="29" t="s">
        <v>7962</v>
      </c>
      <c r="E1083" s="18" t="s">
        <v>3574</v>
      </c>
      <c r="F1083" s="19" t="str">
        <f t="shared" si="1"/>
        <v>XIJKT1</v>
      </c>
      <c r="G1083" s="19" t="s">
        <v>5408</v>
      </c>
      <c r="H1083" s="20" t="s">
        <v>3045</v>
      </c>
      <c r="I1083" s="19" t="s">
        <v>5409</v>
      </c>
      <c r="J1083" s="19" t="s">
        <v>5410</v>
      </c>
      <c r="K1083" s="21" t="s">
        <v>5411</v>
      </c>
      <c r="L1083" s="19" t="s">
        <v>6226</v>
      </c>
      <c r="M1083" s="16" t="s">
        <v>3573</v>
      </c>
      <c r="N1083" s="18"/>
      <c r="O1083" s="18"/>
      <c r="P1083" s="18">
        <f>VLOOKUP($A1083,MasterData!$C$1:$I$3001,1,FALSE)</f>
        <v>8992</v>
      </c>
      <c r="Q1083" s="18" t="str">
        <f t="shared" si="2"/>
        <v>XIJKT1</v>
      </c>
    </row>
    <row r="1084" ht="15.75" customHeight="1">
      <c r="A1084" s="15">
        <v>8996.0</v>
      </c>
      <c r="B1084" s="16" t="s">
        <v>7964</v>
      </c>
      <c r="C1084" s="17" t="s">
        <v>7965</v>
      </c>
      <c r="D1084" s="29" t="s">
        <v>7964</v>
      </c>
      <c r="E1084" s="18" t="s">
        <v>3576</v>
      </c>
      <c r="F1084" s="19" t="str">
        <f t="shared" si="1"/>
        <v>XIJKT1</v>
      </c>
      <c r="G1084" s="19" t="s">
        <v>5408</v>
      </c>
      <c r="H1084" s="20" t="s">
        <v>3045</v>
      </c>
      <c r="I1084" s="19" t="s">
        <v>5409</v>
      </c>
      <c r="J1084" s="19" t="s">
        <v>5410</v>
      </c>
      <c r="K1084" s="21" t="s">
        <v>5411</v>
      </c>
      <c r="L1084" s="19" t="s">
        <v>6226</v>
      </c>
      <c r="M1084" s="16" t="s">
        <v>3575</v>
      </c>
      <c r="N1084" s="18"/>
      <c r="O1084" s="18"/>
      <c r="P1084" s="18">
        <f>VLOOKUP($A1084,MasterData!$C$1:$I$3001,1,FALSE)</f>
        <v>8996</v>
      </c>
      <c r="Q1084" s="18" t="str">
        <f t="shared" si="2"/>
        <v>XIJKT1</v>
      </c>
    </row>
    <row r="1085" ht="15.75" customHeight="1">
      <c r="A1085" s="15">
        <v>9017.0</v>
      </c>
      <c r="B1085" s="16" t="s">
        <v>7966</v>
      </c>
      <c r="C1085" s="17" t="s">
        <v>7967</v>
      </c>
      <c r="D1085" s="29" t="s">
        <v>7966</v>
      </c>
      <c r="E1085" s="18" t="s">
        <v>3578</v>
      </c>
      <c r="F1085" s="19" t="str">
        <f t="shared" si="1"/>
        <v>XIJKT1</v>
      </c>
      <c r="G1085" s="19" t="s">
        <v>5408</v>
      </c>
      <c r="H1085" s="20" t="s">
        <v>3045</v>
      </c>
      <c r="I1085" s="19" t="s">
        <v>5409</v>
      </c>
      <c r="J1085" s="19" t="s">
        <v>5410</v>
      </c>
      <c r="K1085" s="21" t="s">
        <v>5411</v>
      </c>
      <c r="L1085" s="19" t="s">
        <v>6226</v>
      </c>
      <c r="M1085" s="16" t="s">
        <v>3577</v>
      </c>
      <c r="N1085" s="18"/>
      <c r="O1085" s="18"/>
      <c r="P1085" s="18">
        <f>VLOOKUP($A1085,MasterData!$C$1:$I$3001,1,FALSE)</f>
        <v>9017</v>
      </c>
      <c r="Q1085" s="18" t="str">
        <f t="shared" si="2"/>
        <v>XIJKT1</v>
      </c>
    </row>
    <row r="1086" ht="15.75" customHeight="1">
      <c r="A1086" s="15">
        <v>9026.0</v>
      </c>
      <c r="B1086" s="16" t="s">
        <v>7968</v>
      </c>
      <c r="C1086" s="17" t="s">
        <v>7969</v>
      </c>
      <c r="D1086" s="29" t="s">
        <v>7968</v>
      </c>
      <c r="E1086" s="18" t="s">
        <v>3580</v>
      </c>
      <c r="F1086" s="19" t="str">
        <f t="shared" si="1"/>
        <v>XIJKT1</v>
      </c>
      <c r="G1086" s="19" t="s">
        <v>5408</v>
      </c>
      <c r="H1086" s="20" t="s">
        <v>3045</v>
      </c>
      <c r="I1086" s="19" t="s">
        <v>5409</v>
      </c>
      <c r="J1086" s="19" t="s">
        <v>5410</v>
      </c>
      <c r="K1086" s="21" t="s">
        <v>5411</v>
      </c>
      <c r="L1086" s="19" t="s">
        <v>6226</v>
      </c>
      <c r="M1086" s="16" t="s">
        <v>3579</v>
      </c>
      <c r="N1086" s="18"/>
      <c r="O1086" s="18"/>
      <c r="P1086" s="18">
        <f>VLOOKUP($A1086,MasterData!$C$1:$I$3001,1,FALSE)</f>
        <v>9026</v>
      </c>
      <c r="Q1086" s="18" t="str">
        <f t="shared" si="2"/>
        <v>XIJKT1</v>
      </c>
    </row>
    <row r="1087" ht="15.75" customHeight="1">
      <c r="A1087" s="15">
        <v>9038.0</v>
      </c>
      <c r="B1087" s="16" t="s">
        <v>7970</v>
      </c>
      <c r="C1087" s="17" t="s">
        <v>7971</v>
      </c>
      <c r="D1087" s="29" t="s">
        <v>7970</v>
      </c>
      <c r="E1087" s="18" t="s">
        <v>3582</v>
      </c>
      <c r="F1087" s="19" t="str">
        <f t="shared" si="1"/>
        <v>XIJKT1</v>
      </c>
      <c r="G1087" s="19" t="s">
        <v>5408</v>
      </c>
      <c r="H1087" s="20" t="s">
        <v>3045</v>
      </c>
      <c r="I1087" s="19" t="s">
        <v>5409</v>
      </c>
      <c r="J1087" s="19" t="s">
        <v>5410</v>
      </c>
      <c r="K1087" s="21" t="s">
        <v>5411</v>
      </c>
      <c r="L1087" s="19" t="s">
        <v>6226</v>
      </c>
      <c r="M1087" s="16" t="s">
        <v>3581</v>
      </c>
      <c r="N1087" s="18"/>
      <c r="O1087" s="18"/>
      <c r="P1087" s="18">
        <f>VLOOKUP($A1087,MasterData!$C$1:$I$3001,1,FALSE)</f>
        <v>9038</v>
      </c>
      <c r="Q1087" s="18" t="str">
        <f t="shared" si="2"/>
        <v>XIJKT1</v>
      </c>
    </row>
    <row r="1088" ht="15.75" customHeight="1">
      <c r="A1088" s="15">
        <v>9044.0</v>
      </c>
      <c r="B1088" s="16" t="s">
        <v>7972</v>
      </c>
      <c r="C1088" s="17" t="s">
        <v>7973</v>
      </c>
      <c r="D1088" s="29" t="s">
        <v>7972</v>
      </c>
      <c r="E1088" s="18" t="s">
        <v>3584</v>
      </c>
      <c r="F1088" s="19" t="str">
        <f t="shared" si="1"/>
        <v>XIJKT1</v>
      </c>
      <c r="G1088" s="19" t="s">
        <v>5408</v>
      </c>
      <c r="H1088" s="20" t="s">
        <v>3045</v>
      </c>
      <c r="I1088" s="19" t="s">
        <v>5409</v>
      </c>
      <c r="J1088" s="19" t="s">
        <v>5410</v>
      </c>
      <c r="K1088" s="21" t="s">
        <v>5411</v>
      </c>
      <c r="L1088" s="19" t="s">
        <v>6226</v>
      </c>
      <c r="M1088" s="16" t="s">
        <v>3583</v>
      </c>
      <c r="N1088" s="18"/>
      <c r="O1088" s="18"/>
      <c r="P1088" s="18">
        <f>VLOOKUP($A1088,MasterData!$C$1:$I$3001,1,FALSE)</f>
        <v>9044</v>
      </c>
      <c r="Q1088" s="18" t="str">
        <f t="shared" si="2"/>
        <v>XIJKT1</v>
      </c>
    </row>
    <row r="1089" ht="15.75" customHeight="1">
      <c r="A1089" s="15">
        <v>9101.0</v>
      </c>
      <c r="B1089" s="16" t="s">
        <v>7974</v>
      </c>
      <c r="C1089" s="17" t="s">
        <v>7975</v>
      </c>
      <c r="D1089" s="29" t="s">
        <v>7974</v>
      </c>
      <c r="E1089" s="18" t="s">
        <v>3586</v>
      </c>
      <c r="F1089" s="19" t="str">
        <f t="shared" si="1"/>
        <v>XIJKT1</v>
      </c>
      <c r="G1089" s="19" t="s">
        <v>5408</v>
      </c>
      <c r="H1089" s="20" t="s">
        <v>3045</v>
      </c>
      <c r="I1089" s="19" t="s">
        <v>5409</v>
      </c>
      <c r="J1089" s="19" t="s">
        <v>5410</v>
      </c>
      <c r="K1089" s="21" t="s">
        <v>5411</v>
      </c>
      <c r="L1089" s="19" t="s">
        <v>6226</v>
      </c>
      <c r="M1089" s="16" t="s">
        <v>3585</v>
      </c>
      <c r="N1089" s="18"/>
      <c r="O1089" s="18"/>
      <c r="P1089" s="18">
        <f>VLOOKUP($A1089,MasterData!$C$1:$I$3001,1,FALSE)</f>
        <v>9101</v>
      </c>
      <c r="Q1089" s="18" t="str">
        <f t="shared" si="2"/>
        <v>XIJKT1</v>
      </c>
    </row>
    <row r="1090" ht="15.75" customHeight="1">
      <c r="A1090" s="15">
        <v>9118.0</v>
      </c>
      <c r="B1090" s="16" t="s">
        <v>7976</v>
      </c>
      <c r="C1090" s="17" t="s">
        <v>7977</v>
      </c>
      <c r="D1090" s="29" t="s">
        <v>7976</v>
      </c>
      <c r="E1090" s="18" t="s">
        <v>3588</v>
      </c>
      <c r="F1090" s="19" t="str">
        <f t="shared" si="1"/>
        <v>XIJKT1</v>
      </c>
      <c r="G1090" s="19" t="s">
        <v>5408</v>
      </c>
      <c r="H1090" s="20" t="s">
        <v>3045</v>
      </c>
      <c r="I1090" s="19" t="s">
        <v>5409</v>
      </c>
      <c r="J1090" s="19" t="s">
        <v>5410</v>
      </c>
      <c r="K1090" s="21" t="s">
        <v>5411</v>
      </c>
      <c r="L1090" s="19" t="s">
        <v>6226</v>
      </c>
      <c r="M1090" s="16" t="s">
        <v>3587</v>
      </c>
      <c r="N1090" s="18"/>
      <c r="O1090" s="18"/>
      <c r="P1090" s="18">
        <f>VLOOKUP($A1090,MasterData!$C$1:$I$3001,1,FALSE)</f>
        <v>9118</v>
      </c>
      <c r="Q1090" s="18" t="str">
        <f t="shared" si="2"/>
        <v>XIJKT1</v>
      </c>
    </row>
    <row r="1091" ht="15.75" customHeight="1">
      <c r="A1091" s="15">
        <v>9141.0</v>
      </c>
      <c r="B1091" s="16" t="s">
        <v>7978</v>
      </c>
      <c r="C1091" s="17" t="s">
        <v>7979</v>
      </c>
      <c r="D1091" s="29" t="s">
        <v>7978</v>
      </c>
      <c r="E1091" s="18" t="s">
        <v>3590</v>
      </c>
      <c r="F1091" s="19" t="str">
        <f t="shared" si="1"/>
        <v>XIJKT1</v>
      </c>
      <c r="G1091" s="19" t="s">
        <v>5408</v>
      </c>
      <c r="H1091" s="20" t="s">
        <v>3045</v>
      </c>
      <c r="I1091" s="19" t="s">
        <v>5409</v>
      </c>
      <c r="J1091" s="19" t="s">
        <v>5410</v>
      </c>
      <c r="K1091" s="21" t="s">
        <v>5411</v>
      </c>
      <c r="L1091" s="19" t="s">
        <v>6226</v>
      </c>
      <c r="M1091" s="16" t="s">
        <v>3589</v>
      </c>
      <c r="N1091" s="18"/>
      <c r="O1091" s="18"/>
      <c r="P1091" s="18">
        <f>VLOOKUP($A1091,MasterData!$C$1:$I$3001,1,FALSE)</f>
        <v>9141</v>
      </c>
      <c r="Q1091" s="18" t="str">
        <f t="shared" si="2"/>
        <v>XIJKT1</v>
      </c>
    </row>
    <row r="1092" ht="15.75" customHeight="1">
      <c r="A1092" s="15">
        <v>9146.0</v>
      </c>
      <c r="B1092" s="16" t="s">
        <v>7980</v>
      </c>
      <c r="C1092" s="17" t="s">
        <v>7981</v>
      </c>
      <c r="D1092" s="29" t="s">
        <v>7980</v>
      </c>
      <c r="E1092" s="18" t="s">
        <v>3592</v>
      </c>
      <c r="F1092" s="19" t="str">
        <f t="shared" si="1"/>
        <v>XIJKT1</v>
      </c>
      <c r="G1092" s="19" t="s">
        <v>5408</v>
      </c>
      <c r="H1092" s="20" t="s">
        <v>3045</v>
      </c>
      <c r="I1092" s="19" t="s">
        <v>5409</v>
      </c>
      <c r="J1092" s="19" t="s">
        <v>5410</v>
      </c>
      <c r="K1092" s="21" t="s">
        <v>5411</v>
      </c>
      <c r="L1092" s="19" t="s">
        <v>6226</v>
      </c>
      <c r="M1092" s="16" t="s">
        <v>3591</v>
      </c>
      <c r="N1092" s="18"/>
      <c r="O1092" s="18"/>
      <c r="P1092" s="18">
        <f>VLOOKUP($A1092,MasterData!$C$1:$I$3001,1,FALSE)</f>
        <v>9146</v>
      </c>
      <c r="Q1092" s="18" t="str">
        <f t="shared" si="2"/>
        <v>XIJKT1</v>
      </c>
    </row>
    <row r="1093" ht="15.75" customHeight="1">
      <c r="A1093" s="15">
        <v>9156.0</v>
      </c>
      <c r="B1093" s="16" t="s">
        <v>7982</v>
      </c>
      <c r="C1093" s="17" t="s">
        <v>7983</v>
      </c>
      <c r="D1093" s="29" t="s">
        <v>7982</v>
      </c>
      <c r="E1093" s="18" t="s">
        <v>3594</v>
      </c>
      <c r="F1093" s="19" t="str">
        <f t="shared" si="1"/>
        <v>XIJKT1</v>
      </c>
      <c r="G1093" s="19" t="s">
        <v>5408</v>
      </c>
      <c r="H1093" s="20" t="s">
        <v>3045</v>
      </c>
      <c r="I1093" s="19" t="s">
        <v>5409</v>
      </c>
      <c r="J1093" s="19" t="s">
        <v>5410</v>
      </c>
      <c r="K1093" s="21" t="s">
        <v>5411</v>
      </c>
      <c r="L1093" s="19" t="s">
        <v>6226</v>
      </c>
      <c r="M1093" s="16" t="s">
        <v>3593</v>
      </c>
      <c r="N1093" s="18"/>
      <c r="O1093" s="18"/>
      <c r="P1093" s="18">
        <f>VLOOKUP($A1093,MasterData!$C$1:$I$3001,1,FALSE)</f>
        <v>9156</v>
      </c>
      <c r="Q1093" s="18" t="str">
        <f t="shared" si="2"/>
        <v>XIJKT1</v>
      </c>
    </row>
    <row r="1094" ht="15.75" customHeight="1">
      <c r="A1094" s="15">
        <v>9165.0</v>
      </c>
      <c r="B1094" s="16" t="s">
        <v>7984</v>
      </c>
      <c r="C1094" s="17" t="s">
        <v>7985</v>
      </c>
      <c r="D1094" s="29" t="s">
        <v>7984</v>
      </c>
      <c r="E1094" s="18" t="s">
        <v>3596</v>
      </c>
      <c r="F1094" s="19" t="str">
        <f t="shared" si="1"/>
        <v>XIJKT1</v>
      </c>
      <c r="G1094" s="19" t="s">
        <v>5408</v>
      </c>
      <c r="H1094" s="20" t="s">
        <v>3045</v>
      </c>
      <c r="I1094" s="19" t="s">
        <v>5409</v>
      </c>
      <c r="J1094" s="19" t="s">
        <v>5410</v>
      </c>
      <c r="K1094" s="21" t="s">
        <v>5411</v>
      </c>
      <c r="L1094" s="19" t="s">
        <v>6226</v>
      </c>
      <c r="M1094" s="16" t="s">
        <v>3595</v>
      </c>
      <c r="N1094" s="18"/>
      <c r="O1094" s="18"/>
      <c r="P1094" s="18">
        <f>VLOOKUP($A1094,MasterData!$C$1:$I$3001,1,FALSE)</f>
        <v>9165</v>
      </c>
      <c r="Q1094" s="18" t="str">
        <f t="shared" si="2"/>
        <v>XIJKT1</v>
      </c>
    </row>
    <row r="1095" ht="15.75" customHeight="1">
      <c r="A1095" s="15">
        <v>9192.0</v>
      </c>
      <c r="B1095" s="16" t="s">
        <v>7986</v>
      </c>
      <c r="C1095" s="17" t="s">
        <v>7987</v>
      </c>
      <c r="D1095" s="29" t="s">
        <v>7986</v>
      </c>
      <c r="E1095" s="18" t="s">
        <v>3598</v>
      </c>
      <c r="F1095" s="19" t="str">
        <f t="shared" si="1"/>
        <v>XIJKT1</v>
      </c>
      <c r="G1095" s="19" t="s">
        <v>5408</v>
      </c>
      <c r="H1095" s="20" t="s">
        <v>3045</v>
      </c>
      <c r="I1095" s="19" t="s">
        <v>5409</v>
      </c>
      <c r="J1095" s="19" t="s">
        <v>5410</v>
      </c>
      <c r="K1095" s="21" t="s">
        <v>5411</v>
      </c>
      <c r="L1095" s="19" t="s">
        <v>6226</v>
      </c>
      <c r="M1095" s="16" t="s">
        <v>3597</v>
      </c>
      <c r="N1095" s="18"/>
      <c r="O1095" s="18"/>
      <c r="P1095" s="18">
        <f>VLOOKUP($A1095,MasterData!$C$1:$I$3001,1,FALSE)</f>
        <v>9192</v>
      </c>
      <c r="Q1095" s="18" t="str">
        <f t="shared" si="2"/>
        <v>XIJKT1</v>
      </c>
    </row>
    <row r="1096" ht="15.75" customHeight="1">
      <c r="A1096" s="15">
        <v>9203.0</v>
      </c>
      <c r="B1096" s="16" t="s">
        <v>7988</v>
      </c>
      <c r="C1096" s="17" t="s">
        <v>7989</v>
      </c>
      <c r="D1096" s="29" t="s">
        <v>7988</v>
      </c>
      <c r="E1096" s="18" t="s">
        <v>3600</v>
      </c>
      <c r="F1096" s="19" t="str">
        <f t="shared" si="1"/>
        <v>XIJKT1</v>
      </c>
      <c r="G1096" s="19" t="s">
        <v>5408</v>
      </c>
      <c r="H1096" s="20" t="s">
        <v>3045</v>
      </c>
      <c r="I1096" s="19" t="s">
        <v>5409</v>
      </c>
      <c r="J1096" s="19" t="s">
        <v>5410</v>
      </c>
      <c r="K1096" s="21" t="s">
        <v>5411</v>
      </c>
      <c r="L1096" s="19" t="s">
        <v>6226</v>
      </c>
      <c r="M1096" s="16" t="s">
        <v>3599</v>
      </c>
      <c r="N1096" s="18"/>
      <c r="O1096" s="18"/>
      <c r="P1096" s="18">
        <f>VLOOKUP($A1096,MasterData!$C$1:$I$3001,1,FALSE)</f>
        <v>9203</v>
      </c>
      <c r="Q1096" s="18" t="str">
        <f t="shared" si="2"/>
        <v>XIJKT1</v>
      </c>
    </row>
    <row r="1097" ht="15.75" customHeight="1">
      <c r="A1097" s="15">
        <v>9214.0</v>
      </c>
      <c r="B1097" s="16" t="s">
        <v>7990</v>
      </c>
      <c r="C1097" s="17" t="s">
        <v>7991</v>
      </c>
      <c r="D1097" s="29" t="s">
        <v>7990</v>
      </c>
      <c r="E1097" s="18" t="s">
        <v>3602</v>
      </c>
      <c r="F1097" s="19" t="str">
        <f t="shared" si="1"/>
        <v>XIJKT1</v>
      </c>
      <c r="G1097" s="19" t="s">
        <v>5408</v>
      </c>
      <c r="H1097" s="20" t="s">
        <v>3045</v>
      </c>
      <c r="I1097" s="19" t="s">
        <v>5409</v>
      </c>
      <c r="J1097" s="19" t="s">
        <v>5410</v>
      </c>
      <c r="K1097" s="21" t="s">
        <v>5411</v>
      </c>
      <c r="L1097" s="19" t="s">
        <v>6226</v>
      </c>
      <c r="M1097" s="16" t="s">
        <v>3601</v>
      </c>
      <c r="N1097" s="18"/>
      <c r="O1097" s="18"/>
      <c r="P1097" s="18">
        <f>VLOOKUP($A1097,MasterData!$C$1:$I$3001,1,FALSE)</f>
        <v>9214</v>
      </c>
      <c r="Q1097" s="18" t="str">
        <f t="shared" si="2"/>
        <v>XIJKT1</v>
      </c>
    </row>
    <row r="1098" ht="15.75" customHeight="1">
      <c r="A1098" s="15">
        <v>9227.0</v>
      </c>
      <c r="B1098" s="16" t="s">
        <v>7992</v>
      </c>
      <c r="C1098" s="17" t="s">
        <v>7993</v>
      </c>
      <c r="D1098" s="29" t="s">
        <v>7992</v>
      </c>
      <c r="E1098" s="18" t="s">
        <v>3604</v>
      </c>
      <c r="F1098" s="19" t="str">
        <f t="shared" si="1"/>
        <v>XIJKT1</v>
      </c>
      <c r="G1098" s="19" t="s">
        <v>5408</v>
      </c>
      <c r="H1098" s="20" t="s">
        <v>3045</v>
      </c>
      <c r="I1098" s="19" t="s">
        <v>5409</v>
      </c>
      <c r="J1098" s="19" t="s">
        <v>5410</v>
      </c>
      <c r="K1098" s="21" t="s">
        <v>5411</v>
      </c>
      <c r="L1098" s="19" t="s">
        <v>6226</v>
      </c>
      <c r="M1098" s="16" t="s">
        <v>3603</v>
      </c>
      <c r="N1098" s="18"/>
      <c r="O1098" s="18"/>
      <c r="P1098" s="18">
        <f>VLOOKUP($A1098,MasterData!$C$1:$I$3001,1,FALSE)</f>
        <v>9227</v>
      </c>
      <c r="Q1098" s="18" t="str">
        <f t="shared" si="2"/>
        <v>XIJKT1</v>
      </c>
    </row>
    <row r="1099" ht="15.75" customHeight="1">
      <c r="A1099" s="15">
        <v>8658.0</v>
      </c>
      <c r="B1099" s="16" t="s">
        <v>7994</v>
      </c>
      <c r="C1099" s="17" t="s">
        <v>7995</v>
      </c>
      <c r="D1099" s="29" t="s">
        <v>7994</v>
      </c>
      <c r="E1099" s="18" t="s">
        <v>3606</v>
      </c>
      <c r="F1099" s="19" t="str">
        <f t="shared" si="1"/>
        <v>XIJKT2</v>
      </c>
      <c r="G1099" s="19" t="s">
        <v>5408</v>
      </c>
      <c r="H1099" s="20" t="s">
        <v>3045</v>
      </c>
      <c r="I1099" s="19" t="s">
        <v>5409</v>
      </c>
      <c r="J1099" s="19" t="s">
        <v>5410</v>
      </c>
      <c r="K1099" s="21" t="s">
        <v>5411</v>
      </c>
      <c r="L1099" s="19" t="s">
        <v>6336</v>
      </c>
      <c r="M1099" s="16" t="s">
        <v>3605</v>
      </c>
      <c r="N1099" s="18"/>
      <c r="O1099" s="18"/>
      <c r="P1099" s="18">
        <f>VLOOKUP($A1099,MasterData!$C$1:$I$3001,1,FALSE)</f>
        <v>8658</v>
      </c>
      <c r="Q1099" s="18" t="str">
        <f t="shared" si="2"/>
        <v>XIJKT2</v>
      </c>
    </row>
    <row r="1100" ht="15.75" customHeight="1">
      <c r="A1100" s="15">
        <v>8673.0</v>
      </c>
      <c r="B1100" s="16" t="s">
        <v>7996</v>
      </c>
      <c r="C1100" s="17" t="s">
        <v>7997</v>
      </c>
      <c r="D1100" s="29" t="s">
        <v>7996</v>
      </c>
      <c r="E1100" s="18" t="s">
        <v>3608</v>
      </c>
      <c r="F1100" s="19" t="str">
        <f t="shared" si="1"/>
        <v>XIJKT2</v>
      </c>
      <c r="G1100" s="19" t="s">
        <v>5408</v>
      </c>
      <c r="H1100" s="20" t="s">
        <v>3045</v>
      </c>
      <c r="I1100" s="19" t="s">
        <v>5409</v>
      </c>
      <c r="J1100" s="19" t="s">
        <v>5410</v>
      </c>
      <c r="K1100" s="21" t="s">
        <v>5411</v>
      </c>
      <c r="L1100" s="19" t="s">
        <v>6336</v>
      </c>
      <c r="M1100" s="16" t="s">
        <v>3607</v>
      </c>
      <c r="N1100" s="18"/>
      <c r="O1100" s="18"/>
      <c r="P1100" s="18">
        <f>VLOOKUP($A1100,MasterData!$C$1:$I$3001,1,FALSE)</f>
        <v>8673</v>
      </c>
      <c r="Q1100" s="18" t="str">
        <f t="shared" si="2"/>
        <v>XIJKT2</v>
      </c>
    </row>
    <row r="1101" ht="15.75" customHeight="1">
      <c r="A1101" s="15">
        <v>8683.0</v>
      </c>
      <c r="B1101" s="16" t="s">
        <v>7998</v>
      </c>
      <c r="C1101" s="17" t="s">
        <v>7999</v>
      </c>
      <c r="D1101" s="29" t="s">
        <v>7998</v>
      </c>
      <c r="E1101" s="18" t="s">
        <v>3610</v>
      </c>
      <c r="F1101" s="19" t="str">
        <f t="shared" si="1"/>
        <v>XIJKT2</v>
      </c>
      <c r="G1101" s="19" t="s">
        <v>5408</v>
      </c>
      <c r="H1101" s="20" t="s">
        <v>3045</v>
      </c>
      <c r="I1101" s="19" t="s">
        <v>5409</v>
      </c>
      <c r="J1101" s="19" t="s">
        <v>5410</v>
      </c>
      <c r="K1101" s="21" t="s">
        <v>5411</v>
      </c>
      <c r="L1101" s="19" t="s">
        <v>6336</v>
      </c>
      <c r="M1101" s="16" t="s">
        <v>3609</v>
      </c>
      <c r="N1101" s="18"/>
      <c r="O1101" s="18"/>
      <c r="P1101" s="18">
        <f>VLOOKUP($A1101,MasterData!$C$1:$I$3001,1,FALSE)</f>
        <v>8683</v>
      </c>
      <c r="Q1101" s="18" t="str">
        <f t="shared" si="2"/>
        <v>XIJKT2</v>
      </c>
    </row>
    <row r="1102" ht="15.75" customHeight="1">
      <c r="A1102" s="15">
        <v>8717.0</v>
      </c>
      <c r="B1102" s="16" t="s">
        <v>8000</v>
      </c>
      <c r="C1102" s="17" t="s">
        <v>8001</v>
      </c>
      <c r="D1102" s="29" t="s">
        <v>8000</v>
      </c>
      <c r="E1102" s="18" t="s">
        <v>3612</v>
      </c>
      <c r="F1102" s="19" t="str">
        <f t="shared" si="1"/>
        <v>XIJKT2</v>
      </c>
      <c r="G1102" s="19" t="s">
        <v>5408</v>
      </c>
      <c r="H1102" s="20" t="s">
        <v>3045</v>
      </c>
      <c r="I1102" s="19" t="s">
        <v>5409</v>
      </c>
      <c r="J1102" s="19" t="s">
        <v>5410</v>
      </c>
      <c r="K1102" s="21" t="s">
        <v>5411</v>
      </c>
      <c r="L1102" s="19" t="s">
        <v>6336</v>
      </c>
      <c r="M1102" s="16" t="s">
        <v>3611</v>
      </c>
      <c r="N1102" s="18"/>
      <c r="O1102" s="18"/>
      <c r="P1102" s="18">
        <f>VLOOKUP($A1102,MasterData!$C$1:$I$3001,1,FALSE)</f>
        <v>8717</v>
      </c>
      <c r="Q1102" s="18" t="str">
        <f t="shared" si="2"/>
        <v>XIJKT2</v>
      </c>
    </row>
    <row r="1103" ht="15.75" customHeight="1">
      <c r="A1103" s="15">
        <v>8750.0</v>
      </c>
      <c r="B1103" s="16" t="s">
        <v>8002</v>
      </c>
      <c r="C1103" s="17" t="s">
        <v>8003</v>
      </c>
      <c r="D1103" s="29" t="s">
        <v>8002</v>
      </c>
      <c r="E1103" s="18" t="s">
        <v>3614</v>
      </c>
      <c r="F1103" s="19" t="str">
        <f t="shared" si="1"/>
        <v>XIJKT2</v>
      </c>
      <c r="G1103" s="19" t="s">
        <v>5408</v>
      </c>
      <c r="H1103" s="20" t="s">
        <v>3045</v>
      </c>
      <c r="I1103" s="19" t="s">
        <v>5409</v>
      </c>
      <c r="J1103" s="19" t="s">
        <v>5410</v>
      </c>
      <c r="K1103" s="21" t="s">
        <v>5411</v>
      </c>
      <c r="L1103" s="19" t="s">
        <v>6336</v>
      </c>
      <c r="M1103" s="16" t="s">
        <v>3613</v>
      </c>
      <c r="N1103" s="18"/>
      <c r="O1103" s="18"/>
      <c r="P1103" s="18">
        <f>VLOOKUP($A1103,MasterData!$C$1:$I$3001,1,FALSE)</f>
        <v>8750</v>
      </c>
      <c r="Q1103" s="18" t="str">
        <f t="shared" si="2"/>
        <v>XIJKT2</v>
      </c>
    </row>
    <row r="1104" ht="15.75" customHeight="1">
      <c r="A1104" s="15">
        <v>8785.0</v>
      </c>
      <c r="B1104" s="16" t="s">
        <v>8004</v>
      </c>
      <c r="C1104" s="17" t="s">
        <v>8005</v>
      </c>
      <c r="D1104" s="29" t="s">
        <v>8004</v>
      </c>
      <c r="E1104" s="18" t="s">
        <v>3616</v>
      </c>
      <c r="F1104" s="19" t="str">
        <f t="shared" si="1"/>
        <v>XIJKT2</v>
      </c>
      <c r="G1104" s="19" t="s">
        <v>5408</v>
      </c>
      <c r="H1104" s="20" t="s">
        <v>3045</v>
      </c>
      <c r="I1104" s="19" t="s">
        <v>5409</v>
      </c>
      <c r="J1104" s="19" t="s">
        <v>5410</v>
      </c>
      <c r="K1104" s="21" t="s">
        <v>5411</v>
      </c>
      <c r="L1104" s="19" t="s">
        <v>6336</v>
      </c>
      <c r="M1104" s="16" t="s">
        <v>3615</v>
      </c>
      <c r="N1104" s="18"/>
      <c r="O1104" s="18"/>
      <c r="P1104" s="18">
        <f>VLOOKUP($A1104,MasterData!$C$1:$I$3001,1,FALSE)</f>
        <v>8785</v>
      </c>
      <c r="Q1104" s="18" t="str">
        <f t="shared" si="2"/>
        <v>XIJKT2</v>
      </c>
    </row>
    <row r="1105" ht="15.75" customHeight="1">
      <c r="A1105" s="15">
        <v>8801.0</v>
      </c>
      <c r="B1105" s="16" t="s">
        <v>8006</v>
      </c>
      <c r="C1105" s="17" t="s">
        <v>8007</v>
      </c>
      <c r="D1105" s="29" t="s">
        <v>8006</v>
      </c>
      <c r="E1105" s="18" t="s">
        <v>3618</v>
      </c>
      <c r="F1105" s="19" t="str">
        <f t="shared" si="1"/>
        <v>XIJKT2</v>
      </c>
      <c r="G1105" s="19" t="s">
        <v>5408</v>
      </c>
      <c r="H1105" s="20" t="s">
        <v>3045</v>
      </c>
      <c r="I1105" s="19" t="s">
        <v>5409</v>
      </c>
      <c r="J1105" s="19" t="s">
        <v>5410</v>
      </c>
      <c r="K1105" s="21" t="s">
        <v>5411</v>
      </c>
      <c r="L1105" s="19" t="s">
        <v>6336</v>
      </c>
      <c r="M1105" s="16" t="s">
        <v>3617</v>
      </c>
      <c r="N1105" s="18"/>
      <c r="O1105" s="18"/>
      <c r="P1105" s="18">
        <f>VLOOKUP($A1105,MasterData!$C$1:$I$3001,1,FALSE)</f>
        <v>8801</v>
      </c>
      <c r="Q1105" s="18" t="str">
        <f t="shared" si="2"/>
        <v>XIJKT2</v>
      </c>
    </row>
    <row r="1106" ht="15.75" customHeight="1">
      <c r="A1106" s="15">
        <v>8814.0</v>
      </c>
      <c r="B1106" s="16" t="s">
        <v>8008</v>
      </c>
      <c r="C1106" s="17" t="s">
        <v>8009</v>
      </c>
      <c r="D1106" s="29" t="s">
        <v>8008</v>
      </c>
      <c r="E1106" s="18" t="s">
        <v>3620</v>
      </c>
      <c r="F1106" s="19" t="str">
        <f t="shared" si="1"/>
        <v>XIJKT2</v>
      </c>
      <c r="G1106" s="19" t="s">
        <v>5408</v>
      </c>
      <c r="H1106" s="20" t="s">
        <v>3045</v>
      </c>
      <c r="I1106" s="19" t="s">
        <v>5409</v>
      </c>
      <c r="J1106" s="19" t="s">
        <v>5410</v>
      </c>
      <c r="K1106" s="21" t="s">
        <v>5411</v>
      </c>
      <c r="L1106" s="19" t="s">
        <v>6336</v>
      </c>
      <c r="M1106" s="16" t="s">
        <v>3619</v>
      </c>
      <c r="N1106" s="18"/>
      <c r="O1106" s="18"/>
      <c r="P1106" s="18">
        <f>VLOOKUP($A1106,MasterData!$C$1:$I$3001,1,FALSE)</f>
        <v>8814</v>
      </c>
      <c r="Q1106" s="18" t="str">
        <f t="shared" si="2"/>
        <v>XIJKT2</v>
      </c>
    </row>
    <row r="1107" ht="15.75" customHeight="1">
      <c r="A1107" s="15">
        <v>8827.0</v>
      </c>
      <c r="B1107" s="16" t="s">
        <v>8010</v>
      </c>
      <c r="C1107" s="17" t="s">
        <v>8011</v>
      </c>
      <c r="D1107" s="29" t="s">
        <v>8010</v>
      </c>
      <c r="E1107" s="18" t="s">
        <v>3622</v>
      </c>
      <c r="F1107" s="19" t="str">
        <f t="shared" si="1"/>
        <v>XIJKT2</v>
      </c>
      <c r="G1107" s="19" t="s">
        <v>5408</v>
      </c>
      <c r="H1107" s="20" t="s">
        <v>3045</v>
      </c>
      <c r="I1107" s="19" t="s">
        <v>5409</v>
      </c>
      <c r="J1107" s="19" t="s">
        <v>5410</v>
      </c>
      <c r="K1107" s="21" t="s">
        <v>5411</v>
      </c>
      <c r="L1107" s="19" t="s">
        <v>6336</v>
      </c>
      <c r="M1107" s="16" t="s">
        <v>3621</v>
      </c>
      <c r="N1107" s="18"/>
      <c r="O1107" s="18"/>
      <c r="P1107" s="18">
        <f>VLOOKUP($A1107,MasterData!$C$1:$I$3001,1,FALSE)</f>
        <v>8827</v>
      </c>
      <c r="Q1107" s="18" t="str">
        <f t="shared" si="2"/>
        <v>XIJKT2</v>
      </c>
    </row>
    <row r="1108" ht="15.75" customHeight="1">
      <c r="A1108" s="15">
        <v>8856.0</v>
      </c>
      <c r="B1108" s="16" t="s">
        <v>8012</v>
      </c>
      <c r="C1108" s="17" t="s">
        <v>8013</v>
      </c>
      <c r="D1108" s="29" t="s">
        <v>8012</v>
      </c>
      <c r="E1108" s="18" t="s">
        <v>3624</v>
      </c>
      <c r="F1108" s="19" t="str">
        <f t="shared" si="1"/>
        <v>XIJKT2</v>
      </c>
      <c r="G1108" s="19" t="s">
        <v>5408</v>
      </c>
      <c r="H1108" s="20" t="s">
        <v>3045</v>
      </c>
      <c r="I1108" s="19" t="s">
        <v>5409</v>
      </c>
      <c r="J1108" s="19" t="s">
        <v>5410</v>
      </c>
      <c r="K1108" s="21" t="s">
        <v>5411</v>
      </c>
      <c r="L1108" s="19" t="s">
        <v>6336</v>
      </c>
      <c r="M1108" s="16" t="s">
        <v>3623</v>
      </c>
      <c r="N1108" s="18"/>
      <c r="O1108" s="18"/>
      <c r="P1108" s="18">
        <f>VLOOKUP($A1108,MasterData!$C$1:$I$3001,1,FALSE)</f>
        <v>8856</v>
      </c>
      <c r="Q1108" s="18" t="str">
        <f t="shared" si="2"/>
        <v>XIJKT2</v>
      </c>
    </row>
    <row r="1109" ht="15.75" customHeight="1">
      <c r="A1109" s="15">
        <v>8863.0</v>
      </c>
      <c r="B1109" s="16" t="s">
        <v>8014</v>
      </c>
      <c r="C1109" s="17" t="s">
        <v>8015</v>
      </c>
      <c r="D1109" s="29" t="s">
        <v>8014</v>
      </c>
      <c r="E1109" s="18" t="s">
        <v>3626</v>
      </c>
      <c r="F1109" s="19" t="str">
        <f t="shared" si="1"/>
        <v>XIJKT2</v>
      </c>
      <c r="G1109" s="19" t="s">
        <v>5408</v>
      </c>
      <c r="H1109" s="20" t="s">
        <v>3045</v>
      </c>
      <c r="I1109" s="19" t="s">
        <v>5409</v>
      </c>
      <c r="J1109" s="19" t="s">
        <v>5410</v>
      </c>
      <c r="K1109" s="21" t="s">
        <v>5411</v>
      </c>
      <c r="L1109" s="19" t="s">
        <v>6336</v>
      </c>
      <c r="M1109" s="16" t="s">
        <v>3625</v>
      </c>
      <c r="N1109" s="18"/>
      <c r="O1109" s="18"/>
      <c r="P1109" s="18">
        <f>VLOOKUP($A1109,MasterData!$C$1:$I$3001,1,FALSE)</f>
        <v>8863</v>
      </c>
      <c r="Q1109" s="18" t="str">
        <f t="shared" si="2"/>
        <v>XIJKT2</v>
      </c>
    </row>
    <row r="1110" ht="15.75" customHeight="1">
      <c r="A1110" s="15">
        <v>8884.0</v>
      </c>
      <c r="B1110" s="16" t="s">
        <v>8016</v>
      </c>
      <c r="C1110" s="17" t="s">
        <v>8017</v>
      </c>
      <c r="D1110" s="29" t="s">
        <v>8016</v>
      </c>
      <c r="E1110" s="18" t="s">
        <v>3628</v>
      </c>
      <c r="F1110" s="19" t="str">
        <f t="shared" si="1"/>
        <v>XIJKT2</v>
      </c>
      <c r="G1110" s="19" t="s">
        <v>5408</v>
      </c>
      <c r="H1110" s="20" t="s">
        <v>3045</v>
      </c>
      <c r="I1110" s="19" t="s">
        <v>5409</v>
      </c>
      <c r="J1110" s="19" t="s">
        <v>5410</v>
      </c>
      <c r="K1110" s="21" t="s">
        <v>5411</v>
      </c>
      <c r="L1110" s="19" t="s">
        <v>6336</v>
      </c>
      <c r="M1110" s="16" t="s">
        <v>3627</v>
      </c>
      <c r="N1110" s="18"/>
      <c r="O1110" s="18"/>
      <c r="P1110" s="18">
        <f>VLOOKUP($A1110,MasterData!$C$1:$I$3001,1,FALSE)</f>
        <v>8884</v>
      </c>
      <c r="Q1110" s="18" t="str">
        <f t="shared" si="2"/>
        <v>XIJKT2</v>
      </c>
    </row>
    <row r="1111" ht="15.75" customHeight="1">
      <c r="A1111" s="15">
        <v>8915.0</v>
      </c>
      <c r="B1111" s="16" t="s">
        <v>8018</v>
      </c>
      <c r="C1111" s="17" t="s">
        <v>8019</v>
      </c>
      <c r="D1111" s="29" t="s">
        <v>8018</v>
      </c>
      <c r="E1111" s="18" t="s">
        <v>3630</v>
      </c>
      <c r="F1111" s="19" t="str">
        <f t="shared" si="1"/>
        <v>XIJKT2</v>
      </c>
      <c r="G1111" s="19" t="s">
        <v>5408</v>
      </c>
      <c r="H1111" s="20" t="s">
        <v>3045</v>
      </c>
      <c r="I1111" s="19" t="s">
        <v>5409</v>
      </c>
      <c r="J1111" s="19" t="s">
        <v>5410</v>
      </c>
      <c r="K1111" s="21" t="s">
        <v>5411</v>
      </c>
      <c r="L1111" s="19" t="s">
        <v>6336</v>
      </c>
      <c r="M1111" s="16" t="s">
        <v>3629</v>
      </c>
      <c r="N1111" s="18"/>
      <c r="O1111" s="18"/>
      <c r="P1111" s="18">
        <f>VLOOKUP($A1111,MasterData!$C$1:$I$3001,1,FALSE)</f>
        <v>8915</v>
      </c>
      <c r="Q1111" s="18" t="str">
        <f t="shared" si="2"/>
        <v>XIJKT2</v>
      </c>
    </row>
    <row r="1112" ht="15.75" customHeight="1">
      <c r="A1112" s="15">
        <v>8921.0</v>
      </c>
      <c r="B1112" s="16" t="s">
        <v>8020</v>
      </c>
      <c r="C1112" s="17" t="s">
        <v>8021</v>
      </c>
      <c r="D1112" s="29" t="s">
        <v>8020</v>
      </c>
      <c r="E1112" s="18" t="s">
        <v>3631</v>
      </c>
      <c r="F1112" s="19" t="str">
        <f t="shared" si="1"/>
        <v>XIJKT2</v>
      </c>
      <c r="G1112" s="19" t="s">
        <v>5408</v>
      </c>
      <c r="H1112" s="20" t="s">
        <v>3045</v>
      </c>
      <c r="I1112" s="19" t="s">
        <v>5409</v>
      </c>
      <c r="J1112" s="19" t="s">
        <v>5410</v>
      </c>
      <c r="K1112" s="21" t="s">
        <v>5411</v>
      </c>
      <c r="L1112" s="19" t="s">
        <v>6336</v>
      </c>
      <c r="M1112" s="16"/>
      <c r="N1112" s="18"/>
      <c r="O1112" s="18"/>
      <c r="P1112" s="18">
        <f>VLOOKUP($A1112,MasterData!$C$1:$I$3001,1,FALSE)</f>
        <v>8921</v>
      </c>
      <c r="Q1112" s="18" t="str">
        <f t="shared" si="2"/>
        <v>XIJKT2</v>
      </c>
    </row>
    <row r="1113" ht="15.75" customHeight="1">
      <c r="A1113" s="15">
        <v>8933.0</v>
      </c>
      <c r="B1113" s="16" t="s">
        <v>8022</v>
      </c>
      <c r="C1113" s="17" t="s">
        <v>8023</v>
      </c>
      <c r="D1113" s="29" t="s">
        <v>8022</v>
      </c>
      <c r="E1113" s="18" t="s">
        <v>3633</v>
      </c>
      <c r="F1113" s="19" t="str">
        <f t="shared" si="1"/>
        <v>XIJKT2</v>
      </c>
      <c r="G1113" s="19" t="s">
        <v>5408</v>
      </c>
      <c r="H1113" s="20" t="s">
        <v>3045</v>
      </c>
      <c r="I1113" s="19" t="s">
        <v>5409</v>
      </c>
      <c r="J1113" s="19" t="s">
        <v>5410</v>
      </c>
      <c r="K1113" s="21" t="s">
        <v>5411</v>
      </c>
      <c r="L1113" s="19" t="s">
        <v>6336</v>
      </c>
      <c r="M1113" s="16" t="s">
        <v>3632</v>
      </c>
      <c r="N1113" s="18"/>
      <c r="O1113" s="18"/>
      <c r="P1113" s="18">
        <f>VLOOKUP($A1113,MasterData!$C$1:$I$3001,1,FALSE)</f>
        <v>8933</v>
      </c>
      <c r="Q1113" s="18" t="str">
        <f t="shared" si="2"/>
        <v>XIJKT2</v>
      </c>
    </row>
    <row r="1114" ht="15.75" customHeight="1">
      <c r="A1114" s="15">
        <v>8945.0</v>
      </c>
      <c r="B1114" s="16" t="s">
        <v>8024</v>
      </c>
      <c r="C1114" s="17" t="s">
        <v>8025</v>
      </c>
      <c r="D1114" s="29" t="s">
        <v>8024</v>
      </c>
      <c r="E1114" s="18" t="s">
        <v>3635</v>
      </c>
      <c r="F1114" s="19" t="str">
        <f t="shared" si="1"/>
        <v>XIJKT2</v>
      </c>
      <c r="G1114" s="19" t="s">
        <v>5408</v>
      </c>
      <c r="H1114" s="20" t="s">
        <v>3045</v>
      </c>
      <c r="I1114" s="19" t="s">
        <v>5409</v>
      </c>
      <c r="J1114" s="19" t="s">
        <v>5410</v>
      </c>
      <c r="K1114" s="21" t="s">
        <v>5411</v>
      </c>
      <c r="L1114" s="19" t="s">
        <v>6336</v>
      </c>
      <c r="M1114" s="16" t="s">
        <v>3634</v>
      </c>
      <c r="N1114" s="18"/>
      <c r="O1114" s="18"/>
      <c r="P1114" s="18">
        <f>VLOOKUP($A1114,MasterData!$C$1:$I$3001,1,FALSE)</f>
        <v>8945</v>
      </c>
      <c r="Q1114" s="18" t="str">
        <f t="shared" si="2"/>
        <v>XIJKT2</v>
      </c>
    </row>
    <row r="1115" ht="15.75" customHeight="1">
      <c r="A1115" s="15">
        <v>8958.0</v>
      </c>
      <c r="B1115" s="16" t="s">
        <v>8026</v>
      </c>
      <c r="C1115" s="17" t="s">
        <v>8027</v>
      </c>
      <c r="D1115" s="29" t="s">
        <v>8026</v>
      </c>
      <c r="E1115" s="18" t="s">
        <v>3637</v>
      </c>
      <c r="F1115" s="19" t="str">
        <f t="shared" si="1"/>
        <v>XIJKT2</v>
      </c>
      <c r="G1115" s="19" t="s">
        <v>5408</v>
      </c>
      <c r="H1115" s="20" t="s">
        <v>3045</v>
      </c>
      <c r="I1115" s="19" t="s">
        <v>5409</v>
      </c>
      <c r="J1115" s="19" t="s">
        <v>5410</v>
      </c>
      <c r="K1115" s="21" t="s">
        <v>5411</v>
      </c>
      <c r="L1115" s="19" t="s">
        <v>6336</v>
      </c>
      <c r="M1115" s="16" t="s">
        <v>3636</v>
      </c>
      <c r="N1115" s="18"/>
      <c r="O1115" s="18"/>
      <c r="P1115" s="18">
        <f>VLOOKUP($A1115,MasterData!$C$1:$I$3001,1,FALSE)</f>
        <v>8958</v>
      </c>
      <c r="Q1115" s="18" t="str">
        <f t="shared" si="2"/>
        <v>XIJKT2</v>
      </c>
    </row>
    <row r="1116" ht="15.75" customHeight="1">
      <c r="A1116" s="15">
        <v>8976.0</v>
      </c>
      <c r="B1116" s="16" t="s">
        <v>8028</v>
      </c>
      <c r="C1116" s="17" t="s">
        <v>8029</v>
      </c>
      <c r="D1116" s="29" t="s">
        <v>8028</v>
      </c>
      <c r="E1116" s="18" t="s">
        <v>3639</v>
      </c>
      <c r="F1116" s="19" t="str">
        <f t="shared" si="1"/>
        <v>XIJKT2</v>
      </c>
      <c r="G1116" s="19" t="s">
        <v>5408</v>
      </c>
      <c r="H1116" s="20" t="s">
        <v>3045</v>
      </c>
      <c r="I1116" s="19" t="s">
        <v>5409</v>
      </c>
      <c r="J1116" s="19" t="s">
        <v>5410</v>
      </c>
      <c r="K1116" s="21" t="s">
        <v>5411</v>
      </c>
      <c r="L1116" s="19" t="s">
        <v>6336</v>
      </c>
      <c r="M1116" s="16" t="s">
        <v>3638</v>
      </c>
      <c r="N1116" s="18"/>
      <c r="O1116" s="18"/>
      <c r="P1116" s="18">
        <f>VLOOKUP($A1116,MasterData!$C$1:$I$3001,1,FALSE)</f>
        <v>8976</v>
      </c>
      <c r="Q1116" s="18" t="str">
        <f t="shared" si="2"/>
        <v>XIJKT2</v>
      </c>
    </row>
    <row r="1117" ht="15.75" customHeight="1">
      <c r="A1117" s="15">
        <v>8982.0</v>
      </c>
      <c r="B1117" s="16" t="s">
        <v>8030</v>
      </c>
      <c r="C1117" s="17" t="s">
        <v>8031</v>
      </c>
      <c r="D1117" s="29" t="s">
        <v>8030</v>
      </c>
      <c r="E1117" s="18" t="s">
        <v>3641</v>
      </c>
      <c r="F1117" s="19" t="str">
        <f t="shared" si="1"/>
        <v>XIJKT2</v>
      </c>
      <c r="G1117" s="19" t="s">
        <v>5408</v>
      </c>
      <c r="H1117" s="20" t="s">
        <v>3045</v>
      </c>
      <c r="I1117" s="19" t="s">
        <v>5409</v>
      </c>
      <c r="J1117" s="19" t="s">
        <v>5410</v>
      </c>
      <c r="K1117" s="21" t="s">
        <v>5411</v>
      </c>
      <c r="L1117" s="19" t="s">
        <v>6336</v>
      </c>
      <c r="M1117" s="16" t="s">
        <v>3640</v>
      </c>
      <c r="N1117" s="18"/>
      <c r="O1117" s="18"/>
      <c r="P1117" s="18">
        <f>VLOOKUP($A1117,MasterData!$C$1:$I$3001,1,FALSE)</f>
        <v>8982</v>
      </c>
      <c r="Q1117" s="18" t="str">
        <f t="shared" si="2"/>
        <v>XIJKT2</v>
      </c>
    </row>
    <row r="1118" ht="15.75" customHeight="1">
      <c r="A1118" s="15">
        <v>8988.0</v>
      </c>
      <c r="B1118" s="16" t="s">
        <v>8032</v>
      </c>
      <c r="C1118" s="17" t="s">
        <v>8033</v>
      </c>
      <c r="D1118" s="29" t="s">
        <v>8032</v>
      </c>
      <c r="E1118" s="18" t="s">
        <v>3643</v>
      </c>
      <c r="F1118" s="19" t="str">
        <f t="shared" si="1"/>
        <v>XIJKT2</v>
      </c>
      <c r="G1118" s="19" t="s">
        <v>5408</v>
      </c>
      <c r="H1118" s="20" t="s">
        <v>3045</v>
      </c>
      <c r="I1118" s="19" t="s">
        <v>5409</v>
      </c>
      <c r="J1118" s="19" t="s">
        <v>5410</v>
      </c>
      <c r="K1118" s="21" t="s">
        <v>5411</v>
      </c>
      <c r="L1118" s="19" t="s">
        <v>6336</v>
      </c>
      <c r="M1118" s="16" t="s">
        <v>3642</v>
      </c>
      <c r="N1118" s="18"/>
      <c r="O1118" s="18"/>
      <c r="P1118" s="18">
        <f>VLOOKUP($A1118,MasterData!$C$1:$I$3001,1,FALSE)</f>
        <v>8988</v>
      </c>
      <c r="Q1118" s="18" t="str">
        <f t="shared" si="2"/>
        <v>XIJKT2</v>
      </c>
    </row>
    <row r="1119" ht="15.75" customHeight="1">
      <c r="A1119" s="15">
        <v>8995.0</v>
      </c>
      <c r="B1119" s="16" t="s">
        <v>8034</v>
      </c>
      <c r="C1119" s="17" t="s">
        <v>8035</v>
      </c>
      <c r="D1119" s="29" t="s">
        <v>8034</v>
      </c>
      <c r="E1119" s="18" t="s">
        <v>3645</v>
      </c>
      <c r="F1119" s="19" t="str">
        <f t="shared" si="1"/>
        <v>XIJKT2</v>
      </c>
      <c r="G1119" s="19" t="s">
        <v>5408</v>
      </c>
      <c r="H1119" s="20" t="s">
        <v>3045</v>
      </c>
      <c r="I1119" s="19" t="s">
        <v>5409</v>
      </c>
      <c r="J1119" s="19" t="s">
        <v>5410</v>
      </c>
      <c r="K1119" s="21" t="s">
        <v>5411</v>
      </c>
      <c r="L1119" s="19" t="s">
        <v>6336</v>
      </c>
      <c r="M1119" s="16" t="s">
        <v>3644</v>
      </c>
      <c r="N1119" s="18"/>
      <c r="O1119" s="18"/>
      <c r="P1119" s="18">
        <f>VLOOKUP($A1119,MasterData!$C$1:$I$3001,1,FALSE)</f>
        <v>8995</v>
      </c>
      <c r="Q1119" s="18" t="str">
        <f t="shared" si="2"/>
        <v>XIJKT2</v>
      </c>
    </row>
    <row r="1120" ht="15.75" customHeight="1">
      <c r="A1120" s="15">
        <v>9006.0</v>
      </c>
      <c r="B1120" s="16" t="s">
        <v>8036</v>
      </c>
      <c r="C1120" s="17" t="s">
        <v>8037</v>
      </c>
      <c r="D1120" s="29" t="s">
        <v>8036</v>
      </c>
      <c r="E1120" s="18" t="s">
        <v>3647</v>
      </c>
      <c r="F1120" s="19" t="str">
        <f t="shared" si="1"/>
        <v>XIJKT2</v>
      </c>
      <c r="G1120" s="19" t="s">
        <v>5408</v>
      </c>
      <c r="H1120" s="20" t="s">
        <v>3045</v>
      </c>
      <c r="I1120" s="19" t="s">
        <v>5409</v>
      </c>
      <c r="J1120" s="19" t="s">
        <v>5410</v>
      </c>
      <c r="K1120" s="21" t="s">
        <v>5411</v>
      </c>
      <c r="L1120" s="19" t="s">
        <v>6336</v>
      </c>
      <c r="M1120" s="16" t="s">
        <v>3646</v>
      </c>
      <c r="N1120" s="18"/>
      <c r="O1120" s="18"/>
      <c r="P1120" s="18">
        <f>VLOOKUP($A1120,MasterData!$C$1:$I$3001,1,FALSE)</f>
        <v>9006</v>
      </c>
      <c r="Q1120" s="18" t="str">
        <f t="shared" si="2"/>
        <v>XIJKT2</v>
      </c>
    </row>
    <row r="1121" ht="15.75" customHeight="1">
      <c r="A1121" s="15">
        <v>9023.0</v>
      </c>
      <c r="B1121" s="16" t="s">
        <v>8038</v>
      </c>
      <c r="C1121" s="17" t="s">
        <v>8039</v>
      </c>
      <c r="D1121" s="29" t="s">
        <v>8038</v>
      </c>
      <c r="E1121" s="18" t="s">
        <v>3649</v>
      </c>
      <c r="F1121" s="19" t="str">
        <f t="shared" si="1"/>
        <v>XIJKT2</v>
      </c>
      <c r="G1121" s="19" t="s">
        <v>5408</v>
      </c>
      <c r="H1121" s="20" t="s">
        <v>3045</v>
      </c>
      <c r="I1121" s="19" t="s">
        <v>5409</v>
      </c>
      <c r="J1121" s="19" t="s">
        <v>5410</v>
      </c>
      <c r="K1121" s="21" t="s">
        <v>5411</v>
      </c>
      <c r="L1121" s="19" t="s">
        <v>6336</v>
      </c>
      <c r="M1121" s="16" t="s">
        <v>3648</v>
      </c>
      <c r="N1121" s="18"/>
      <c r="O1121" s="18"/>
      <c r="P1121" s="18">
        <f>VLOOKUP($A1121,MasterData!$C$1:$I$3001,1,FALSE)</f>
        <v>9023</v>
      </c>
      <c r="Q1121" s="18" t="str">
        <f t="shared" si="2"/>
        <v>XIJKT2</v>
      </c>
    </row>
    <row r="1122" ht="15.75" customHeight="1">
      <c r="A1122" s="15">
        <v>9037.0</v>
      </c>
      <c r="B1122" s="16" t="s">
        <v>8040</v>
      </c>
      <c r="C1122" s="17" t="s">
        <v>8041</v>
      </c>
      <c r="D1122" s="29" t="s">
        <v>8040</v>
      </c>
      <c r="E1122" s="18" t="s">
        <v>3651</v>
      </c>
      <c r="F1122" s="19" t="str">
        <f t="shared" si="1"/>
        <v>XIJKT2</v>
      </c>
      <c r="G1122" s="19" t="s">
        <v>5408</v>
      </c>
      <c r="H1122" s="20" t="s">
        <v>3045</v>
      </c>
      <c r="I1122" s="19" t="s">
        <v>5409</v>
      </c>
      <c r="J1122" s="19" t="s">
        <v>5410</v>
      </c>
      <c r="K1122" s="21" t="s">
        <v>5411</v>
      </c>
      <c r="L1122" s="19" t="s">
        <v>6336</v>
      </c>
      <c r="M1122" s="16" t="s">
        <v>3650</v>
      </c>
      <c r="N1122" s="18"/>
      <c r="O1122" s="18"/>
      <c r="P1122" s="18">
        <f>VLOOKUP($A1122,MasterData!$C$1:$I$3001,1,FALSE)</f>
        <v>9037</v>
      </c>
      <c r="Q1122" s="18" t="str">
        <f t="shared" si="2"/>
        <v>XIJKT2</v>
      </c>
    </row>
    <row r="1123" ht="15.75" customHeight="1">
      <c r="A1123" s="15">
        <v>9043.0</v>
      </c>
      <c r="B1123" s="16" t="s">
        <v>8042</v>
      </c>
      <c r="C1123" s="17" t="s">
        <v>8043</v>
      </c>
      <c r="D1123" s="29" t="s">
        <v>8042</v>
      </c>
      <c r="E1123" s="18" t="s">
        <v>3653</v>
      </c>
      <c r="F1123" s="19" t="str">
        <f t="shared" si="1"/>
        <v>XIJKT2</v>
      </c>
      <c r="G1123" s="19" t="s">
        <v>5408</v>
      </c>
      <c r="H1123" s="20" t="s">
        <v>3045</v>
      </c>
      <c r="I1123" s="19" t="s">
        <v>5409</v>
      </c>
      <c r="J1123" s="19" t="s">
        <v>5410</v>
      </c>
      <c r="K1123" s="21" t="s">
        <v>5411</v>
      </c>
      <c r="L1123" s="19" t="s">
        <v>6336</v>
      </c>
      <c r="M1123" s="16" t="s">
        <v>3652</v>
      </c>
      <c r="N1123" s="18"/>
      <c r="O1123" s="18"/>
      <c r="P1123" s="18">
        <f>VLOOKUP($A1123,MasterData!$C$1:$I$3001,1,FALSE)</f>
        <v>9043</v>
      </c>
      <c r="Q1123" s="18" t="str">
        <f t="shared" si="2"/>
        <v>XIJKT2</v>
      </c>
    </row>
    <row r="1124" ht="15.75" customHeight="1">
      <c r="A1124" s="15">
        <v>9061.0</v>
      </c>
      <c r="B1124" s="16" t="s">
        <v>8044</v>
      </c>
      <c r="C1124" s="17" t="s">
        <v>8045</v>
      </c>
      <c r="D1124" s="29" t="s">
        <v>8044</v>
      </c>
      <c r="E1124" s="18" t="s">
        <v>3655</v>
      </c>
      <c r="F1124" s="19" t="str">
        <f t="shared" si="1"/>
        <v>XIJKT2</v>
      </c>
      <c r="G1124" s="19" t="s">
        <v>5408</v>
      </c>
      <c r="H1124" s="20" t="s">
        <v>3045</v>
      </c>
      <c r="I1124" s="19" t="s">
        <v>5409</v>
      </c>
      <c r="J1124" s="19" t="s">
        <v>5410</v>
      </c>
      <c r="K1124" s="21" t="s">
        <v>5411</v>
      </c>
      <c r="L1124" s="19" t="s">
        <v>6336</v>
      </c>
      <c r="M1124" s="16" t="s">
        <v>3654</v>
      </c>
      <c r="N1124" s="18"/>
      <c r="O1124" s="18"/>
      <c r="P1124" s="18">
        <f>VLOOKUP($A1124,MasterData!$C$1:$I$3001,1,FALSE)</f>
        <v>9061</v>
      </c>
      <c r="Q1124" s="18" t="str">
        <f t="shared" si="2"/>
        <v>XIJKT2</v>
      </c>
    </row>
    <row r="1125" ht="15.75" customHeight="1">
      <c r="A1125" s="15">
        <v>9114.0</v>
      </c>
      <c r="B1125" s="16" t="s">
        <v>8046</v>
      </c>
      <c r="C1125" s="17" t="s">
        <v>8047</v>
      </c>
      <c r="D1125" s="29" t="s">
        <v>8046</v>
      </c>
      <c r="E1125" s="18" t="s">
        <v>3657</v>
      </c>
      <c r="F1125" s="19" t="str">
        <f t="shared" si="1"/>
        <v>XIJKT2</v>
      </c>
      <c r="G1125" s="19" t="s">
        <v>5408</v>
      </c>
      <c r="H1125" s="20" t="s">
        <v>3045</v>
      </c>
      <c r="I1125" s="19" t="s">
        <v>5409</v>
      </c>
      <c r="J1125" s="19" t="s">
        <v>5410</v>
      </c>
      <c r="K1125" s="21" t="s">
        <v>5411</v>
      </c>
      <c r="L1125" s="19" t="s">
        <v>6336</v>
      </c>
      <c r="M1125" s="16" t="s">
        <v>3656</v>
      </c>
      <c r="N1125" s="18"/>
      <c r="O1125" s="18"/>
      <c r="P1125" s="18">
        <f>VLOOKUP($A1125,MasterData!$C$1:$I$3001,1,FALSE)</f>
        <v>9114</v>
      </c>
      <c r="Q1125" s="18" t="str">
        <f t="shared" si="2"/>
        <v>XIJKT2</v>
      </c>
    </row>
    <row r="1126" ht="15.75" customHeight="1">
      <c r="A1126" s="15">
        <v>9128.0</v>
      </c>
      <c r="B1126" s="16" t="s">
        <v>8048</v>
      </c>
      <c r="C1126" s="17" t="s">
        <v>8049</v>
      </c>
      <c r="D1126" s="29" t="s">
        <v>8048</v>
      </c>
      <c r="E1126" s="18" t="s">
        <v>3659</v>
      </c>
      <c r="F1126" s="19" t="str">
        <f t="shared" si="1"/>
        <v>XIJKT2</v>
      </c>
      <c r="G1126" s="19" t="s">
        <v>5408</v>
      </c>
      <c r="H1126" s="20" t="s">
        <v>3045</v>
      </c>
      <c r="I1126" s="19" t="s">
        <v>5409</v>
      </c>
      <c r="J1126" s="19" t="s">
        <v>5410</v>
      </c>
      <c r="K1126" s="21" t="s">
        <v>5411</v>
      </c>
      <c r="L1126" s="19" t="s">
        <v>6336</v>
      </c>
      <c r="M1126" s="16" t="s">
        <v>3658</v>
      </c>
      <c r="N1126" s="18"/>
      <c r="O1126" s="18"/>
      <c r="P1126" s="18">
        <f>VLOOKUP($A1126,MasterData!$C$1:$I$3001,1,FALSE)</f>
        <v>9128</v>
      </c>
      <c r="Q1126" s="18" t="str">
        <f t="shared" si="2"/>
        <v>XIJKT2</v>
      </c>
    </row>
    <row r="1127" ht="15.75" customHeight="1">
      <c r="A1127" s="15">
        <v>9148.0</v>
      </c>
      <c r="B1127" s="16" t="s">
        <v>8050</v>
      </c>
      <c r="C1127" s="17" t="s">
        <v>8051</v>
      </c>
      <c r="D1127" s="29" t="s">
        <v>8050</v>
      </c>
      <c r="E1127" s="18" t="s">
        <v>3661</v>
      </c>
      <c r="F1127" s="19" t="str">
        <f t="shared" si="1"/>
        <v>XIJKT2</v>
      </c>
      <c r="G1127" s="19" t="s">
        <v>5408</v>
      </c>
      <c r="H1127" s="20" t="s">
        <v>3045</v>
      </c>
      <c r="I1127" s="19" t="s">
        <v>5409</v>
      </c>
      <c r="J1127" s="19" t="s">
        <v>5410</v>
      </c>
      <c r="K1127" s="21" t="s">
        <v>5411</v>
      </c>
      <c r="L1127" s="19" t="s">
        <v>6336</v>
      </c>
      <c r="M1127" s="16" t="s">
        <v>3660</v>
      </c>
      <c r="N1127" s="18"/>
      <c r="O1127" s="18"/>
      <c r="P1127" s="18">
        <f>VLOOKUP($A1127,MasterData!$C$1:$I$3001,1,FALSE)</f>
        <v>9148</v>
      </c>
      <c r="Q1127" s="18" t="str">
        <f t="shared" si="2"/>
        <v>XIJKT2</v>
      </c>
    </row>
    <row r="1128" ht="15.75" customHeight="1">
      <c r="A1128" s="15">
        <v>9164.0</v>
      </c>
      <c r="B1128" s="16" t="s">
        <v>8052</v>
      </c>
      <c r="C1128" s="17" t="s">
        <v>8053</v>
      </c>
      <c r="D1128" s="29" t="s">
        <v>8052</v>
      </c>
      <c r="E1128" s="18" t="s">
        <v>3663</v>
      </c>
      <c r="F1128" s="19" t="str">
        <f t="shared" si="1"/>
        <v>XIJKT2</v>
      </c>
      <c r="G1128" s="19" t="s">
        <v>5408</v>
      </c>
      <c r="H1128" s="20" t="s">
        <v>3045</v>
      </c>
      <c r="I1128" s="19" t="s">
        <v>5409</v>
      </c>
      <c r="J1128" s="19" t="s">
        <v>5410</v>
      </c>
      <c r="K1128" s="21" t="s">
        <v>5411</v>
      </c>
      <c r="L1128" s="19" t="s">
        <v>6336</v>
      </c>
      <c r="M1128" s="16" t="s">
        <v>3662</v>
      </c>
      <c r="N1128" s="18"/>
      <c r="O1128" s="18"/>
      <c r="P1128" s="18">
        <f>VLOOKUP($A1128,MasterData!$C$1:$I$3001,1,FALSE)</f>
        <v>9164</v>
      </c>
      <c r="Q1128" s="18" t="str">
        <f t="shared" si="2"/>
        <v>XIJKT2</v>
      </c>
    </row>
    <row r="1129" ht="15.75" customHeight="1">
      <c r="A1129" s="15">
        <v>9189.0</v>
      </c>
      <c r="B1129" s="16" t="s">
        <v>8054</v>
      </c>
      <c r="C1129" s="17" t="s">
        <v>8055</v>
      </c>
      <c r="D1129" s="29" t="s">
        <v>8054</v>
      </c>
      <c r="E1129" s="18" t="s">
        <v>3665</v>
      </c>
      <c r="F1129" s="19" t="str">
        <f t="shared" si="1"/>
        <v>XIJKT2</v>
      </c>
      <c r="G1129" s="19" t="s">
        <v>5408</v>
      </c>
      <c r="H1129" s="20" t="s">
        <v>3045</v>
      </c>
      <c r="I1129" s="19" t="s">
        <v>5409</v>
      </c>
      <c r="J1129" s="19" t="s">
        <v>5410</v>
      </c>
      <c r="K1129" s="21" t="s">
        <v>5411</v>
      </c>
      <c r="L1129" s="19" t="s">
        <v>6336</v>
      </c>
      <c r="M1129" s="16" t="s">
        <v>3664</v>
      </c>
      <c r="N1129" s="18"/>
      <c r="O1129" s="18"/>
      <c r="P1129" s="18">
        <f>VLOOKUP($A1129,MasterData!$C$1:$I$3001,1,FALSE)</f>
        <v>9189</v>
      </c>
      <c r="Q1129" s="18" t="str">
        <f t="shared" si="2"/>
        <v>XIJKT2</v>
      </c>
    </row>
    <row r="1130" ht="15.75" customHeight="1">
      <c r="A1130" s="15">
        <v>9196.0</v>
      </c>
      <c r="B1130" s="16" t="s">
        <v>8056</v>
      </c>
      <c r="C1130" s="17" t="s">
        <v>8057</v>
      </c>
      <c r="D1130" s="29" t="s">
        <v>8056</v>
      </c>
      <c r="E1130" s="18" t="s">
        <v>3667</v>
      </c>
      <c r="F1130" s="19" t="str">
        <f t="shared" si="1"/>
        <v>XIJKT2</v>
      </c>
      <c r="G1130" s="19" t="s">
        <v>5408</v>
      </c>
      <c r="H1130" s="20" t="s">
        <v>3045</v>
      </c>
      <c r="I1130" s="19" t="s">
        <v>5409</v>
      </c>
      <c r="J1130" s="19" t="s">
        <v>5410</v>
      </c>
      <c r="K1130" s="21" t="s">
        <v>5411</v>
      </c>
      <c r="L1130" s="19" t="s">
        <v>6336</v>
      </c>
      <c r="M1130" s="16" t="s">
        <v>3666</v>
      </c>
      <c r="N1130" s="18"/>
      <c r="O1130" s="18"/>
      <c r="P1130" s="18">
        <f>VLOOKUP($A1130,MasterData!$C$1:$I$3001,1,FALSE)</f>
        <v>9196</v>
      </c>
      <c r="Q1130" s="18" t="str">
        <f t="shared" si="2"/>
        <v>XIJKT2</v>
      </c>
    </row>
    <row r="1131" ht="15.75" customHeight="1">
      <c r="A1131" s="15">
        <v>9204.0</v>
      </c>
      <c r="B1131" s="16" t="s">
        <v>8058</v>
      </c>
      <c r="C1131" s="17" t="s">
        <v>8059</v>
      </c>
      <c r="D1131" s="29" t="s">
        <v>8058</v>
      </c>
      <c r="E1131" s="18" t="s">
        <v>3669</v>
      </c>
      <c r="F1131" s="19" t="str">
        <f t="shared" si="1"/>
        <v>XIJKT2</v>
      </c>
      <c r="G1131" s="19" t="s">
        <v>5408</v>
      </c>
      <c r="H1131" s="20" t="s">
        <v>3045</v>
      </c>
      <c r="I1131" s="19" t="s">
        <v>5409</v>
      </c>
      <c r="J1131" s="19" t="s">
        <v>5410</v>
      </c>
      <c r="K1131" s="21" t="s">
        <v>5411</v>
      </c>
      <c r="L1131" s="19" t="s">
        <v>6336</v>
      </c>
      <c r="M1131" s="16" t="s">
        <v>3668</v>
      </c>
      <c r="N1131" s="18"/>
      <c r="O1131" s="18"/>
      <c r="P1131" s="18">
        <f>VLOOKUP($A1131,MasterData!$C$1:$I$3001,1,FALSE)</f>
        <v>9204</v>
      </c>
      <c r="Q1131" s="18" t="str">
        <f t="shared" si="2"/>
        <v>XIJKT2</v>
      </c>
    </row>
    <row r="1132" ht="15.75" customHeight="1">
      <c r="A1132" s="15">
        <v>9224.0</v>
      </c>
      <c r="B1132" s="16" t="s">
        <v>8060</v>
      </c>
      <c r="C1132" s="17" t="s">
        <v>8061</v>
      </c>
      <c r="D1132" s="29" t="s">
        <v>8060</v>
      </c>
      <c r="E1132" s="18" t="s">
        <v>3671</v>
      </c>
      <c r="F1132" s="19" t="str">
        <f t="shared" si="1"/>
        <v>XIJKT2</v>
      </c>
      <c r="G1132" s="19" t="s">
        <v>5408</v>
      </c>
      <c r="H1132" s="20" t="s">
        <v>3045</v>
      </c>
      <c r="I1132" s="19" t="s">
        <v>5409</v>
      </c>
      <c r="J1132" s="19" t="s">
        <v>5410</v>
      </c>
      <c r="K1132" s="21" t="s">
        <v>5411</v>
      </c>
      <c r="L1132" s="19" t="s">
        <v>6336</v>
      </c>
      <c r="M1132" s="16" t="s">
        <v>3670</v>
      </c>
      <c r="N1132" s="18"/>
      <c r="O1132" s="18"/>
      <c r="P1132" s="18">
        <f>VLOOKUP($A1132,MasterData!$C$1:$I$3001,1,FALSE)</f>
        <v>9224</v>
      </c>
      <c r="Q1132" s="18" t="str">
        <f t="shared" si="2"/>
        <v>XIJKT2</v>
      </c>
    </row>
    <row r="1133" ht="15.75" customHeight="1">
      <c r="A1133" s="31">
        <v>9272.0</v>
      </c>
      <c r="B1133" s="22" t="s">
        <v>1859</v>
      </c>
      <c r="C1133" s="24" t="s">
        <v>8062</v>
      </c>
      <c r="D1133" s="32" t="s">
        <v>1859</v>
      </c>
      <c r="E1133" s="22" t="s">
        <v>1858</v>
      </c>
      <c r="F1133" s="19" t="str">
        <f t="shared" si="1"/>
        <v>XKLR1</v>
      </c>
      <c r="G1133" s="19" t="s">
        <v>5408</v>
      </c>
      <c r="H1133" s="20" t="s">
        <v>1212</v>
      </c>
      <c r="I1133" s="19" t="s">
        <v>5409</v>
      </c>
      <c r="J1133" s="19" t="s">
        <v>5410</v>
      </c>
      <c r="K1133" s="25" t="s">
        <v>7500</v>
      </c>
      <c r="L1133" s="20" t="s">
        <v>6442</v>
      </c>
      <c r="M1133" s="23" t="s">
        <v>1857</v>
      </c>
      <c r="N1133" s="18"/>
      <c r="O1133" s="18"/>
      <c r="P1133" s="18">
        <f>VLOOKUP($A1133,MasterData!$C$1:$I$3001,1,FALSE)</f>
        <v>9272</v>
      </c>
      <c r="Q1133" s="18" t="str">
        <f t="shared" si="2"/>
        <v>XKLR1</v>
      </c>
    </row>
    <row r="1134" ht="15.75" customHeight="1">
      <c r="A1134" s="31">
        <v>9279.0</v>
      </c>
      <c r="B1134" s="22" t="s">
        <v>1862</v>
      </c>
      <c r="C1134" s="24" t="s">
        <v>8063</v>
      </c>
      <c r="D1134" s="32" t="s">
        <v>1862</v>
      </c>
      <c r="E1134" s="22" t="s">
        <v>1861</v>
      </c>
      <c r="F1134" s="19" t="str">
        <f t="shared" si="1"/>
        <v>XKLR1</v>
      </c>
      <c r="G1134" s="19" t="s">
        <v>5408</v>
      </c>
      <c r="H1134" s="20" t="s">
        <v>1212</v>
      </c>
      <c r="I1134" s="19" t="s">
        <v>5409</v>
      </c>
      <c r="J1134" s="19" t="s">
        <v>5410</v>
      </c>
      <c r="K1134" s="25" t="s">
        <v>7500</v>
      </c>
      <c r="L1134" s="20" t="s">
        <v>6442</v>
      </c>
      <c r="M1134" s="23" t="s">
        <v>1860</v>
      </c>
      <c r="N1134" s="18"/>
      <c r="O1134" s="18"/>
      <c r="P1134" s="18">
        <f>VLOOKUP($A1134,MasterData!$C$1:$I$3001,1,FALSE)</f>
        <v>9279</v>
      </c>
      <c r="Q1134" s="18" t="str">
        <f t="shared" si="2"/>
        <v>XKLR1</v>
      </c>
    </row>
    <row r="1135" ht="15.75" customHeight="1">
      <c r="A1135" s="31">
        <v>9292.0</v>
      </c>
      <c r="B1135" s="22" t="s">
        <v>1865</v>
      </c>
      <c r="C1135" s="24" t="s">
        <v>8064</v>
      </c>
      <c r="D1135" s="32" t="s">
        <v>1865</v>
      </c>
      <c r="E1135" s="22" t="s">
        <v>1864</v>
      </c>
      <c r="F1135" s="19" t="str">
        <f t="shared" si="1"/>
        <v>XKLR1</v>
      </c>
      <c r="G1135" s="19" t="s">
        <v>5408</v>
      </c>
      <c r="H1135" s="20" t="s">
        <v>1212</v>
      </c>
      <c r="I1135" s="19" t="s">
        <v>5409</v>
      </c>
      <c r="J1135" s="19" t="s">
        <v>5410</v>
      </c>
      <c r="K1135" s="25" t="s">
        <v>7500</v>
      </c>
      <c r="L1135" s="20" t="s">
        <v>6442</v>
      </c>
      <c r="M1135" s="23" t="s">
        <v>1863</v>
      </c>
      <c r="N1135" s="18"/>
      <c r="O1135" s="18"/>
      <c r="P1135" s="18">
        <f>VLOOKUP($A1135,MasterData!$C$1:$I$3001,1,FALSE)</f>
        <v>9292</v>
      </c>
      <c r="Q1135" s="18" t="str">
        <f t="shared" si="2"/>
        <v>XKLR1</v>
      </c>
    </row>
    <row r="1136" ht="15.75" customHeight="1">
      <c r="A1136" s="31">
        <v>9317.0</v>
      </c>
      <c r="B1136" s="22" t="s">
        <v>1868</v>
      </c>
      <c r="C1136" s="24" t="s">
        <v>8065</v>
      </c>
      <c r="D1136" s="32" t="s">
        <v>1868</v>
      </c>
      <c r="E1136" s="22" t="s">
        <v>1867</v>
      </c>
      <c r="F1136" s="19" t="str">
        <f t="shared" si="1"/>
        <v>XKLR1</v>
      </c>
      <c r="G1136" s="19" t="s">
        <v>5408</v>
      </c>
      <c r="H1136" s="20" t="s">
        <v>1212</v>
      </c>
      <c r="I1136" s="19" t="s">
        <v>5409</v>
      </c>
      <c r="J1136" s="19" t="s">
        <v>5410</v>
      </c>
      <c r="K1136" s="25" t="s">
        <v>7500</v>
      </c>
      <c r="L1136" s="20" t="s">
        <v>6442</v>
      </c>
      <c r="M1136" s="23" t="s">
        <v>1866</v>
      </c>
      <c r="N1136" s="18"/>
      <c r="O1136" s="18"/>
      <c r="P1136" s="18">
        <f>VLOOKUP($A1136,MasterData!$C$1:$I$3001,1,FALSE)</f>
        <v>9317</v>
      </c>
      <c r="Q1136" s="18" t="str">
        <f t="shared" si="2"/>
        <v>XKLR1</v>
      </c>
    </row>
    <row r="1137" ht="15.75" customHeight="1">
      <c r="A1137" s="31">
        <v>9318.0</v>
      </c>
      <c r="B1137" s="22" t="s">
        <v>1871</v>
      </c>
      <c r="C1137" s="24" t="s">
        <v>8066</v>
      </c>
      <c r="D1137" s="32" t="s">
        <v>1871</v>
      </c>
      <c r="E1137" s="22" t="s">
        <v>1870</v>
      </c>
      <c r="F1137" s="19" t="str">
        <f t="shared" si="1"/>
        <v>XKLR1</v>
      </c>
      <c r="G1137" s="19" t="s">
        <v>5408</v>
      </c>
      <c r="H1137" s="20" t="s">
        <v>1212</v>
      </c>
      <c r="I1137" s="19" t="s">
        <v>5409</v>
      </c>
      <c r="J1137" s="19" t="s">
        <v>5410</v>
      </c>
      <c r="K1137" s="25" t="s">
        <v>7500</v>
      </c>
      <c r="L1137" s="20" t="s">
        <v>6442</v>
      </c>
      <c r="M1137" s="23" t="s">
        <v>1869</v>
      </c>
      <c r="N1137" s="18"/>
      <c r="O1137" s="18"/>
      <c r="P1137" s="18">
        <f>VLOOKUP($A1137,MasterData!$C$1:$I$3001,1,FALSE)</f>
        <v>9318</v>
      </c>
      <c r="Q1137" s="18" t="str">
        <f t="shared" si="2"/>
        <v>XKLR1</v>
      </c>
    </row>
    <row r="1138" ht="15.75" customHeight="1">
      <c r="A1138" s="31">
        <v>9333.0</v>
      </c>
      <c r="B1138" s="22" t="s">
        <v>1874</v>
      </c>
      <c r="C1138" s="24" t="s">
        <v>8067</v>
      </c>
      <c r="D1138" s="32" t="s">
        <v>1874</v>
      </c>
      <c r="E1138" s="22" t="s">
        <v>1873</v>
      </c>
      <c r="F1138" s="19" t="str">
        <f t="shared" si="1"/>
        <v>XKLR1</v>
      </c>
      <c r="G1138" s="19" t="s">
        <v>5408</v>
      </c>
      <c r="H1138" s="20" t="s">
        <v>1212</v>
      </c>
      <c r="I1138" s="19" t="s">
        <v>5409</v>
      </c>
      <c r="J1138" s="19" t="s">
        <v>5410</v>
      </c>
      <c r="K1138" s="25" t="s">
        <v>7500</v>
      </c>
      <c r="L1138" s="20" t="s">
        <v>6442</v>
      </c>
      <c r="M1138" s="23" t="s">
        <v>1872</v>
      </c>
      <c r="N1138" s="18"/>
      <c r="O1138" s="18"/>
      <c r="P1138" s="18">
        <f>VLOOKUP($A1138,MasterData!$C$1:$I$3001,1,FALSE)</f>
        <v>9333</v>
      </c>
      <c r="Q1138" s="18" t="str">
        <f t="shared" si="2"/>
        <v>XKLR1</v>
      </c>
    </row>
    <row r="1139" ht="15.75" customHeight="1">
      <c r="A1139" s="31">
        <v>9334.0</v>
      </c>
      <c r="B1139" s="22" t="s">
        <v>1877</v>
      </c>
      <c r="C1139" s="24" t="s">
        <v>8068</v>
      </c>
      <c r="D1139" s="32" t="s">
        <v>1877</v>
      </c>
      <c r="E1139" s="22" t="s">
        <v>1876</v>
      </c>
      <c r="F1139" s="19" t="str">
        <f t="shared" si="1"/>
        <v>XKLR1</v>
      </c>
      <c r="G1139" s="19" t="s">
        <v>5408</v>
      </c>
      <c r="H1139" s="20" t="s">
        <v>1212</v>
      </c>
      <c r="I1139" s="19" t="s">
        <v>5409</v>
      </c>
      <c r="J1139" s="19" t="s">
        <v>5410</v>
      </c>
      <c r="K1139" s="25" t="s">
        <v>7500</v>
      </c>
      <c r="L1139" s="20" t="s">
        <v>6442</v>
      </c>
      <c r="M1139" s="23" t="s">
        <v>1875</v>
      </c>
      <c r="N1139" s="18"/>
      <c r="O1139" s="18"/>
      <c r="P1139" s="18">
        <f>VLOOKUP($A1139,MasterData!$C$1:$I$3001,1,FALSE)</f>
        <v>9334</v>
      </c>
      <c r="Q1139" s="18" t="str">
        <f t="shared" si="2"/>
        <v>XKLR1</v>
      </c>
    </row>
    <row r="1140" ht="15.75" customHeight="1">
      <c r="A1140" s="31">
        <v>9367.0</v>
      </c>
      <c r="B1140" s="22" t="s">
        <v>1880</v>
      </c>
      <c r="C1140" s="24" t="s">
        <v>8069</v>
      </c>
      <c r="D1140" s="32" t="s">
        <v>1880</v>
      </c>
      <c r="E1140" s="22" t="s">
        <v>1879</v>
      </c>
      <c r="F1140" s="19" t="str">
        <f t="shared" si="1"/>
        <v>XKLR1</v>
      </c>
      <c r="G1140" s="19" t="s">
        <v>5408</v>
      </c>
      <c r="H1140" s="20" t="s">
        <v>1212</v>
      </c>
      <c r="I1140" s="19" t="s">
        <v>5409</v>
      </c>
      <c r="J1140" s="19" t="s">
        <v>5410</v>
      </c>
      <c r="K1140" s="25" t="s">
        <v>7500</v>
      </c>
      <c r="L1140" s="20" t="s">
        <v>6442</v>
      </c>
      <c r="M1140" s="23" t="s">
        <v>1878</v>
      </c>
      <c r="N1140" s="18"/>
      <c r="O1140" s="18"/>
      <c r="P1140" s="18">
        <f>VLOOKUP($A1140,MasterData!$C$1:$I$3001,1,FALSE)</f>
        <v>9367</v>
      </c>
      <c r="Q1140" s="18" t="str">
        <f t="shared" si="2"/>
        <v>XKLR1</v>
      </c>
    </row>
    <row r="1141" ht="15.75" customHeight="1">
      <c r="A1141" s="31">
        <v>9376.0</v>
      </c>
      <c r="B1141" s="22" t="s">
        <v>1883</v>
      </c>
      <c r="C1141" s="24" t="s">
        <v>8070</v>
      </c>
      <c r="D1141" s="32" t="s">
        <v>1883</v>
      </c>
      <c r="E1141" s="22" t="s">
        <v>1882</v>
      </c>
      <c r="F1141" s="19" t="str">
        <f t="shared" si="1"/>
        <v>XKLR1</v>
      </c>
      <c r="G1141" s="19" t="s">
        <v>5408</v>
      </c>
      <c r="H1141" s="20" t="s">
        <v>1212</v>
      </c>
      <c r="I1141" s="19" t="s">
        <v>5409</v>
      </c>
      <c r="J1141" s="19" t="s">
        <v>5410</v>
      </c>
      <c r="K1141" s="25" t="s">
        <v>7500</v>
      </c>
      <c r="L1141" s="20" t="s">
        <v>6442</v>
      </c>
      <c r="M1141" s="23" t="s">
        <v>1881</v>
      </c>
      <c r="N1141" s="18"/>
      <c r="O1141" s="18"/>
      <c r="P1141" s="18">
        <f>VLOOKUP($A1141,MasterData!$C$1:$I$3001,1,FALSE)</f>
        <v>9376</v>
      </c>
      <c r="Q1141" s="18" t="str">
        <f t="shared" si="2"/>
        <v>XKLR1</v>
      </c>
    </row>
    <row r="1142" ht="15.75" customHeight="1">
      <c r="A1142" s="31">
        <v>9431.0</v>
      </c>
      <c r="B1142" s="22" t="s">
        <v>1886</v>
      </c>
      <c r="C1142" s="24" t="s">
        <v>8071</v>
      </c>
      <c r="D1142" s="32" t="s">
        <v>1886</v>
      </c>
      <c r="E1142" s="22" t="s">
        <v>1885</v>
      </c>
      <c r="F1142" s="19" t="str">
        <f t="shared" si="1"/>
        <v>XKLR1</v>
      </c>
      <c r="G1142" s="19" t="s">
        <v>5408</v>
      </c>
      <c r="H1142" s="20" t="s">
        <v>1212</v>
      </c>
      <c r="I1142" s="19" t="s">
        <v>5409</v>
      </c>
      <c r="J1142" s="19" t="s">
        <v>5410</v>
      </c>
      <c r="K1142" s="25" t="s">
        <v>7500</v>
      </c>
      <c r="L1142" s="20" t="s">
        <v>6442</v>
      </c>
      <c r="M1142" s="23" t="s">
        <v>1884</v>
      </c>
      <c r="N1142" s="18"/>
      <c r="O1142" s="18"/>
      <c r="P1142" s="18">
        <f>VLOOKUP($A1142,MasterData!$C$1:$I$3001,1,FALSE)</f>
        <v>9431</v>
      </c>
      <c r="Q1142" s="18" t="str">
        <f t="shared" si="2"/>
        <v>XKLR1</v>
      </c>
    </row>
    <row r="1143" ht="15.75" customHeight="1">
      <c r="A1143" s="31">
        <v>9438.0</v>
      </c>
      <c r="B1143" s="22" t="s">
        <v>1889</v>
      </c>
      <c r="C1143" s="24" t="s">
        <v>8072</v>
      </c>
      <c r="D1143" s="32" t="s">
        <v>1889</v>
      </c>
      <c r="E1143" s="22" t="s">
        <v>1888</v>
      </c>
      <c r="F1143" s="19" t="str">
        <f t="shared" si="1"/>
        <v>XKLR1</v>
      </c>
      <c r="G1143" s="19" t="s">
        <v>5408</v>
      </c>
      <c r="H1143" s="20" t="s">
        <v>1212</v>
      </c>
      <c r="I1143" s="19" t="s">
        <v>5409</v>
      </c>
      <c r="J1143" s="19" t="s">
        <v>5410</v>
      </c>
      <c r="K1143" s="25" t="s">
        <v>7500</v>
      </c>
      <c r="L1143" s="20" t="s">
        <v>6442</v>
      </c>
      <c r="M1143" s="23" t="s">
        <v>1887</v>
      </c>
      <c r="N1143" s="18"/>
      <c r="O1143" s="18"/>
      <c r="P1143" s="18">
        <f>VLOOKUP($A1143,MasterData!$C$1:$I$3001,1,FALSE)</f>
        <v>9438</v>
      </c>
      <c r="Q1143" s="18" t="str">
        <f t="shared" si="2"/>
        <v>XKLR1</v>
      </c>
    </row>
    <row r="1144" ht="15.75" customHeight="1">
      <c r="A1144" s="31">
        <v>9466.0</v>
      </c>
      <c r="B1144" s="22" t="s">
        <v>1892</v>
      </c>
      <c r="C1144" s="24" t="s">
        <v>8073</v>
      </c>
      <c r="D1144" s="32" t="s">
        <v>1892</v>
      </c>
      <c r="E1144" s="22" t="s">
        <v>1891</v>
      </c>
      <c r="F1144" s="19" t="str">
        <f t="shared" si="1"/>
        <v>XKLR1</v>
      </c>
      <c r="G1144" s="19" t="s">
        <v>5408</v>
      </c>
      <c r="H1144" s="20" t="s">
        <v>1212</v>
      </c>
      <c r="I1144" s="19" t="s">
        <v>5409</v>
      </c>
      <c r="J1144" s="19" t="s">
        <v>5410</v>
      </c>
      <c r="K1144" s="25" t="s">
        <v>7500</v>
      </c>
      <c r="L1144" s="20" t="s">
        <v>6442</v>
      </c>
      <c r="M1144" s="23" t="s">
        <v>1890</v>
      </c>
      <c r="N1144" s="18"/>
      <c r="O1144" s="18"/>
      <c r="P1144" s="18">
        <f>VLOOKUP($A1144,MasterData!$C$1:$I$3001,1,FALSE)</f>
        <v>9466</v>
      </c>
      <c r="Q1144" s="18" t="str">
        <f t="shared" si="2"/>
        <v>XKLR1</v>
      </c>
    </row>
    <row r="1145" ht="15.75" customHeight="1">
      <c r="A1145" s="31">
        <v>9471.0</v>
      </c>
      <c r="B1145" s="22" t="s">
        <v>1895</v>
      </c>
      <c r="C1145" s="24" t="s">
        <v>8074</v>
      </c>
      <c r="D1145" s="32" t="s">
        <v>1895</v>
      </c>
      <c r="E1145" s="22" t="s">
        <v>1894</v>
      </c>
      <c r="F1145" s="19" t="str">
        <f t="shared" si="1"/>
        <v>XKLR1</v>
      </c>
      <c r="G1145" s="19" t="s">
        <v>5408</v>
      </c>
      <c r="H1145" s="20" t="s">
        <v>1212</v>
      </c>
      <c r="I1145" s="19" t="s">
        <v>5409</v>
      </c>
      <c r="J1145" s="19" t="s">
        <v>5410</v>
      </c>
      <c r="K1145" s="25" t="s">
        <v>7500</v>
      </c>
      <c r="L1145" s="20" t="s">
        <v>6442</v>
      </c>
      <c r="M1145" s="23" t="s">
        <v>1893</v>
      </c>
      <c r="N1145" s="18"/>
      <c r="O1145" s="18"/>
      <c r="P1145" s="18">
        <f>VLOOKUP($A1145,MasterData!$C$1:$I$3001,1,FALSE)</f>
        <v>9471</v>
      </c>
      <c r="Q1145" s="18" t="str">
        <f t="shared" si="2"/>
        <v>XKLR1</v>
      </c>
    </row>
    <row r="1146" ht="15.75" customHeight="1">
      <c r="A1146" s="31">
        <v>9483.0</v>
      </c>
      <c r="B1146" s="22" t="s">
        <v>1898</v>
      </c>
      <c r="C1146" s="24" t="s">
        <v>8075</v>
      </c>
      <c r="D1146" s="32" t="s">
        <v>1898</v>
      </c>
      <c r="E1146" s="22" t="s">
        <v>1897</v>
      </c>
      <c r="F1146" s="19" t="str">
        <f t="shared" si="1"/>
        <v>XKLR1</v>
      </c>
      <c r="G1146" s="19" t="s">
        <v>5408</v>
      </c>
      <c r="H1146" s="20" t="s">
        <v>1212</v>
      </c>
      <c r="I1146" s="19" t="s">
        <v>5409</v>
      </c>
      <c r="J1146" s="19" t="s">
        <v>5410</v>
      </c>
      <c r="K1146" s="25" t="s">
        <v>7500</v>
      </c>
      <c r="L1146" s="20" t="s">
        <v>6442</v>
      </c>
      <c r="M1146" s="23" t="s">
        <v>1896</v>
      </c>
      <c r="N1146" s="18"/>
      <c r="O1146" s="18"/>
      <c r="P1146" s="18">
        <f>VLOOKUP($A1146,MasterData!$C$1:$I$3001,1,FALSE)</f>
        <v>9483</v>
      </c>
      <c r="Q1146" s="18" t="str">
        <f t="shared" si="2"/>
        <v>XKLR1</v>
      </c>
    </row>
    <row r="1147" ht="15.75" customHeight="1">
      <c r="A1147" s="31">
        <v>9499.0</v>
      </c>
      <c r="B1147" s="22" t="s">
        <v>1901</v>
      </c>
      <c r="C1147" s="24" t="s">
        <v>8076</v>
      </c>
      <c r="D1147" s="32" t="s">
        <v>1901</v>
      </c>
      <c r="E1147" s="22" t="s">
        <v>1900</v>
      </c>
      <c r="F1147" s="19" t="str">
        <f t="shared" si="1"/>
        <v>XKLR1</v>
      </c>
      <c r="G1147" s="19" t="s">
        <v>5408</v>
      </c>
      <c r="H1147" s="20" t="s">
        <v>1212</v>
      </c>
      <c r="I1147" s="19" t="s">
        <v>5409</v>
      </c>
      <c r="J1147" s="19" t="s">
        <v>5410</v>
      </c>
      <c r="K1147" s="25" t="s">
        <v>7500</v>
      </c>
      <c r="L1147" s="20" t="s">
        <v>6442</v>
      </c>
      <c r="M1147" s="23" t="s">
        <v>1899</v>
      </c>
      <c r="N1147" s="18"/>
      <c r="O1147" s="18"/>
      <c r="P1147" s="18">
        <f>VLOOKUP($A1147,MasterData!$C$1:$I$3001,1,FALSE)</f>
        <v>9499</v>
      </c>
      <c r="Q1147" s="18" t="str">
        <f t="shared" si="2"/>
        <v>XKLR1</v>
      </c>
    </row>
    <row r="1148" ht="15.75" customHeight="1">
      <c r="A1148" s="31">
        <v>9500.0</v>
      </c>
      <c r="B1148" s="22" t="s">
        <v>1904</v>
      </c>
      <c r="C1148" s="24" t="s">
        <v>8077</v>
      </c>
      <c r="D1148" s="32" t="s">
        <v>1904</v>
      </c>
      <c r="E1148" s="22" t="s">
        <v>1903</v>
      </c>
      <c r="F1148" s="19" t="str">
        <f t="shared" si="1"/>
        <v>XKLR1</v>
      </c>
      <c r="G1148" s="19" t="s">
        <v>5408</v>
      </c>
      <c r="H1148" s="20" t="s">
        <v>1212</v>
      </c>
      <c r="I1148" s="19" t="s">
        <v>5409</v>
      </c>
      <c r="J1148" s="19" t="s">
        <v>5410</v>
      </c>
      <c r="K1148" s="25" t="s">
        <v>7500</v>
      </c>
      <c r="L1148" s="20" t="s">
        <v>6442</v>
      </c>
      <c r="M1148" s="23" t="s">
        <v>1902</v>
      </c>
      <c r="N1148" s="18"/>
      <c r="O1148" s="18"/>
      <c r="P1148" s="18">
        <f>VLOOKUP($A1148,MasterData!$C$1:$I$3001,1,FALSE)</f>
        <v>9500</v>
      </c>
      <c r="Q1148" s="18" t="str">
        <f t="shared" si="2"/>
        <v>XKLR1</v>
      </c>
    </row>
    <row r="1149" ht="15.75" customHeight="1">
      <c r="A1149" s="31">
        <v>9502.0</v>
      </c>
      <c r="B1149" s="22" t="s">
        <v>1907</v>
      </c>
      <c r="C1149" s="24" t="s">
        <v>8078</v>
      </c>
      <c r="D1149" s="32" t="s">
        <v>1907</v>
      </c>
      <c r="E1149" s="22" t="s">
        <v>1906</v>
      </c>
      <c r="F1149" s="19" t="str">
        <f t="shared" si="1"/>
        <v>XKLR1</v>
      </c>
      <c r="G1149" s="19" t="s">
        <v>5408</v>
      </c>
      <c r="H1149" s="20" t="s">
        <v>1212</v>
      </c>
      <c r="I1149" s="19" t="s">
        <v>5409</v>
      </c>
      <c r="J1149" s="19" t="s">
        <v>5410</v>
      </c>
      <c r="K1149" s="25" t="s">
        <v>7500</v>
      </c>
      <c r="L1149" s="20" t="s">
        <v>6442</v>
      </c>
      <c r="M1149" s="23" t="s">
        <v>1905</v>
      </c>
      <c r="N1149" s="18"/>
      <c r="O1149" s="18"/>
      <c r="P1149" s="18">
        <f>VLOOKUP($A1149,MasterData!$C$1:$I$3001,1,FALSE)</f>
        <v>9502</v>
      </c>
      <c r="Q1149" s="18" t="str">
        <f t="shared" si="2"/>
        <v>XKLR1</v>
      </c>
    </row>
    <row r="1150" ht="15.75" customHeight="1">
      <c r="A1150" s="31">
        <v>9540.0</v>
      </c>
      <c r="B1150" s="22" t="s">
        <v>1910</v>
      </c>
      <c r="C1150" s="24" t="s">
        <v>8079</v>
      </c>
      <c r="D1150" s="32" t="s">
        <v>1910</v>
      </c>
      <c r="E1150" s="22" t="s">
        <v>1909</v>
      </c>
      <c r="F1150" s="19" t="str">
        <f t="shared" si="1"/>
        <v>XKLR1</v>
      </c>
      <c r="G1150" s="19" t="s">
        <v>5408</v>
      </c>
      <c r="H1150" s="20" t="s">
        <v>1212</v>
      </c>
      <c r="I1150" s="19" t="s">
        <v>5409</v>
      </c>
      <c r="J1150" s="19" t="s">
        <v>5410</v>
      </c>
      <c r="K1150" s="25" t="s">
        <v>7500</v>
      </c>
      <c r="L1150" s="20" t="s">
        <v>6442</v>
      </c>
      <c r="M1150" s="23" t="s">
        <v>1908</v>
      </c>
      <c r="N1150" s="18"/>
      <c r="O1150" s="18"/>
      <c r="P1150" s="18">
        <f>VLOOKUP($A1150,MasterData!$C$1:$I$3001,1,FALSE)</f>
        <v>9540</v>
      </c>
      <c r="Q1150" s="18" t="str">
        <f t="shared" si="2"/>
        <v>XKLR1</v>
      </c>
    </row>
    <row r="1151" ht="15.75" customHeight="1">
      <c r="A1151" s="31">
        <v>9542.0</v>
      </c>
      <c r="B1151" s="22" t="s">
        <v>1913</v>
      </c>
      <c r="C1151" s="24" t="s">
        <v>8080</v>
      </c>
      <c r="D1151" s="32" t="s">
        <v>1913</v>
      </c>
      <c r="E1151" s="22" t="s">
        <v>1912</v>
      </c>
      <c r="F1151" s="19" t="str">
        <f t="shared" si="1"/>
        <v>XKLR1</v>
      </c>
      <c r="G1151" s="19" t="s">
        <v>5408</v>
      </c>
      <c r="H1151" s="20" t="s">
        <v>1212</v>
      </c>
      <c r="I1151" s="19" t="s">
        <v>5409</v>
      </c>
      <c r="J1151" s="19" t="s">
        <v>5410</v>
      </c>
      <c r="K1151" s="25" t="s">
        <v>7500</v>
      </c>
      <c r="L1151" s="20" t="s">
        <v>6442</v>
      </c>
      <c r="M1151" s="23" t="s">
        <v>1911</v>
      </c>
      <c r="N1151" s="18"/>
      <c r="O1151" s="18"/>
      <c r="P1151" s="18">
        <f>VLOOKUP($A1151,MasterData!$C$1:$I$3001,1,FALSE)</f>
        <v>9542</v>
      </c>
      <c r="Q1151" s="18" t="str">
        <f t="shared" si="2"/>
        <v>XKLR1</v>
      </c>
    </row>
    <row r="1152" ht="15.75" customHeight="1">
      <c r="A1152" s="31">
        <v>9553.0</v>
      </c>
      <c r="B1152" s="22" t="s">
        <v>1916</v>
      </c>
      <c r="C1152" s="24" t="s">
        <v>8081</v>
      </c>
      <c r="D1152" s="32" t="s">
        <v>1916</v>
      </c>
      <c r="E1152" s="22" t="s">
        <v>1915</v>
      </c>
      <c r="F1152" s="19" t="str">
        <f t="shared" si="1"/>
        <v>XKLR1</v>
      </c>
      <c r="G1152" s="19" t="s">
        <v>5408</v>
      </c>
      <c r="H1152" s="20" t="s">
        <v>1212</v>
      </c>
      <c r="I1152" s="19" t="s">
        <v>5409</v>
      </c>
      <c r="J1152" s="19" t="s">
        <v>5410</v>
      </c>
      <c r="K1152" s="25" t="s">
        <v>7500</v>
      </c>
      <c r="L1152" s="20" t="s">
        <v>6442</v>
      </c>
      <c r="M1152" s="23" t="s">
        <v>1914</v>
      </c>
      <c r="N1152" s="18"/>
      <c r="O1152" s="18"/>
      <c r="P1152" s="18">
        <f>VLOOKUP($A1152,MasterData!$C$1:$I$3001,1,FALSE)</f>
        <v>9553</v>
      </c>
      <c r="Q1152" s="18" t="str">
        <f t="shared" si="2"/>
        <v>XKLR1</v>
      </c>
    </row>
    <row r="1153" ht="15.75" customHeight="1">
      <c r="A1153" s="31">
        <v>9607.0</v>
      </c>
      <c r="B1153" s="22" t="s">
        <v>1919</v>
      </c>
      <c r="C1153" s="24" t="s">
        <v>8082</v>
      </c>
      <c r="D1153" s="32" t="s">
        <v>1919</v>
      </c>
      <c r="E1153" s="22" t="s">
        <v>1918</v>
      </c>
      <c r="F1153" s="19" t="str">
        <f t="shared" si="1"/>
        <v>XKLR1</v>
      </c>
      <c r="G1153" s="19" t="s">
        <v>5408</v>
      </c>
      <c r="H1153" s="20" t="s">
        <v>1212</v>
      </c>
      <c r="I1153" s="19" t="s">
        <v>5409</v>
      </c>
      <c r="J1153" s="19" t="s">
        <v>5410</v>
      </c>
      <c r="K1153" s="25" t="s">
        <v>7500</v>
      </c>
      <c r="L1153" s="20" t="s">
        <v>6442</v>
      </c>
      <c r="M1153" s="23" t="s">
        <v>1917</v>
      </c>
      <c r="N1153" s="18"/>
      <c r="O1153" s="18"/>
      <c r="P1153" s="18">
        <f>VLOOKUP($A1153,MasterData!$C$1:$I$3001,1,FALSE)</f>
        <v>9607</v>
      </c>
      <c r="Q1153" s="18" t="str">
        <f t="shared" si="2"/>
        <v>XKLR1</v>
      </c>
    </row>
    <row r="1154" ht="15.75" customHeight="1">
      <c r="A1154" s="31">
        <v>9618.0</v>
      </c>
      <c r="B1154" s="22" t="s">
        <v>1922</v>
      </c>
      <c r="C1154" s="24" t="s">
        <v>8083</v>
      </c>
      <c r="D1154" s="32" t="s">
        <v>1922</v>
      </c>
      <c r="E1154" s="22" t="s">
        <v>1921</v>
      </c>
      <c r="F1154" s="19" t="str">
        <f t="shared" si="1"/>
        <v>XKLR1</v>
      </c>
      <c r="G1154" s="19" t="s">
        <v>5408</v>
      </c>
      <c r="H1154" s="20" t="s">
        <v>1212</v>
      </c>
      <c r="I1154" s="19" t="s">
        <v>5409</v>
      </c>
      <c r="J1154" s="19" t="s">
        <v>5410</v>
      </c>
      <c r="K1154" s="25" t="s">
        <v>7500</v>
      </c>
      <c r="L1154" s="20" t="s">
        <v>6442</v>
      </c>
      <c r="M1154" s="23" t="s">
        <v>1920</v>
      </c>
      <c r="N1154" s="18"/>
      <c r="O1154" s="18"/>
      <c r="P1154" s="18">
        <f>VLOOKUP($A1154,MasterData!$C$1:$I$3001,1,FALSE)</f>
        <v>9618</v>
      </c>
      <c r="Q1154" s="18" t="str">
        <f t="shared" si="2"/>
        <v>XKLR1</v>
      </c>
    </row>
    <row r="1155" ht="15.75" customHeight="1">
      <c r="A1155" s="31">
        <v>9657.0</v>
      </c>
      <c r="B1155" s="22" t="s">
        <v>1925</v>
      </c>
      <c r="C1155" s="24" t="s">
        <v>8084</v>
      </c>
      <c r="D1155" s="32" t="s">
        <v>1925</v>
      </c>
      <c r="E1155" s="22" t="s">
        <v>1924</v>
      </c>
      <c r="F1155" s="19" t="str">
        <f t="shared" si="1"/>
        <v>XKLR1</v>
      </c>
      <c r="G1155" s="19" t="s">
        <v>5408</v>
      </c>
      <c r="H1155" s="20" t="s">
        <v>1212</v>
      </c>
      <c r="I1155" s="19" t="s">
        <v>5409</v>
      </c>
      <c r="J1155" s="19" t="s">
        <v>5410</v>
      </c>
      <c r="K1155" s="25" t="s">
        <v>7500</v>
      </c>
      <c r="L1155" s="20" t="s">
        <v>6442</v>
      </c>
      <c r="M1155" s="23" t="s">
        <v>1923</v>
      </c>
      <c r="N1155" s="18"/>
      <c r="O1155" s="18"/>
      <c r="P1155" s="18">
        <f>VLOOKUP($A1155,MasterData!$C$1:$I$3001,1,FALSE)</f>
        <v>9657</v>
      </c>
      <c r="Q1155" s="18" t="str">
        <f t="shared" si="2"/>
        <v>XKLR1</v>
      </c>
    </row>
    <row r="1156" ht="15.75" customHeight="1">
      <c r="A1156" s="31">
        <v>9664.0</v>
      </c>
      <c r="B1156" s="22" t="s">
        <v>1928</v>
      </c>
      <c r="C1156" s="24" t="s">
        <v>8085</v>
      </c>
      <c r="D1156" s="32" t="s">
        <v>1928</v>
      </c>
      <c r="E1156" s="22" t="s">
        <v>1927</v>
      </c>
      <c r="F1156" s="19" t="str">
        <f t="shared" si="1"/>
        <v>XKLR1</v>
      </c>
      <c r="G1156" s="19" t="s">
        <v>5408</v>
      </c>
      <c r="H1156" s="20" t="s">
        <v>1212</v>
      </c>
      <c r="I1156" s="19" t="s">
        <v>5409</v>
      </c>
      <c r="J1156" s="19" t="s">
        <v>5410</v>
      </c>
      <c r="K1156" s="25" t="s">
        <v>7500</v>
      </c>
      <c r="L1156" s="20" t="s">
        <v>6442</v>
      </c>
      <c r="M1156" s="23" t="s">
        <v>1926</v>
      </c>
      <c r="N1156" s="18"/>
      <c r="O1156" s="18"/>
      <c r="P1156" s="18">
        <f>VLOOKUP($A1156,MasterData!$C$1:$I$3001,1,FALSE)</f>
        <v>9664</v>
      </c>
      <c r="Q1156" s="18" t="str">
        <f t="shared" si="2"/>
        <v>XKLR1</v>
      </c>
    </row>
    <row r="1157" ht="15.75" customHeight="1">
      <c r="A1157" s="31">
        <v>9693.0</v>
      </c>
      <c r="B1157" s="22" t="s">
        <v>1931</v>
      </c>
      <c r="C1157" s="24" t="s">
        <v>8086</v>
      </c>
      <c r="D1157" s="32" t="s">
        <v>1931</v>
      </c>
      <c r="E1157" s="22" t="s">
        <v>1930</v>
      </c>
      <c r="F1157" s="19" t="str">
        <f t="shared" si="1"/>
        <v>XKLR1</v>
      </c>
      <c r="G1157" s="19" t="s">
        <v>5408</v>
      </c>
      <c r="H1157" s="20" t="s">
        <v>1212</v>
      </c>
      <c r="I1157" s="19" t="s">
        <v>5409</v>
      </c>
      <c r="J1157" s="19" t="s">
        <v>5410</v>
      </c>
      <c r="K1157" s="25" t="s">
        <v>7500</v>
      </c>
      <c r="L1157" s="20" t="s">
        <v>6442</v>
      </c>
      <c r="M1157" s="23" t="s">
        <v>1929</v>
      </c>
      <c r="N1157" s="18"/>
      <c r="O1157" s="18"/>
      <c r="P1157" s="18">
        <f>VLOOKUP($A1157,MasterData!$C$1:$I$3001,1,FALSE)</f>
        <v>9693</v>
      </c>
      <c r="Q1157" s="18" t="str">
        <f t="shared" si="2"/>
        <v>XKLR1</v>
      </c>
    </row>
    <row r="1158" ht="15.75" customHeight="1">
      <c r="A1158" s="31">
        <v>9696.0</v>
      </c>
      <c r="B1158" s="22" t="s">
        <v>1934</v>
      </c>
      <c r="C1158" s="24" t="s">
        <v>8087</v>
      </c>
      <c r="D1158" s="32" t="s">
        <v>1934</v>
      </c>
      <c r="E1158" s="22" t="s">
        <v>1933</v>
      </c>
      <c r="F1158" s="19" t="str">
        <f t="shared" si="1"/>
        <v>XKLR1</v>
      </c>
      <c r="G1158" s="19" t="s">
        <v>5408</v>
      </c>
      <c r="H1158" s="20" t="s">
        <v>1212</v>
      </c>
      <c r="I1158" s="19" t="s">
        <v>5409</v>
      </c>
      <c r="J1158" s="19" t="s">
        <v>5410</v>
      </c>
      <c r="K1158" s="25" t="s">
        <v>7500</v>
      </c>
      <c r="L1158" s="20" t="s">
        <v>6442</v>
      </c>
      <c r="M1158" s="23" t="s">
        <v>1932</v>
      </c>
      <c r="N1158" s="18"/>
      <c r="O1158" s="18"/>
      <c r="P1158" s="18">
        <f>VLOOKUP($A1158,MasterData!$C$1:$I$3001,1,FALSE)</f>
        <v>9696</v>
      </c>
      <c r="Q1158" s="18" t="str">
        <f t="shared" si="2"/>
        <v>XKLR1</v>
      </c>
    </row>
    <row r="1159" ht="15.75" customHeight="1">
      <c r="A1159" s="31">
        <v>9698.0</v>
      </c>
      <c r="B1159" s="22" t="s">
        <v>1937</v>
      </c>
      <c r="C1159" s="24" t="s">
        <v>8088</v>
      </c>
      <c r="D1159" s="32" t="s">
        <v>1937</v>
      </c>
      <c r="E1159" s="22" t="s">
        <v>1936</v>
      </c>
      <c r="F1159" s="19" t="str">
        <f t="shared" si="1"/>
        <v>XKLR1</v>
      </c>
      <c r="G1159" s="19" t="s">
        <v>5408</v>
      </c>
      <c r="H1159" s="20" t="s">
        <v>1212</v>
      </c>
      <c r="I1159" s="19" t="s">
        <v>5409</v>
      </c>
      <c r="J1159" s="19" t="s">
        <v>5410</v>
      </c>
      <c r="K1159" s="25" t="s">
        <v>7500</v>
      </c>
      <c r="L1159" s="20" t="s">
        <v>6442</v>
      </c>
      <c r="M1159" s="23" t="s">
        <v>1935</v>
      </c>
      <c r="N1159" s="18"/>
      <c r="O1159" s="18"/>
      <c r="P1159" s="18">
        <f>VLOOKUP($A1159,MasterData!$C$1:$I$3001,1,FALSE)</f>
        <v>9698</v>
      </c>
      <c r="Q1159" s="18" t="str">
        <f t="shared" si="2"/>
        <v>XKLR1</v>
      </c>
    </row>
    <row r="1160" ht="15.75" customHeight="1">
      <c r="A1160" s="31">
        <v>9711.0</v>
      </c>
      <c r="B1160" s="22" t="s">
        <v>1940</v>
      </c>
      <c r="C1160" s="24" t="s">
        <v>8089</v>
      </c>
      <c r="D1160" s="32" t="s">
        <v>1940</v>
      </c>
      <c r="E1160" s="22" t="s">
        <v>1939</v>
      </c>
      <c r="F1160" s="19" t="str">
        <f t="shared" si="1"/>
        <v>XKLR1</v>
      </c>
      <c r="G1160" s="19" t="s">
        <v>5408</v>
      </c>
      <c r="H1160" s="20" t="s">
        <v>1212</v>
      </c>
      <c r="I1160" s="19" t="s">
        <v>5409</v>
      </c>
      <c r="J1160" s="19" t="s">
        <v>5410</v>
      </c>
      <c r="K1160" s="25" t="s">
        <v>7500</v>
      </c>
      <c r="L1160" s="20" t="s">
        <v>6442</v>
      </c>
      <c r="M1160" s="23" t="s">
        <v>1938</v>
      </c>
      <c r="N1160" s="18"/>
      <c r="O1160" s="18"/>
      <c r="P1160" s="18">
        <f>VLOOKUP($A1160,MasterData!$C$1:$I$3001,1,FALSE)</f>
        <v>9711</v>
      </c>
      <c r="Q1160" s="18" t="str">
        <f t="shared" si="2"/>
        <v>XKLR1</v>
      </c>
    </row>
    <row r="1161" ht="15.75" customHeight="1">
      <c r="A1161" s="31">
        <v>9715.0</v>
      </c>
      <c r="B1161" s="22" t="s">
        <v>1943</v>
      </c>
      <c r="C1161" s="24" t="s">
        <v>8090</v>
      </c>
      <c r="D1161" s="32" t="s">
        <v>1943</v>
      </c>
      <c r="E1161" s="22" t="s">
        <v>1942</v>
      </c>
      <c r="F1161" s="19" t="str">
        <f t="shared" si="1"/>
        <v>XKLR1</v>
      </c>
      <c r="G1161" s="19" t="s">
        <v>5408</v>
      </c>
      <c r="H1161" s="20" t="s">
        <v>1212</v>
      </c>
      <c r="I1161" s="19" t="s">
        <v>5409</v>
      </c>
      <c r="J1161" s="19" t="s">
        <v>5410</v>
      </c>
      <c r="K1161" s="25" t="s">
        <v>7500</v>
      </c>
      <c r="L1161" s="20" t="s">
        <v>6442</v>
      </c>
      <c r="M1161" s="23" t="s">
        <v>1941</v>
      </c>
      <c r="N1161" s="18"/>
      <c r="O1161" s="18"/>
      <c r="P1161" s="18">
        <f>VLOOKUP($A1161,MasterData!$C$1:$I$3001,1,FALSE)</f>
        <v>9715</v>
      </c>
      <c r="Q1161" s="18" t="str">
        <f t="shared" si="2"/>
        <v>XKLR1</v>
      </c>
    </row>
    <row r="1162" ht="15.75" customHeight="1">
      <c r="A1162" s="31">
        <v>9739.0</v>
      </c>
      <c r="B1162" s="22" t="s">
        <v>1946</v>
      </c>
      <c r="C1162" s="24" t="s">
        <v>8091</v>
      </c>
      <c r="D1162" s="32" t="s">
        <v>1946</v>
      </c>
      <c r="E1162" s="22" t="s">
        <v>1945</v>
      </c>
      <c r="F1162" s="19" t="str">
        <f t="shared" si="1"/>
        <v>XKLR1</v>
      </c>
      <c r="G1162" s="19" t="s">
        <v>5408</v>
      </c>
      <c r="H1162" s="20" t="s">
        <v>1212</v>
      </c>
      <c r="I1162" s="19" t="s">
        <v>5409</v>
      </c>
      <c r="J1162" s="19" t="s">
        <v>5410</v>
      </c>
      <c r="K1162" s="25" t="s">
        <v>7500</v>
      </c>
      <c r="L1162" s="20" t="s">
        <v>6442</v>
      </c>
      <c r="M1162" s="23" t="s">
        <v>1944</v>
      </c>
      <c r="N1162" s="18"/>
      <c r="O1162" s="18"/>
      <c r="P1162" s="18">
        <f>VLOOKUP($A1162,MasterData!$C$1:$I$3001,1,FALSE)</f>
        <v>9739</v>
      </c>
      <c r="Q1162" s="18" t="str">
        <f t="shared" si="2"/>
        <v>XKLR1</v>
      </c>
    </row>
    <row r="1163" ht="15.75" customHeight="1">
      <c r="A1163" s="31">
        <v>9773.0</v>
      </c>
      <c r="B1163" s="22" t="s">
        <v>1949</v>
      </c>
      <c r="C1163" s="24" t="s">
        <v>8092</v>
      </c>
      <c r="D1163" s="32" t="s">
        <v>1949</v>
      </c>
      <c r="E1163" s="22" t="s">
        <v>1948</v>
      </c>
      <c r="F1163" s="19" t="str">
        <f t="shared" si="1"/>
        <v>XKLR1</v>
      </c>
      <c r="G1163" s="19" t="s">
        <v>5408</v>
      </c>
      <c r="H1163" s="20" t="s">
        <v>1212</v>
      </c>
      <c r="I1163" s="19" t="s">
        <v>5409</v>
      </c>
      <c r="J1163" s="19" t="s">
        <v>5410</v>
      </c>
      <c r="K1163" s="25" t="s">
        <v>7500</v>
      </c>
      <c r="L1163" s="20" t="s">
        <v>6442</v>
      </c>
      <c r="M1163" s="23" t="s">
        <v>1947</v>
      </c>
      <c r="N1163" s="18"/>
      <c r="O1163" s="18"/>
      <c r="P1163" s="18">
        <f>VLOOKUP($A1163,MasterData!$C$1:$I$3001,1,FALSE)</f>
        <v>9773</v>
      </c>
      <c r="Q1163" s="18" t="str">
        <f t="shared" si="2"/>
        <v>XKLR1</v>
      </c>
    </row>
    <row r="1164" ht="15.75" customHeight="1">
      <c r="A1164" s="31">
        <v>9774.0</v>
      </c>
      <c r="B1164" s="22" t="s">
        <v>1952</v>
      </c>
      <c r="C1164" s="24" t="s">
        <v>8093</v>
      </c>
      <c r="D1164" s="32" t="s">
        <v>1952</v>
      </c>
      <c r="E1164" s="22" t="s">
        <v>1951</v>
      </c>
      <c r="F1164" s="19" t="str">
        <f t="shared" si="1"/>
        <v>XKLR1</v>
      </c>
      <c r="G1164" s="19" t="s">
        <v>5408</v>
      </c>
      <c r="H1164" s="20" t="s">
        <v>1212</v>
      </c>
      <c r="I1164" s="19" t="s">
        <v>5409</v>
      </c>
      <c r="J1164" s="19" t="s">
        <v>5410</v>
      </c>
      <c r="K1164" s="25" t="s">
        <v>7500</v>
      </c>
      <c r="L1164" s="20" t="s">
        <v>6442</v>
      </c>
      <c r="M1164" s="23" t="s">
        <v>1950</v>
      </c>
      <c r="N1164" s="18"/>
      <c r="O1164" s="18"/>
      <c r="P1164" s="18">
        <f>VLOOKUP($A1164,MasterData!$C$1:$I$3001,1,FALSE)</f>
        <v>9774</v>
      </c>
      <c r="Q1164" s="18" t="str">
        <f t="shared" si="2"/>
        <v>XKLR1</v>
      </c>
    </row>
    <row r="1165" ht="15.75" customHeight="1">
      <c r="A1165" s="31">
        <v>9776.0</v>
      </c>
      <c r="B1165" s="22" t="s">
        <v>1955</v>
      </c>
      <c r="C1165" s="24" t="s">
        <v>8094</v>
      </c>
      <c r="D1165" s="32" t="s">
        <v>1955</v>
      </c>
      <c r="E1165" s="22" t="s">
        <v>1954</v>
      </c>
      <c r="F1165" s="19" t="str">
        <f t="shared" si="1"/>
        <v>XKLR1</v>
      </c>
      <c r="G1165" s="19" t="s">
        <v>5408</v>
      </c>
      <c r="H1165" s="20" t="s">
        <v>1212</v>
      </c>
      <c r="I1165" s="19" t="s">
        <v>5409</v>
      </c>
      <c r="J1165" s="19" t="s">
        <v>5410</v>
      </c>
      <c r="K1165" s="25" t="s">
        <v>7500</v>
      </c>
      <c r="L1165" s="20" t="s">
        <v>6442</v>
      </c>
      <c r="M1165" s="23" t="s">
        <v>1953</v>
      </c>
      <c r="N1165" s="18"/>
      <c r="O1165" s="18"/>
      <c r="P1165" s="18">
        <f>VLOOKUP($A1165,MasterData!$C$1:$I$3001,1,FALSE)</f>
        <v>9776</v>
      </c>
      <c r="Q1165" s="18" t="str">
        <f t="shared" si="2"/>
        <v>XKLR1</v>
      </c>
    </row>
    <row r="1166" ht="15.75" customHeight="1">
      <c r="A1166" s="31">
        <v>9816.0</v>
      </c>
      <c r="B1166" s="22" t="s">
        <v>1958</v>
      </c>
      <c r="C1166" s="24" t="s">
        <v>8095</v>
      </c>
      <c r="D1166" s="32" t="s">
        <v>1958</v>
      </c>
      <c r="E1166" s="22" t="s">
        <v>1957</v>
      </c>
      <c r="F1166" s="19" t="str">
        <f t="shared" si="1"/>
        <v>XKLR1</v>
      </c>
      <c r="G1166" s="19" t="s">
        <v>5408</v>
      </c>
      <c r="H1166" s="20" t="s">
        <v>1212</v>
      </c>
      <c r="I1166" s="19" t="s">
        <v>5409</v>
      </c>
      <c r="J1166" s="19" t="s">
        <v>5410</v>
      </c>
      <c r="K1166" s="25" t="s">
        <v>7500</v>
      </c>
      <c r="L1166" s="20" t="s">
        <v>6442</v>
      </c>
      <c r="M1166" s="23" t="s">
        <v>1956</v>
      </c>
      <c r="N1166" s="18"/>
      <c r="O1166" s="18"/>
      <c r="P1166" s="18">
        <f>VLOOKUP($A1166,MasterData!$C$1:$I$3001,1,FALSE)</f>
        <v>9816</v>
      </c>
      <c r="Q1166" s="18" t="str">
        <f t="shared" si="2"/>
        <v>XKLR1</v>
      </c>
    </row>
    <row r="1167" ht="15.75" customHeight="1">
      <c r="A1167" s="31">
        <v>9829.0</v>
      </c>
      <c r="B1167" s="22" t="s">
        <v>1961</v>
      </c>
      <c r="C1167" s="24" t="s">
        <v>8096</v>
      </c>
      <c r="D1167" s="32" t="s">
        <v>1961</v>
      </c>
      <c r="E1167" s="22" t="s">
        <v>1960</v>
      </c>
      <c r="F1167" s="19" t="str">
        <f t="shared" si="1"/>
        <v>XKLR1</v>
      </c>
      <c r="G1167" s="19" t="s">
        <v>5408</v>
      </c>
      <c r="H1167" s="20" t="s">
        <v>1212</v>
      </c>
      <c r="I1167" s="19" t="s">
        <v>5409</v>
      </c>
      <c r="J1167" s="19" t="s">
        <v>5410</v>
      </c>
      <c r="K1167" s="25" t="s">
        <v>7500</v>
      </c>
      <c r="L1167" s="20" t="s">
        <v>6442</v>
      </c>
      <c r="M1167" s="23" t="s">
        <v>1959</v>
      </c>
      <c r="N1167" s="18"/>
      <c r="O1167" s="18"/>
      <c r="P1167" s="18">
        <f>VLOOKUP($A1167,MasterData!$C$1:$I$3001,1,FALSE)</f>
        <v>9829</v>
      </c>
      <c r="Q1167" s="18" t="str">
        <f t="shared" si="2"/>
        <v>XKLR1</v>
      </c>
    </row>
    <row r="1168" ht="15.75" customHeight="1">
      <c r="A1168" s="31">
        <v>9838.0</v>
      </c>
      <c r="B1168" s="22" t="s">
        <v>1964</v>
      </c>
      <c r="C1168" s="24" t="s">
        <v>8097</v>
      </c>
      <c r="D1168" s="32" t="s">
        <v>1964</v>
      </c>
      <c r="E1168" s="22" t="s">
        <v>1963</v>
      </c>
      <c r="F1168" s="19" t="str">
        <f t="shared" si="1"/>
        <v>XKLR1</v>
      </c>
      <c r="G1168" s="19" t="s">
        <v>5408</v>
      </c>
      <c r="H1168" s="20" t="s">
        <v>1212</v>
      </c>
      <c r="I1168" s="19" t="s">
        <v>5409</v>
      </c>
      <c r="J1168" s="19" t="s">
        <v>5410</v>
      </c>
      <c r="K1168" s="25" t="s">
        <v>7500</v>
      </c>
      <c r="L1168" s="20" t="s">
        <v>6442</v>
      </c>
      <c r="M1168" s="23" t="s">
        <v>1962</v>
      </c>
      <c r="N1168" s="18"/>
      <c r="O1168" s="18"/>
      <c r="P1168" s="18">
        <f>VLOOKUP($A1168,MasterData!$C$1:$I$3001,1,FALSE)</f>
        <v>9838</v>
      </c>
      <c r="Q1168" s="18" t="str">
        <f t="shared" si="2"/>
        <v>XKLR1</v>
      </c>
    </row>
    <row r="1169" ht="15.75" customHeight="1">
      <c r="A1169" s="15">
        <v>8657.0</v>
      </c>
      <c r="B1169" s="16" t="s">
        <v>8098</v>
      </c>
      <c r="C1169" s="17" t="s">
        <v>8099</v>
      </c>
      <c r="D1169" s="29" t="s">
        <v>8098</v>
      </c>
      <c r="E1169" s="18" t="s">
        <v>3673</v>
      </c>
      <c r="F1169" s="19" t="str">
        <f t="shared" si="1"/>
        <v>XIKLR1</v>
      </c>
      <c r="G1169" s="19" t="s">
        <v>5408</v>
      </c>
      <c r="H1169" s="20" t="s">
        <v>3045</v>
      </c>
      <c r="I1169" s="19" t="s">
        <v>5409</v>
      </c>
      <c r="J1169" s="19" t="s">
        <v>5410</v>
      </c>
      <c r="K1169" s="21" t="s">
        <v>5411</v>
      </c>
      <c r="L1169" s="19" t="s">
        <v>6442</v>
      </c>
      <c r="M1169" s="16" t="s">
        <v>3672</v>
      </c>
      <c r="N1169" s="18"/>
      <c r="O1169" s="18"/>
      <c r="P1169" s="18">
        <f>VLOOKUP($A1169,MasterData!$C$1:$I$3001,1,FALSE)</f>
        <v>8657</v>
      </c>
      <c r="Q1169" s="18" t="str">
        <f t="shared" si="2"/>
        <v>XIKLR1</v>
      </c>
    </row>
    <row r="1170" ht="15.75" customHeight="1">
      <c r="A1170" s="15">
        <v>8660.0</v>
      </c>
      <c r="B1170" s="16" t="s">
        <v>8100</v>
      </c>
      <c r="C1170" s="17" t="s">
        <v>8101</v>
      </c>
      <c r="D1170" s="29" t="s">
        <v>8100</v>
      </c>
      <c r="E1170" s="18" t="s">
        <v>3675</v>
      </c>
      <c r="F1170" s="19" t="str">
        <f t="shared" si="1"/>
        <v>XIKLR1</v>
      </c>
      <c r="G1170" s="19" t="s">
        <v>5408</v>
      </c>
      <c r="H1170" s="20" t="s">
        <v>3045</v>
      </c>
      <c r="I1170" s="19" t="s">
        <v>5409</v>
      </c>
      <c r="J1170" s="19" t="s">
        <v>5410</v>
      </c>
      <c r="K1170" s="21" t="s">
        <v>5411</v>
      </c>
      <c r="L1170" s="19" t="s">
        <v>6442</v>
      </c>
      <c r="M1170" s="16" t="s">
        <v>3674</v>
      </c>
      <c r="N1170" s="18"/>
      <c r="O1170" s="18"/>
      <c r="P1170" s="18">
        <f>VLOOKUP($A1170,MasterData!$C$1:$I$3001,1,FALSE)</f>
        <v>8660</v>
      </c>
      <c r="Q1170" s="18" t="str">
        <f t="shared" si="2"/>
        <v>XIKLR1</v>
      </c>
    </row>
    <row r="1171" ht="15.75" customHeight="1">
      <c r="A1171" s="15">
        <v>8674.0</v>
      </c>
      <c r="B1171" s="16" t="s">
        <v>8102</v>
      </c>
      <c r="C1171" s="17" t="s">
        <v>8103</v>
      </c>
      <c r="D1171" s="29" t="s">
        <v>8102</v>
      </c>
      <c r="E1171" s="18" t="s">
        <v>3677</v>
      </c>
      <c r="F1171" s="19" t="str">
        <f t="shared" si="1"/>
        <v>XIKLR1</v>
      </c>
      <c r="G1171" s="19" t="s">
        <v>5408</v>
      </c>
      <c r="H1171" s="20" t="s">
        <v>3045</v>
      </c>
      <c r="I1171" s="19" t="s">
        <v>5409</v>
      </c>
      <c r="J1171" s="19" t="s">
        <v>5410</v>
      </c>
      <c r="K1171" s="21" t="s">
        <v>5411</v>
      </c>
      <c r="L1171" s="19" t="s">
        <v>6442</v>
      </c>
      <c r="M1171" s="16" t="s">
        <v>3676</v>
      </c>
      <c r="N1171" s="18"/>
      <c r="O1171" s="18"/>
      <c r="P1171" s="18">
        <f>VLOOKUP($A1171,MasterData!$C$1:$I$3001,1,FALSE)</f>
        <v>8674</v>
      </c>
      <c r="Q1171" s="18" t="str">
        <f t="shared" si="2"/>
        <v>XIKLR1</v>
      </c>
    </row>
    <row r="1172" ht="15.75" customHeight="1">
      <c r="A1172" s="15">
        <v>8704.0</v>
      </c>
      <c r="B1172" s="16" t="s">
        <v>8104</v>
      </c>
      <c r="C1172" s="17" t="s">
        <v>8105</v>
      </c>
      <c r="D1172" s="29" t="s">
        <v>8104</v>
      </c>
      <c r="E1172" s="18" t="s">
        <v>3679</v>
      </c>
      <c r="F1172" s="19" t="str">
        <f t="shared" si="1"/>
        <v>XIKLR1</v>
      </c>
      <c r="G1172" s="19" t="s">
        <v>5408</v>
      </c>
      <c r="H1172" s="20" t="s">
        <v>3045</v>
      </c>
      <c r="I1172" s="19" t="s">
        <v>5409</v>
      </c>
      <c r="J1172" s="19" t="s">
        <v>5410</v>
      </c>
      <c r="K1172" s="21" t="s">
        <v>5411</v>
      </c>
      <c r="L1172" s="19" t="s">
        <v>6442</v>
      </c>
      <c r="M1172" s="16" t="s">
        <v>3678</v>
      </c>
      <c r="N1172" s="18"/>
      <c r="O1172" s="18"/>
      <c r="P1172" s="18">
        <f>VLOOKUP($A1172,MasterData!$C$1:$I$3001,1,FALSE)</f>
        <v>8704</v>
      </c>
      <c r="Q1172" s="18" t="str">
        <f t="shared" si="2"/>
        <v>XIKLR1</v>
      </c>
    </row>
    <row r="1173" ht="15.75" customHeight="1">
      <c r="A1173" s="15">
        <v>8712.0</v>
      </c>
      <c r="B1173" s="16" t="s">
        <v>8106</v>
      </c>
      <c r="C1173" s="17" t="s">
        <v>8107</v>
      </c>
      <c r="D1173" s="29" t="s">
        <v>8106</v>
      </c>
      <c r="E1173" s="18" t="s">
        <v>3681</v>
      </c>
      <c r="F1173" s="19" t="str">
        <f t="shared" si="1"/>
        <v>XIKLR1</v>
      </c>
      <c r="G1173" s="19" t="s">
        <v>5408</v>
      </c>
      <c r="H1173" s="20" t="s">
        <v>3045</v>
      </c>
      <c r="I1173" s="19" t="s">
        <v>5409</v>
      </c>
      <c r="J1173" s="19" t="s">
        <v>5410</v>
      </c>
      <c r="K1173" s="21" t="s">
        <v>5411</v>
      </c>
      <c r="L1173" s="19" t="s">
        <v>6442</v>
      </c>
      <c r="M1173" s="16" t="s">
        <v>3680</v>
      </c>
      <c r="N1173" s="18"/>
      <c r="O1173" s="18"/>
      <c r="P1173" s="18">
        <f>VLOOKUP($A1173,MasterData!$C$1:$I$3001,1,FALSE)</f>
        <v>8712</v>
      </c>
      <c r="Q1173" s="18" t="str">
        <f t="shared" si="2"/>
        <v>XIKLR1</v>
      </c>
    </row>
    <row r="1174" ht="15.75" customHeight="1">
      <c r="A1174" s="15">
        <v>8713.0</v>
      </c>
      <c r="B1174" s="16" t="s">
        <v>8108</v>
      </c>
      <c r="C1174" s="17" t="s">
        <v>8109</v>
      </c>
      <c r="D1174" s="29" t="s">
        <v>8108</v>
      </c>
      <c r="E1174" s="18" t="s">
        <v>3683</v>
      </c>
      <c r="F1174" s="19" t="str">
        <f t="shared" si="1"/>
        <v>XIKLR1</v>
      </c>
      <c r="G1174" s="19" t="s">
        <v>5408</v>
      </c>
      <c r="H1174" s="20" t="s">
        <v>3045</v>
      </c>
      <c r="I1174" s="19" t="s">
        <v>5409</v>
      </c>
      <c r="J1174" s="19" t="s">
        <v>5410</v>
      </c>
      <c r="K1174" s="21" t="s">
        <v>5411</v>
      </c>
      <c r="L1174" s="19" t="s">
        <v>6442</v>
      </c>
      <c r="M1174" s="16" t="s">
        <v>3682</v>
      </c>
      <c r="N1174" s="18"/>
      <c r="O1174" s="18"/>
      <c r="P1174" s="18">
        <f>VLOOKUP($A1174,MasterData!$C$1:$I$3001,1,FALSE)</f>
        <v>8713</v>
      </c>
      <c r="Q1174" s="18" t="str">
        <f t="shared" si="2"/>
        <v>XIKLR1</v>
      </c>
    </row>
    <row r="1175" ht="15.75" customHeight="1">
      <c r="A1175" s="15">
        <v>8715.0</v>
      </c>
      <c r="B1175" s="16" t="s">
        <v>8110</v>
      </c>
      <c r="C1175" s="17" t="s">
        <v>8111</v>
      </c>
      <c r="D1175" s="29" t="s">
        <v>8110</v>
      </c>
      <c r="E1175" s="18" t="s">
        <v>3685</v>
      </c>
      <c r="F1175" s="19" t="str">
        <f t="shared" si="1"/>
        <v>XIKLR1</v>
      </c>
      <c r="G1175" s="19" t="s">
        <v>5408</v>
      </c>
      <c r="H1175" s="20" t="s">
        <v>3045</v>
      </c>
      <c r="I1175" s="19" t="s">
        <v>5409</v>
      </c>
      <c r="J1175" s="19" t="s">
        <v>5410</v>
      </c>
      <c r="K1175" s="21" t="s">
        <v>5411</v>
      </c>
      <c r="L1175" s="19" t="s">
        <v>6442</v>
      </c>
      <c r="M1175" s="16" t="s">
        <v>3684</v>
      </c>
      <c r="N1175" s="18"/>
      <c r="O1175" s="18"/>
      <c r="P1175" s="18">
        <f>VLOOKUP($A1175,MasterData!$C$1:$I$3001,1,FALSE)</f>
        <v>8715</v>
      </c>
      <c r="Q1175" s="18" t="str">
        <f t="shared" si="2"/>
        <v>XIKLR1</v>
      </c>
    </row>
    <row r="1176" ht="15.75" customHeight="1">
      <c r="A1176" s="15">
        <v>8733.0</v>
      </c>
      <c r="B1176" s="16" t="s">
        <v>8112</v>
      </c>
      <c r="C1176" s="17" t="s">
        <v>8113</v>
      </c>
      <c r="D1176" s="29" t="s">
        <v>8112</v>
      </c>
      <c r="E1176" s="18" t="s">
        <v>3687</v>
      </c>
      <c r="F1176" s="19" t="str">
        <f t="shared" si="1"/>
        <v>XIKLR1</v>
      </c>
      <c r="G1176" s="19" t="s">
        <v>5408</v>
      </c>
      <c r="H1176" s="20" t="s">
        <v>3045</v>
      </c>
      <c r="I1176" s="19" t="s">
        <v>5409</v>
      </c>
      <c r="J1176" s="19" t="s">
        <v>5410</v>
      </c>
      <c r="K1176" s="21" t="s">
        <v>5411</v>
      </c>
      <c r="L1176" s="19" t="s">
        <v>6442</v>
      </c>
      <c r="M1176" s="16" t="s">
        <v>3686</v>
      </c>
      <c r="N1176" s="18"/>
      <c r="O1176" s="18"/>
      <c r="P1176" s="18">
        <f>VLOOKUP($A1176,MasterData!$C$1:$I$3001,1,FALSE)</f>
        <v>8733</v>
      </c>
      <c r="Q1176" s="18" t="str">
        <f t="shared" si="2"/>
        <v>XIKLR1</v>
      </c>
    </row>
    <row r="1177" ht="15.75" customHeight="1">
      <c r="A1177" s="15">
        <v>8741.0</v>
      </c>
      <c r="B1177" s="16" t="s">
        <v>8114</v>
      </c>
      <c r="C1177" s="17" t="s">
        <v>8115</v>
      </c>
      <c r="D1177" s="29" t="s">
        <v>8114</v>
      </c>
      <c r="E1177" s="18" t="s">
        <v>3689</v>
      </c>
      <c r="F1177" s="19" t="str">
        <f t="shared" si="1"/>
        <v>XIKLR1</v>
      </c>
      <c r="G1177" s="19" t="s">
        <v>5408</v>
      </c>
      <c r="H1177" s="20" t="s">
        <v>3045</v>
      </c>
      <c r="I1177" s="19" t="s">
        <v>5409</v>
      </c>
      <c r="J1177" s="19" t="s">
        <v>5410</v>
      </c>
      <c r="K1177" s="21" t="s">
        <v>5411</v>
      </c>
      <c r="L1177" s="19" t="s">
        <v>6442</v>
      </c>
      <c r="M1177" s="16" t="s">
        <v>3688</v>
      </c>
      <c r="N1177" s="18"/>
      <c r="O1177" s="18"/>
      <c r="P1177" s="18">
        <f>VLOOKUP($A1177,MasterData!$C$1:$I$3001,1,FALSE)</f>
        <v>8741</v>
      </c>
      <c r="Q1177" s="18" t="str">
        <f t="shared" si="2"/>
        <v>XIKLR1</v>
      </c>
    </row>
    <row r="1178" ht="15.75" customHeight="1">
      <c r="A1178" s="15">
        <v>8769.0</v>
      </c>
      <c r="B1178" s="16" t="s">
        <v>8116</v>
      </c>
      <c r="C1178" s="17" t="s">
        <v>8117</v>
      </c>
      <c r="D1178" s="29" t="s">
        <v>8116</v>
      </c>
      <c r="E1178" s="18" t="s">
        <v>3691</v>
      </c>
      <c r="F1178" s="19" t="str">
        <f t="shared" si="1"/>
        <v>XIKLR1</v>
      </c>
      <c r="G1178" s="19" t="s">
        <v>5408</v>
      </c>
      <c r="H1178" s="20" t="s">
        <v>3045</v>
      </c>
      <c r="I1178" s="19" t="s">
        <v>5409</v>
      </c>
      <c r="J1178" s="19" t="s">
        <v>5410</v>
      </c>
      <c r="K1178" s="21" t="s">
        <v>5411</v>
      </c>
      <c r="L1178" s="19" t="s">
        <v>6442</v>
      </c>
      <c r="M1178" s="16" t="s">
        <v>3690</v>
      </c>
      <c r="N1178" s="18"/>
      <c r="O1178" s="18"/>
      <c r="P1178" s="18">
        <f>VLOOKUP($A1178,MasterData!$C$1:$I$3001,1,FALSE)</f>
        <v>8769</v>
      </c>
      <c r="Q1178" s="18" t="str">
        <f t="shared" si="2"/>
        <v>XIKLR1</v>
      </c>
    </row>
    <row r="1179" ht="15.75" customHeight="1">
      <c r="A1179" s="15">
        <v>8787.0</v>
      </c>
      <c r="B1179" s="16" t="s">
        <v>8118</v>
      </c>
      <c r="C1179" s="17" t="s">
        <v>8119</v>
      </c>
      <c r="D1179" s="29" t="s">
        <v>8118</v>
      </c>
      <c r="E1179" s="18" t="s">
        <v>3693</v>
      </c>
      <c r="F1179" s="19" t="str">
        <f t="shared" si="1"/>
        <v>XIKLR1</v>
      </c>
      <c r="G1179" s="19" t="s">
        <v>5408</v>
      </c>
      <c r="H1179" s="20" t="s">
        <v>3045</v>
      </c>
      <c r="I1179" s="19" t="s">
        <v>5409</v>
      </c>
      <c r="J1179" s="19" t="s">
        <v>5410</v>
      </c>
      <c r="K1179" s="21" t="s">
        <v>5411</v>
      </c>
      <c r="L1179" s="19" t="s">
        <v>6442</v>
      </c>
      <c r="M1179" s="16" t="s">
        <v>3692</v>
      </c>
      <c r="N1179" s="18"/>
      <c r="O1179" s="18"/>
      <c r="P1179" s="18">
        <f>VLOOKUP($A1179,MasterData!$C$1:$I$3001,1,FALSE)</f>
        <v>8787</v>
      </c>
      <c r="Q1179" s="18" t="str">
        <f t="shared" si="2"/>
        <v>XIKLR1</v>
      </c>
    </row>
    <row r="1180" ht="15.75" customHeight="1">
      <c r="A1180" s="15">
        <v>8810.0</v>
      </c>
      <c r="B1180" s="16" t="s">
        <v>8120</v>
      </c>
      <c r="C1180" s="17" t="s">
        <v>8121</v>
      </c>
      <c r="D1180" s="29" t="s">
        <v>8120</v>
      </c>
      <c r="E1180" s="18" t="s">
        <v>3695</v>
      </c>
      <c r="F1180" s="19" t="str">
        <f t="shared" si="1"/>
        <v>XIKLR1</v>
      </c>
      <c r="G1180" s="19" t="s">
        <v>5408</v>
      </c>
      <c r="H1180" s="20" t="s">
        <v>3045</v>
      </c>
      <c r="I1180" s="19" t="s">
        <v>5409</v>
      </c>
      <c r="J1180" s="19" t="s">
        <v>5410</v>
      </c>
      <c r="K1180" s="21" t="s">
        <v>5411</v>
      </c>
      <c r="L1180" s="19" t="s">
        <v>6442</v>
      </c>
      <c r="M1180" s="16" t="s">
        <v>3694</v>
      </c>
      <c r="N1180" s="18"/>
      <c r="O1180" s="18"/>
      <c r="P1180" s="18">
        <f>VLOOKUP($A1180,MasterData!$C$1:$I$3001,1,FALSE)</f>
        <v>8810</v>
      </c>
      <c r="Q1180" s="18" t="str">
        <f t="shared" si="2"/>
        <v>XIKLR1</v>
      </c>
    </row>
    <row r="1181" ht="15.75" customHeight="1">
      <c r="A1181" s="15">
        <v>8818.0</v>
      </c>
      <c r="B1181" s="16" t="s">
        <v>8122</v>
      </c>
      <c r="C1181" s="17" t="s">
        <v>8123</v>
      </c>
      <c r="D1181" s="29" t="s">
        <v>8122</v>
      </c>
      <c r="E1181" s="18" t="s">
        <v>3697</v>
      </c>
      <c r="F1181" s="19" t="str">
        <f t="shared" si="1"/>
        <v>XIKLR1</v>
      </c>
      <c r="G1181" s="19" t="s">
        <v>5408</v>
      </c>
      <c r="H1181" s="20" t="s">
        <v>3045</v>
      </c>
      <c r="I1181" s="19" t="s">
        <v>5409</v>
      </c>
      <c r="J1181" s="19" t="s">
        <v>5410</v>
      </c>
      <c r="K1181" s="21" t="s">
        <v>5411</v>
      </c>
      <c r="L1181" s="19" t="s">
        <v>6442</v>
      </c>
      <c r="M1181" s="16" t="s">
        <v>3696</v>
      </c>
      <c r="N1181" s="18"/>
      <c r="O1181" s="18"/>
      <c r="P1181" s="18">
        <f>VLOOKUP($A1181,MasterData!$C$1:$I$3001,1,FALSE)</f>
        <v>8818</v>
      </c>
      <c r="Q1181" s="18" t="str">
        <f t="shared" si="2"/>
        <v>XIKLR1</v>
      </c>
    </row>
    <row r="1182" ht="15.75" customHeight="1">
      <c r="A1182" s="15">
        <v>8851.0</v>
      </c>
      <c r="B1182" s="16" t="s">
        <v>8124</v>
      </c>
      <c r="C1182" s="17" t="s">
        <v>8125</v>
      </c>
      <c r="D1182" s="29" t="s">
        <v>8124</v>
      </c>
      <c r="E1182" s="18" t="s">
        <v>3699</v>
      </c>
      <c r="F1182" s="19" t="str">
        <f t="shared" si="1"/>
        <v>XIKLR1</v>
      </c>
      <c r="G1182" s="19" t="s">
        <v>5408</v>
      </c>
      <c r="H1182" s="20" t="s">
        <v>3045</v>
      </c>
      <c r="I1182" s="19" t="s">
        <v>5409</v>
      </c>
      <c r="J1182" s="19" t="s">
        <v>5410</v>
      </c>
      <c r="K1182" s="21" t="s">
        <v>5411</v>
      </c>
      <c r="L1182" s="19" t="s">
        <v>6442</v>
      </c>
      <c r="M1182" s="16" t="s">
        <v>3698</v>
      </c>
      <c r="N1182" s="18"/>
      <c r="O1182" s="18"/>
      <c r="P1182" s="18">
        <f>VLOOKUP($A1182,MasterData!$C$1:$I$3001,1,FALSE)</f>
        <v>8851</v>
      </c>
      <c r="Q1182" s="18" t="str">
        <f t="shared" si="2"/>
        <v>XIKLR1</v>
      </c>
    </row>
    <row r="1183" ht="15.75" customHeight="1">
      <c r="A1183" s="15">
        <v>8862.0</v>
      </c>
      <c r="B1183" s="16" t="s">
        <v>8126</v>
      </c>
      <c r="C1183" s="17" t="s">
        <v>8127</v>
      </c>
      <c r="D1183" s="29" t="s">
        <v>8126</v>
      </c>
      <c r="E1183" s="18" t="s">
        <v>3701</v>
      </c>
      <c r="F1183" s="19" t="str">
        <f t="shared" si="1"/>
        <v>XIKLR1</v>
      </c>
      <c r="G1183" s="19" t="s">
        <v>5408</v>
      </c>
      <c r="H1183" s="20" t="s">
        <v>3045</v>
      </c>
      <c r="I1183" s="19" t="s">
        <v>5409</v>
      </c>
      <c r="J1183" s="19" t="s">
        <v>5410</v>
      </c>
      <c r="K1183" s="21" t="s">
        <v>5411</v>
      </c>
      <c r="L1183" s="19" t="s">
        <v>6442</v>
      </c>
      <c r="M1183" s="16" t="s">
        <v>3700</v>
      </c>
      <c r="N1183" s="18"/>
      <c r="O1183" s="18"/>
      <c r="P1183" s="18">
        <f>VLOOKUP($A1183,MasterData!$C$1:$I$3001,1,FALSE)</f>
        <v>8862</v>
      </c>
      <c r="Q1183" s="18" t="str">
        <f t="shared" si="2"/>
        <v>XIKLR1</v>
      </c>
    </row>
    <row r="1184" ht="15.75" customHeight="1">
      <c r="A1184" s="15">
        <v>8868.0</v>
      </c>
      <c r="B1184" s="16" t="s">
        <v>8128</v>
      </c>
      <c r="C1184" s="17" t="s">
        <v>8129</v>
      </c>
      <c r="D1184" s="29" t="s">
        <v>8128</v>
      </c>
      <c r="E1184" s="18" t="s">
        <v>3703</v>
      </c>
      <c r="F1184" s="19" t="str">
        <f t="shared" si="1"/>
        <v>XIKLR1</v>
      </c>
      <c r="G1184" s="19" t="s">
        <v>5408</v>
      </c>
      <c r="H1184" s="20" t="s">
        <v>3045</v>
      </c>
      <c r="I1184" s="19" t="s">
        <v>5409</v>
      </c>
      <c r="J1184" s="19" t="s">
        <v>5410</v>
      </c>
      <c r="K1184" s="21" t="s">
        <v>5411</v>
      </c>
      <c r="L1184" s="19" t="s">
        <v>6442</v>
      </c>
      <c r="M1184" s="16" t="s">
        <v>3702</v>
      </c>
      <c r="N1184" s="18"/>
      <c r="O1184" s="18"/>
      <c r="P1184" s="18">
        <f>VLOOKUP($A1184,MasterData!$C$1:$I$3001,1,FALSE)</f>
        <v>8868</v>
      </c>
      <c r="Q1184" s="18" t="str">
        <f t="shared" si="2"/>
        <v>XIKLR1</v>
      </c>
    </row>
    <row r="1185" ht="15.75" customHeight="1">
      <c r="A1185" s="15">
        <v>8907.0</v>
      </c>
      <c r="B1185" s="16" t="s">
        <v>8130</v>
      </c>
      <c r="C1185" s="17" t="s">
        <v>8131</v>
      </c>
      <c r="D1185" s="29" t="s">
        <v>8130</v>
      </c>
      <c r="E1185" s="18" t="s">
        <v>3705</v>
      </c>
      <c r="F1185" s="19" t="str">
        <f t="shared" si="1"/>
        <v>XIKLR1</v>
      </c>
      <c r="G1185" s="19" t="s">
        <v>5408</v>
      </c>
      <c r="H1185" s="20" t="s">
        <v>3045</v>
      </c>
      <c r="I1185" s="19" t="s">
        <v>5409</v>
      </c>
      <c r="J1185" s="19" t="s">
        <v>5410</v>
      </c>
      <c r="K1185" s="21" t="s">
        <v>5411</v>
      </c>
      <c r="L1185" s="19" t="s">
        <v>6442</v>
      </c>
      <c r="M1185" s="16" t="s">
        <v>3704</v>
      </c>
      <c r="N1185" s="18"/>
      <c r="O1185" s="18"/>
      <c r="P1185" s="18">
        <f>VLOOKUP($A1185,MasterData!$C$1:$I$3001,1,FALSE)</f>
        <v>8907</v>
      </c>
      <c r="Q1185" s="18" t="str">
        <f t="shared" si="2"/>
        <v>XIKLR1</v>
      </c>
    </row>
    <row r="1186" ht="15.75" customHeight="1">
      <c r="A1186" s="15">
        <v>8926.0</v>
      </c>
      <c r="B1186" s="16" t="s">
        <v>8132</v>
      </c>
      <c r="C1186" s="17" t="s">
        <v>8133</v>
      </c>
      <c r="D1186" s="29" t="s">
        <v>8132</v>
      </c>
      <c r="E1186" s="18" t="s">
        <v>3707</v>
      </c>
      <c r="F1186" s="19" t="str">
        <f t="shared" si="1"/>
        <v>XIKLR1</v>
      </c>
      <c r="G1186" s="19" t="s">
        <v>5408</v>
      </c>
      <c r="H1186" s="20" t="s">
        <v>3045</v>
      </c>
      <c r="I1186" s="19" t="s">
        <v>5409</v>
      </c>
      <c r="J1186" s="19" t="s">
        <v>5410</v>
      </c>
      <c r="K1186" s="21" t="s">
        <v>5411</v>
      </c>
      <c r="L1186" s="19" t="s">
        <v>6442</v>
      </c>
      <c r="M1186" s="16" t="s">
        <v>3706</v>
      </c>
      <c r="N1186" s="18"/>
      <c r="O1186" s="18"/>
      <c r="P1186" s="18">
        <f>VLOOKUP($A1186,MasterData!$C$1:$I$3001,1,FALSE)</f>
        <v>8926</v>
      </c>
      <c r="Q1186" s="18" t="str">
        <f t="shared" si="2"/>
        <v>XIKLR1</v>
      </c>
    </row>
    <row r="1187" ht="15.75" customHeight="1">
      <c r="A1187" s="15">
        <v>8947.0</v>
      </c>
      <c r="B1187" s="16" t="s">
        <v>8134</v>
      </c>
      <c r="C1187" s="17" t="s">
        <v>8135</v>
      </c>
      <c r="D1187" s="29" t="s">
        <v>8134</v>
      </c>
      <c r="E1187" s="18" t="s">
        <v>3709</v>
      </c>
      <c r="F1187" s="19" t="str">
        <f t="shared" si="1"/>
        <v>XIKLR1</v>
      </c>
      <c r="G1187" s="19" t="s">
        <v>5408</v>
      </c>
      <c r="H1187" s="20" t="s">
        <v>3045</v>
      </c>
      <c r="I1187" s="19" t="s">
        <v>5409</v>
      </c>
      <c r="J1187" s="19" t="s">
        <v>5410</v>
      </c>
      <c r="K1187" s="21" t="s">
        <v>5411</v>
      </c>
      <c r="L1187" s="19" t="s">
        <v>6442</v>
      </c>
      <c r="M1187" s="16" t="s">
        <v>3708</v>
      </c>
      <c r="N1187" s="18"/>
      <c r="O1187" s="18"/>
      <c r="P1187" s="18">
        <f>VLOOKUP($A1187,MasterData!$C$1:$I$3001,1,FALSE)</f>
        <v>8947</v>
      </c>
      <c r="Q1187" s="18" t="str">
        <f t="shared" si="2"/>
        <v>XIKLR1</v>
      </c>
    </row>
    <row r="1188" ht="15.75" customHeight="1">
      <c r="A1188" s="15">
        <v>8952.0</v>
      </c>
      <c r="B1188" s="16" t="s">
        <v>8136</v>
      </c>
      <c r="C1188" s="17" t="s">
        <v>8137</v>
      </c>
      <c r="D1188" s="16" t="s">
        <v>8136</v>
      </c>
      <c r="E1188" s="18" t="s">
        <v>3711</v>
      </c>
      <c r="F1188" s="19" t="str">
        <f t="shared" si="1"/>
        <v>XIKLR1</v>
      </c>
      <c r="G1188" s="19" t="s">
        <v>5408</v>
      </c>
      <c r="H1188" s="20" t="s">
        <v>3045</v>
      </c>
      <c r="I1188" s="19" t="s">
        <v>5409</v>
      </c>
      <c r="J1188" s="19" t="s">
        <v>5410</v>
      </c>
      <c r="K1188" s="21" t="s">
        <v>5411</v>
      </c>
      <c r="L1188" s="19" t="s">
        <v>6442</v>
      </c>
      <c r="M1188" s="16" t="s">
        <v>3710</v>
      </c>
      <c r="N1188" s="18"/>
      <c r="O1188" s="18"/>
      <c r="P1188" s="18">
        <f>VLOOKUP($A1188,MasterData!$C$1:$I$3001,1,FALSE)</f>
        <v>8952</v>
      </c>
      <c r="Q1188" s="18" t="str">
        <f t="shared" si="2"/>
        <v>XIKLR1</v>
      </c>
    </row>
    <row r="1189" ht="15.75" customHeight="1">
      <c r="A1189" s="15">
        <v>9042.0</v>
      </c>
      <c r="B1189" s="16" t="s">
        <v>8138</v>
      </c>
      <c r="C1189" s="17" t="s">
        <v>8139</v>
      </c>
      <c r="D1189" s="29" t="s">
        <v>8138</v>
      </c>
      <c r="E1189" s="18" t="s">
        <v>3713</v>
      </c>
      <c r="F1189" s="19" t="str">
        <f t="shared" si="1"/>
        <v>XIKLR1</v>
      </c>
      <c r="G1189" s="19" t="s">
        <v>5408</v>
      </c>
      <c r="H1189" s="20" t="s">
        <v>3045</v>
      </c>
      <c r="I1189" s="19" t="s">
        <v>5409</v>
      </c>
      <c r="J1189" s="19" t="s">
        <v>5410</v>
      </c>
      <c r="K1189" s="21" t="s">
        <v>5411</v>
      </c>
      <c r="L1189" s="19" t="s">
        <v>6442</v>
      </c>
      <c r="M1189" s="16" t="s">
        <v>3712</v>
      </c>
      <c r="N1189" s="18"/>
      <c r="O1189" s="18"/>
      <c r="P1189" s="18">
        <f>VLOOKUP($A1189,MasterData!$C$1:$I$3001,1,FALSE)</f>
        <v>9042</v>
      </c>
      <c r="Q1189" s="18" t="str">
        <f t="shared" si="2"/>
        <v>XIKLR1</v>
      </c>
    </row>
    <row r="1190" ht="15.75" customHeight="1">
      <c r="A1190" s="15">
        <v>9045.0</v>
      </c>
      <c r="B1190" s="16" t="s">
        <v>8140</v>
      </c>
      <c r="C1190" s="17" t="s">
        <v>8141</v>
      </c>
      <c r="D1190" s="29" t="s">
        <v>8140</v>
      </c>
      <c r="E1190" s="18" t="s">
        <v>3715</v>
      </c>
      <c r="F1190" s="19" t="str">
        <f t="shared" si="1"/>
        <v>XIKLR1</v>
      </c>
      <c r="G1190" s="19" t="s">
        <v>5408</v>
      </c>
      <c r="H1190" s="20" t="s">
        <v>3045</v>
      </c>
      <c r="I1190" s="19" t="s">
        <v>5409</v>
      </c>
      <c r="J1190" s="19" t="s">
        <v>5410</v>
      </c>
      <c r="K1190" s="21" t="s">
        <v>5411</v>
      </c>
      <c r="L1190" s="19" t="s">
        <v>6442</v>
      </c>
      <c r="M1190" s="16" t="s">
        <v>3714</v>
      </c>
      <c r="N1190" s="18"/>
      <c r="O1190" s="18"/>
      <c r="P1190" s="18">
        <f>VLOOKUP($A1190,MasterData!$C$1:$I$3001,1,FALSE)</f>
        <v>9045</v>
      </c>
      <c r="Q1190" s="18" t="str">
        <f t="shared" si="2"/>
        <v>XIKLR1</v>
      </c>
    </row>
    <row r="1191" ht="15.75" customHeight="1">
      <c r="A1191" s="15">
        <v>9048.0</v>
      </c>
      <c r="B1191" s="16" t="s">
        <v>8142</v>
      </c>
      <c r="C1191" s="17" t="s">
        <v>8143</v>
      </c>
      <c r="D1191" s="29" t="s">
        <v>8142</v>
      </c>
      <c r="E1191" s="18" t="s">
        <v>3717</v>
      </c>
      <c r="F1191" s="19" t="str">
        <f t="shared" si="1"/>
        <v>XIKLR1</v>
      </c>
      <c r="G1191" s="19" t="s">
        <v>5408</v>
      </c>
      <c r="H1191" s="20" t="s">
        <v>3045</v>
      </c>
      <c r="I1191" s="19" t="s">
        <v>5409</v>
      </c>
      <c r="J1191" s="19" t="s">
        <v>5410</v>
      </c>
      <c r="K1191" s="21" t="s">
        <v>5411</v>
      </c>
      <c r="L1191" s="19" t="s">
        <v>6442</v>
      </c>
      <c r="M1191" s="16" t="s">
        <v>3716</v>
      </c>
      <c r="N1191" s="18"/>
      <c r="O1191" s="18"/>
      <c r="P1191" s="18">
        <f>VLOOKUP($A1191,MasterData!$C$1:$I$3001,1,FALSE)</f>
        <v>9048</v>
      </c>
      <c r="Q1191" s="18" t="str">
        <f t="shared" si="2"/>
        <v>XIKLR1</v>
      </c>
    </row>
    <row r="1192" ht="15.75" customHeight="1">
      <c r="A1192" s="15">
        <v>9056.0</v>
      </c>
      <c r="B1192" s="16" t="s">
        <v>8144</v>
      </c>
      <c r="C1192" s="17" t="s">
        <v>8145</v>
      </c>
      <c r="D1192" s="29" t="s">
        <v>8144</v>
      </c>
      <c r="E1192" s="18" t="s">
        <v>3719</v>
      </c>
      <c r="F1192" s="19" t="str">
        <f t="shared" si="1"/>
        <v>XIKLR1</v>
      </c>
      <c r="G1192" s="19" t="s">
        <v>5408</v>
      </c>
      <c r="H1192" s="20" t="s">
        <v>3045</v>
      </c>
      <c r="I1192" s="19" t="s">
        <v>5409</v>
      </c>
      <c r="J1192" s="19" t="s">
        <v>5410</v>
      </c>
      <c r="K1192" s="21" t="s">
        <v>5411</v>
      </c>
      <c r="L1192" s="19" t="s">
        <v>6442</v>
      </c>
      <c r="M1192" s="16" t="s">
        <v>3718</v>
      </c>
      <c r="N1192" s="18"/>
      <c r="O1192" s="18"/>
      <c r="P1192" s="18">
        <f>VLOOKUP($A1192,MasterData!$C$1:$I$3001,1,FALSE)</f>
        <v>9056</v>
      </c>
      <c r="Q1192" s="18" t="str">
        <f t="shared" si="2"/>
        <v>XIKLR1</v>
      </c>
    </row>
    <row r="1193" ht="15.75" customHeight="1">
      <c r="A1193" s="15">
        <v>9059.0</v>
      </c>
      <c r="B1193" s="16" t="s">
        <v>8146</v>
      </c>
      <c r="C1193" s="17" t="s">
        <v>8147</v>
      </c>
      <c r="D1193" s="29" t="s">
        <v>8146</v>
      </c>
      <c r="E1193" s="18" t="s">
        <v>3721</v>
      </c>
      <c r="F1193" s="19" t="str">
        <f t="shared" si="1"/>
        <v>XIKLR1</v>
      </c>
      <c r="G1193" s="19" t="s">
        <v>5408</v>
      </c>
      <c r="H1193" s="20" t="s">
        <v>3045</v>
      </c>
      <c r="I1193" s="19" t="s">
        <v>5409</v>
      </c>
      <c r="J1193" s="19" t="s">
        <v>5410</v>
      </c>
      <c r="K1193" s="21" t="s">
        <v>5411</v>
      </c>
      <c r="L1193" s="19" t="s">
        <v>6442</v>
      </c>
      <c r="M1193" s="16" t="s">
        <v>3720</v>
      </c>
      <c r="N1193" s="18"/>
      <c r="O1193" s="18"/>
      <c r="P1193" s="18">
        <f>VLOOKUP($A1193,MasterData!$C$1:$I$3001,1,FALSE)</f>
        <v>9059</v>
      </c>
      <c r="Q1193" s="18" t="str">
        <f t="shared" si="2"/>
        <v>XIKLR1</v>
      </c>
    </row>
    <row r="1194" ht="15.75" customHeight="1">
      <c r="A1194" s="15">
        <v>9065.0</v>
      </c>
      <c r="B1194" s="16" t="s">
        <v>8148</v>
      </c>
      <c r="C1194" s="17" t="s">
        <v>8149</v>
      </c>
      <c r="D1194" s="29" t="s">
        <v>8148</v>
      </c>
      <c r="E1194" s="18" t="s">
        <v>3723</v>
      </c>
      <c r="F1194" s="19" t="str">
        <f t="shared" si="1"/>
        <v>XIKLR1</v>
      </c>
      <c r="G1194" s="19" t="s">
        <v>5408</v>
      </c>
      <c r="H1194" s="20" t="s">
        <v>3045</v>
      </c>
      <c r="I1194" s="19" t="s">
        <v>5409</v>
      </c>
      <c r="J1194" s="19" t="s">
        <v>5410</v>
      </c>
      <c r="K1194" s="21" t="s">
        <v>5411</v>
      </c>
      <c r="L1194" s="19" t="s">
        <v>6442</v>
      </c>
      <c r="M1194" s="16" t="s">
        <v>3722</v>
      </c>
      <c r="N1194" s="18"/>
      <c r="O1194" s="18"/>
      <c r="P1194" s="18">
        <f>VLOOKUP($A1194,MasterData!$C$1:$I$3001,1,FALSE)</f>
        <v>9065</v>
      </c>
      <c r="Q1194" s="18" t="str">
        <f t="shared" si="2"/>
        <v>XIKLR1</v>
      </c>
    </row>
    <row r="1195" ht="15.75" customHeight="1">
      <c r="A1195" s="15">
        <v>9096.0</v>
      </c>
      <c r="B1195" s="16" t="s">
        <v>8150</v>
      </c>
      <c r="C1195" s="17" t="s">
        <v>8151</v>
      </c>
      <c r="D1195" s="29" t="s">
        <v>8150</v>
      </c>
      <c r="E1195" s="18" t="s">
        <v>3725</v>
      </c>
      <c r="F1195" s="19" t="str">
        <f t="shared" si="1"/>
        <v>XIKLR1</v>
      </c>
      <c r="G1195" s="19" t="s">
        <v>5408</v>
      </c>
      <c r="H1195" s="20" t="s">
        <v>3045</v>
      </c>
      <c r="I1195" s="19" t="s">
        <v>5409</v>
      </c>
      <c r="J1195" s="19" t="s">
        <v>5410</v>
      </c>
      <c r="K1195" s="21" t="s">
        <v>5411</v>
      </c>
      <c r="L1195" s="19" t="s">
        <v>6442</v>
      </c>
      <c r="M1195" s="16" t="s">
        <v>3724</v>
      </c>
      <c r="N1195" s="18"/>
      <c r="O1195" s="18"/>
      <c r="P1195" s="18">
        <f>VLOOKUP($A1195,MasterData!$C$1:$I$3001,1,FALSE)</f>
        <v>9096</v>
      </c>
      <c r="Q1195" s="18" t="str">
        <f t="shared" si="2"/>
        <v>XIKLR1</v>
      </c>
    </row>
    <row r="1196" ht="15.75" customHeight="1">
      <c r="A1196" s="15">
        <v>9098.0</v>
      </c>
      <c r="B1196" s="16" t="s">
        <v>8152</v>
      </c>
      <c r="C1196" s="17" t="s">
        <v>8153</v>
      </c>
      <c r="D1196" s="29" t="s">
        <v>8152</v>
      </c>
      <c r="E1196" s="18" t="s">
        <v>3727</v>
      </c>
      <c r="F1196" s="19" t="str">
        <f t="shared" si="1"/>
        <v>XIKLR1</v>
      </c>
      <c r="G1196" s="19" t="s">
        <v>5408</v>
      </c>
      <c r="H1196" s="20" t="s">
        <v>3045</v>
      </c>
      <c r="I1196" s="19" t="s">
        <v>5409</v>
      </c>
      <c r="J1196" s="19" t="s">
        <v>5410</v>
      </c>
      <c r="K1196" s="21" t="s">
        <v>5411</v>
      </c>
      <c r="L1196" s="19" t="s">
        <v>6442</v>
      </c>
      <c r="M1196" s="16" t="s">
        <v>3726</v>
      </c>
      <c r="N1196" s="18"/>
      <c r="O1196" s="18"/>
      <c r="P1196" s="18">
        <f>VLOOKUP($A1196,MasterData!$C$1:$I$3001,1,FALSE)</f>
        <v>9098</v>
      </c>
      <c r="Q1196" s="18" t="str">
        <f t="shared" si="2"/>
        <v>XIKLR1</v>
      </c>
    </row>
    <row r="1197" ht="15.75" customHeight="1">
      <c r="A1197" s="15">
        <v>9106.0</v>
      </c>
      <c r="B1197" s="16" t="s">
        <v>8154</v>
      </c>
      <c r="C1197" s="17" t="s">
        <v>8155</v>
      </c>
      <c r="D1197" s="29" t="s">
        <v>8154</v>
      </c>
      <c r="E1197" s="18" t="s">
        <v>3729</v>
      </c>
      <c r="F1197" s="19" t="str">
        <f t="shared" si="1"/>
        <v>XIKLR1</v>
      </c>
      <c r="G1197" s="19" t="s">
        <v>5408</v>
      </c>
      <c r="H1197" s="20" t="s">
        <v>3045</v>
      </c>
      <c r="I1197" s="19" t="s">
        <v>5409</v>
      </c>
      <c r="J1197" s="19" t="s">
        <v>5410</v>
      </c>
      <c r="K1197" s="21" t="s">
        <v>5411</v>
      </c>
      <c r="L1197" s="19" t="s">
        <v>6442</v>
      </c>
      <c r="M1197" s="16" t="s">
        <v>3728</v>
      </c>
      <c r="N1197" s="18"/>
      <c r="O1197" s="18"/>
      <c r="P1197" s="18">
        <f>VLOOKUP($A1197,MasterData!$C$1:$I$3001,1,FALSE)</f>
        <v>9106</v>
      </c>
      <c r="Q1197" s="18" t="str">
        <f t="shared" si="2"/>
        <v>XIKLR1</v>
      </c>
    </row>
    <row r="1198" ht="15.75" customHeight="1">
      <c r="A1198" s="15">
        <v>9172.0</v>
      </c>
      <c r="B1198" s="16" t="s">
        <v>8156</v>
      </c>
      <c r="C1198" s="17" t="s">
        <v>8157</v>
      </c>
      <c r="D1198" s="29" t="s">
        <v>8156</v>
      </c>
      <c r="E1198" s="18" t="s">
        <v>3731</v>
      </c>
      <c r="F1198" s="19" t="str">
        <f t="shared" si="1"/>
        <v>XIKLR1</v>
      </c>
      <c r="G1198" s="19" t="s">
        <v>5408</v>
      </c>
      <c r="H1198" s="20" t="s">
        <v>3045</v>
      </c>
      <c r="I1198" s="19" t="s">
        <v>5409</v>
      </c>
      <c r="J1198" s="19" t="s">
        <v>5410</v>
      </c>
      <c r="K1198" s="21" t="s">
        <v>5411</v>
      </c>
      <c r="L1198" s="19" t="s">
        <v>6442</v>
      </c>
      <c r="M1198" s="16" t="s">
        <v>3730</v>
      </c>
      <c r="N1198" s="18"/>
      <c r="O1198" s="18"/>
      <c r="P1198" s="18">
        <f>VLOOKUP($A1198,MasterData!$C$1:$I$3001,1,FALSE)</f>
        <v>9172</v>
      </c>
      <c r="Q1198" s="18" t="str">
        <f t="shared" si="2"/>
        <v>XIKLR1</v>
      </c>
    </row>
    <row r="1199" ht="15.75" customHeight="1">
      <c r="A1199" s="15">
        <v>9213.0</v>
      </c>
      <c r="B1199" s="16" t="s">
        <v>8158</v>
      </c>
      <c r="C1199" s="17" t="s">
        <v>8159</v>
      </c>
      <c r="D1199" s="29" t="s">
        <v>8158</v>
      </c>
      <c r="E1199" s="18" t="s">
        <v>3733</v>
      </c>
      <c r="F1199" s="19" t="str">
        <f t="shared" si="1"/>
        <v>XIKLR1</v>
      </c>
      <c r="G1199" s="19" t="s">
        <v>5408</v>
      </c>
      <c r="H1199" s="20" t="s">
        <v>3045</v>
      </c>
      <c r="I1199" s="19" t="s">
        <v>5409</v>
      </c>
      <c r="J1199" s="19" t="s">
        <v>5410</v>
      </c>
      <c r="K1199" s="21" t="s">
        <v>5411</v>
      </c>
      <c r="L1199" s="19" t="s">
        <v>6442</v>
      </c>
      <c r="M1199" s="16" t="s">
        <v>3732</v>
      </c>
      <c r="N1199" s="18"/>
      <c r="O1199" s="18"/>
      <c r="P1199" s="18">
        <f>VLOOKUP($A1199,MasterData!$C$1:$I$3001,1,FALSE)</f>
        <v>9213</v>
      </c>
      <c r="Q1199" s="18" t="str">
        <f t="shared" si="2"/>
        <v>XIKLR1</v>
      </c>
    </row>
    <row r="1200" ht="15.75" customHeight="1">
      <c r="A1200" s="15">
        <v>9228.0</v>
      </c>
      <c r="B1200" s="16" t="s">
        <v>8160</v>
      </c>
      <c r="C1200" s="17" t="s">
        <v>8161</v>
      </c>
      <c r="D1200" s="29" t="s">
        <v>8160</v>
      </c>
      <c r="E1200" s="18" t="s">
        <v>3735</v>
      </c>
      <c r="F1200" s="19" t="str">
        <f t="shared" si="1"/>
        <v>XIKLR1</v>
      </c>
      <c r="G1200" s="19" t="s">
        <v>5408</v>
      </c>
      <c r="H1200" s="20" t="s">
        <v>3045</v>
      </c>
      <c r="I1200" s="19" t="s">
        <v>5409</v>
      </c>
      <c r="J1200" s="19" t="s">
        <v>5410</v>
      </c>
      <c r="K1200" s="21" t="s">
        <v>5411</v>
      </c>
      <c r="L1200" s="19" t="s">
        <v>6442</v>
      </c>
      <c r="M1200" s="16" t="s">
        <v>3734</v>
      </c>
      <c r="N1200" s="18"/>
      <c r="O1200" s="18"/>
      <c r="P1200" s="18">
        <f>VLOOKUP($A1200,MasterData!$C$1:$I$3001,1,FALSE)</f>
        <v>9228</v>
      </c>
      <c r="Q1200" s="18" t="str">
        <f t="shared" si="2"/>
        <v>XIKLR1</v>
      </c>
    </row>
    <row r="1201" ht="15.75" customHeight="1">
      <c r="A1201" s="15">
        <v>9237.0</v>
      </c>
      <c r="B1201" s="16" t="s">
        <v>8162</v>
      </c>
      <c r="C1201" s="17" t="s">
        <v>8163</v>
      </c>
      <c r="D1201" s="29" t="s">
        <v>8162</v>
      </c>
      <c r="E1201" s="18" t="s">
        <v>3737</v>
      </c>
      <c r="F1201" s="19" t="str">
        <f t="shared" si="1"/>
        <v>XIKLR1</v>
      </c>
      <c r="G1201" s="19" t="s">
        <v>5408</v>
      </c>
      <c r="H1201" s="20" t="s">
        <v>3045</v>
      </c>
      <c r="I1201" s="19" t="s">
        <v>5409</v>
      </c>
      <c r="J1201" s="19" t="s">
        <v>5410</v>
      </c>
      <c r="K1201" s="21" t="s">
        <v>5411</v>
      </c>
      <c r="L1201" s="19" t="s">
        <v>6442</v>
      </c>
      <c r="M1201" s="16" t="s">
        <v>3736</v>
      </c>
      <c r="N1201" s="18"/>
      <c r="O1201" s="18"/>
      <c r="P1201" s="18">
        <f>VLOOKUP($A1201,MasterData!$C$1:$I$3001,1,FALSE)</f>
        <v>9237</v>
      </c>
      <c r="Q1201" s="18" t="str">
        <f t="shared" si="2"/>
        <v>XIKLR1</v>
      </c>
    </row>
    <row r="1202" ht="15.75" customHeight="1">
      <c r="A1202" s="15">
        <v>8641.0</v>
      </c>
      <c r="B1202" s="16" t="s">
        <v>8164</v>
      </c>
      <c r="C1202" s="17" t="s">
        <v>8165</v>
      </c>
      <c r="D1202" s="29" t="s">
        <v>8164</v>
      </c>
      <c r="E1202" s="18" t="s">
        <v>3739</v>
      </c>
      <c r="F1202" s="19" t="str">
        <f t="shared" si="1"/>
        <v>XIOTO1</v>
      </c>
      <c r="G1202" s="19" t="s">
        <v>5408</v>
      </c>
      <c r="H1202" s="20" t="s">
        <v>3045</v>
      </c>
      <c r="I1202" s="19" t="s">
        <v>5409</v>
      </c>
      <c r="J1202" s="19" t="s">
        <v>5410</v>
      </c>
      <c r="K1202" s="21" t="s">
        <v>5411</v>
      </c>
      <c r="L1202" s="19" t="s">
        <v>6536</v>
      </c>
      <c r="M1202" s="16" t="s">
        <v>3738</v>
      </c>
      <c r="N1202" s="18"/>
      <c r="O1202" s="18"/>
      <c r="P1202" s="18">
        <f>VLOOKUP($A1202,MasterData!$C$1:$I$3001,1,FALSE)</f>
        <v>8641</v>
      </c>
      <c r="Q1202" s="18" t="str">
        <f t="shared" si="2"/>
        <v>XIOTO1</v>
      </c>
    </row>
    <row r="1203" ht="15.75" customHeight="1">
      <c r="A1203" s="15">
        <v>8644.0</v>
      </c>
      <c r="B1203" s="16" t="s">
        <v>8166</v>
      </c>
      <c r="C1203" s="17" t="s">
        <v>8167</v>
      </c>
      <c r="D1203" s="29" t="s">
        <v>8166</v>
      </c>
      <c r="E1203" s="18" t="s">
        <v>3741</v>
      </c>
      <c r="F1203" s="19" t="str">
        <f t="shared" si="1"/>
        <v>XIOTO1</v>
      </c>
      <c r="G1203" s="19" t="s">
        <v>5408</v>
      </c>
      <c r="H1203" s="20" t="s">
        <v>3045</v>
      </c>
      <c r="I1203" s="19" t="s">
        <v>5409</v>
      </c>
      <c r="J1203" s="19" t="s">
        <v>5410</v>
      </c>
      <c r="K1203" s="21" t="s">
        <v>5411</v>
      </c>
      <c r="L1203" s="19" t="s">
        <v>6536</v>
      </c>
      <c r="M1203" s="16" t="s">
        <v>3740</v>
      </c>
      <c r="N1203" s="18"/>
      <c r="O1203" s="18"/>
      <c r="P1203" s="18">
        <f>VLOOKUP($A1203,MasterData!$C$1:$I$3001,1,FALSE)</f>
        <v>8644</v>
      </c>
      <c r="Q1203" s="18" t="str">
        <f t="shared" si="2"/>
        <v>XIOTO1</v>
      </c>
    </row>
    <row r="1204" ht="15.75" customHeight="1">
      <c r="A1204" s="15">
        <v>8645.0</v>
      </c>
      <c r="B1204" s="16" t="s">
        <v>8168</v>
      </c>
      <c r="C1204" s="17" t="s">
        <v>8169</v>
      </c>
      <c r="D1204" s="29" t="s">
        <v>8168</v>
      </c>
      <c r="E1204" s="18" t="s">
        <v>3743</v>
      </c>
      <c r="F1204" s="19" t="str">
        <f t="shared" si="1"/>
        <v>XIOTO1</v>
      </c>
      <c r="G1204" s="19" t="s">
        <v>5408</v>
      </c>
      <c r="H1204" s="20" t="s">
        <v>3045</v>
      </c>
      <c r="I1204" s="19" t="s">
        <v>5409</v>
      </c>
      <c r="J1204" s="19" t="s">
        <v>5410</v>
      </c>
      <c r="K1204" s="21" t="s">
        <v>5411</v>
      </c>
      <c r="L1204" s="19" t="s">
        <v>6536</v>
      </c>
      <c r="M1204" s="16" t="s">
        <v>3742</v>
      </c>
      <c r="N1204" s="18"/>
      <c r="O1204" s="18"/>
      <c r="P1204" s="18">
        <f>VLOOKUP($A1204,MasterData!$C$1:$I$3001,1,FALSE)</f>
        <v>8645</v>
      </c>
      <c r="Q1204" s="18" t="str">
        <f t="shared" si="2"/>
        <v>XIOTO1</v>
      </c>
    </row>
    <row r="1205" ht="15.75" customHeight="1">
      <c r="A1205" s="15">
        <v>8656.0</v>
      </c>
      <c r="B1205" s="16" t="s">
        <v>8170</v>
      </c>
      <c r="C1205" s="17" t="s">
        <v>8171</v>
      </c>
      <c r="D1205" s="29" t="s">
        <v>8170</v>
      </c>
      <c r="E1205" s="18" t="s">
        <v>3745</v>
      </c>
      <c r="F1205" s="19" t="str">
        <f t="shared" si="1"/>
        <v>XIOTO1</v>
      </c>
      <c r="G1205" s="19" t="s">
        <v>5408</v>
      </c>
      <c r="H1205" s="20" t="s">
        <v>3045</v>
      </c>
      <c r="I1205" s="19" t="s">
        <v>5409</v>
      </c>
      <c r="J1205" s="19" t="s">
        <v>5410</v>
      </c>
      <c r="K1205" s="21" t="s">
        <v>5411</v>
      </c>
      <c r="L1205" s="19" t="s">
        <v>6536</v>
      </c>
      <c r="M1205" s="16" t="s">
        <v>3744</v>
      </c>
      <c r="N1205" s="18"/>
      <c r="O1205" s="18"/>
      <c r="P1205" s="18">
        <f>VLOOKUP($A1205,MasterData!$C$1:$I$3001,1,FALSE)</f>
        <v>8656</v>
      </c>
      <c r="Q1205" s="18" t="str">
        <f t="shared" si="2"/>
        <v>XIOTO1</v>
      </c>
    </row>
    <row r="1206" ht="15.75" customHeight="1">
      <c r="A1206" s="15">
        <v>8667.0</v>
      </c>
      <c r="B1206" s="16" t="s">
        <v>8172</v>
      </c>
      <c r="C1206" s="17" t="s">
        <v>8173</v>
      </c>
      <c r="D1206" s="29" t="s">
        <v>8172</v>
      </c>
      <c r="E1206" s="18" t="s">
        <v>3747</v>
      </c>
      <c r="F1206" s="19" t="str">
        <f t="shared" si="1"/>
        <v>XIOTO1</v>
      </c>
      <c r="G1206" s="19" t="s">
        <v>5408</v>
      </c>
      <c r="H1206" s="20" t="s">
        <v>3045</v>
      </c>
      <c r="I1206" s="19" t="s">
        <v>5409</v>
      </c>
      <c r="J1206" s="19" t="s">
        <v>5410</v>
      </c>
      <c r="K1206" s="21" t="s">
        <v>5411</v>
      </c>
      <c r="L1206" s="19" t="s">
        <v>6536</v>
      </c>
      <c r="M1206" s="16" t="s">
        <v>3746</v>
      </c>
      <c r="N1206" s="18"/>
      <c r="O1206" s="18"/>
      <c r="P1206" s="18">
        <f>VLOOKUP($A1206,MasterData!$C$1:$I$3001,1,FALSE)</f>
        <v>8667</v>
      </c>
      <c r="Q1206" s="18" t="str">
        <f t="shared" si="2"/>
        <v>XIOTO1</v>
      </c>
    </row>
    <row r="1207" ht="15.75" customHeight="1">
      <c r="A1207" s="15">
        <v>8700.0</v>
      </c>
      <c r="B1207" s="16" t="s">
        <v>8174</v>
      </c>
      <c r="C1207" s="17" t="s">
        <v>8175</v>
      </c>
      <c r="D1207" s="29" t="s">
        <v>8174</v>
      </c>
      <c r="E1207" s="18" t="s">
        <v>3749</v>
      </c>
      <c r="F1207" s="19" t="str">
        <f t="shared" si="1"/>
        <v>XIOTO1</v>
      </c>
      <c r="G1207" s="19" t="s">
        <v>5408</v>
      </c>
      <c r="H1207" s="20" t="s">
        <v>3045</v>
      </c>
      <c r="I1207" s="19" t="s">
        <v>5409</v>
      </c>
      <c r="J1207" s="19" t="s">
        <v>5410</v>
      </c>
      <c r="K1207" s="21" t="s">
        <v>5411</v>
      </c>
      <c r="L1207" s="19" t="s">
        <v>6536</v>
      </c>
      <c r="M1207" s="16" t="s">
        <v>3748</v>
      </c>
      <c r="N1207" s="18"/>
      <c r="O1207" s="18"/>
      <c r="P1207" s="18">
        <f>VLOOKUP($A1207,MasterData!$C$1:$I$3001,1,FALSE)</f>
        <v>8700</v>
      </c>
      <c r="Q1207" s="18" t="str">
        <f t="shared" si="2"/>
        <v>XIOTO1</v>
      </c>
    </row>
    <row r="1208" ht="15.75" customHeight="1">
      <c r="A1208" s="15">
        <v>8719.0</v>
      </c>
      <c r="B1208" s="16" t="s">
        <v>8176</v>
      </c>
      <c r="C1208" s="17" t="s">
        <v>8177</v>
      </c>
      <c r="D1208" s="29" t="s">
        <v>8176</v>
      </c>
      <c r="E1208" s="18" t="s">
        <v>3751</v>
      </c>
      <c r="F1208" s="19" t="str">
        <f t="shared" si="1"/>
        <v>XIOTO1</v>
      </c>
      <c r="G1208" s="19" t="s">
        <v>5408</v>
      </c>
      <c r="H1208" s="20" t="s">
        <v>3045</v>
      </c>
      <c r="I1208" s="19" t="s">
        <v>5409</v>
      </c>
      <c r="J1208" s="19" t="s">
        <v>5410</v>
      </c>
      <c r="K1208" s="21" t="s">
        <v>5411</v>
      </c>
      <c r="L1208" s="19" t="s">
        <v>6536</v>
      </c>
      <c r="M1208" s="16" t="s">
        <v>3750</v>
      </c>
      <c r="N1208" s="18"/>
      <c r="O1208" s="18"/>
      <c r="P1208" s="18">
        <f>VLOOKUP($A1208,MasterData!$C$1:$I$3001,1,FALSE)</f>
        <v>8719</v>
      </c>
      <c r="Q1208" s="18" t="str">
        <f t="shared" si="2"/>
        <v>XIOTO1</v>
      </c>
    </row>
    <row r="1209" ht="15.75" customHeight="1">
      <c r="A1209" s="15">
        <v>8725.0</v>
      </c>
      <c r="B1209" s="16" t="s">
        <v>8178</v>
      </c>
      <c r="C1209" s="17" t="s">
        <v>8179</v>
      </c>
      <c r="D1209" s="29" t="s">
        <v>8178</v>
      </c>
      <c r="E1209" s="18" t="s">
        <v>3753</v>
      </c>
      <c r="F1209" s="19" t="str">
        <f t="shared" si="1"/>
        <v>XIOTO1</v>
      </c>
      <c r="G1209" s="19" t="s">
        <v>5408</v>
      </c>
      <c r="H1209" s="20" t="s">
        <v>3045</v>
      </c>
      <c r="I1209" s="19" t="s">
        <v>5409</v>
      </c>
      <c r="J1209" s="19" t="s">
        <v>5410</v>
      </c>
      <c r="K1209" s="21" t="s">
        <v>5411</v>
      </c>
      <c r="L1209" s="19" t="s">
        <v>6536</v>
      </c>
      <c r="M1209" s="16" t="s">
        <v>3752</v>
      </c>
      <c r="N1209" s="18"/>
      <c r="O1209" s="18"/>
      <c r="P1209" s="18">
        <f>VLOOKUP($A1209,MasterData!$C$1:$I$3001,1,FALSE)</f>
        <v>8725</v>
      </c>
      <c r="Q1209" s="18" t="str">
        <f t="shared" si="2"/>
        <v>XIOTO1</v>
      </c>
    </row>
    <row r="1210" ht="15.75" customHeight="1">
      <c r="A1210" s="15">
        <v>8751.0</v>
      </c>
      <c r="B1210" s="16" t="s">
        <v>8180</v>
      </c>
      <c r="C1210" s="17" t="s">
        <v>8181</v>
      </c>
      <c r="D1210" s="29" t="s">
        <v>8180</v>
      </c>
      <c r="E1210" s="18" t="s">
        <v>3755</v>
      </c>
      <c r="F1210" s="19" t="str">
        <f t="shared" si="1"/>
        <v>XIOTO1</v>
      </c>
      <c r="G1210" s="19" t="s">
        <v>5408</v>
      </c>
      <c r="H1210" s="20" t="s">
        <v>3045</v>
      </c>
      <c r="I1210" s="19" t="s">
        <v>5409</v>
      </c>
      <c r="J1210" s="19" t="s">
        <v>5410</v>
      </c>
      <c r="K1210" s="21" t="s">
        <v>5411</v>
      </c>
      <c r="L1210" s="19" t="s">
        <v>6536</v>
      </c>
      <c r="M1210" s="16" t="s">
        <v>3754</v>
      </c>
      <c r="N1210" s="18"/>
      <c r="O1210" s="18"/>
      <c r="P1210" s="18">
        <f>VLOOKUP($A1210,MasterData!$C$1:$I$3001,1,FALSE)</f>
        <v>8751</v>
      </c>
      <c r="Q1210" s="18" t="str">
        <f t="shared" si="2"/>
        <v>XIOTO1</v>
      </c>
    </row>
    <row r="1211" ht="15.75" customHeight="1">
      <c r="A1211" s="15">
        <v>8760.0</v>
      </c>
      <c r="B1211" s="16" t="s">
        <v>8182</v>
      </c>
      <c r="C1211" s="17" t="s">
        <v>8183</v>
      </c>
      <c r="D1211" s="29" t="s">
        <v>8182</v>
      </c>
      <c r="E1211" s="18" t="s">
        <v>3757</v>
      </c>
      <c r="F1211" s="19" t="str">
        <f t="shared" si="1"/>
        <v>XIOTO1</v>
      </c>
      <c r="G1211" s="19" t="s">
        <v>5408</v>
      </c>
      <c r="H1211" s="20" t="s">
        <v>3045</v>
      </c>
      <c r="I1211" s="19" t="s">
        <v>5409</v>
      </c>
      <c r="J1211" s="19" t="s">
        <v>5410</v>
      </c>
      <c r="K1211" s="21" t="s">
        <v>5411</v>
      </c>
      <c r="L1211" s="19" t="s">
        <v>6536</v>
      </c>
      <c r="M1211" s="16" t="s">
        <v>3756</v>
      </c>
      <c r="N1211" s="18"/>
      <c r="O1211" s="18"/>
      <c r="P1211" s="18">
        <f>VLOOKUP($A1211,MasterData!$C$1:$I$3001,1,FALSE)</f>
        <v>8760</v>
      </c>
      <c r="Q1211" s="18" t="str">
        <f t="shared" si="2"/>
        <v>XIOTO1</v>
      </c>
    </row>
    <row r="1212" ht="15.75" customHeight="1">
      <c r="A1212" s="15">
        <v>8780.0</v>
      </c>
      <c r="B1212" s="16" t="s">
        <v>8184</v>
      </c>
      <c r="C1212" s="17" t="s">
        <v>8185</v>
      </c>
      <c r="D1212" s="29" t="s">
        <v>8184</v>
      </c>
      <c r="E1212" s="18" t="s">
        <v>3759</v>
      </c>
      <c r="F1212" s="19" t="str">
        <f t="shared" si="1"/>
        <v>XIOTO1</v>
      </c>
      <c r="G1212" s="19" t="s">
        <v>5408</v>
      </c>
      <c r="H1212" s="20" t="s">
        <v>3045</v>
      </c>
      <c r="I1212" s="19" t="s">
        <v>5409</v>
      </c>
      <c r="J1212" s="19" t="s">
        <v>5410</v>
      </c>
      <c r="K1212" s="21" t="s">
        <v>5411</v>
      </c>
      <c r="L1212" s="19" t="s">
        <v>6536</v>
      </c>
      <c r="M1212" s="16" t="s">
        <v>3758</v>
      </c>
      <c r="N1212" s="18"/>
      <c r="O1212" s="18"/>
      <c r="P1212" s="18">
        <f>VLOOKUP($A1212,MasterData!$C$1:$I$3001,1,FALSE)</f>
        <v>8780</v>
      </c>
      <c r="Q1212" s="18" t="str">
        <f t="shared" si="2"/>
        <v>XIOTO1</v>
      </c>
    </row>
    <row r="1213" ht="15.75" customHeight="1">
      <c r="A1213" s="15">
        <v>8793.0</v>
      </c>
      <c r="B1213" s="16" t="s">
        <v>8186</v>
      </c>
      <c r="C1213" s="17" t="s">
        <v>8187</v>
      </c>
      <c r="D1213" s="29" t="s">
        <v>8186</v>
      </c>
      <c r="E1213" s="18" t="s">
        <v>3761</v>
      </c>
      <c r="F1213" s="19" t="str">
        <f t="shared" si="1"/>
        <v>XIOTO1</v>
      </c>
      <c r="G1213" s="19" t="s">
        <v>5408</v>
      </c>
      <c r="H1213" s="20" t="s">
        <v>3045</v>
      </c>
      <c r="I1213" s="19" t="s">
        <v>5409</v>
      </c>
      <c r="J1213" s="19" t="s">
        <v>5410</v>
      </c>
      <c r="K1213" s="21" t="s">
        <v>5411</v>
      </c>
      <c r="L1213" s="19" t="s">
        <v>6536</v>
      </c>
      <c r="M1213" s="16" t="s">
        <v>3760</v>
      </c>
      <c r="N1213" s="18"/>
      <c r="O1213" s="18"/>
      <c r="P1213" s="18">
        <f>VLOOKUP($A1213,MasterData!$C$1:$I$3001,1,FALSE)</f>
        <v>8793</v>
      </c>
      <c r="Q1213" s="18" t="str">
        <f t="shared" si="2"/>
        <v>XIOTO1</v>
      </c>
    </row>
    <row r="1214" ht="15.75" customHeight="1">
      <c r="A1214" s="15">
        <v>8830.0</v>
      </c>
      <c r="B1214" s="16" t="s">
        <v>8188</v>
      </c>
      <c r="C1214" s="17" t="s">
        <v>8189</v>
      </c>
      <c r="D1214" s="16" t="s">
        <v>8188</v>
      </c>
      <c r="E1214" s="18" t="s">
        <v>3763</v>
      </c>
      <c r="F1214" s="19" t="str">
        <f t="shared" si="1"/>
        <v>XIOTO1</v>
      </c>
      <c r="G1214" s="19" t="s">
        <v>5408</v>
      </c>
      <c r="H1214" s="20" t="s">
        <v>3045</v>
      </c>
      <c r="I1214" s="19" t="s">
        <v>5409</v>
      </c>
      <c r="J1214" s="19" t="s">
        <v>5410</v>
      </c>
      <c r="K1214" s="21" t="s">
        <v>5411</v>
      </c>
      <c r="L1214" s="19" t="s">
        <v>6536</v>
      </c>
      <c r="M1214" s="16" t="s">
        <v>3762</v>
      </c>
      <c r="N1214" s="18"/>
      <c r="O1214" s="18"/>
      <c r="P1214" s="18">
        <f>VLOOKUP($A1214,MasterData!$C$1:$I$3001,1,FALSE)</f>
        <v>8830</v>
      </c>
      <c r="Q1214" s="18" t="str">
        <f t="shared" si="2"/>
        <v>XIOTO1</v>
      </c>
    </row>
    <row r="1215" ht="15.75" customHeight="1">
      <c r="A1215" s="15">
        <v>8847.0</v>
      </c>
      <c r="B1215" s="16" t="s">
        <v>8190</v>
      </c>
      <c r="C1215" s="17" t="s">
        <v>8191</v>
      </c>
      <c r="D1215" s="16" t="s">
        <v>8190</v>
      </c>
      <c r="E1215" s="18" t="s">
        <v>3765</v>
      </c>
      <c r="F1215" s="19" t="str">
        <f t="shared" si="1"/>
        <v>XIOTO1</v>
      </c>
      <c r="G1215" s="19" t="s">
        <v>5408</v>
      </c>
      <c r="H1215" s="20" t="s">
        <v>3045</v>
      </c>
      <c r="I1215" s="19" t="s">
        <v>5409</v>
      </c>
      <c r="J1215" s="19" t="s">
        <v>5410</v>
      </c>
      <c r="K1215" s="21" t="s">
        <v>5411</v>
      </c>
      <c r="L1215" s="19" t="s">
        <v>6536</v>
      </c>
      <c r="M1215" s="16" t="s">
        <v>3764</v>
      </c>
      <c r="N1215" s="18"/>
      <c r="O1215" s="18"/>
      <c r="P1215" s="18">
        <f>VLOOKUP($A1215,MasterData!$C$1:$I$3001,1,FALSE)</f>
        <v>8847</v>
      </c>
      <c r="Q1215" s="18" t="str">
        <f t="shared" si="2"/>
        <v>XIOTO1</v>
      </c>
    </row>
    <row r="1216" ht="15.75" customHeight="1">
      <c r="A1216" s="15">
        <v>8867.0</v>
      </c>
      <c r="B1216" s="16" t="s">
        <v>8192</v>
      </c>
      <c r="C1216" s="17" t="s">
        <v>8193</v>
      </c>
      <c r="D1216" s="16" t="s">
        <v>8192</v>
      </c>
      <c r="E1216" s="18" t="s">
        <v>3767</v>
      </c>
      <c r="F1216" s="19" t="str">
        <f t="shared" si="1"/>
        <v>XIOTO1</v>
      </c>
      <c r="G1216" s="19" t="s">
        <v>5408</v>
      </c>
      <c r="H1216" s="20" t="s">
        <v>3045</v>
      </c>
      <c r="I1216" s="19" t="s">
        <v>5409</v>
      </c>
      <c r="J1216" s="19" t="s">
        <v>5410</v>
      </c>
      <c r="K1216" s="21" t="s">
        <v>5411</v>
      </c>
      <c r="L1216" s="19" t="s">
        <v>6536</v>
      </c>
      <c r="M1216" s="16" t="s">
        <v>3766</v>
      </c>
      <c r="N1216" s="18"/>
      <c r="O1216" s="18"/>
      <c r="P1216" s="18">
        <f>VLOOKUP($A1216,MasterData!$C$1:$I$3001,1,FALSE)</f>
        <v>8867</v>
      </c>
      <c r="Q1216" s="18" t="str">
        <f t="shared" si="2"/>
        <v>XIOTO1</v>
      </c>
    </row>
    <row r="1217" ht="15.75" customHeight="1">
      <c r="A1217" s="15">
        <v>8883.0</v>
      </c>
      <c r="B1217" s="16" t="s">
        <v>8194</v>
      </c>
      <c r="C1217" s="17" t="s">
        <v>8195</v>
      </c>
      <c r="D1217" s="16" t="s">
        <v>8194</v>
      </c>
      <c r="E1217" s="18" t="s">
        <v>3769</v>
      </c>
      <c r="F1217" s="19" t="str">
        <f t="shared" si="1"/>
        <v>XIOTO1</v>
      </c>
      <c r="G1217" s="19" t="s">
        <v>5408</v>
      </c>
      <c r="H1217" s="20" t="s">
        <v>3045</v>
      </c>
      <c r="I1217" s="19" t="s">
        <v>5409</v>
      </c>
      <c r="J1217" s="19" t="s">
        <v>5410</v>
      </c>
      <c r="K1217" s="21" t="s">
        <v>5411</v>
      </c>
      <c r="L1217" s="19" t="s">
        <v>6536</v>
      </c>
      <c r="M1217" s="16" t="s">
        <v>3768</v>
      </c>
      <c r="N1217" s="18"/>
      <c r="O1217" s="18"/>
      <c r="P1217" s="18">
        <f>VLOOKUP($A1217,MasterData!$C$1:$I$3001,1,FALSE)</f>
        <v>8883</v>
      </c>
      <c r="Q1217" s="18" t="str">
        <f t="shared" si="2"/>
        <v>XIOTO1</v>
      </c>
    </row>
    <row r="1218" ht="15.75" customHeight="1">
      <c r="A1218" s="15">
        <v>8902.0</v>
      </c>
      <c r="B1218" s="16" t="s">
        <v>8196</v>
      </c>
      <c r="C1218" s="17" t="s">
        <v>8197</v>
      </c>
      <c r="D1218" s="16" t="s">
        <v>8196</v>
      </c>
      <c r="E1218" s="18" t="s">
        <v>3770</v>
      </c>
      <c r="F1218" s="19" t="str">
        <f t="shared" si="1"/>
        <v>XIOTO1</v>
      </c>
      <c r="G1218" s="19" t="s">
        <v>5408</v>
      </c>
      <c r="H1218" s="20" t="s">
        <v>3045</v>
      </c>
      <c r="I1218" s="19" t="s">
        <v>5409</v>
      </c>
      <c r="J1218" s="19" t="s">
        <v>5410</v>
      </c>
      <c r="K1218" s="21" t="s">
        <v>5411</v>
      </c>
      <c r="L1218" s="19" t="s">
        <v>6536</v>
      </c>
      <c r="M1218" s="16" t="s">
        <v>3190</v>
      </c>
      <c r="N1218" s="18"/>
      <c r="O1218" s="18"/>
      <c r="P1218" s="18">
        <f>VLOOKUP($A1218,MasterData!$C$1:$I$3001,1,FALSE)</f>
        <v>8902</v>
      </c>
      <c r="Q1218" s="18" t="str">
        <f t="shared" si="2"/>
        <v>XIOTO1</v>
      </c>
    </row>
    <row r="1219" ht="15.75" customHeight="1">
      <c r="A1219" s="15">
        <v>8941.0</v>
      </c>
      <c r="B1219" s="16" t="s">
        <v>8198</v>
      </c>
      <c r="C1219" s="17" t="s">
        <v>8199</v>
      </c>
      <c r="D1219" s="16" t="s">
        <v>8198</v>
      </c>
      <c r="E1219" s="18" t="s">
        <v>3772</v>
      </c>
      <c r="F1219" s="19" t="str">
        <f t="shared" si="1"/>
        <v>XIOTO1</v>
      </c>
      <c r="G1219" s="19" t="s">
        <v>5408</v>
      </c>
      <c r="H1219" s="20" t="s">
        <v>3045</v>
      </c>
      <c r="I1219" s="19" t="s">
        <v>5409</v>
      </c>
      <c r="J1219" s="19" t="s">
        <v>5410</v>
      </c>
      <c r="K1219" s="21" t="s">
        <v>5411</v>
      </c>
      <c r="L1219" s="19" t="s">
        <v>6536</v>
      </c>
      <c r="M1219" s="16" t="s">
        <v>3771</v>
      </c>
      <c r="N1219" s="18"/>
      <c r="O1219" s="18"/>
      <c r="P1219" s="18">
        <f>VLOOKUP($A1219,MasterData!$C$1:$I$3001,1,FALSE)</f>
        <v>8941</v>
      </c>
      <c r="Q1219" s="18" t="str">
        <f t="shared" si="2"/>
        <v>XIOTO1</v>
      </c>
    </row>
    <row r="1220" ht="15.75" customHeight="1">
      <c r="A1220" s="15">
        <v>8946.0</v>
      </c>
      <c r="B1220" s="16" t="s">
        <v>8200</v>
      </c>
      <c r="C1220" s="17" t="s">
        <v>8201</v>
      </c>
      <c r="D1220" s="16" t="s">
        <v>8200</v>
      </c>
      <c r="E1220" s="18" t="s">
        <v>3774</v>
      </c>
      <c r="F1220" s="19" t="str">
        <f t="shared" si="1"/>
        <v>XIOTO1</v>
      </c>
      <c r="G1220" s="19" t="s">
        <v>5408</v>
      </c>
      <c r="H1220" s="20" t="s">
        <v>3045</v>
      </c>
      <c r="I1220" s="19" t="s">
        <v>5409</v>
      </c>
      <c r="J1220" s="19" t="s">
        <v>5410</v>
      </c>
      <c r="K1220" s="21" t="s">
        <v>5411</v>
      </c>
      <c r="L1220" s="19" t="s">
        <v>6536</v>
      </c>
      <c r="M1220" s="16" t="s">
        <v>3773</v>
      </c>
      <c r="N1220" s="18"/>
      <c r="O1220" s="18"/>
      <c r="P1220" s="18">
        <f>VLOOKUP($A1220,MasterData!$C$1:$I$3001,1,FALSE)</f>
        <v>8946</v>
      </c>
      <c r="Q1220" s="18" t="str">
        <f t="shared" si="2"/>
        <v>XIOTO1</v>
      </c>
    </row>
    <row r="1221" ht="15.75" customHeight="1">
      <c r="A1221" s="15">
        <v>8969.0</v>
      </c>
      <c r="B1221" s="16" t="s">
        <v>8202</v>
      </c>
      <c r="C1221" s="17" t="s">
        <v>8203</v>
      </c>
      <c r="D1221" s="16" t="s">
        <v>8202</v>
      </c>
      <c r="E1221" s="18" t="s">
        <v>3776</v>
      </c>
      <c r="F1221" s="19" t="str">
        <f t="shared" si="1"/>
        <v>XIOTO1</v>
      </c>
      <c r="G1221" s="19" t="s">
        <v>5408</v>
      </c>
      <c r="H1221" s="20" t="s">
        <v>3045</v>
      </c>
      <c r="I1221" s="19" t="s">
        <v>5409</v>
      </c>
      <c r="J1221" s="19" t="s">
        <v>5410</v>
      </c>
      <c r="K1221" s="21" t="s">
        <v>5411</v>
      </c>
      <c r="L1221" s="19" t="s">
        <v>6536</v>
      </c>
      <c r="M1221" s="16" t="s">
        <v>3775</v>
      </c>
      <c r="N1221" s="18"/>
      <c r="O1221" s="18"/>
      <c r="P1221" s="18">
        <f>VLOOKUP($A1221,MasterData!$C$1:$I$3001,1,FALSE)</f>
        <v>8969</v>
      </c>
      <c r="Q1221" s="18" t="str">
        <f t="shared" si="2"/>
        <v>XIOTO1</v>
      </c>
    </row>
    <row r="1222" ht="15.75" customHeight="1">
      <c r="A1222" s="15">
        <v>8983.0</v>
      </c>
      <c r="B1222" s="16" t="s">
        <v>8204</v>
      </c>
      <c r="C1222" s="17" t="s">
        <v>8205</v>
      </c>
      <c r="D1222" s="16" t="s">
        <v>8204</v>
      </c>
      <c r="E1222" s="18" t="s">
        <v>3778</v>
      </c>
      <c r="F1222" s="19" t="str">
        <f t="shared" si="1"/>
        <v>XIOTO1</v>
      </c>
      <c r="G1222" s="19" t="s">
        <v>5408</v>
      </c>
      <c r="H1222" s="20" t="s">
        <v>3045</v>
      </c>
      <c r="I1222" s="19" t="s">
        <v>5409</v>
      </c>
      <c r="J1222" s="19" t="s">
        <v>5410</v>
      </c>
      <c r="K1222" s="21" t="s">
        <v>5411</v>
      </c>
      <c r="L1222" s="19" t="s">
        <v>6536</v>
      </c>
      <c r="M1222" s="16" t="s">
        <v>3777</v>
      </c>
      <c r="N1222" s="18"/>
      <c r="O1222" s="18"/>
      <c r="P1222" s="18">
        <f>VLOOKUP($A1222,MasterData!$C$1:$I$3001,1,FALSE)</f>
        <v>8983</v>
      </c>
      <c r="Q1222" s="18" t="str">
        <f t="shared" si="2"/>
        <v>XIOTO1</v>
      </c>
    </row>
    <row r="1223" ht="15.75" customHeight="1">
      <c r="A1223" s="15">
        <v>8998.0</v>
      </c>
      <c r="B1223" s="16" t="s">
        <v>8206</v>
      </c>
      <c r="C1223" s="30" t="s">
        <v>8207</v>
      </c>
      <c r="D1223" s="16" t="s">
        <v>8206</v>
      </c>
      <c r="E1223" s="18" t="s">
        <v>3780</v>
      </c>
      <c r="F1223" s="19" t="str">
        <f t="shared" si="1"/>
        <v>XIOTO1</v>
      </c>
      <c r="G1223" s="19" t="s">
        <v>5408</v>
      </c>
      <c r="H1223" s="20" t="s">
        <v>3045</v>
      </c>
      <c r="I1223" s="19" t="s">
        <v>5409</v>
      </c>
      <c r="J1223" s="19" t="s">
        <v>5410</v>
      </c>
      <c r="K1223" s="21" t="s">
        <v>5411</v>
      </c>
      <c r="L1223" s="19" t="s">
        <v>6536</v>
      </c>
      <c r="M1223" s="16" t="s">
        <v>3779</v>
      </c>
      <c r="N1223" s="18"/>
      <c r="O1223" s="18"/>
      <c r="P1223" s="18">
        <f>VLOOKUP($A1223,MasterData!$C$1:$I$3001,1,FALSE)</f>
        <v>8998</v>
      </c>
      <c r="Q1223" s="18" t="str">
        <f t="shared" si="2"/>
        <v>XIOTO1</v>
      </c>
    </row>
    <row r="1224" ht="15.75" customHeight="1">
      <c r="A1224" s="15">
        <v>9020.0</v>
      </c>
      <c r="B1224" s="16" t="s">
        <v>8208</v>
      </c>
      <c r="C1224" s="17" t="s">
        <v>8209</v>
      </c>
      <c r="D1224" s="16" t="s">
        <v>8208</v>
      </c>
      <c r="E1224" s="18" t="s">
        <v>3782</v>
      </c>
      <c r="F1224" s="19" t="str">
        <f t="shared" si="1"/>
        <v>XIOTO1</v>
      </c>
      <c r="G1224" s="19" t="s">
        <v>5408</v>
      </c>
      <c r="H1224" s="20" t="s">
        <v>3045</v>
      </c>
      <c r="I1224" s="19" t="s">
        <v>5409</v>
      </c>
      <c r="J1224" s="19" t="s">
        <v>5410</v>
      </c>
      <c r="K1224" s="21" t="s">
        <v>5411</v>
      </c>
      <c r="L1224" s="19" t="s">
        <v>6536</v>
      </c>
      <c r="M1224" s="16" t="s">
        <v>3781</v>
      </c>
      <c r="N1224" s="18"/>
      <c r="O1224" s="18"/>
      <c r="P1224" s="18">
        <f>VLOOKUP($A1224,MasterData!$C$1:$I$3001,1,FALSE)</f>
        <v>9020</v>
      </c>
      <c r="Q1224" s="18" t="str">
        <f t="shared" si="2"/>
        <v>XIOTO1</v>
      </c>
    </row>
    <row r="1225" ht="15.75" customHeight="1">
      <c r="A1225" s="15">
        <v>9028.0</v>
      </c>
      <c r="B1225" s="16" t="s">
        <v>8210</v>
      </c>
      <c r="C1225" s="17" t="s">
        <v>8211</v>
      </c>
      <c r="D1225" s="16" t="s">
        <v>8210</v>
      </c>
      <c r="E1225" s="18" t="s">
        <v>3784</v>
      </c>
      <c r="F1225" s="19" t="str">
        <f t="shared" si="1"/>
        <v>XIOTO1</v>
      </c>
      <c r="G1225" s="19" t="s">
        <v>5408</v>
      </c>
      <c r="H1225" s="20" t="s">
        <v>3045</v>
      </c>
      <c r="I1225" s="19" t="s">
        <v>5409</v>
      </c>
      <c r="J1225" s="19" t="s">
        <v>5410</v>
      </c>
      <c r="K1225" s="21" t="s">
        <v>5411</v>
      </c>
      <c r="L1225" s="19" t="s">
        <v>6536</v>
      </c>
      <c r="M1225" s="16" t="s">
        <v>3783</v>
      </c>
      <c r="N1225" s="18"/>
      <c r="O1225" s="18"/>
      <c r="P1225" s="18">
        <f>VLOOKUP($A1225,MasterData!$C$1:$I$3001,1,FALSE)</f>
        <v>9028</v>
      </c>
      <c r="Q1225" s="18" t="str">
        <f t="shared" si="2"/>
        <v>XIOTO1</v>
      </c>
    </row>
    <row r="1226" ht="15.75" customHeight="1">
      <c r="A1226" s="15">
        <v>9054.0</v>
      </c>
      <c r="B1226" s="16" t="s">
        <v>8212</v>
      </c>
      <c r="C1226" s="17" t="s">
        <v>8213</v>
      </c>
      <c r="D1226" s="16" t="s">
        <v>8212</v>
      </c>
      <c r="E1226" s="18" t="s">
        <v>3786</v>
      </c>
      <c r="F1226" s="19" t="str">
        <f t="shared" si="1"/>
        <v>XIOTO1</v>
      </c>
      <c r="G1226" s="19" t="s">
        <v>5408</v>
      </c>
      <c r="H1226" s="20" t="s">
        <v>3045</v>
      </c>
      <c r="I1226" s="19" t="s">
        <v>5409</v>
      </c>
      <c r="J1226" s="19" t="s">
        <v>5410</v>
      </c>
      <c r="K1226" s="21" t="s">
        <v>5411</v>
      </c>
      <c r="L1226" s="19" t="s">
        <v>6536</v>
      </c>
      <c r="M1226" s="16" t="s">
        <v>3785</v>
      </c>
      <c r="N1226" s="18"/>
      <c r="O1226" s="18"/>
      <c r="P1226" s="18">
        <f>VLOOKUP($A1226,MasterData!$C$1:$I$3001,1,FALSE)</f>
        <v>9054</v>
      </c>
      <c r="Q1226" s="18" t="str">
        <f t="shared" si="2"/>
        <v>XIOTO1</v>
      </c>
    </row>
    <row r="1227" ht="15.75" customHeight="1">
      <c r="A1227" s="15">
        <v>9071.0</v>
      </c>
      <c r="B1227" s="16" t="s">
        <v>8214</v>
      </c>
      <c r="C1227" s="17" t="s">
        <v>8215</v>
      </c>
      <c r="D1227" s="16" t="s">
        <v>8214</v>
      </c>
      <c r="E1227" s="18" t="s">
        <v>3788</v>
      </c>
      <c r="F1227" s="19" t="str">
        <f t="shared" si="1"/>
        <v>XIOTO1</v>
      </c>
      <c r="G1227" s="19" t="s">
        <v>5408</v>
      </c>
      <c r="H1227" s="20" t="s">
        <v>3045</v>
      </c>
      <c r="I1227" s="19" t="s">
        <v>5409</v>
      </c>
      <c r="J1227" s="19" t="s">
        <v>5410</v>
      </c>
      <c r="K1227" s="21" t="s">
        <v>5411</v>
      </c>
      <c r="L1227" s="19" t="s">
        <v>6536</v>
      </c>
      <c r="M1227" s="16" t="s">
        <v>3787</v>
      </c>
      <c r="N1227" s="18"/>
      <c r="O1227" s="18"/>
      <c r="P1227" s="18">
        <f>VLOOKUP($A1227,MasterData!$C$1:$I$3001,1,FALSE)</f>
        <v>9071</v>
      </c>
      <c r="Q1227" s="18" t="str">
        <f t="shared" si="2"/>
        <v>XIOTO1</v>
      </c>
    </row>
    <row r="1228" ht="15.75" customHeight="1">
      <c r="A1228" s="15">
        <v>9089.0</v>
      </c>
      <c r="B1228" s="16" t="s">
        <v>8216</v>
      </c>
      <c r="C1228" s="17" t="s">
        <v>8217</v>
      </c>
      <c r="D1228" s="16" t="s">
        <v>8216</v>
      </c>
      <c r="E1228" s="18" t="s">
        <v>3790</v>
      </c>
      <c r="F1228" s="19" t="str">
        <f t="shared" si="1"/>
        <v>XIOTO1</v>
      </c>
      <c r="G1228" s="19" t="s">
        <v>5408</v>
      </c>
      <c r="H1228" s="20" t="s">
        <v>3045</v>
      </c>
      <c r="I1228" s="19" t="s">
        <v>5409</v>
      </c>
      <c r="J1228" s="19" t="s">
        <v>5410</v>
      </c>
      <c r="K1228" s="21" t="s">
        <v>5411</v>
      </c>
      <c r="L1228" s="19" t="s">
        <v>6536</v>
      </c>
      <c r="M1228" s="16" t="s">
        <v>3789</v>
      </c>
      <c r="N1228" s="18"/>
      <c r="O1228" s="18"/>
      <c r="P1228" s="18">
        <f>VLOOKUP($A1228,MasterData!$C$1:$I$3001,1,FALSE)</f>
        <v>9089</v>
      </c>
      <c r="Q1228" s="18" t="str">
        <f t="shared" si="2"/>
        <v>XIOTO1</v>
      </c>
    </row>
    <row r="1229" ht="15.75" customHeight="1">
      <c r="A1229" s="15">
        <v>9092.0</v>
      </c>
      <c r="B1229" s="16" t="s">
        <v>8218</v>
      </c>
      <c r="C1229" s="17" t="s">
        <v>8219</v>
      </c>
      <c r="D1229" s="16" t="s">
        <v>8218</v>
      </c>
      <c r="E1229" s="18" t="s">
        <v>3792</v>
      </c>
      <c r="F1229" s="19" t="str">
        <f t="shared" si="1"/>
        <v>XIOTO1</v>
      </c>
      <c r="G1229" s="19" t="s">
        <v>5408</v>
      </c>
      <c r="H1229" s="20" t="s">
        <v>3045</v>
      </c>
      <c r="I1229" s="19" t="s">
        <v>5409</v>
      </c>
      <c r="J1229" s="19" t="s">
        <v>5410</v>
      </c>
      <c r="K1229" s="21" t="s">
        <v>5411</v>
      </c>
      <c r="L1229" s="19" t="s">
        <v>6536</v>
      </c>
      <c r="M1229" s="16" t="s">
        <v>3791</v>
      </c>
      <c r="N1229" s="18"/>
      <c r="O1229" s="18"/>
      <c r="P1229" s="18">
        <f>VLOOKUP($A1229,MasterData!$C$1:$I$3001,1,FALSE)</f>
        <v>9092</v>
      </c>
      <c r="Q1229" s="18" t="str">
        <f t="shared" si="2"/>
        <v>XIOTO1</v>
      </c>
    </row>
    <row r="1230" ht="15.75" customHeight="1">
      <c r="A1230" s="15">
        <v>9103.0</v>
      </c>
      <c r="B1230" s="16" t="s">
        <v>8220</v>
      </c>
      <c r="C1230" s="17" t="s">
        <v>8221</v>
      </c>
      <c r="D1230" s="16" t="s">
        <v>8220</v>
      </c>
      <c r="E1230" s="18" t="s">
        <v>3794</v>
      </c>
      <c r="F1230" s="19" t="str">
        <f t="shared" si="1"/>
        <v>XIOTO1</v>
      </c>
      <c r="G1230" s="19" t="s">
        <v>5408</v>
      </c>
      <c r="H1230" s="20" t="s">
        <v>3045</v>
      </c>
      <c r="I1230" s="19" t="s">
        <v>5409</v>
      </c>
      <c r="J1230" s="19" t="s">
        <v>5410</v>
      </c>
      <c r="K1230" s="21" t="s">
        <v>5411</v>
      </c>
      <c r="L1230" s="19" t="s">
        <v>6536</v>
      </c>
      <c r="M1230" s="16" t="s">
        <v>3793</v>
      </c>
      <c r="N1230" s="18"/>
      <c r="O1230" s="18"/>
      <c r="P1230" s="18">
        <f>VLOOKUP($A1230,MasterData!$C$1:$I$3001,1,FALSE)</f>
        <v>9103</v>
      </c>
      <c r="Q1230" s="18" t="str">
        <f t="shared" si="2"/>
        <v>XIOTO1</v>
      </c>
    </row>
    <row r="1231" ht="15.75" customHeight="1">
      <c r="A1231" s="15">
        <v>9110.0</v>
      </c>
      <c r="B1231" s="16" t="s">
        <v>8222</v>
      </c>
      <c r="C1231" s="17" t="s">
        <v>8223</v>
      </c>
      <c r="D1231" s="16" t="s">
        <v>8222</v>
      </c>
      <c r="E1231" s="18" t="s">
        <v>3796</v>
      </c>
      <c r="F1231" s="19" t="str">
        <f t="shared" si="1"/>
        <v>XIOTO1</v>
      </c>
      <c r="G1231" s="19" t="s">
        <v>5408</v>
      </c>
      <c r="H1231" s="20" t="s">
        <v>3045</v>
      </c>
      <c r="I1231" s="19" t="s">
        <v>5409</v>
      </c>
      <c r="J1231" s="19" t="s">
        <v>5410</v>
      </c>
      <c r="K1231" s="21" t="s">
        <v>5411</v>
      </c>
      <c r="L1231" s="19" t="s">
        <v>6536</v>
      </c>
      <c r="M1231" s="16" t="s">
        <v>3795</v>
      </c>
      <c r="N1231" s="18"/>
      <c r="O1231" s="18"/>
      <c r="P1231" s="18">
        <f>VLOOKUP($A1231,MasterData!$C$1:$I$3001,1,FALSE)</f>
        <v>9110</v>
      </c>
      <c r="Q1231" s="18" t="str">
        <f t="shared" si="2"/>
        <v>XIOTO1</v>
      </c>
    </row>
    <row r="1232" ht="15.75" customHeight="1">
      <c r="A1232" s="15">
        <v>9120.0</v>
      </c>
      <c r="B1232" s="16" t="s">
        <v>8224</v>
      </c>
      <c r="C1232" s="17" t="s">
        <v>8225</v>
      </c>
      <c r="D1232" s="16" t="s">
        <v>8224</v>
      </c>
      <c r="E1232" s="18" t="s">
        <v>3798</v>
      </c>
      <c r="F1232" s="19" t="str">
        <f t="shared" si="1"/>
        <v>XIOTO1</v>
      </c>
      <c r="G1232" s="19" t="s">
        <v>5408</v>
      </c>
      <c r="H1232" s="20" t="s">
        <v>3045</v>
      </c>
      <c r="I1232" s="19" t="s">
        <v>5409</v>
      </c>
      <c r="J1232" s="19" t="s">
        <v>5410</v>
      </c>
      <c r="K1232" s="21" t="s">
        <v>5411</v>
      </c>
      <c r="L1232" s="19" t="s">
        <v>6536</v>
      </c>
      <c r="M1232" s="16" t="s">
        <v>3797</v>
      </c>
      <c r="N1232" s="18"/>
      <c r="O1232" s="18"/>
      <c r="P1232" s="18">
        <f>VLOOKUP($A1232,MasterData!$C$1:$I$3001,1,FALSE)</f>
        <v>9120</v>
      </c>
      <c r="Q1232" s="18" t="str">
        <f t="shared" si="2"/>
        <v>XIOTO1</v>
      </c>
    </row>
    <row r="1233" ht="15.75" customHeight="1">
      <c r="A1233" s="15">
        <v>9131.0</v>
      </c>
      <c r="B1233" s="16" t="s">
        <v>8226</v>
      </c>
      <c r="C1233" s="17" t="s">
        <v>8227</v>
      </c>
      <c r="D1233" s="16" t="s">
        <v>8226</v>
      </c>
      <c r="E1233" s="18" t="s">
        <v>3800</v>
      </c>
      <c r="F1233" s="19" t="str">
        <f t="shared" si="1"/>
        <v>XIOTO1</v>
      </c>
      <c r="G1233" s="19" t="s">
        <v>5408</v>
      </c>
      <c r="H1233" s="20" t="s">
        <v>3045</v>
      </c>
      <c r="I1233" s="19" t="s">
        <v>5409</v>
      </c>
      <c r="J1233" s="19" t="s">
        <v>5410</v>
      </c>
      <c r="K1233" s="21" t="s">
        <v>5411</v>
      </c>
      <c r="L1233" s="19" t="s">
        <v>6536</v>
      </c>
      <c r="M1233" s="16" t="s">
        <v>3799</v>
      </c>
      <c r="N1233" s="18"/>
      <c r="O1233" s="18"/>
      <c r="P1233" s="18">
        <f>VLOOKUP($A1233,MasterData!$C$1:$I$3001,1,FALSE)</f>
        <v>9131</v>
      </c>
      <c r="Q1233" s="18" t="str">
        <f t="shared" si="2"/>
        <v>XIOTO1</v>
      </c>
    </row>
    <row r="1234" ht="15.75" customHeight="1">
      <c r="A1234" s="15">
        <v>9162.0</v>
      </c>
      <c r="B1234" s="16" t="s">
        <v>8228</v>
      </c>
      <c r="C1234" s="17" t="s">
        <v>8229</v>
      </c>
      <c r="D1234" s="16" t="s">
        <v>8228</v>
      </c>
      <c r="E1234" s="18" t="s">
        <v>3802</v>
      </c>
      <c r="F1234" s="19" t="str">
        <f t="shared" si="1"/>
        <v>XIOTO1</v>
      </c>
      <c r="G1234" s="19" t="s">
        <v>5408</v>
      </c>
      <c r="H1234" s="20" t="s">
        <v>3045</v>
      </c>
      <c r="I1234" s="19" t="s">
        <v>5409</v>
      </c>
      <c r="J1234" s="19" t="s">
        <v>5410</v>
      </c>
      <c r="K1234" s="21" t="s">
        <v>5411</v>
      </c>
      <c r="L1234" s="19" t="s">
        <v>6536</v>
      </c>
      <c r="M1234" s="16" t="s">
        <v>3801</v>
      </c>
      <c r="N1234" s="18"/>
      <c r="O1234" s="18"/>
      <c r="P1234" s="18">
        <f>VLOOKUP($A1234,MasterData!$C$1:$I$3001,1,FALSE)</f>
        <v>9162</v>
      </c>
      <c r="Q1234" s="18" t="str">
        <f t="shared" si="2"/>
        <v>XIOTO1</v>
      </c>
    </row>
    <row r="1235" ht="15.75" customHeight="1">
      <c r="A1235" s="15">
        <v>9188.0</v>
      </c>
      <c r="B1235" s="16" t="s">
        <v>8230</v>
      </c>
      <c r="C1235" s="17" t="s">
        <v>8231</v>
      </c>
      <c r="D1235" s="16" t="s">
        <v>8230</v>
      </c>
      <c r="E1235" s="18" t="s">
        <v>3804</v>
      </c>
      <c r="F1235" s="19" t="str">
        <f t="shared" si="1"/>
        <v>XIOTO1</v>
      </c>
      <c r="G1235" s="19" t="s">
        <v>5408</v>
      </c>
      <c r="H1235" s="20" t="s">
        <v>3045</v>
      </c>
      <c r="I1235" s="19" t="s">
        <v>5409</v>
      </c>
      <c r="J1235" s="19" t="s">
        <v>5410</v>
      </c>
      <c r="K1235" s="21" t="s">
        <v>5411</v>
      </c>
      <c r="L1235" s="19" t="s">
        <v>6536</v>
      </c>
      <c r="M1235" s="16" t="s">
        <v>3803</v>
      </c>
      <c r="N1235" s="18"/>
      <c r="O1235" s="18"/>
      <c r="P1235" s="18">
        <f>VLOOKUP($A1235,MasterData!$C$1:$I$3001,1,FALSE)</f>
        <v>9188</v>
      </c>
      <c r="Q1235" s="18" t="str">
        <f t="shared" si="2"/>
        <v>XIOTO1</v>
      </c>
    </row>
    <row r="1236" ht="15.75" customHeight="1">
      <c r="A1236" s="15">
        <v>9218.0</v>
      </c>
      <c r="B1236" s="16" t="s">
        <v>8232</v>
      </c>
      <c r="C1236" s="17" t="s">
        <v>8233</v>
      </c>
      <c r="D1236" s="16" t="s">
        <v>8232</v>
      </c>
      <c r="E1236" s="18" t="s">
        <v>3806</v>
      </c>
      <c r="F1236" s="19" t="str">
        <f t="shared" si="1"/>
        <v>XIOTO1</v>
      </c>
      <c r="G1236" s="19" t="s">
        <v>5408</v>
      </c>
      <c r="H1236" s="20" t="s">
        <v>3045</v>
      </c>
      <c r="I1236" s="19" t="s">
        <v>5409</v>
      </c>
      <c r="J1236" s="19" t="s">
        <v>5410</v>
      </c>
      <c r="K1236" s="21" t="s">
        <v>5411</v>
      </c>
      <c r="L1236" s="19" t="s">
        <v>6536</v>
      </c>
      <c r="M1236" s="16" t="s">
        <v>3805</v>
      </c>
      <c r="N1236" s="18"/>
      <c r="O1236" s="18"/>
      <c r="P1236" s="18">
        <f>VLOOKUP($A1236,MasterData!$C$1:$I$3001,1,FALSE)</f>
        <v>9218</v>
      </c>
      <c r="Q1236" s="18" t="str">
        <f t="shared" si="2"/>
        <v>XIOTO1</v>
      </c>
    </row>
    <row r="1237" ht="15.75" customHeight="1">
      <c r="A1237" s="15">
        <v>9234.0</v>
      </c>
      <c r="B1237" s="16" t="s">
        <v>8234</v>
      </c>
      <c r="C1237" s="17" t="s">
        <v>8235</v>
      </c>
      <c r="D1237" s="16" t="s">
        <v>8234</v>
      </c>
      <c r="E1237" s="18" t="s">
        <v>3808</v>
      </c>
      <c r="F1237" s="19" t="str">
        <f t="shared" si="1"/>
        <v>XIOTO1</v>
      </c>
      <c r="G1237" s="19" t="s">
        <v>5408</v>
      </c>
      <c r="H1237" s="20" t="s">
        <v>3045</v>
      </c>
      <c r="I1237" s="19" t="s">
        <v>5409</v>
      </c>
      <c r="J1237" s="19" t="s">
        <v>5410</v>
      </c>
      <c r="K1237" s="21" t="s">
        <v>5411</v>
      </c>
      <c r="L1237" s="19" t="s">
        <v>6536</v>
      </c>
      <c r="M1237" s="16" t="s">
        <v>3807</v>
      </c>
      <c r="N1237" s="18"/>
      <c r="O1237" s="18"/>
      <c r="P1237" s="18">
        <f>VLOOKUP($A1237,MasterData!$C$1:$I$3001,1,FALSE)</f>
        <v>9234</v>
      </c>
      <c r="Q1237" s="18" t="str">
        <f t="shared" si="2"/>
        <v>XIOTO1</v>
      </c>
    </row>
    <row r="1238" ht="15.75" customHeight="1">
      <c r="A1238" s="15">
        <v>8642.0</v>
      </c>
      <c r="B1238" s="16" t="s">
        <v>8236</v>
      </c>
      <c r="C1238" s="17" t="s">
        <v>8237</v>
      </c>
      <c r="D1238" s="16" t="s">
        <v>8236</v>
      </c>
      <c r="E1238" s="18" t="s">
        <v>3810</v>
      </c>
      <c r="F1238" s="19" t="str">
        <f t="shared" si="1"/>
        <v>XIOTO2</v>
      </c>
      <c r="G1238" s="19" t="s">
        <v>5408</v>
      </c>
      <c r="H1238" s="20" t="s">
        <v>3045</v>
      </c>
      <c r="I1238" s="19" t="s">
        <v>5409</v>
      </c>
      <c r="J1238" s="19" t="s">
        <v>5410</v>
      </c>
      <c r="K1238" s="21" t="s">
        <v>5411</v>
      </c>
      <c r="L1238" s="19" t="s">
        <v>6637</v>
      </c>
      <c r="M1238" s="16" t="s">
        <v>3809</v>
      </c>
      <c r="N1238" s="18"/>
      <c r="O1238" s="18"/>
      <c r="P1238" s="18">
        <f>VLOOKUP($A1238,MasterData!$C$1:$I$3001,1,FALSE)</f>
        <v>8642</v>
      </c>
      <c r="Q1238" s="18" t="str">
        <f t="shared" si="2"/>
        <v>XIOTO2</v>
      </c>
    </row>
    <row r="1239" ht="15.75" customHeight="1">
      <c r="A1239" s="15">
        <v>8649.0</v>
      </c>
      <c r="B1239" s="16" t="s">
        <v>8238</v>
      </c>
      <c r="C1239" s="17" t="s">
        <v>8239</v>
      </c>
      <c r="D1239" s="16" t="s">
        <v>8238</v>
      </c>
      <c r="E1239" s="18" t="s">
        <v>3812</v>
      </c>
      <c r="F1239" s="19" t="str">
        <f t="shared" si="1"/>
        <v>XIOTO2</v>
      </c>
      <c r="G1239" s="19" t="s">
        <v>5408</v>
      </c>
      <c r="H1239" s="20" t="s">
        <v>3045</v>
      </c>
      <c r="I1239" s="19" t="s">
        <v>5409</v>
      </c>
      <c r="J1239" s="19" t="s">
        <v>5410</v>
      </c>
      <c r="K1239" s="21" t="s">
        <v>5411</v>
      </c>
      <c r="L1239" s="19" t="s">
        <v>6637</v>
      </c>
      <c r="M1239" s="16" t="s">
        <v>3811</v>
      </c>
      <c r="N1239" s="18"/>
      <c r="O1239" s="18"/>
      <c r="P1239" s="18">
        <f>VLOOKUP($A1239,MasterData!$C$1:$I$3001,1,FALSE)</f>
        <v>8649</v>
      </c>
      <c r="Q1239" s="18" t="str">
        <f t="shared" si="2"/>
        <v>XIOTO2</v>
      </c>
    </row>
    <row r="1240" ht="15.75" customHeight="1">
      <c r="A1240" s="15">
        <v>8665.0</v>
      </c>
      <c r="B1240" s="16" t="s">
        <v>8240</v>
      </c>
      <c r="C1240" s="17" t="s">
        <v>8241</v>
      </c>
      <c r="D1240" s="16" t="s">
        <v>8240</v>
      </c>
      <c r="E1240" s="18" t="s">
        <v>3814</v>
      </c>
      <c r="F1240" s="19" t="str">
        <f t="shared" si="1"/>
        <v>XIOTO2</v>
      </c>
      <c r="G1240" s="19" t="s">
        <v>5408</v>
      </c>
      <c r="H1240" s="20" t="s">
        <v>3045</v>
      </c>
      <c r="I1240" s="19" t="s">
        <v>5409</v>
      </c>
      <c r="J1240" s="19" t="s">
        <v>5410</v>
      </c>
      <c r="K1240" s="21" t="s">
        <v>5411</v>
      </c>
      <c r="L1240" s="19" t="s">
        <v>6637</v>
      </c>
      <c r="M1240" s="16" t="s">
        <v>3813</v>
      </c>
      <c r="N1240" s="18"/>
      <c r="O1240" s="18"/>
      <c r="P1240" s="18">
        <f>VLOOKUP($A1240,MasterData!$C$1:$I$3001,1,FALSE)</f>
        <v>8665</v>
      </c>
      <c r="Q1240" s="18" t="str">
        <f t="shared" si="2"/>
        <v>XIOTO2</v>
      </c>
    </row>
    <row r="1241" ht="15.75" customHeight="1">
      <c r="A1241" s="15">
        <v>8670.0</v>
      </c>
      <c r="B1241" s="16" t="s">
        <v>8242</v>
      </c>
      <c r="C1241" s="17" t="s">
        <v>8243</v>
      </c>
      <c r="D1241" s="16" t="s">
        <v>8242</v>
      </c>
      <c r="E1241" s="18" t="s">
        <v>3816</v>
      </c>
      <c r="F1241" s="19" t="str">
        <f t="shared" si="1"/>
        <v>XIOTO2</v>
      </c>
      <c r="G1241" s="19" t="s">
        <v>5408</v>
      </c>
      <c r="H1241" s="20" t="s">
        <v>3045</v>
      </c>
      <c r="I1241" s="19" t="s">
        <v>5409</v>
      </c>
      <c r="J1241" s="19" t="s">
        <v>5410</v>
      </c>
      <c r="K1241" s="21" t="s">
        <v>5411</v>
      </c>
      <c r="L1241" s="19" t="s">
        <v>6637</v>
      </c>
      <c r="M1241" s="16" t="s">
        <v>3815</v>
      </c>
      <c r="N1241" s="18"/>
      <c r="O1241" s="18"/>
      <c r="P1241" s="18">
        <f>VLOOKUP($A1241,MasterData!$C$1:$I$3001,1,FALSE)</f>
        <v>8670</v>
      </c>
      <c r="Q1241" s="18" t="str">
        <f t="shared" si="2"/>
        <v>XIOTO2</v>
      </c>
    </row>
    <row r="1242" ht="15.75" customHeight="1">
      <c r="A1242" s="15">
        <v>8701.0</v>
      </c>
      <c r="B1242" s="16" t="s">
        <v>8244</v>
      </c>
      <c r="C1242" s="17" t="s">
        <v>8245</v>
      </c>
      <c r="D1242" s="16" t="s">
        <v>8244</v>
      </c>
      <c r="E1242" s="18" t="s">
        <v>3818</v>
      </c>
      <c r="F1242" s="19" t="str">
        <f t="shared" si="1"/>
        <v>XIOTO2</v>
      </c>
      <c r="G1242" s="19" t="s">
        <v>5408</v>
      </c>
      <c r="H1242" s="20" t="s">
        <v>3045</v>
      </c>
      <c r="I1242" s="19" t="s">
        <v>5409</v>
      </c>
      <c r="J1242" s="19" t="s">
        <v>5410</v>
      </c>
      <c r="K1242" s="21" t="s">
        <v>5411</v>
      </c>
      <c r="L1242" s="19" t="s">
        <v>6637</v>
      </c>
      <c r="M1242" s="16" t="s">
        <v>3817</v>
      </c>
      <c r="N1242" s="18"/>
      <c r="O1242" s="18"/>
      <c r="P1242" s="18">
        <f>VLOOKUP($A1242,MasterData!$C$1:$I$3001,1,FALSE)</f>
        <v>8701</v>
      </c>
      <c r="Q1242" s="18" t="str">
        <f t="shared" si="2"/>
        <v>XIOTO2</v>
      </c>
    </row>
    <row r="1243" ht="15.75" customHeight="1">
      <c r="A1243" s="15">
        <v>8735.0</v>
      </c>
      <c r="B1243" s="16" t="s">
        <v>8246</v>
      </c>
      <c r="C1243" s="17" t="s">
        <v>8247</v>
      </c>
      <c r="D1243" s="16" t="s">
        <v>8246</v>
      </c>
      <c r="E1243" s="18" t="s">
        <v>3820</v>
      </c>
      <c r="F1243" s="19" t="str">
        <f t="shared" si="1"/>
        <v>XIOTO2</v>
      </c>
      <c r="G1243" s="19" t="s">
        <v>5408</v>
      </c>
      <c r="H1243" s="20" t="s">
        <v>3045</v>
      </c>
      <c r="I1243" s="19" t="s">
        <v>5409</v>
      </c>
      <c r="J1243" s="19" t="s">
        <v>5410</v>
      </c>
      <c r="K1243" s="21" t="s">
        <v>5411</v>
      </c>
      <c r="L1243" s="19" t="s">
        <v>6637</v>
      </c>
      <c r="M1243" s="16" t="s">
        <v>3819</v>
      </c>
      <c r="N1243" s="18"/>
      <c r="O1243" s="18"/>
      <c r="P1243" s="18">
        <f>VLOOKUP($A1243,MasterData!$C$1:$I$3001,1,FALSE)</f>
        <v>8735</v>
      </c>
      <c r="Q1243" s="18" t="str">
        <f t="shared" si="2"/>
        <v>XIOTO2</v>
      </c>
    </row>
    <row r="1244" ht="15.75" customHeight="1">
      <c r="A1244" s="15">
        <v>8761.0</v>
      </c>
      <c r="B1244" s="16" t="s">
        <v>8248</v>
      </c>
      <c r="C1244" s="17" t="s">
        <v>8249</v>
      </c>
      <c r="D1244" s="16" t="s">
        <v>8248</v>
      </c>
      <c r="E1244" s="18" t="s">
        <v>3822</v>
      </c>
      <c r="F1244" s="19" t="str">
        <f t="shared" si="1"/>
        <v>XIOTO2</v>
      </c>
      <c r="G1244" s="19" t="s">
        <v>5408</v>
      </c>
      <c r="H1244" s="20" t="s">
        <v>3045</v>
      </c>
      <c r="I1244" s="19" t="s">
        <v>5409</v>
      </c>
      <c r="J1244" s="19" t="s">
        <v>5410</v>
      </c>
      <c r="K1244" s="21" t="s">
        <v>5411</v>
      </c>
      <c r="L1244" s="19" t="s">
        <v>6637</v>
      </c>
      <c r="M1244" s="16" t="s">
        <v>3821</v>
      </c>
      <c r="N1244" s="18"/>
      <c r="O1244" s="18"/>
      <c r="P1244" s="18">
        <f>VLOOKUP($A1244,MasterData!$C$1:$I$3001,1,FALSE)</f>
        <v>8761</v>
      </c>
      <c r="Q1244" s="18" t="str">
        <f t="shared" si="2"/>
        <v>XIOTO2</v>
      </c>
    </row>
    <row r="1245" ht="15.75" customHeight="1">
      <c r="A1245" s="15">
        <v>8781.0</v>
      </c>
      <c r="B1245" s="16" t="s">
        <v>8250</v>
      </c>
      <c r="C1245" s="17" t="s">
        <v>8251</v>
      </c>
      <c r="D1245" s="16" t="s">
        <v>8250</v>
      </c>
      <c r="E1245" s="18" t="s">
        <v>3824</v>
      </c>
      <c r="F1245" s="19" t="str">
        <f t="shared" si="1"/>
        <v>XIOTO2</v>
      </c>
      <c r="G1245" s="19" t="s">
        <v>5408</v>
      </c>
      <c r="H1245" s="20" t="s">
        <v>3045</v>
      </c>
      <c r="I1245" s="19" t="s">
        <v>5409</v>
      </c>
      <c r="J1245" s="19" t="s">
        <v>5410</v>
      </c>
      <c r="K1245" s="21" t="s">
        <v>5411</v>
      </c>
      <c r="L1245" s="19" t="s">
        <v>6637</v>
      </c>
      <c r="M1245" s="16" t="s">
        <v>3823</v>
      </c>
      <c r="N1245" s="18"/>
      <c r="O1245" s="18"/>
      <c r="P1245" s="18">
        <f>VLOOKUP($A1245,MasterData!$C$1:$I$3001,1,FALSE)</f>
        <v>8781</v>
      </c>
      <c r="Q1245" s="18" t="str">
        <f t="shared" si="2"/>
        <v>XIOTO2</v>
      </c>
    </row>
    <row r="1246" ht="15.75" hidden="1" customHeight="1">
      <c r="A1246" s="15">
        <v>8806.0</v>
      </c>
      <c r="B1246" s="16" t="s">
        <v>8252</v>
      </c>
      <c r="C1246" s="17" t="s">
        <v>8253</v>
      </c>
      <c r="D1246" s="16" t="s">
        <v>8252</v>
      </c>
      <c r="E1246" s="18" t="s">
        <v>3826</v>
      </c>
      <c r="F1246" s="19" t="str">
        <f t="shared" si="1"/>
        <v>DROPOUT</v>
      </c>
      <c r="G1246" s="19" t="s">
        <v>5408</v>
      </c>
      <c r="H1246" s="20" t="s">
        <v>1166</v>
      </c>
      <c r="I1246" s="19" t="s">
        <v>5409</v>
      </c>
      <c r="J1246" s="19" t="s">
        <v>5410</v>
      </c>
      <c r="K1246" s="21" t="s">
        <v>5411</v>
      </c>
      <c r="L1246" s="20" t="s">
        <v>5412</v>
      </c>
      <c r="M1246" s="16" t="s">
        <v>3825</v>
      </c>
      <c r="N1246" s="18"/>
      <c r="O1246" s="18"/>
      <c r="P1246" s="18">
        <f>VLOOKUP($A1246,MasterData!$C$1:$I$3001,1,FALSE)</f>
        <v>8806</v>
      </c>
      <c r="Q1246" s="18" t="str">
        <f t="shared" si="2"/>
        <v>DROPOUT</v>
      </c>
    </row>
    <row r="1247" ht="15.75" customHeight="1">
      <c r="A1247" s="15">
        <v>8837.0</v>
      </c>
      <c r="B1247" s="16" t="s">
        <v>8254</v>
      </c>
      <c r="C1247" s="17" t="s">
        <v>8255</v>
      </c>
      <c r="D1247" s="16" t="s">
        <v>8254</v>
      </c>
      <c r="E1247" s="18" t="s">
        <v>3828</v>
      </c>
      <c r="F1247" s="19" t="str">
        <f t="shared" si="1"/>
        <v>XIOTO2</v>
      </c>
      <c r="G1247" s="19" t="s">
        <v>5408</v>
      </c>
      <c r="H1247" s="20" t="s">
        <v>3045</v>
      </c>
      <c r="I1247" s="19" t="s">
        <v>5409</v>
      </c>
      <c r="J1247" s="19" t="s">
        <v>5410</v>
      </c>
      <c r="K1247" s="21" t="s">
        <v>5411</v>
      </c>
      <c r="L1247" s="19" t="s">
        <v>6637</v>
      </c>
      <c r="M1247" s="16" t="s">
        <v>3827</v>
      </c>
      <c r="N1247" s="18"/>
      <c r="O1247" s="18"/>
      <c r="P1247" s="18">
        <f>VLOOKUP($A1247,MasterData!$C$1:$I$3001,1,FALSE)</f>
        <v>8837</v>
      </c>
      <c r="Q1247" s="18" t="str">
        <f t="shared" si="2"/>
        <v>XIOTO2</v>
      </c>
    </row>
    <row r="1248" ht="15.75" customHeight="1">
      <c r="A1248" s="15">
        <v>8860.0</v>
      </c>
      <c r="B1248" s="16" t="s">
        <v>8256</v>
      </c>
      <c r="C1248" s="17" t="s">
        <v>8257</v>
      </c>
      <c r="D1248" s="16" t="s">
        <v>8256</v>
      </c>
      <c r="E1248" s="18" t="s">
        <v>3830</v>
      </c>
      <c r="F1248" s="19" t="str">
        <f t="shared" si="1"/>
        <v>XIOTO2</v>
      </c>
      <c r="G1248" s="19" t="s">
        <v>5408</v>
      </c>
      <c r="H1248" s="20" t="s">
        <v>3045</v>
      </c>
      <c r="I1248" s="19" t="s">
        <v>5409</v>
      </c>
      <c r="J1248" s="19" t="s">
        <v>5410</v>
      </c>
      <c r="K1248" s="21" t="s">
        <v>5411</v>
      </c>
      <c r="L1248" s="19" t="s">
        <v>6637</v>
      </c>
      <c r="M1248" s="16" t="s">
        <v>3829</v>
      </c>
      <c r="N1248" s="18"/>
      <c r="O1248" s="18"/>
      <c r="P1248" s="18">
        <f>VLOOKUP($A1248,MasterData!$C$1:$I$3001,1,FALSE)</f>
        <v>8860</v>
      </c>
      <c r="Q1248" s="18" t="str">
        <f t="shared" si="2"/>
        <v>XIOTO2</v>
      </c>
    </row>
    <row r="1249" ht="15.75" customHeight="1">
      <c r="A1249" s="15">
        <v>8875.0</v>
      </c>
      <c r="B1249" s="16" t="s">
        <v>8258</v>
      </c>
      <c r="C1249" s="17" t="s">
        <v>8259</v>
      </c>
      <c r="D1249" s="16" t="s">
        <v>8258</v>
      </c>
      <c r="E1249" s="18" t="s">
        <v>3832</v>
      </c>
      <c r="F1249" s="19" t="str">
        <f t="shared" si="1"/>
        <v>XIOTO2</v>
      </c>
      <c r="G1249" s="19" t="s">
        <v>5408</v>
      </c>
      <c r="H1249" s="20" t="s">
        <v>3045</v>
      </c>
      <c r="I1249" s="19" t="s">
        <v>5409</v>
      </c>
      <c r="J1249" s="19" t="s">
        <v>5410</v>
      </c>
      <c r="K1249" s="21" t="s">
        <v>5411</v>
      </c>
      <c r="L1249" s="19" t="s">
        <v>6637</v>
      </c>
      <c r="M1249" s="16" t="s">
        <v>3831</v>
      </c>
      <c r="N1249" s="18"/>
      <c r="O1249" s="18"/>
      <c r="P1249" s="18">
        <f>VLOOKUP($A1249,MasterData!$C$1:$I$3001,1,FALSE)</f>
        <v>8875</v>
      </c>
      <c r="Q1249" s="18" t="str">
        <f t="shared" si="2"/>
        <v>XIOTO2</v>
      </c>
    </row>
    <row r="1250" ht="15.75" customHeight="1">
      <c r="A1250" s="15">
        <v>8890.0</v>
      </c>
      <c r="B1250" s="16" t="s">
        <v>8260</v>
      </c>
      <c r="C1250" s="17" t="s">
        <v>8261</v>
      </c>
      <c r="D1250" s="16" t="s">
        <v>8260</v>
      </c>
      <c r="E1250" s="18" t="s">
        <v>3834</v>
      </c>
      <c r="F1250" s="19" t="str">
        <f t="shared" si="1"/>
        <v>XIOTO2</v>
      </c>
      <c r="G1250" s="19" t="s">
        <v>5408</v>
      </c>
      <c r="H1250" s="20" t="s">
        <v>3045</v>
      </c>
      <c r="I1250" s="19" t="s">
        <v>5409</v>
      </c>
      <c r="J1250" s="19" t="s">
        <v>5410</v>
      </c>
      <c r="K1250" s="21" t="s">
        <v>5411</v>
      </c>
      <c r="L1250" s="19" t="s">
        <v>6637</v>
      </c>
      <c r="M1250" s="16" t="s">
        <v>3833</v>
      </c>
      <c r="N1250" s="18"/>
      <c r="O1250" s="18"/>
      <c r="P1250" s="18">
        <f>VLOOKUP($A1250,MasterData!$C$1:$I$3001,1,FALSE)</f>
        <v>8890</v>
      </c>
      <c r="Q1250" s="18" t="str">
        <f t="shared" si="2"/>
        <v>XIOTO2</v>
      </c>
    </row>
    <row r="1251" ht="15.75" customHeight="1">
      <c r="A1251" s="15">
        <v>8934.0</v>
      </c>
      <c r="B1251" s="16" t="s">
        <v>8262</v>
      </c>
      <c r="C1251" s="17" t="s">
        <v>8263</v>
      </c>
      <c r="D1251" s="16" t="s">
        <v>8262</v>
      </c>
      <c r="E1251" s="18" t="s">
        <v>3836</v>
      </c>
      <c r="F1251" s="19" t="str">
        <f t="shared" si="1"/>
        <v>XIOTO2</v>
      </c>
      <c r="G1251" s="19" t="s">
        <v>5408</v>
      </c>
      <c r="H1251" s="20" t="s">
        <v>3045</v>
      </c>
      <c r="I1251" s="19" t="s">
        <v>5409</v>
      </c>
      <c r="J1251" s="19" t="s">
        <v>5410</v>
      </c>
      <c r="K1251" s="21" t="s">
        <v>5411</v>
      </c>
      <c r="L1251" s="19" t="s">
        <v>6637</v>
      </c>
      <c r="M1251" s="16" t="s">
        <v>3835</v>
      </c>
      <c r="N1251" s="18"/>
      <c r="O1251" s="18"/>
      <c r="P1251" s="18">
        <f>VLOOKUP($A1251,MasterData!$C$1:$I$3001,1,FALSE)</f>
        <v>8934</v>
      </c>
      <c r="Q1251" s="18" t="str">
        <f t="shared" si="2"/>
        <v>XIOTO2</v>
      </c>
    </row>
    <row r="1252" ht="15.75" customHeight="1">
      <c r="A1252" s="15">
        <v>8942.0</v>
      </c>
      <c r="B1252" s="16" t="s">
        <v>8264</v>
      </c>
      <c r="C1252" s="17" t="s">
        <v>8265</v>
      </c>
      <c r="D1252" s="16" t="s">
        <v>8264</v>
      </c>
      <c r="E1252" s="18" t="s">
        <v>3838</v>
      </c>
      <c r="F1252" s="19" t="str">
        <f t="shared" si="1"/>
        <v>XIOTO2</v>
      </c>
      <c r="G1252" s="19" t="s">
        <v>5408</v>
      </c>
      <c r="H1252" s="20" t="s">
        <v>3045</v>
      </c>
      <c r="I1252" s="19" t="s">
        <v>5409</v>
      </c>
      <c r="J1252" s="19" t="s">
        <v>5410</v>
      </c>
      <c r="K1252" s="21" t="s">
        <v>5411</v>
      </c>
      <c r="L1252" s="19" t="s">
        <v>6637</v>
      </c>
      <c r="M1252" s="16" t="s">
        <v>3837</v>
      </c>
      <c r="N1252" s="18"/>
      <c r="O1252" s="18"/>
      <c r="P1252" s="18">
        <f>VLOOKUP($A1252,MasterData!$C$1:$I$3001,1,FALSE)</f>
        <v>8942</v>
      </c>
      <c r="Q1252" s="18" t="str">
        <f t="shared" si="2"/>
        <v>XIOTO2</v>
      </c>
    </row>
    <row r="1253" ht="15.75" customHeight="1">
      <c r="A1253" s="15">
        <v>8971.0</v>
      </c>
      <c r="B1253" s="16" t="s">
        <v>8266</v>
      </c>
      <c r="C1253" s="17" t="s">
        <v>8267</v>
      </c>
      <c r="D1253" s="16" t="s">
        <v>8266</v>
      </c>
      <c r="E1253" s="18" t="s">
        <v>3840</v>
      </c>
      <c r="F1253" s="19" t="str">
        <f t="shared" si="1"/>
        <v>XIOTO2</v>
      </c>
      <c r="G1253" s="19" t="s">
        <v>5408</v>
      </c>
      <c r="H1253" s="20" t="s">
        <v>3045</v>
      </c>
      <c r="I1253" s="19" t="s">
        <v>5409</v>
      </c>
      <c r="J1253" s="19" t="s">
        <v>5410</v>
      </c>
      <c r="K1253" s="21" t="s">
        <v>5411</v>
      </c>
      <c r="L1253" s="19" t="s">
        <v>6637</v>
      </c>
      <c r="M1253" s="16" t="s">
        <v>3839</v>
      </c>
      <c r="N1253" s="18"/>
      <c r="O1253" s="18"/>
      <c r="P1253" s="18">
        <f>VLOOKUP($A1253,MasterData!$C$1:$I$3001,1,FALSE)</f>
        <v>8971</v>
      </c>
      <c r="Q1253" s="18" t="str">
        <f t="shared" si="2"/>
        <v>XIOTO2</v>
      </c>
    </row>
    <row r="1254" ht="15.75" customHeight="1">
      <c r="A1254" s="15">
        <v>8974.0</v>
      </c>
      <c r="B1254" s="16" t="s">
        <v>8268</v>
      </c>
      <c r="C1254" s="17" t="s">
        <v>8269</v>
      </c>
      <c r="D1254" s="16" t="s">
        <v>8268</v>
      </c>
      <c r="E1254" s="18" t="s">
        <v>3842</v>
      </c>
      <c r="F1254" s="19" t="str">
        <f t="shared" si="1"/>
        <v>XIOTO2</v>
      </c>
      <c r="G1254" s="19" t="s">
        <v>5408</v>
      </c>
      <c r="H1254" s="20" t="s">
        <v>3045</v>
      </c>
      <c r="I1254" s="19" t="s">
        <v>5409</v>
      </c>
      <c r="J1254" s="19" t="s">
        <v>5410</v>
      </c>
      <c r="K1254" s="21" t="s">
        <v>5411</v>
      </c>
      <c r="L1254" s="19" t="s">
        <v>6637</v>
      </c>
      <c r="M1254" s="16" t="s">
        <v>3841</v>
      </c>
      <c r="N1254" s="18"/>
      <c r="O1254" s="18"/>
      <c r="P1254" s="18">
        <f>VLOOKUP($A1254,MasterData!$C$1:$I$3001,1,FALSE)</f>
        <v>8974</v>
      </c>
      <c r="Q1254" s="18" t="str">
        <f t="shared" si="2"/>
        <v>XIOTO2</v>
      </c>
    </row>
    <row r="1255" ht="15.75" customHeight="1">
      <c r="A1255" s="15">
        <v>9011.0</v>
      </c>
      <c r="B1255" s="16" t="s">
        <v>8270</v>
      </c>
      <c r="C1255" s="17" t="s">
        <v>8271</v>
      </c>
      <c r="D1255" s="16" t="s">
        <v>8270</v>
      </c>
      <c r="E1255" s="18" t="s">
        <v>3844</v>
      </c>
      <c r="F1255" s="19" t="str">
        <f t="shared" si="1"/>
        <v>XIOTO2</v>
      </c>
      <c r="G1255" s="19" t="s">
        <v>5408</v>
      </c>
      <c r="H1255" s="20" t="s">
        <v>3045</v>
      </c>
      <c r="I1255" s="19" t="s">
        <v>5409</v>
      </c>
      <c r="J1255" s="19" t="s">
        <v>5410</v>
      </c>
      <c r="K1255" s="21" t="s">
        <v>5411</v>
      </c>
      <c r="L1255" s="19" t="s">
        <v>6637</v>
      </c>
      <c r="M1255" s="16" t="s">
        <v>3843</v>
      </c>
      <c r="N1255" s="18"/>
      <c r="O1255" s="18"/>
      <c r="P1255" s="18">
        <f>VLOOKUP($A1255,MasterData!$C$1:$I$3001,1,FALSE)</f>
        <v>9011</v>
      </c>
      <c r="Q1255" s="18" t="str">
        <f t="shared" si="2"/>
        <v>XIOTO2</v>
      </c>
    </row>
    <row r="1256" ht="15.75" customHeight="1">
      <c r="A1256" s="15">
        <v>9022.0</v>
      </c>
      <c r="B1256" s="16" t="s">
        <v>8272</v>
      </c>
      <c r="C1256" s="17" t="s">
        <v>8273</v>
      </c>
      <c r="D1256" s="16" t="s">
        <v>8272</v>
      </c>
      <c r="E1256" s="18" t="s">
        <v>3846</v>
      </c>
      <c r="F1256" s="19" t="str">
        <f t="shared" si="1"/>
        <v>XIOTO2</v>
      </c>
      <c r="G1256" s="19" t="s">
        <v>5408</v>
      </c>
      <c r="H1256" s="20" t="s">
        <v>3045</v>
      </c>
      <c r="I1256" s="19" t="s">
        <v>5409</v>
      </c>
      <c r="J1256" s="19" t="s">
        <v>5410</v>
      </c>
      <c r="K1256" s="21" t="s">
        <v>5411</v>
      </c>
      <c r="L1256" s="19" t="s">
        <v>6637</v>
      </c>
      <c r="M1256" s="16" t="s">
        <v>3845</v>
      </c>
      <c r="N1256" s="18"/>
      <c r="O1256" s="18"/>
      <c r="P1256" s="18">
        <f>VLOOKUP($A1256,MasterData!$C$1:$I$3001,1,FALSE)</f>
        <v>9022</v>
      </c>
      <c r="Q1256" s="18" t="str">
        <f t="shared" si="2"/>
        <v>XIOTO2</v>
      </c>
    </row>
    <row r="1257" ht="15.75" customHeight="1">
      <c r="A1257" s="15">
        <v>9031.0</v>
      </c>
      <c r="B1257" s="16" t="s">
        <v>8274</v>
      </c>
      <c r="C1257" s="17" t="s">
        <v>8275</v>
      </c>
      <c r="D1257" s="16" t="s">
        <v>8274</v>
      </c>
      <c r="E1257" s="18" t="s">
        <v>3848</v>
      </c>
      <c r="F1257" s="19" t="str">
        <f t="shared" si="1"/>
        <v>XIOTO2</v>
      </c>
      <c r="G1257" s="19" t="s">
        <v>5408</v>
      </c>
      <c r="H1257" s="20" t="s">
        <v>3045</v>
      </c>
      <c r="I1257" s="19" t="s">
        <v>5409</v>
      </c>
      <c r="J1257" s="19" t="s">
        <v>5410</v>
      </c>
      <c r="K1257" s="21" t="s">
        <v>5411</v>
      </c>
      <c r="L1257" s="19" t="s">
        <v>6637</v>
      </c>
      <c r="M1257" s="16" t="s">
        <v>3847</v>
      </c>
      <c r="N1257" s="18"/>
      <c r="O1257" s="18"/>
      <c r="P1257" s="18">
        <f>VLOOKUP($A1257,MasterData!$C$1:$I$3001,1,FALSE)</f>
        <v>9031</v>
      </c>
      <c r="Q1257" s="18" t="str">
        <f t="shared" si="2"/>
        <v>XIOTO2</v>
      </c>
    </row>
    <row r="1258" ht="15.75" customHeight="1">
      <c r="A1258" s="15">
        <v>9063.0</v>
      </c>
      <c r="B1258" s="16" t="s">
        <v>8276</v>
      </c>
      <c r="C1258" s="17" t="s">
        <v>8277</v>
      </c>
      <c r="D1258" s="16" t="s">
        <v>8276</v>
      </c>
      <c r="E1258" s="18" t="s">
        <v>3850</v>
      </c>
      <c r="F1258" s="19" t="str">
        <f t="shared" si="1"/>
        <v>XIOTO2</v>
      </c>
      <c r="G1258" s="19" t="s">
        <v>5408</v>
      </c>
      <c r="H1258" s="20" t="s">
        <v>3045</v>
      </c>
      <c r="I1258" s="19" t="s">
        <v>5409</v>
      </c>
      <c r="J1258" s="19" t="s">
        <v>5410</v>
      </c>
      <c r="K1258" s="21" t="s">
        <v>5411</v>
      </c>
      <c r="L1258" s="19" t="s">
        <v>6637</v>
      </c>
      <c r="M1258" s="16" t="s">
        <v>3849</v>
      </c>
      <c r="N1258" s="18"/>
      <c r="O1258" s="18"/>
      <c r="P1258" s="18">
        <f>VLOOKUP($A1258,MasterData!$C$1:$I$3001,1,FALSE)</f>
        <v>9063</v>
      </c>
      <c r="Q1258" s="18" t="str">
        <f t="shared" si="2"/>
        <v>XIOTO2</v>
      </c>
    </row>
    <row r="1259" ht="15.75" customHeight="1">
      <c r="A1259" s="15">
        <v>9088.0</v>
      </c>
      <c r="B1259" s="16" t="s">
        <v>8278</v>
      </c>
      <c r="C1259" s="17" t="s">
        <v>8279</v>
      </c>
      <c r="D1259" s="16" t="s">
        <v>8278</v>
      </c>
      <c r="E1259" s="18" t="s">
        <v>3852</v>
      </c>
      <c r="F1259" s="19" t="str">
        <f t="shared" si="1"/>
        <v>XIOTO2</v>
      </c>
      <c r="G1259" s="19" t="s">
        <v>5408</v>
      </c>
      <c r="H1259" s="20" t="s">
        <v>3045</v>
      </c>
      <c r="I1259" s="19" t="s">
        <v>5409</v>
      </c>
      <c r="J1259" s="19" t="s">
        <v>5410</v>
      </c>
      <c r="K1259" s="21" t="s">
        <v>5411</v>
      </c>
      <c r="L1259" s="19" t="s">
        <v>6637</v>
      </c>
      <c r="M1259" s="16" t="s">
        <v>3851</v>
      </c>
      <c r="N1259" s="18"/>
      <c r="O1259" s="18"/>
      <c r="P1259" s="18">
        <f>VLOOKUP($A1259,MasterData!$C$1:$I$3001,1,FALSE)</f>
        <v>9088</v>
      </c>
      <c r="Q1259" s="18" t="str">
        <f t="shared" si="2"/>
        <v>XIOTO2</v>
      </c>
    </row>
    <row r="1260" ht="15.75" customHeight="1">
      <c r="A1260" s="15">
        <v>9090.0</v>
      </c>
      <c r="B1260" s="16" t="s">
        <v>8280</v>
      </c>
      <c r="C1260" s="17" t="s">
        <v>8281</v>
      </c>
      <c r="D1260" s="16" t="s">
        <v>8280</v>
      </c>
      <c r="E1260" s="18" t="s">
        <v>3854</v>
      </c>
      <c r="F1260" s="19" t="str">
        <f t="shared" si="1"/>
        <v>XIOTO2</v>
      </c>
      <c r="G1260" s="19" t="s">
        <v>5408</v>
      </c>
      <c r="H1260" s="20" t="s">
        <v>3045</v>
      </c>
      <c r="I1260" s="19" t="s">
        <v>5409</v>
      </c>
      <c r="J1260" s="19" t="s">
        <v>5410</v>
      </c>
      <c r="K1260" s="21" t="s">
        <v>5411</v>
      </c>
      <c r="L1260" s="19" t="s">
        <v>6637</v>
      </c>
      <c r="M1260" s="16" t="s">
        <v>3853</v>
      </c>
      <c r="N1260" s="18"/>
      <c r="O1260" s="18"/>
      <c r="P1260" s="18">
        <f>VLOOKUP($A1260,MasterData!$C$1:$I$3001,1,FALSE)</f>
        <v>9090</v>
      </c>
      <c r="Q1260" s="18" t="str">
        <f t="shared" si="2"/>
        <v>XIOTO2</v>
      </c>
    </row>
    <row r="1261" ht="15.75" hidden="1" customHeight="1">
      <c r="A1261" s="15">
        <v>9100.0</v>
      </c>
      <c r="B1261" s="16" t="s">
        <v>8282</v>
      </c>
      <c r="C1261" s="17" t="s">
        <v>8283</v>
      </c>
      <c r="D1261" s="16" t="s">
        <v>8282</v>
      </c>
      <c r="E1261" s="18" t="s">
        <v>3856</v>
      </c>
      <c r="F1261" s="19" t="str">
        <f t="shared" si="1"/>
        <v>DROPOUT</v>
      </c>
      <c r="G1261" s="19" t="s">
        <v>5408</v>
      </c>
      <c r="H1261" s="20" t="s">
        <v>1166</v>
      </c>
      <c r="I1261" s="19" t="s">
        <v>5409</v>
      </c>
      <c r="J1261" s="19" t="s">
        <v>5410</v>
      </c>
      <c r="K1261" s="21" t="s">
        <v>5411</v>
      </c>
      <c r="L1261" s="20" t="s">
        <v>5412</v>
      </c>
      <c r="M1261" s="16" t="s">
        <v>3855</v>
      </c>
      <c r="N1261" s="18"/>
      <c r="O1261" s="18"/>
      <c r="P1261" s="18">
        <f>VLOOKUP($A1261,MasterData!$C$1:$I$3001,1,FALSE)</f>
        <v>9100</v>
      </c>
      <c r="Q1261" s="18" t="str">
        <f t="shared" si="2"/>
        <v>DROPOUT</v>
      </c>
    </row>
    <row r="1262" ht="15.75" customHeight="1">
      <c r="A1262" s="15">
        <v>9104.0</v>
      </c>
      <c r="B1262" s="16" t="s">
        <v>8284</v>
      </c>
      <c r="C1262" s="17" t="s">
        <v>8285</v>
      </c>
      <c r="D1262" s="16" t="s">
        <v>8284</v>
      </c>
      <c r="E1262" s="18" t="s">
        <v>3858</v>
      </c>
      <c r="F1262" s="19" t="str">
        <f t="shared" si="1"/>
        <v>XIOTO2</v>
      </c>
      <c r="G1262" s="19" t="s">
        <v>5408</v>
      </c>
      <c r="H1262" s="20" t="s">
        <v>3045</v>
      </c>
      <c r="I1262" s="19" t="s">
        <v>5409</v>
      </c>
      <c r="J1262" s="19" t="s">
        <v>5410</v>
      </c>
      <c r="K1262" s="21" t="s">
        <v>5411</v>
      </c>
      <c r="L1262" s="19" t="s">
        <v>6637</v>
      </c>
      <c r="M1262" s="16" t="s">
        <v>3857</v>
      </c>
      <c r="N1262" s="18"/>
      <c r="O1262" s="18"/>
      <c r="P1262" s="18">
        <f>VLOOKUP($A1262,MasterData!$C$1:$I$3001,1,FALSE)</f>
        <v>9104</v>
      </c>
      <c r="Q1262" s="18" t="str">
        <f t="shared" si="2"/>
        <v>XIOTO2</v>
      </c>
    </row>
    <row r="1263" ht="15.75" customHeight="1">
      <c r="A1263" s="15">
        <v>9116.0</v>
      </c>
      <c r="B1263" s="16" t="s">
        <v>8286</v>
      </c>
      <c r="C1263" s="17" t="s">
        <v>8287</v>
      </c>
      <c r="D1263" s="16" t="s">
        <v>8286</v>
      </c>
      <c r="E1263" s="18" t="s">
        <v>3860</v>
      </c>
      <c r="F1263" s="19" t="str">
        <f t="shared" si="1"/>
        <v>XIOTO2</v>
      </c>
      <c r="G1263" s="19" t="s">
        <v>5408</v>
      </c>
      <c r="H1263" s="20" t="s">
        <v>3045</v>
      </c>
      <c r="I1263" s="19" t="s">
        <v>5409</v>
      </c>
      <c r="J1263" s="19" t="s">
        <v>5410</v>
      </c>
      <c r="K1263" s="21" t="s">
        <v>5411</v>
      </c>
      <c r="L1263" s="19" t="s">
        <v>6637</v>
      </c>
      <c r="M1263" s="16" t="s">
        <v>3859</v>
      </c>
      <c r="N1263" s="18"/>
      <c r="O1263" s="18"/>
      <c r="P1263" s="18">
        <f>VLOOKUP($A1263,MasterData!$C$1:$I$3001,1,FALSE)</f>
        <v>9116</v>
      </c>
      <c r="Q1263" s="18" t="str">
        <f t="shared" si="2"/>
        <v>XIOTO2</v>
      </c>
    </row>
    <row r="1264" ht="15.75" customHeight="1">
      <c r="A1264" s="15">
        <v>9125.0</v>
      </c>
      <c r="B1264" s="16" t="s">
        <v>8288</v>
      </c>
      <c r="C1264" s="17" t="s">
        <v>8289</v>
      </c>
      <c r="D1264" s="16" t="s">
        <v>8288</v>
      </c>
      <c r="E1264" s="18" t="s">
        <v>3862</v>
      </c>
      <c r="F1264" s="19" t="str">
        <f t="shared" si="1"/>
        <v>XIOTO2</v>
      </c>
      <c r="G1264" s="19" t="s">
        <v>5408</v>
      </c>
      <c r="H1264" s="20" t="s">
        <v>3045</v>
      </c>
      <c r="I1264" s="19" t="s">
        <v>5409</v>
      </c>
      <c r="J1264" s="19" t="s">
        <v>5410</v>
      </c>
      <c r="K1264" s="21" t="s">
        <v>5411</v>
      </c>
      <c r="L1264" s="19" t="s">
        <v>6637</v>
      </c>
      <c r="M1264" s="16" t="s">
        <v>3861</v>
      </c>
      <c r="N1264" s="18"/>
      <c r="O1264" s="18"/>
      <c r="P1264" s="18">
        <f>VLOOKUP($A1264,MasterData!$C$1:$I$3001,1,FALSE)</f>
        <v>9125</v>
      </c>
      <c r="Q1264" s="18" t="str">
        <f t="shared" si="2"/>
        <v>XIOTO2</v>
      </c>
    </row>
    <row r="1265" ht="15.75" customHeight="1">
      <c r="A1265" s="15">
        <v>9139.0</v>
      </c>
      <c r="B1265" s="16" t="s">
        <v>8290</v>
      </c>
      <c r="C1265" s="17" t="s">
        <v>8291</v>
      </c>
      <c r="D1265" s="16" t="s">
        <v>8290</v>
      </c>
      <c r="E1265" s="18" t="s">
        <v>3864</v>
      </c>
      <c r="F1265" s="19" t="str">
        <f t="shared" si="1"/>
        <v>XIOTO2</v>
      </c>
      <c r="G1265" s="19" t="s">
        <v>5408</v>
      </c>
      <c r="H1265" s="20" t="s">
        <v>3045</v>
      </c>
      <c r="I1265" s="19" t="s">
        <v>5409</v>
      </c>
      <c r="J1265" s="19" t="s">
        <v>5410</v>
      </c>
      <c r="K1265" s="21" t="s">
        <v>5411</v>
      </c>
      <c r="L1265" s="19" t="s">
        <v>6637</v>
      </c>
      <c r="M1265" s="16" t="s">
        <v>3863</v>
      </c>
      <c r="N1265" s="18"/>
      <c r="O1265" s="18"/>
      <c r="P1265" s="18">
        <f>VLOOKUP($A1265,MasterData!$C$1:$I$3001,1,FALSE)</f>
        <v>9139</v>
      </c>
      <c r="Q1265" s="18" t="str">
        <f t="shared" si="2"/>
        <v>XIOTO2</v>
      </c>
    </row>
    <row r="1266" ht="15.75" customHeight="1">
      <c r="A1266" s="15">
        <v>9142.0</v>
      </c>
      <c r="B1266" s="16" t="s">
        <v>8292</v>
      </c>
      <c r="C1266" s="17" t="s">
        <v>8293</v>
      </c>
      <c r="D1266" s="16" t="s">
        <v>8292</v>
      </c>
      <c r="E1266" s="18" t="s">
        <v>3866</v>
      </c>
      <c r="F1266" s="19" t="str">
        <f t="shared" si="1"/>
        <v>XIOTO2</v>
      </c>
      <c r="G1266" s="19" t="s">
        <v>5408</v>
      </c>
      <c r="H1266" s="20" t="s">
        <v>3045</v>
      </c>
      <c r="I1266" s="19" t="s">
        <v>5409</v>
      </c>
      <c r="J1266" s="19" t="s">
        <v>5410</v>
      </c>
      <c r="K1266" s="21" t="s">
        <v>5411</v>
      </c>
      <c r="L1266" s="19" t="s">
        <v>6637</v>
      </c>
      <c r="M1266" s="16" t="s">
        <v>3865</v>
      </c>
      <c r="N1266" s="18"/>
      <c r="O1266" s="18"/>
      <c r="P1266" s="18">
        <f>VLOOKUP($A1266,MasterData!$C$1:$I$3001,1,FALSE)</f>
        <v>9142</v>
      </c>
      <c r="Q1266" s="18" t="str">
        <f t="shared" si="2"/>
        <v>XIOTO2</v>
      </c>
    </row>
    <row r="1267" ht="15.75" customHeight="1">
      <c r="A1267" s="15">
        <v>9163.0</v>
      </c>
      <c r="B1267" s="16" t="s">
        <v>8294</v>
      </c>
      <c r="C1267" s="17" t="s">
        <v>8295</v>
      </c>
      <c r="D1267" s="16" t="s">
        <v>8294</v>
      </c>
      <c r="E1267" s="18" t="s">
        <v>3868</v>
      </c>
      <c r="F1267" s="19" t="str">
        <f t="shared" si="1"/>
        <v>XIOTO2</v>
      </c>
      <c r="G1267" s="19" t="s">
        <v>5408</v>
      </c>
      <c r="H1267" s="20" t="s">
        <v>3045</v>
      </c>
      <c r="I1267" s="19" t="s">
        <v>5409</v>
      </c>
      <c r="J1267" s="19" t="s">
        <v>5410</v>
      </c>
      <c r="K1267" s="21" t="s">
        <v>5411</v>
      </c>
      <c r="L1267" s="19" t="s">
        <v>6637</v>
      </c>
      <c r="M1267" s="16" t="s">
        <v>3867</v>
      </c>
      <c r="N1267" s="18"/>
      <c r="O1267" s="18"/>
      <c r="P1267" s="18">
        <f>VLOOKUP($A1267,MasterData!$C$1:$I$3001,1,FALSE)</f>
        <v>9163</v>
      </c>
      <c r="Q1267" s="18" t="str">
        <f t="shared" si="2"/>
        <v>XIOTO2</v>
      </c>
    </row>
    <row r="1268" ht="15.75" customHeight="1">
      <c r="A1268" s="15">
        <v>9195.0</v>
      </c>
      <c r="B1268" s="16" t="s">
        <v>8296</v>
      </c>
      <c r="C1268" s="17" t="s">
        <v>8297</v>
      </c>
      <c r="D1268" s="16" t="s">
        <v>8296</v>
      </c>
      <c r="E1268" s="18" t="s">
        <v>3870</v>
      </c>
      <c r="F1268" s="19" t="str">
        <f t="shared" si="1"/>
        <v>XIOTO2</v>
      </c>
      <c r="G1268" s="19" t="s">
        <v>5408</v>
      </c>
      <c r="H1268" s="20" t="s">
        <v>3045</v>
      </c>
      <c r="I1268" s="19" t="s">
        <v>5409</v>
      </c>
      <c r="J1268" s="19" t="s">
        <v>5410</v>
      </c>
      <c r="K1268" s="21" t="s">
        <v>5411</v>
      </c>
      <c r="L1268" s="19" t="s">
        <v>6637</v>
      </c>
      <c r="M1268" s="16" t="s">
        <v>3869</v>
      </c>
      <c r="N1268" s="18"/>
      <c r="O1268" s="18"/>
      <c r="P1268" s="18">
        <f>VLOOKUP($A1268,MasterData!$C$1:$I$3001,1,FALSE)</f>
        <v>9195</v>
      </c>
      <c r="Q1268" s="18" t="str">
        <f t="shared" si="2"/>
        <v>XIOTO2</v>
      </c>
    </row>
    <row r="1269" ht="15.75" customHeight="1">
      <c r="A1269" s="15">
        <v>9220.0</v>
      </c>
      <c r="B1269" s="16" t="s">
        <v>8298</v>
      </c>
      <c r="C1269" s="17" t="s">
        <v>8299</v>
      </c>
      <c r="D1269" s="16" t="s">
        <v>8298</v>
      </c>
      <c r="E1269" s="18" t="s">
        <v>3872</v>
      </c>
      <c r="F1269" s="19" t="str">
        <f t="shared" si="1"/>
        <v>XIOTO2</v>
      </c>
      <c r="G1269" s="19" t="s">
        <v>5408</v>
      </c>
      <c r="H1269" s="20" t="s">
        <v>3045</v>
      </c>
      <c r="I1269" s="19" t="s">
        <v>5409</v>
      </c>
      <c r="J1269" s="19" t="s">
        <v>5410</v>
      </c>
      <c r="K1269" s="21" t="s">
        <v>5411</v>
      </c>
      <c r="L1269" s="19" t="s">
        <v>6637</v>
      </c>
      <c r="M1269" s="16" t="s">
        <v>3871</v>
      </c>
      <c r="N1269" s="18"/>
      <c r="O1269" s="18"/>
      <c r="P1269" s="18">
        <f>VLOOKUP($A1269,MasterData!$C$1:$I$3001,1,FALSE)</f>
        <v>9220</v>
      </c>
      <c r="Q1269" s="18" t="str">
        <f t="shared" si="2"/>
        <v>XIOTO2</v>
      </c>
    </row>
    <row r="1270" ht="15.75" customHeight="1">
      <c r="A1270" s="15">
        <v>9239.0</v>
      </c>
      <c r="B1270" s="16" t="s">
        <v>8300</v>
      </c>
      <c r="C1270" s="17" t="s">
        <v>8301</v>
      </c>
      <c r="D1270" s="16" t="s">
        <v>8300</v>
      </c>
      <c r="E1270" s="18" t="s">
        <v>3874</v>
      </c>
      <c r="F1270" s="19" t="str">
        <f t="shared" si="1"/>
        <v>XIOTO2</v>
      </c>
      <c r="G1270" s="19" t="s">
        <v>5408</v>
      </c>
      <c r="H1270" s="20" t="s">
        <v>3045</v>
      </c>
      <c r="I1270" s="19" t="s">
        <v>5409</v>
      </c>
      <c r="J1270" s="19" t="s">
        <v>5410</v>
      </c>
      <c r="K1270" s="21" t="s">
        <v>5411</v>
      </c>
      <c r="L1270" s="19" t="s">
        <v>6637</v>
      </c>
      <c r="M1270" s="16" t="s">
        <v>3873</v>
      </c>
      <c r="N1270" s="18"/>
      <c r="O1270" s="18"/>
      <c r="P1270" s="18">
        <f>VLOOKUP($A1270,MasterData!$C$1:$I$3001,1,FALSE)</f>
        <v>9239</v>
      </c>
      <c r="Q1270" s="18" t="str">
        <f t="shared" si="2"/>
        <v>XIOTO2</v>
      </c>
    </row>
    <row r="1271" ht="15.75" customHeight="1">
      <c r="A1271" s="15">
        <v>8643.0</v>
      </c>
      <c r="B1271" s="16" t="s">
        <v>8302</v>
      </c>
      <c r="C1271" s="17" t="s">
        <v>8303</v>
      </c>
      <c r="D1271" s="16" t="s">
        <v>8302</v>
      </c>
      <c r="E1271" s="18" t="s">
        <v>3876</v>
      </c>
      <c r="F1271" s="19" t="str">
        <f t="shared" si="1"/>
        <v>XIOTO3</v>
      </c>
      <c r="G1271" s="19" t="s">
        <v>5408</v>
      </c>
      <c r="H1271" s="20" t="s">
        <v>3045</v>
      </c>
      <c r="I1271" s="19" t="s">
        <v>5409</v>
      </c>
      <c r="J1271" s="19" t="s">
        <v>5410</v>
      </c>
      <c r="K1271" s="21" t="s">
        <v>5411</v>
      </c>
      <c r="L1271" s="19" t="s">
        <v>6729</v>
      </c>
      <c r="M1271" s="16" t="s">
        <v>3875</v>
      </c>
      <c r="N1271" s="18"/>
      <c r="O1271" s="18"/>
      <c r="P1271" s="18">
        <f>VLOOKUP($A1271,MasterData!$C$1:$I$3001,1,FALSE)</f>
        <v>8643</v>
      </c>
      <c r="Q1271" s="18" t="str">
        <f t="shared" si="2"/>
        <v>XIOTO3</v>
      </c>
    </row>
    <row r="1272" ht="15.75" customHeight="1">
      <c r="A1272" s="15">
        <v>8653.0</v>
      </c>
      <c r="B1272" s="16" t="s">
        <v>8304</v>
      </c>
      <c r="C1272" s="17" t="s">
        <v>8305</v>
      </c>
      <c r="D1272" s="16" t="s">
        <v>8304</v>
      </c>
      <c r="E1272" s="18" t="s">
        <v>3878</v>
      </c>
      <c r="F1272" s="19" t="str">
        <f t="shared" si="1"/>
        <v>XIOTO3</v>
      </c>
      <c r="G1272" s="19" t="s">
        <v>5408</v>
      </c>
      <c r="H1272" s="20" t="s">
        <v>3045</v>
      </c>
      <c r="I1272" s="19" t="s">
        <v>5409</v>
      </c>
      <c r="J1272" s="19" t="s">
        <v>5410</v>
      </c>
      <c r="K1272" s="21" t="s">
        <v>5411</v>
      </c>
      <c r="L1272" s="19" t="s">
        <v>6729</v>
      </c>
      <c r="M1272" s="16" t="s">
        <v>3877</v>
      </c>
      <c r="N1272" s="18"/>
      <c r="O1272" s="18"/>
      <c r="P1272" s="18">
        <f>VLOOKUP($A1272,MasterData!$C$1:$I$3001,1,FALSE)</f>
        <v>8653</v>
      </c>
      <c r="Q1272" s="18" t="str">
        <f t="shared" si="2"/>
        <v>XIOTO3</v>
      </c>
    </row>
    <row r="1273" ht="15.75" customHeight="1">
      <c r="A1273" s="15">
        <v>8666.0</v>
      </c>
      <c r="B1273" s="16" t="s">
        <v>8306</v>
      </c>
      <c r="C1273" s="17" t="s">
        <v>8307</v>
      </c>
      <c r="D1273" s="16" t="s">
        <v>8306</v>
      </c>
      <c r="E1273" s="18" t="s">
        <v>3880</v>
      </c>
      <c r="F1273" s="19" t="str">
        <f t="shared" si="1"/>
        <v>XIOTO3</v>
      </c>
      <c r="G1273" s="19" t="s">
        <v>5408</v>
      </c>
      <c r="H1273" s="20" t="s">
        <v>3045</v>
      </c>
      <c r="I1273" s="19" t="s">
        <v>5409</v>
      </c>
      <c r="J1273" s="19" t="s">
        <v>5410</v>
      </c>
      <c r="K1273" s="21" t="s">
        <v>5411</v>
      </c>
      <c r="L1273" s="19" t="s">
        <v>6729</v>
      </c>
      <c r="M1273" s="16" t="s">
        <v>3879</v>
      </c>
      <c r="N1273" s="18"/>
      <c r="O1273" s="18"/>
      <c r="P1273" s="18">
        <f>VLOOKUP($A1273,MasterData!$C$1:$I$3001,1,FALSE)</f>
        <v>8666</v>
      </c>
      <c r="Q1273" s="18" t="str">
        <f t="shared" si="2"/>
        <v>XIOTO3</v>
      </c>
    </row>
    <row r="1274" ht="15.75" customHeight="1">
      <c r="A1274" s="15">
        <v>8690.0</v>
      </c>
      <c r="B1274" s="16" t="s">
        <v>8308</v>
      </c>
      <c r="C1274" s="17" t="s">
        <v>8309</v>
      </c>
      <c r="D1274" s="16" t="s">
        <v>8308</v>
      </c>
      <c r="E1274" s="18" t="s">
        <v>3882</v>
      </c>
      <c r="F1274" s="19" t="str">
        <f t="shared" si="1"/>
        <v>XIOTO3</v>
      </c>
      <c r="G1274" s="19" t="s">
        <v>5408</v>
      </c>
      <c r="H1274" s="20" t="s">
        <v>3045</v>
      </c>
      <c r="I1274" s="19" t="s">
        <v>5409</v>
      </c>
      <c r="J1274" s="19" t="s">
        <v>5410</v>
      </c>
      <c r="K1274" s="21" t="s">
        <v>5411</v>
      </c>
      <c r="L1274" s="19" t="s">
        <v>6729</v>
      </c>
      <c r="M1274" s="16" t="s">
        <v>3881</v>
      </c>
      <c r="N1274" s="18"/>
      <c r="O1274" s="18"/>
      <c r="P1274" s="18">
        <f>VLOOKUP($A1274,MasterData!$C$1:$I$3001,1,FALSE)</f>
        <v>8690</v>
      </c>
      <c r="Q1274" s="18" t="str">
        <f t="shared" si="2"/>
        <v>XIOTO3</v>
      </c>
    </row>
    <row r="1275" ht="15.75" customHeight="1">
      <c r="A1275" s="15">
        <v>8716.0</v>
      </c>
      <c r="B1275" s="16" t="s">
        <v>8310</v>
      </c>
      <c r="C1275" s="17" t="s">
        <v>8311</v>
      </c>
      <c r="D1275" s="16" t="s">
        <v>8310</v>
      </c>
      <c r="E1275" s="18" t="s">
        <v>3884</v>
      </c>
      <c r="F1275" s="19" t="str">
        <f t="shared" si="1"/>
        <v>XIOTO3</v>
      </c>
      <c r="G1275" s="19" t="s">
        <v>5408</v>
      </c>
      <c r="H1275" s="20" t="s">
        <v>3045</v>
      </c>
      <c r="I1275" s="19" t="s">
        <v>5409</v>
      </c>
      <c r="J1275" s="19" t="s">
        <v>5410</v>
      </c>
      <c r="K1275" s="21" t="s">
        <v>5411</v>
      </c>
      <c r="L1275" s="19" t="s">
        <v>6729</v>
      </c>
      <c r="M1275" s="16" t="s">
        <v>3883</v>
      </c>
      <c r="N1275" s="18"/>
      <c r="O1275" s="18"/>
      <c r="P1275" s="18">
        <f>VLOOKUP($A1275,MasterData!$C$1:$I$3001,1,FALSE)</f>
        <v>8716</v>
      </c>
      <c r="Q1275" s="18" t="str">
        <f t="shared" si="2"/>
        <v>XIOTO3</v>
      </c>
    </row>
    <row r="1276" ht="15.75" customHeight="1">
      <c r="A1276" s="15">
        <v>8722.0</v>
      </c>
      <c r="B1276" s="16" t="s">
        <v>8312</v>
      </c>
      <c r="C1276" s="17" t="s">
        <v>8313</v>
      </c>
      <c r="D1276" s="16" t="s">
        <v>8312</v>
      </c>
      <c r="E1276" s="18" t="s">
        <v>3886</v>
      </c>
      <c r="F1276" s="19" t="str">
        <f t="shared" si="1"/>
        <v>XIOTO3</v>
      </c>
      <c r="G1276" s="19" t="s">
        <v>5408</v>
      </c>
      <c r="H1276" s="20" t="s">
        <v>3045</v>
      </c>
      <c r="I1276" s="19" t="s">
        <v>5409</v>
      </c>
      <c r="J1276" s="19" t="s">
        <v>5410</v>
      </c>
      <c r="K1276" s="21" t="s">
        <v>5411</v>
      </c>
      <c r="L1276" s="19" t="s">
        <v>6729</v>
      </c>
      <c r="M1276" s="16" t="s">
        <v>3885</v>
      </c>
      <c r="N1276" s="18"/>
      <c r="O1276" s="18"/>
      <c r="P1276" s="18">
        <f>VLOOKUP($A1276,MasterData!$C$1:$I$3001,1,FALSE)</f>
        <v>8722</v>
      </c>
      <c r="Q1276" s="18" t="str">
        <f t="shared" si="2"/>
        <v>XIOTO3</v>
      </c>
    </row>
    <row r="1277" ht="15.75" customHeight="1">
      <c r="A1277" s="15">
        <v>8748.0</v>
      </c>
      <c r="B1277" s="16" t="s">
        <v>8314</v>
      </c>
      <c r="C1277" s="17" t="s">
        <v>8315</v>
      </c>
      <c r="D1277" s="16" t="s">
        <v>8314</v>
      </c>
      <c r="E1277" s="18" t="s">
        <v>3888</v>
      </c>
      <c r="F1277" s="19" t="str">
        <f t="shared" si="1"/>
        <v>XIOTO3</v>
      </c>
      <c r="G1277" s="19" t="s">
        <v>5408</v>
      </c>
      <c r="H1277" s="20" t="s">
        <v>3045</v>
      </c>
      <c r="I1277" s="19" t="s">
        <v>5409</v>
      </c>
      <c r="J1277" s="19" t="s">
        <v>5410</v>
      </c>
      <c r="K1277" s="21" t="s">
        <v>5411</v>
      </c>
      <c r="L1277" s="19" t="s">
        <v>6729</v>
      </c>
      <c r="M1277" s="16" t="s">
        <v>3887</v>
      </c>
      <c r="N1277" s="18"/>
      <c r="O1277" s="18"/>
      <c r="P1277" s="18">
        <f>VLOOKUP($A1277,MasterData!$C$1:$I$3001,1,FALSE)</f>
        <v>8748</v>
      </c>
      <c r="Q1277" s="18" t="str">
        <f t="shared" si="2"/>
        <v>XIOTO3</v>
      </c>
    </row>
    <row r="1278" ht="15.75" customHeight="1">
      <c r="A1278" s="15">
        <v>8759.0</v>
      </c>
      <c r="B1278" s="16" t="s">
        <v>8316</v>
      </c>
      <c r="C1278" s="17" t="s">
        <v>8317</v>
      </c>
      <c r="D1278" s="16" t="s">
        <v>8316</v>
      </c>
      <c r="E1278" s="18" t="s">
        <v>3890</v>
      </c>
      <c r="F1278" s="19" t="str">
        <f t="shared" si="1"/>
        <v>XIOTO3</v>
      </c>
      <c r="G1278" s="19" t="s">
        <v>5408</v>
      </c>
      <c r="H1278" s="20" t="s">
        <v>3045</v>
      </c>
      <c r="I1278" s="19" t="s">
        <v>5409</v>
      </c>
      <c r="J1278" s="19" t="s">
        <v>5410</v>
      </c>
      <c r="K1278" s="21" t="s">
        <v>5411</v>
      </c>
      <c r="L1278" s="19" t="s">
        <v>6729</v>
      </c>
      <c r="M1278" s="16" t="s">
        <v>3889</v>
      </c>
      <c r="N1278" s="18"/>
      <c r="O1278" s="18"/>
      <c r="P1278" s="18">
        <f>VLOOKUP($A1278,MasterData!$C$1:$I$3001,1,FALSE)</f>
        <v>8759</v>
      </c>
      <c r="Q1278" s="18" t="str">
        <f t="shared" si="2"/>
        <v>XIOTO3</v>
      </c>
    </row>
    <row r="1279" ht="15.75" customHeight="1">
      <c r="A1279" s="15">
        <v>8772.0</v>
      </c>
      <c r="B1279" s="16" t="s">
        <v>8318</v>
      </c>
      <c r="C1279" s="17" t="s">
        <v>8319</v>
      </c>
      <c r="D1279" s="16" t="s">
        <v>8318</v>
      </c>
      <c r="E1279" s="18" t="s">
        <v>3892</v>
      </c>
      <c r="F1279" s="19" t="str">
        <f t="shared" si="1"/>
        <v>XIOTO3</v>
      </c>
      <c r="G1279" s="19" t="s">
        <v>5408</v>
      </c>
      <c r="H1279" s="20" t="s">
        <v>3045</v>
      </c>
      <c r="I1279" s="19" t="s">
        <v>5409</v>
      </c>
      <c r="J1279" s="19" t="s">
        <v>5410</v>
      </c>
      <c r="K1279" s="21" t="s">
        <v>5411</v>
      </c>
      <c r="L1279" s="19" t="s">
        <v>6729</v>
      </c>
      <c r="M1279" s="16" t="s">
        <v>3891</v>
      </c>
      <c r="N1279" s="18"/>
      <c r="O1279" s="18"/>
      <c r="P1279" s="18">
        <f>VLOOKUP($A1279,MasterData!$C$1:$I$3001,1,FALSE)</f>
        <v>8772</v>
      </c>
      <c r="Q1279" s="18" t="str">
        <f t="shared" si="2"/>
        <v>XIOTO3</v>
      </c>
    </row>
    <row r="1280" ht="15.75" customHeight="1">
      <c r="A1280" s="15">
        <v>8792.0</v>
      </c>
      <c r="B1280" s="16" t="s">
        <v>8320</v>
      </c>
      <c r="C1280" s="17" t="s">
        <v>8321</v>
      </c>
      <c r="D1280" s="16" t="s">
        <v>8320</v>
      </c>
      <c r="E1280" s="18" t="s">
        <v>3894</v>
      </c>
      <c r="F1280" s="19" t="str">
        <f t="shared" si="1"/>
        <v>XIOTO3</v>
      </c>
      <c r="G1280" s="19" t="s">
        <v>5408</v>
      </c>
      <c r="H1280" s="20" t="s">
        <v>3045</v>
      </c>
      <c r="I1280" s="19" t="s">
        <v>5409</v>
      </c>
      <c r="J1280" s="19" t="s">
        <v>5410</v>
      </c>
      <c r="K1280" s="21" t="s">
        <v>5411</v>
      </c>
      <c r="L1280" s="19" t="s">
        <v>6729</v>
      </c>
      <c r="M1280" s="16" t="s">
        <v>3893</v>
      </c>
      <c r="N1280" s="18"/>
      <c r="O1280" s="18"/>
      <c r="P1280" s="18">
        <f>VLOOKUP($A1280,MasterData!$C$1:$I$3001,1,FALSE)</f>
        <v>8792</v>
      </c>
      <c r="Q1280" s="18" t="str">
        <f t="shared" si="2"/>
        <v>XIOTO3</v>
      </c>
    </row>
    <row r="1281" ht="15.75" customHeight="1">
      <c r="A1281" s="15">
        <v>8824.0</v>
      </c>
      <c r="B1281" s="16" t="s">
        <v>8322</v>
      </c>
      <c r="C1281" s="17" t="s">
        <v>8323</v>
      </c>
      <c r="D1281" s="16" t="s">
        <v>8322</v>
      </c>
      <c r="E1281" s="18" t="s">
        <v>3896</v>
      </c>
      <c r="F1281" s="19" t="str">
        <f t="shared" si="1"/>
        <v>XIOTO3</v>
      </c>
      <c r="G1281" s="19" t="s">
        <v>5408</v>
      </c>
      <c r="H1281" s="20" t="s">
        <v>3045</v>
      </c>
      <c r="I1281" s="19" t="s">
        <v>5409</v>
      </c>
      <c r="J1281" s="19" t="s">
        <v>5410</v>
      </c>
      <c r="K1281" s="21" t="s">
        <v>5411</v>
      </c>
      <c r="L1281" s="19" t="s">
        <v>6729</v>
      </c>
      <c r="M1281" s="16" t="s">
        <v>3895</v>
      </c>
      <c r="N1281" s="18"/>
      <c r="O1281" s="18"/>
      <c r="P1281" s="18">
        <f>VLOOKUP($A1281,MasterData!$C$1:$I$3001,1,FALSE)</f>
        <v>8824</v>
      </c>
      <c r="Q1281" s="18" t="str">
        <f t="shared" si="2"/>
        <v>XIOTO3</v>
      </c>
    </row>
    <row r="1282" ht="15.75" customHeight="1">
      <c r="A1282" s="15">
        <v>8843.0</v>
      </c>
      <c r="B1282" s="16" t="s">
        <v>8324</v>
      </c>
      <c r="C1282" s="17" t="s">
        <v>8325</v>
      </c>
      <c r="D1282" s="16" t="s">
        <v>8324</v>
      </c>
      <c r="E1282" s="18" t="s">
        <v>3898</v>
      </c>
      <c r="F1282" s="19" t="str">
        <f t="shared" si="1"/>
        <v>XIOTO3</v>
      </c>
      <c r="G1282" s="19" t="s">
        <v>5408</v>
      </c>
      <c r="H1282" s="20" t="s">
        <v>3045</v>
      </c>
      <c r="I1282" s="19" t="s">
        <v>5409</v>
      </c>
      <c r="J1282" s="19" t="s">
        <v>5410</v>
      </c>
      <c r="K1282" s="21" t="s">
        <v>5411</v>
      </c>
      <c r="L1282" s="19" t="s">
        <v>6729</v>
      </c>
      <c r="M1282" s="16" t="s">
        <v>3897</v>
      </c>
      <c r="N1282" s="18"/>
      <c r="O1282" s="18"/>
      <c r="P1282" s="18">
        <f>VLOOKUP($A1282,MasterData!$C$1:$I$3001,1,FALSE)</f>
        <v>8843</v>
      </c>
      <c r="Q1282" s="18" t="str">
        <f t="shared" si="2"/>
        <v>XIOTO3</v>
      </c>
    </row>
    <row r="1283" ht="15.75" customHeight="1">
      <c r="A1283" s="15">
        <v>8864.0</v>
      </c>
      <c r="B1283" s="16" t="s">
        <v>8326</v>
      </c>
      <c r="C1283" s="17" t="s">
        <v>8327</v>
      </c>
      <c r="D1283" s="16" t="s">
        <v>8326</v>
      </c>
      <c r="E1283" s="18" t="s">
        <v>3900</v>
      </c>
      <c r="F1283" s="19" t="str">
        <f t="shared" si="1"/>
        <v>XIOTO3</v>
      </c>
      <c r="G1283" s="19" t="s">
        <v>5408</v>
      </c>
      <c r="H1283" s="20" t="s">
        <v>3045</v>
      </c>
      <c r="I1283" s="19" t="s">
        <v>5409</v>
      </c>
      <c r="J1283" s="19" t="s">
        <v>5410</v>
      </c>
      <c r="K1283" s="21" t="s">
        <v>5411</v>
      </c>
      <c r="L1283" s="19" t="s">
        <v>6729</v>
      </c>
      <c r="M1283" s="16" t="s">
        <v>3899</v>
      </c>
      <c r="N1283" s="18"/>
      <c r="O1283" s="18"/>
      <c r="P1283" s="18">
        <f>VLOOKUP($A1283,MasterData!$C$1:$I$3001,1,FALSE)</f>
        <v>8864</v>
      </c>
      <c r="Q1283" s="18" t="str">
        <f t="shared" si="2"/>
        <v>XIOTO3</v>
      </c>
    </row>
    <row r="1284" ht="15.75" customHeight="1">
      <c r="A1284" s="15">
        <v>8880.0</v>
      </c>
      <c r="B1284" s="16" t="s">
        <v>8328</v>
      </c>
      <c r="C1284" s="17" t="s">
        <v>8329</v>
      </c>
      <c r="D1284" s="16" t="s">
        <v>8328</v>
      </c>
      <c r="E1284" s="18" t="s">
        <v>3902</v>
      </c>
      <c r="F1284" s="19" t="str">
        <f t="shared" si="1"/>
        <v>XIOTO3</v>
      </c>
      <c r="G1284" s="19" t="s">
        <v>5408</v>
      </c>
      <c r="H1284" s="20" t="s">
        <v>3045</v>
      </c>
      <c r="I1284" s="19" t="s">
        <v>5409</v>
      </c>
      <c r="J1284" s="19" t="s">
        <v>5410</v>
      </c>
      <c r="K1284" s="21" t="s">
        <v>5411</v>
      </c>
      <c r="L1284" s="19" t="s">
        <v>6729</v>
      </c>
      <c r="M1284" s="16" t="s">
        <v>3901</v>
      </c>
      <c r="N1284" s="18"/>
      <c r="O1284" s="18"/>
      <c r="P1284" s="18">
        <f>VLOOKUP($A1284,MasterData!$C$1:$I$3001,1,FALSE)</f>
        <v>8880</v>
      </c>
      <c r="Q1284" s="18" t="str">
        <f t="shared" si="2"/>
        <v>XIOTO3</v>
      </c>
    </row>
    <row r="1285" ht="15.75" customHeight="1">
      <c r="A1285" s="15">
        <v>8895.0</v>
      </c>
      <c r="B1285" s="16" t="s">
        <v>8330</v>
      </c>
      <c r="C1285" s="17" t="s">
        <v>8331</v>
      </c>
      <c r="D1285" s="16" t="s">
        <v>8330</v>
      </c>
      <c r="E1285" s="18" t="s">
        <v>3904</v>
      </c>
      <c r="F1285" s="19" t="str">
        <f t="shared" si="1"/>
        <v>XIOTO3</v>
      </c>
      <c r="G1285" s="19" t="s">
        <v>5408</v>
      </c>
      <c r="H1285" s="20" t="s">
        <v>3045</v>
      </c>
      <c r="I1285" s="19" t="s">
        <v>5409</v>
      </c>
      <c r="J1285" s="19" t="s">
        <v>5410</v>
      </c>
      <c r="K1285" s="21" t="s">
        <v>5411</v>
      </c>
      <c r="L1285" s="19" t="s">
        <v>6729</v>
      </c>
      <c r="M1285" s="16" t="s">
        <v>3903</v>
      </c>
      <c r="N1285" s="18"/>
      <c r="O1285" s="18"/>
      <c r="P1285" s="18">
        <f>VLOOKUP($A1285,MasterData!$C$1:$I$3001,1,FALSE)</f>
        <v>8895</v>
      </c>
      <c r="Q1285" s="18" t="str">
        <f t="shared" si="2"/>
        <v>XIOTO3</v>
      </c>
    </row>
    <row r="1286" ht="15.75" customHeight="1">
      <c r="A1286" s="15">
        <v>8935.0</v>
      </c>
      <c r="B1286" s="16" t="s">
        <v>8332</v>
      </c>
      <c r="C1286" s="17" t="s">
        <v>8333</v>
      </c>
      <c r="D1286" s="16" t="s">
        <v>8332</v>
      </c>
      <c r="E1286" s="18" t="s">
        <v>3906</v>
      </c>
      <c r="F1286" s="19" t="str">
        <f t="shared" si="1"/>
        <v>XIOTO3</v>
      </c>
      <c r="G1286" s="19" t="s">
        <v>5408</v>
      </c>
      <c r="H1286" s="20" t="s">
        <v>3045</v>
      </c>
      <c r="I1286" s="19" t="s">
        <v>5409</v>
      </c>
      <c r="J1286" s="19" t="s">
        <v>5410</v>
      </c>
      <c r="K1286" s="21" t="s">
        <v>5411</v>
      </c>
      <c r="L1286" s="19" t="s">
        <v>6729</v>
      </c>
      <c r="M1286" s="16" t="s">
        <v>3905</v>
      </c>
      <c r="N1286" s="18"/>
      <c r="O1286" s="18"/>
      <c r="P1286" s="18">
        <f>VLOOKUP($A1286,MasterData!$C$1:$I$3001,1,FALSE)</f>
        <v>8935</v>
      </c>
      <c r="Q1286" s="18" t="str">
        <f t="shared" si="2"/>
        <v>XIOTO3</v>
      </c>
    </row>
    <row r="1287" ht="15.75" customHeight="1">
      <c r="A1287" s="15">
        <v>8944.0</v>
      </c>
      <c r="B1287" s="16" t="s">
        <v>8334</v>
      </c>
      <c r="C1287" s="17" t="s">
        <v>8335</v>
      </c>
      <c r="D1287" s="16" t="s">
        <v>8334</v>
      </c>
      <c r="E1287" s="18" t="s">
        <v>3908</v>
      </c>
      <c r="F1287" s="19" t="str">
        <f t="shared" si="1"/>
        <v>XIOTO3</v>
      </c>
      <c r="G1287" s="19" t="s">
        <v>5408</v>
      </c>
      <c r="H1287" s="20" t="s">
        <v>3045</v>
      </c>
      <c r="I1287" s="19" t="s">
        <v>5409</v>
      </c>
      <c r="J1287" s="19" t="s">
        <v>5410</v>
      </c>
      <c r="K1287" s="21" t="s">
        <v>5411</v>
      </c>
      <c r="L1287" s="19" t="s">
        <v>6729</v>
      </c>
      <c r="M1287" s="16" t="s">
        <v>3907</v>
      </c>
      <c r="N1287" s="18"/>
      <c r="O1287" s="18"/>
      <c r="P1287" s="18">
        <f>VLOOKUP($A1287,MasterData!$C$1:$I$3001,1,FALSE)</f>
        <v>8944</v>
      </c>
      <c r="Q1287" s="18" t="str">
        <f t="shared" si="2"/>
        <v>XIOTO3</v>
      </c>
    </row>
    <row r="1288" ht="15.75" customHeight="1">
      <c r="A1288" s="15">
        <v>8959.0</v>
      </c>
      <c r="B1288" s="16" t="s">
        <v>8336</v>
      </c>
      <c r="C1288" s="17" t="s">
        <v>8337</v>
      </c>
      <c r="D1288" s="16" t="s">
        <v>8336</v>
      </c>
      <c r="E1288" s="18" t="s">
        <v>3910</v>
      </c>
      <c r="F1288" s="19" t="str">
        <f t="shared" si="1"/>
        <v>XIOTO3</v>
      </c>
      <c r="G1288" s="19" t="s">
        <v>5408</v>
      </c>
      <c r="H1288" s="20" t="s">
        <v>3045</v>
      </c>
      <c r="I1288" s="19" t="s">
        <v>5409</v>
      </c>
      <c r="J1288" s="19" t="s">
        <v>5410</v>
      </c>
      <c r="K1288" s="21" t="s">
        <v>5411</v>
      </c>
      <c r="L1288" s="19" t="s">
        <v>6729</v>
      </c>
      <c r="M1288" s="16" t="s">
        <v>3909</v>
      </c>
      <c r="N1288" s="18"/>
      <c r="O1288" s="18"/>
      <c r="P1288" s="18">
        <f>VLOOKUP($A1288,MasterData!$C$1:$I$3001,1,FALSE)</f>
        <v>8959</v>
      </c>
      <c r="Q1288" s="18" t="str">
        <f t="shared" si="2"/>
        <v>XIOTO3</v>
      </c>
    </row>
    <row r="1289" ht="15.75" customHeight="1">
      <c r="A1289" s="15">
        <v>8972.0</v>
      </c>
      <c r="B1289" s="16" t="s">
        <v>8338</v>
      </c>
      <c r="C1289" s="17" t="s">
        <v>8339</v>
      </c>
      <c r="D1289" s="16" t="s">
        <v>8338</v>
      </c>
      <c r="E1289" s="18" t="s">
        <v>3912</v>
      </c>
      <c r="F1289" s="19" t="str">
        <f t="shared" si="1"/>
        <v>XIOTO3</v>
      </c>
      <c r="G1289" s="19" t="s">
        <v>5408</v>
      </c>
      <c r="H1289" s="20" t="s">
        <v>3045</v>
      </c>
      <c r="I1289" s="19" t="s">
        <v>5409</v>
      </c>
      <c r="J1289" s="19" t="s">
        <v>5410</v>
      </c>
      <c r="K1289" s="21" t="s">
        <v>5411</v>
      </c>
      <c r="L1289" s="19" t="s">
        <v>6729</v>
      </c>
      <c r="M1289" s="16" t="s">
        <v>3911</v>
      </c>
      <c r="N1289" s="18"/>
      <c r="O1289" s="18"/>
      <c r="P1289" s="18">
        <f>VLOOKUP($A1289,MasterData!$C$1:$I$3001,1,FALSE)</f>
        <v>8972</v>
      </c>
      <c r="Q1289" s="18" t="str">
        <f t="shared" si="2"/>
        <v>XIOTO3</v>
      </c>
    </row>
    <row r="1290" ht="15.75" customHeight="1">
      <c r="A1290" s="15">
        <v>8980.0</v>
      </c>
      <c r="B1290" s="16" t="s">
        <v>8340</v>
      </c>
      <c r="C1290" s="17" t="s">
        <v>8341</v>
      </c>
      <c r="D1290" s="16" t="s">
        <v>8340</v>
      </c>
      <c r="E1290" s="18" t="s">
        <v>3914</v>
      </c>
      <c r="F1290" s="19" t="str">
        <f t="shared" si="1"/>
        <v>XIOTO3</v>
      </c>
      <c r="G1290" s="19" t="s">
        <v>5408</v>
      </c>
      <c r="H1290" s="20" t="s">
        <v>3045</v>
      </c>
      <c r="I1290" s="19" t="s">
        <v>5409</v>
      </c>
      <c r="J1290" s="19" t="s">
        <v>5410</v>
      </c>
      <c r="K1290" s="21" t="s">
        <v>5411</v>
      </c>
      <c r="L1290" s="19" t="s">
        <v>6729</v>
      </c>
      <c r="M1290" s="16" t="s">
        <v>3913</v>
      </c>
      <c r="N1290" s="18"/>
      <c r="O1290" s="18"/>
      <c r="P1290" s="18">
        <f>VLOOKUP($A1290,MasterData!$C$1:$I$3001,1,FALSE)</f>
        <v>8980</v>
      </c>
      <c r="Q1290" s="18" t="str">
        <f t="shared" si="2"/>
        <v>XIOTO3</v>
      </c>
    </row>
    <row r="1291" ht="15.75" customHeight="1">
      <c r="A1291" s="15">
        <v>8987.0</v>
      </c>
      <c r="B1291" s="16" t="s">
        <v>8342</v>
      </c>
      <c r="C1291" s="17" t="s">
        <v>8343</v>
      </c>
      <c r="D1291" s="16" t="s">
        <v>8342</v>
      </c>
      <c r="E1291" s="18" t="s">
        <v>3916</v>
      </c>
      <c r="F1291" s="19" t="str">
        <f t="shared" si="1"/>
        <v>XIOTO3</v>
      </c>
      <c r="G1291" s="19" t="s">
        <v>5408</v>
      </c>
      <c r="H1291" s="20" t="s">
        <v>3045</v>
      </c>
      <c r="I1291" s="19" t="s">
        <v>5409</v>
      </c>
      <c r="J1291" s="19" t="s">
        <v>5410</v>
      </c>
      <c r="K1291" s="21" t="s">
        <v>5411</v>
      </c>
      <c r="L1291" s="19" t="s">
        <v>6729</v>
      </c>
      <c r="M1291" s="16" t="s">
        <v>3915</v>
      </c>
      <c r="N1291" s="18"/>
      <c r="O1291" s="18"/>
      <c r="P1291" s="18">
        <f>VLOOKUP($A1291,MasterData!$C$1:$I$3001,1,FALSE)</f>
        <v>8987</v>
      </c>
      <c r="Q1291" s="18" t="str">
        <f t="shared" si="2"/>
        <v>XIOTO3</v>
      </c>
    </row>
    <row r="1292" ht="15.75" customHeight="1">
      <c r="A1292" s="15">
        <v>9018.0</v>
      </c>
      <c r="B1292" s="16" t="s">
        <v>8344</v>
      </c>
      <c r="C1292" s="17" t="s">
        <v>8345</v>
      </c>
      <c r="D1292" s="16" t="s">
        <v>8344</v>
      </c>
      <c r="E1292" s="18" t="s">
        <v>3918</v>
      </c>
      <c r="F1292" s="19" t="str">
        <f t="shared" si="1"/>
        <v>XIOTO3</v>
      </c>
      <c r="G1292" s="19" t="s">
        <v>5408</v>
      </c>
      <c r="H1292" s="20" t="s">
        <v>3045</v>
      </c>
      <c r="I1292" s="19" t="s">
        <v>5409</v>
      </c>
      <c r="J1292" s="19" t="s">
        <v>5410</v>
      </c>
      <c r="K1292" s="21" t="s">
        <v>5411</v>
      </c>
      <c r="L1292" s="19" t="s">
        <v>6729</v>
      </c>
      <c r="M1292" s="16" t="s">
        <v>3917</v>
      </c>
      <c r="N1292" s="18"/>
      <c r="O1292" s="18"/>
      <c r="P1292" s="18">
        <f>VLOOKUP($A1292,MasterData!$C$1:$I$3001,1,FALSE)</f>
        <v>9018</v>
      </c>
      <c r="Q1292" s="18" t="str">
        <f t="shared" si="2"/>
        <v>XIOTO3</v>
      </c>
    </row>
    <row r="1293" ht="15.75" customHeight="1">
      <c r="A1293" s="15">
        <v>9027.0</v>
      </c>
      <c r="B1293" s="16" t="s">
        <v>8346</v>
      </c>
      <c r="C1293" s="17" t="s">
        <v>8347</v>
      </c>
      <c r="D1293" s="16" t="s">
        <v>8346</v>
      </c>
      <c r="E1293" s="18" t="s">
        <v>3920</v>
      </c>
      <c r="F1293" s="19" t="str">
        <f t="shared" si="1"/>
        <v>XIOTO3</v>
      </c>
      <c r="G1293" s="19" t="s">
        <v>5408</v>
      </c>
      <c r="H1293" s="20" t="s">
        <v>3045</v>
      </c>
      <c r="I1293" s="19" t="s">
        <v>5409</v>
      </c>
      <c r="J1293" s="19" t="s">
        <v>5410</v>
      </c>
      <c r="K1293" s="21" t="s">
        <v>5411</v>
      </c>
      <c r="L1293" s="19" t="s">
        <v>6729</v>
      </c>
      <c r="M1293" s="16" t="s">
        <v>3919</v>
      </c>
      <c r="N1293" s="18"/>
      <c r="O1293" s="18"/>
      <c r="P1293" s="18">
        <f>VLOOKUP($A1293,MasterData!$C$1:$I$3001,1,FALSE)</f>
        <v>9027</v>
      </c>
      <c r="Q1293" s="18" t="str">
        <f t="shared" si="2"/>
        <v>XIOTO3</v>
      </c>
    </row>
    <row r="1294" ht="15.75" customHeight="1">
      <c r="A1294" s="15">
        <v>9035.0</v>
      </c>
      <c r="B1294" s="16" t="s">
        <v>8348</v>
      </c>
      <c r="C1294" s="17" t="s">
        <v>8349</v>
      </c>
      <c r="D1294" s="16" t="s">
        <v>8348</v>
      </c>
      <c r="E1294" s="18" t="s">
        <v>3922</v>
      </c>
      <c r="F1294" s="19" t="str">
        <f t="shared" si="1"/>
        <v>XIOTO3</v>
      </c>
      <c r="G1294" s="19" t="s">
        <v>5408</v>
      </c>
      <c r="H1294" s="20" t="s">
        <v>3045</v>
      </c>
      <c r="I1294" s="19" t="s">
        <v>5409</v>
      </c>
      <c r="J1294" s="19" t="s">
        <v>5410</v>
      </c>
      <c r="K1294" s="21" t="s">
        <v>5411</v>
      </c>
      <c r="L1294" s="19" t="s">
        <v>6729</v>
      </c>
      <c r="M1294" s="16" t="s">
        <v>3921</v>
      </c>
      <c r="N1294" s="18"/>
      <c r="O1294" s="18"/>
      <c r="P1294" s="18">
        <f>VLOOKUP($A1294,MasterData!$C$1:$I$3001,1,FALSE)</f>
        <v>9035</v>
      </c>
      <c r="Q1294" s="18" t="str">
        <f t="shared" si="2"/>
        <v>XIOTO3</v>
      </c>
    </row>
    <row r="1295" ht="15.75" customHeight="1">
      <c r="A1295" s="15">
        <v>9066.0</v>
      </c>
      <c r="B1295" s="16" t="s">
        <v>8350</v>
      </c>
      <c r="C1295" s="17" t="s">
        <v>8351</v>
      </c>
      <c r="D1295" s="16" t="s">
        <v>8350</v>
      </c>
      <c r="E1295" s="18" t="s">
        <v>3924</v>
      </c>
      <c r="F1295" s="19" t="str">
        <f t="shared" si="1"/>
        <v>XIOTO3</v>
      </c>
      <c r="G1295" s="19" t="s">
        <v>5408</v>
      </c>
      <c r="H1295" s="20" t="s">
        <v>3045</v>
      </c>
      <c r="I1295" s="19" t="s">
        <v>5409</v>
      </c>
      <c r="J1295" s="19" t="s">
        <v>5410</v>
      </c>
      <c r="K1295" s="21" t="s">
        <v>5411</v>
      </c>
      <c r="L1295" s="19" t="s">
        <v>6729</v>
      </c>
      <c r="M1295" s="16" t="s">
        <v>3923</v>
      </c>
      <c r="N1295" s="18"/>
      <c r="O1295" s="18"/>
      <c r="P1295" s="18">
        <f>VLOOKUP($A1295,MasterData!$C$1:$I$3001,1,FALSE)</f>
        <v>9066</v>
      </c>
      <c r="Q1295" s="18" t="str">
        <f t="shared" si="2"/>
        <v>XIOTO3</v>
      </c>
    </row>
    <row r="1296" ht="15.75" customHeight="1">
      <c r="A1296" s="15">
        <v>9091.0</v>
      </c>
      <c r="B1296" s="16" t="s">
        <v>8352</v>
      </c>
      <c r="C1296" s="17" t="s">
        <v>8353</v>
      </c>
      <c r="D1296" s="16" t="s">
        <v>8352</v>
      </c>
      <c r="E1296" s="18" t="s">
        <v>3926</v>
      </c>
      <c r="F1296" s="19" t="str">
        <f t="shared" si="1"/>
        <v>XIOTO3</v>
      </c>
      <c r="G1296" s="19" t="s">
        <v>5408</v>
      </c>
      <c r="H1296" s="20" t="s">
        <v>3045</v>
      </c>
      <c r="I1296" s="19" t="s">
        <v>5409</v>
      </c>
      <c r="J1296" s="19" t="s">
        <v>5410</v>
      </c>
      <c r="K1296" s="21" t="s">
        <v>5411</v>
      </c>
      <c r="L1296" s="19" t="s">
        <v>6729</v>
      </c>
      <c r="M1296" s="16" t="s">
        <v>3925</v>
      </c>
      <c r="N1296" s="18"/>
      <c r="O1296" s="18"/>
      <c r="P1296" s="18">
        <f>VLOOKUP($A1296,MasterData!$C$1:$I$3001,1,FALSE)</f>
        <v>9091</v>
      </c>
      <c r="Q1296" s="18" t="str">
        <f t="shared" si="2"/>
        <v>XIOTO3</v>
      </c>
    </row>
    <row r="1297" ht="15.75" customHeight="1">
      <c r="A1297" s="15">
        <v>9102.0</v>
      </c>
      <c r="B1297" s="16" t="s">
        <v>8354</v>
      </c>
      <c r="C1297" s="17" t="s">
        <v>8355</v>
      </c>
      <c r="D1297" s="16" t="s">
        <v>8354</v>
      </c>
      <c r="E1297" s="18" t="s">
        <v>3928</v>
      </c>
      <c r="F1297" s="19" t="str">
        <f t="shared" si="1"/>
        <v>XIOTO3</v>
      </c>
      <c r="G1297" s="19" t="s">
        <v>5408</v>
      </c>
      <c r="H1297" s="20" t="s">
        <v>3045</v>
      </c>
      <c r="I1297" s="19" t="s">
        <v>5409</v>
      </c>
      <c r="J1297" s="19" t="s">
        <v>5410</v>
      </c>
      <c r="K1297" s="21" t="s">
        <v>5411</v>
      </c>
      <c r="L1297" s="19" t="s">
        <v>6729</v>
      </c>
      <c r="M1297" s="16" t="s">
        <v>3927</v>
      </c>
      <c r="N1297" s="18"/>
      <c r="O1297" s="18"/>
      <c r="P1297" s="18">
        <f>VLOOKUP($A1297,MasterData!$C$1:$I$3001,1,FALSE)</f>
        <v>9102</v>
      </c>
      <c r="Q1297" s="18" t="str">
        <f t="shared" si="2"/>
        <v>XIOTO3</v>
      </c>
    </row>
    <row r="1298" ht="15.75" customHeight="1">
      <c r="A1298" s="15">
        <v>9109.0</v>
      </c>
      <c r="B1298" s="16" t="s">
        <v>8356</v>
      </c>
      <c r="C1298" s="17" t="s">
        <v>8357</v>
      </c>
      <c r="D1298" s="16" t="s">
        <v>8356</v>
      </c>
      <c r="E1298" s="18" t="s">
        <v>3930</v>
      </c>
      <c r="F1298" s="19" t="str">
        <f t="shared" si="1"/>
        <v>XIOTO3</v>
      </c>
      <c r="G1298" s="19" t="s">
        <v>5408</v>
      </c>
      <c r="H1298" s="20" t="s">
        <v>3045</v>
      </c>
      <c r="I1298" s="19" t="s">
        <v>5409</v>
      </c>
      <c r="J1298" s="19" t="s">
        <v>5410</v>
      </c>
      <c r="K1298" s="21" t="s">
        <v>5411</v>
      </c>
      <c r="L1298" s="19" t="s">
        <v>6729</v>
      </c>
      <c r="M1298" s="16" t="s">
        <v>3929</v>
      </c>
      <c r="N1298" s="18"/>
      <c r="O1298" s="18"/>
      <c r="P1298" s="18">
        <f>VLOOKUP($A1298,MasterData!$C$1:$I$3001,1,FALSE)</f>
        <v>9109</v>
      </c>
      <c r="Q1298" s="18" t="str">
        <f t="shared" si="2"/>
        <v>XIOTO3</v>
      </c>
    </row>
    <row r="1299" ht="15.75" customHeight="1">
      <c r="A1299" s="15">
        <v>9119.0</v>
      </c>
      <c r="B1299" s="16" t="s">
        <v>8358</v>
      </c>
      <c r="C1299" s="17" t="s">
        <v>8359</v>
      </c>
      <c r="D1299" s="16" t="s">
        <v>8358</v>
      </c>
      <c r="E1299" s="18" t="s">
        <v>3932</v>
      </c>
      <c r="F1299" s="19" t="str">
        <f t="shared" si="1"/>
        <v>XIOTO3</v>
      </c>
      <c r="G1299" s="19" t="s">
        <v>5408</v>
      </c>
      <c r="H1299" s="20" t="s">
        <v>3045</v>
      </c>
      <c r="I1299" s="19" t="s">
        <v>5409</v>
      </c>
      <c r="J1299" s="19" t="s">
        <v>5410</v>
      </c>
      <c r="K1299" s="21" t="s">
        <v>5411</v>
      </c>
      <c r="L1299" s="19" t="s">
        <v>6729</v>
      </c>
      <c r="M1299" s="16" t="s">
        <v>3931</v>
      </c>
      <c r="N1299" s="18"/>
      <c r="O1299" s="18"/>
      <c r="P1299" s="18">
        <f>VLOOKUP($A1299,MasterData!$C$1:$I$3001,1,FALSE)</f>
        <v>9119</v>
      </c>
      <c r="Q1299" s="18" t="str">
        <f t="shared" si="2"/>
        <v>XIOTO3</v>
      </c>
    </row>
    <row r="1300" ht="15.75" customHeight="1">
      <c r="A1300" s="15">
        <v>9129.0</v>
      </c>
      <c r="B1300" s="16" t="s">
        <v>8360</v>
      </c>
      <c r="C1300" s="17" t="s">
        <v>8361</v>
      </c>
      <c r="D1300" s="16" t="s">
        <v>8360</v>
      </c>
      <c r="E1300" s="18" t="s">
        <v>3934</v>
      </c>
      <c r="F1300" s="19" t="str">
        <f t="shared" si="1"/>
        <v>XIOTO3</v>
      </c>
      <c r="G1300" s="19" t="s">
        <v>5408</v>
      </c>
      <c r="H1300" s="20" t="s">
        <v>3045</v>
      </c>
      <c r="I1300" s="19" t="s">
        <v>5409</v>
      </c>
      <c r="J1300" s="19" t="s">
        <v>5410</v>
      </c>
      <c r="K1300" s="21" t="s">
        <v>5411</v>
      </c>
      <c r="L1300" s="19" t="s">
        <v>6729</v>
      </c>
      <c r="M1300" s="16" t="s">
        <v>3933</v>
      </c>
      <c r="N1300" s="18"/>
      <c r="O1300" s="18"/>
      <c r="P1300" s="18">
        <f>VLOOKUP($A1300,MasterData!$C$1:$I$3001,1,FALSE)</f>
        <v>9129</v>
      </c>
      <c r="Q1300" s="18" t="str">
        <f t="shared" si="2"/>
        <v>XIOTO3</v>
      </c>
    </row>
    <row r="1301" ht="15.75" customHeight="1">
      <c r="A1301" s="15">
        <v>9152.0</v>
      </c>
      <c r="B1301" s="16" t="s">
        <v>8362</v>
      </c>
      <c r="C1301" s="17" t="s">
        <v>8363</v>
      </c>
      <c r="D1301" s="16" t="s">
        <v>8362</v>
      </c>
      <c r="E1301" s="18" t="s">
        <v>3936</v>
      </c>
      <c r="F1301" s="19" t="str">
        <f t="shared" si="1"/>
        <v>XIOTO3</v>
      </c>
      <c r="G1301" s="19" t="s">
        <v>5408</v>
      </c>
      <c r="H1301" s="20" t="s">
        <v>3045</v>
      </c>
      <c r="I1301" s="19" t="s">
        <v>5409</v>
      </c>
      <c r="J1301" s="19" t="s">
        <v>5410</v>
      </c>
      <c r="K1301" s="21" t="s">
        <v>5411</v>
      </c>
      <c r="L1301" s="19" t="s">
        <v>6729</v>
      </c>
      <c r="M1301" s="16" t="s">
        <v>3935</v>
      </c>
      <c r="N1301" s="18"/>
      <c r="O1301" s="18"/>
      <c r="P1301" s="18">
        <f>VLOOKUP($A1301,MasterData!$C$1:$I$3001,1,FALSE)</f>
        <v>9152</v>
      </c>
      <c r="Q1301" s="18" t="str">
        <f t="shared" si="2"/>
        <v>XIOTO3</v>
      </c>
    </row>
    <row r="1302" ht="15.75" customHeight="1">
      <c r="A1302" s="15">
        <v>9166.0</v>
      </c>
      <c r="B1302" s="16" t="s">
        <v>8364</v>
      </c>
      <c r="C1302" s="30" t="s">
        <v>8365</v>
      </c>
      <c r="D1302" s="16" t="s">
        <v>8364</v>
      </c>
      <c r="E1302" s="18" t="s">
        <v>3938</v>
      </c>
      <c r="F1302" s="19" t="str">
        <f t="shared" si="1"/>
        <v>XIOTO3</v>
      </c>
      <c r="G1302" s="19" t="s">
        <v>5408</v>
      </c>
      <c r="H1302" s="20" t="s">
        <v>3045</v>
      </c>
      <c r="I1302" s="19" t="s">
        <v>5409</v>
      </c>
      <c r="J1302" s="19" t="s">
        <v>5410</v>
      </c>
      <c r="K1302" s="21" t="s">
        <v>5411</v>
      </c>
      <c r="L1302" s="19" t="s">
        <v>6729</v>
      </c>
      <c r="M1302" s="16" t="s">
        <v>3937</v>
      </c>
      <c r="N1302" s="18"/>
      <c r="O1302" s="18"/>
      <c r="P1302" s="18">
        <f>VLOOKUP($A1302,MasterData!$C$1:$I$3001,1,FALSE)</f>
        <v>9166</v>
      </c>
      <c r="Q1302" s="18" t="str">
        <f t="shared" si="2"/>
        <v>XIOTO3</v>
      </c>
    </row>
    <row r="1303" ht="15.75" customHeight="1">
      <c r="A1303" s="15">
        <v>9200.0</v>
      </c>
      <c r="B1303" s="16" t="s">
        <v>8366</v>
      </c>
      <c r="C1303" s="17" t="s">
        <v>8367</v>
      </c>
      <c r="D1303" s="16" t="s">
        <v>8366</v>
      </c>
      <c r="E1303" s="18" t="s">
        <v>3940</v>
      </c>
      <c r="F1303" s="19" t="str">
        <f t="shared" si="1"/>
        <v>XIOTO3</v>
      </c>
      <c r="G1303" s="19" t="s">
        <v>5408</v>
      </c>
      <c r="H1303" s="20" t="s">
        <v>3045</v>
      </c>
      <c r="I1303" s="19" t="s">
        <v>5409</v>
      </c>
      <c r="J1303" s="19" t="s">
        <v>5410</v>
      </c>
      <c r="K1303" s="21" t="s">
        <v>5411</v>
      </c>
      <c r="L1303" s="19" t="s">
        <v>6729</v>
      </c>
      <c r="M1303" s="16" t="s">
        <v>3939</v>
      </c>
      <c r="N1303" s="18"/>
      <c r="O1303" s="18"/>
      <c r="P1303" s="18">
        <f>VLOOKUP($A1303,MasterData!$C$1:$I$3001,1,FALSE)</f>
        <v>9200</v>
      </c>
      <c r="Q1303" s="18" t="str">
        <f t="shared" si="2"/>
        <v>XIOTO3</v>
      </c>
    </row>
    <row r="1304" ht="15.75" customHeight="1">
      <c r="A1304" s="15">
        <v>9226.0</v>
      </c>
      <c r="B1304" s="16" t="s">
        <v>8368</v>
      </c>
      <c r="C1304" s="17" t="s">
        <v>8369</v>
      </c>
      <c r="D1304" s="16" t="s">
        <v>8368</v>
      </c>
      <c r="E1304" s="18" t="s">
        <v>3942</v>
      </c>
      <c r="F1304" s="19" t="str">
        <f t="shared" si="1"/>
        <v>XIOTO3</v>
      </c>
      <c r="G1304" s="19" t="s">
        <v>5408</v>
      </c>
      <c r="H1304" s="20" t="s">
        <v>3045</v>
      </c>
      <c r="I1304" s="19" t="s">
        <v>5409</v>
      </c>
      <c r="J1304" s="19" t="s">
        <v>5410</v>
      </c>
      <c r="K1304" s="21" t="s">
        <v>5411</v>
      </c>
      <c r="L1304" s="19" t="s">
        <v>6729</v>
      </c>
      <c r="M1304" s="16" t="s">
        <v>3941</v>
      </c>
      <c r="N1304" s="18"/>
      <c r="O1304" s="18"/>
      <c r="P1304" s="18">
        <f>VLOOKUP($A1304,MasterData!$C$1:$I$3001,1,FALSE)</f>
        <v>9226</v>
      </c>
      <c r="Q1304" s="18" t="str">
        <f t="shared" si="2"/>
        <v>XIOTO3</v>
      </c>
    </row>
    <row r="1305" ht="15.75" customHeight="1">
      <c r="A1305" s="15">
        <v>9240.0</v>
      </c>
      <c r="B1305" s="16" t="s">
        <v>8370</v>
      </c>
      <c r="C1305" s="17" t="s">
        <v>8371</v>
      </c>
      <c r="D1305" s="16" t="s">
        <v>8370</v>
      </c>
      <c r="E1305" s="18" t="s">
        <v>3944</v>
      </c>
      <c r="F1305" s="19" t="str">
        <f t="shared" si="1"/>
        <v>XIOTO3</v>
      </c>
      <c r="G1305" s="19" t="s">
        <v>5408</v>
      </c>
      <c r="H1305" s="20" t="s">
        <v>3045</v>
      </c>
      <c r="I1305" s="19" t="s">
        <v>5409</v>
      </c>
      <c r="J1305" s="19" t="s">
        <v>5410</v>
      </c>
      <c r="K1305" s="21" t="s">
        <v>5411</v>
      </c>
      <c r="L1305" s="19" t="s">
        <v>6729</v>
      </c>
      <c r="M1305" s="16" t="s">
        <v>3943</v>
      </c>
      <c r="N1305" s="18"/>
      <c r="O1305" s="18"/>
      <c r="P1305" s="18">
        <f>VLOOKUP($A1305,MasterData!$C$1:$I$3001,1,FALSE)</f>
        <v>9240</v>
      </c>
      <c r="Q1305" s="18" t="str">
        <f t="shared" si="2"/>
        <v>XIOTO3</v>
      </c>
    </row>
    <row r="1306" ht="15.75" customHeight="1">
      <c r="A1306" s="15">
        <v>8646.0</v>
      </c>
      <c r="B1306" s="16" t="s">
        <v>8372</v>
      </c>
      <c r="C1306" s="17" t="s">
        <v>8373</v>
      </c>
      <c r="D1306" s="16" t="s">
        <v>8372</v>
      </c>
      <c r="E1306" s="18" t="s">
        <v>3946</v>
      </c>
      <c r="F1306" s="19" t="str">
        <f t="shared" si="1"/>
        <v>XIOTO4</v>
      </c>
      <c r="G1306" s="19" t="s">
        <v>5408</v>
      </c>
      <c r="H1306" s="20" t="s">
        <v>3045</v>
      </c>
      <c r="I1306" s="19" t="s">
        <v>5409</v>
      </c>
      <c r="J1306" s="19" t="s">
        <v>5410</v>
      </c>
      <c r="K1306" s="21" t="s">
        <v>5411</v>
      </c>
      <c r="L1306" s="19" t="s">
        <v>6826</v>
      </c>
      <c r="M1306" s="16" t="s">
        <v>3945</v>
      </c>
      <c r="N1306" s="18"/>
      <c r="O1306" s="18"/>
      <c r="P1306" s="18">
        <f>VLOOKUP($A1306,MasterData!$C$1:$I$3001,1,FALSE)</f>
        <v>8646</v>
      </c>
      <c r="Q1306" s="18" t="str">
        <f t="shared" si="2"/>
        <v>XIOTO4</v>
      </c>
    </row>
    <row r="1307" ht="15.75" customHeight="1">
      <c r="A1307" s="15">
        <v>8655.0</v>
      </c>
      <c r="B1307" s="16" t="s">
        <v>8374</v>
      </c>
      <c r="C1307" s="17" t="s">
        <v>8375</v>
      </c>
      <c r="D1307" s="16" t="s">
        <v>8374</v>
      </c>
      <c r="E1307" s="18" t="s">
        <v>3948</v>
      </c>
      <c r="F1307" s="19" t="str">
        <f t="shared" si="1"/>
        <v>XIOTO4</v>
      </c>
      <c r="G1307" s="19" t="s">
        <v>5408</v>
      </c>
      <c r="H1307" s="20" t="s">
        <v>3045</v>
      </c>
      <c r="I1307" s="19" t="s">
        <v>5409</v>
      </c>
      <c r="J1307" s="19" t="s">
        <v>5410</v>
      </c>
      <c r="K1307" s="21" t="s">
        <v>5411</v>
      </c>
      <c r="L1307" s="19" t="s">
        <v>6826</v>
      </c>
      <c r="M1307" s="16" t="s">
        <v>3947</v>
      </c>
      <c r="N1307" s="18"/>
      <c r="O1307" s="18"/>
      <c r="P1307" s="18">
        <f>VLOOKUP($A1307,MasterData!$C$1:$I$3001,1,FALSE)</f>
        <v>8655</v>
      </c>
      <c r="Q1307" s="18" t="str">
        <f t="shared" si="2"/>
        <v>XIOTO4</v>
      </c>
    </row>
    <row r="1308" ht="15.75" customHeight="1">
      <c r="A1308" s="15">
        <v>8664.0</v>
      </c>
      <c r="B1308" s="16" t="s">
        <v>8376</v>
      </c>
      <c r="C1308" s="17" t="s">
        <v>8377</v>
      </c>
      <c r="D1308" s="16" t="s">
        <v>8376</v>
      </c>
      <c r="E1308" s="18" t="s">
        <v>3950</v>
      </c>
      <c r="F1308" s="19" t="str">
        <f t="shared" si="1"/>
        <v>XIOTO4</v>
      </c>
      <c r="G1308" s="19" t="s">
        <v>5408</v>
      </c>
      <c r="H1308" s="20" t="s">
        <v>3045</v>
      </c>
      <c r="I1308" s="19" t="s">
        <v>5409</v>
      </c>
      <c r="J1308" s="19" t="s">
        <v>5410</v>
      </c>
      <c r="K1308" s="21" t="s">
        <v>5411</v>
      </c>
      <c r="L1308" s="19" t="s">
        <v>6826</v>
      </c>
      <c r="M1308" s="16" t="s">
        <v>3949</v>
      </c>
      <c r="N1308" s="18"/>
      <c r="O1308" s="18"/>
      <c r="P1308" s="18">
        <f>VLOOKUP($A1308,MasterData!$C$1:$I$3001,1,FALSE)</f>
        <v>8664</v>
      </c>
      <c r="Q1308" s="18" t="str">
        <f t="shared" si="2"/>
        <v>XIOTO4</v>
      </c>
    </row>
    <row r="1309" ht="15.75" customHeight="1">
      <c r="A1309" s="15">
        <v>8672.0</v>
      </c>
      <c r="B1309" s="16" t="s">
        <v>8378</v>
      </c>
      <c r="C1309" s="17" t="s">
        <v>8379</v>
      </c>
      <c r="D1309" s="16" t="s">
        <v>8378</v>
      </c>
      <c r="E1309" s="18" t="s">
        <v>3952</v>
      </c>
      <c r="F1309" s="19" t="str">
        <f t="shared" si="1"/>
        <v>XIOTO4</v>
      </c>
      <c r="G1309" s="19" t="s">
        <v>5408</v>
      </c>
      <c r="H1309" s="20" t="s">
        <v>3045</v>
      </c>
      <c r="I1309" s="19" t="s">
        <v>5409</v>
      </c>
      <c r="J1309" s="19" t="s">
        <v>5410</v>
      </c>
      <c r="K1309" s="21" t="s">
        <v>5411</v>
      </c>
      <c r="L1309" s="19" t="s">
        <v>6826</v>
      </c>
      <c r="M1309" s="16" t="s">
        <v>3951</v>
      </c>
      <c r="N1309" s="18"/>
      <c r="O1309" s="18"/>
      <c r="P1309" s="18">
        <f>VLOOKUP($A1309,MasterData!$C$1:$I$3001,1,FALSE)</f>
        <v>8672</v>
      </c>
      <c r="Q1309" s="18" t="str">
        <f t="shared" si="2"/>
        <v>XIOTO4</v>
      </c>
    </row>
    <row r="1310" ht="15.75" customHeight="1">
      <c r="A1310" s="15">
        <v>8682.0</v>
      </c>
      <c r="B1310" s="16" t="s">
        <v>8380</v>
      </c>
      <c r="C1310" s="17" t="s">
        <v>8381</v>
      </c>
      <c r="D1310" s="16" t="s">
        <v>8380</v>
      </c>
      <c r="E1310" s="18" t="s">
        <v>3954</v>
      </c>
      <c r="F1310" s="19" t="str">
        <f t="shared" si="1"/>
        <v>XIOTO4</v>
      </c>
      <c r="G1310" s="19" t="s">
        <v>5408</v>
      </c>
      <c r="H1310" s="20" t="s">
        <v>3045</v>
      </c>
      <c r="I1310" s="19" t="s">
        <v>5409</v>
      </c>
      <c r="J1310" s="19" t="s">
        <v>5410</v>
      </c>
      <c r="K1310" s="21" t="s">
        <v>5411</v>
      </c>
      <c r="L1310" s="19" t="s">
        <v>6826</v>
      </c>
      <c r="M1310" s="16" t="s">
        <v>3953</v>
      </c>
      <c r="N1310" s="18"/>
      <c r="O1310" s="18"/>
      <c r="P1310" s="18">
        <f>VLOOKUP($A1310,MasterData!$C$1:$I$3001,1,FALSE)</f>
        <v>8682</v>
      </c>
      <c r="Q1310" s="18" t="str">
        <f t="shared" si="2"/>
        <v>XIOTO4</v>
      </c>
    </row>
    <row r="1311" ht="15.75" customHeight="1">
      <c r="A1311" s="15">
        <v>8686.0</v>
      </c>
      <c r="B1311" s="16" t="s">
        <v>8382</v>
      </c>
      <c r="C1311" s="17" t="s">
        <v>8383</v>
      </c>
      <c r="D1311" s="16" t="s">
        <v>8382</v>
      </c>
      <c r="E1311" s="18" t="s">
        <v>3956</v>
      </c>
      <c r="F1311" s="19" t="str">
        <f t="shared" si="1"/>
        <v>XIOTO4</v>
      </c>
      <c r="G1311" s="19" t="s">
        <v>5408</v>
      </c>
      <c r="H1311" s="20" t="s">
        <v>3045</v>
      </c>
      <c r="I1311" s="19" t="s">
        <v>5409</v>
      </c>
      <c r="J1311" s="19" t="s">
        <v>5410</v>
      </c>
      <c r="K1311" s="21" t="s">
        <v>5411</v>
      </c>
      <c r="L1311" s="19" t="s">
        <v>6826</v>
      </c>
      <c r="M1311" s="16" t="s">
        <v>3955</v>
      </c>
      <c r="N1311" s="18"/>
      <c r="O1311" s="18"/>
      <c r="P1311" s="18">
        <f>VLOOKUP($A1311,MasterData!$C$1:$I$3001,1,FALSE)</f>
        <v>8686</v>
      </c>
      <c r="Q1311" s="18" t="str">
        <f t="shared" si="2"/>
        <v>XIOTO4</v>
      </c>
    </row>
    <row r="1312" ht="15.75" customHeight="1">
      <c r="A1312" s="15">
        <v>8696.0</v>
      </c>
      <c r="B1312" s="16" t="s">
        <v>8384</v>
      </c>
      <c r="C1312" s="17" t="s">
        <v>8385</v>
      </c>
      <c r="D1312" s="16" t="s">
        <v>8384</v>
      </c>
      <c r="E1312" s="18" t="s">
        <v>3958</v>
      </c>
      <c r="F1312" s="19" t="str">
        <f t="shared" si="1"/>
        <v>XIOTO4</v>
      </c>
      <c r="G1312" s="19" t="s">
        <v>5408</v>
      </c>
      <c r="H1312" s="20" t="s">
        <v>3045</v>
      </c>
      <c r="I1312" s="19" t="s">
        <v>5409</v>
      </c>
      <c r="J1312" s="19" t="s">
        <v>5410</v>
      </c>
      <c r="K1312" s="21" t="s">
        <v>5411</v>
      </c>
      <c r="L1312" s="19" t="s">
        <v>6826</v>
      </c>
      <c r="M1312" s="16" t="s">
        <v>3957</v>
      </c>
      <c r="N1312" s="18"/>
      <c r="O1312" s="18"/>
      <c r="P1312" s="18">
        <f>VLOOKUP($A1312,MasterData!$C$1:$I$3001,1,FALSE)</f>
        <v>8696</v>
      </c>
      <c r="Q1312" s="18" t="str">
        <f t="shared" si="2"/>
        <v>XIOTO4</v>
      </c>
    </row>
    <row r="1313" ht="15.75" customHeight="1">
      <c r="A1313" s="15">
        <v>8703.0</v>
      </c>
      <c r="B1313" s="16" t="s">
        <v>8386</v>
      </c>
      <c r="C1313" s="17" t="s">
        <v>8387</v>
      </c>
      <c r="D1313" s="16" t="s">
        <v>8386</v>
      </c>
      <c r="E1313" s="18" t="s">
        <v>3960</v>
      </c>
      <c r="F1313" s="19" t="str">
        <f t="shared" si="1"/>
        <v>XIOTO4</v>
      </c>
      <c r="G1313" s="19" t="s">
        <v>5408</v>
      </c>
      <c r="H1313" s="20" t="s">
        <v>3045</v>
      </c>
      <c r="I1313" s="19" t="s">
        <v>5409</v>
      </c>
      <c r="J1313" s="19" t="s">
        <v>5410</v>
      </c>
      <c r="K1313" s="21" t="s">
        <v>5411</v>
      </c>
      <c r="L1313" s="19" t="s">
        <v>6826</v>
      </c>
      <c r="M1313" s="16" t="s">
        <v>3959</v>
      </c>
      <c r="N1313" s="18"/>
      <c r="O1313" s="18"/>
      <c r="P1313" s="18">
        <f>VLOOKUP($A1313,MasterData!$C$1:$I$3001,1,FALSE)</f>
        <v>8703</v>
      </c>
      <c r="Q1313" s="18" t="str">
        <f t="shared" si="2"/>
        <v>XIOTO4</v>
      </c>
    </row>
    <row r="1314" ht="15.75" customHeight="1">
      <c r="A1314" s="15">
        <v>8778.0</v>
      </c>
      <c r="B1314" s="16" t="s">
        <v>8388</v>
      </c>
      <c r="C1314" s="17" t="s">
        <v>8389</v>
      </c>
      <c r="D1314" s="16" t="s">
        <v>8388</v>
      </c>
      <c r="E1314" s="18" t="s">
        <v>3962</v>
      </c>
      <c r="F1314" s="19" t="str">
        <f t="shared" si="1"/>
        <v>XIOTO4</v>
      </c>
      <c r="G1314" s="19" t="s">
        <v>5408</v>
      </c>
      <c r="H1314" s="20" t="s">
        <v>3045</v>
      </c>
      <c r="I1314" s="19" t="s">
        <v>5409</v>
      </c>
      <c r="J1314" s="19" t="s">
        <v>5410</v>
      </c>
      <c r="K1314" s="21" t="s">
        <v>5411</v>
      </c>
      <c r="L1314" s="19" t="s">
        <v>6826</v>
      </c>
      <c r="M1314" s="16" t="s">
        <v>3961</v>
      </c>
      <c r="N1314" s="18"/>
      <c r="O1314" s="18"/>
      <c r="P1314" s="18">
        <f>VLOOKUP($A1314,MasterData!$C$1:$I$3001,1,FALSE)</f>
        <v>8778</v>
      </c>
      <c r="Q1314" s="18" t="str">
        <f t="shared" si="2"/>
        <v>XIOTO4</v>
      </c>
    </row>
    <row r="1315" ht="15.75" customHeight="1">
      <c r="A1315" s="15">
        <v>8835.0</v>
      </c>
      <c r="B1315" s="16" t="s">
        <v>8390</v>
      </c>
      <c r="C1315" s="17" t="s">
        <v>8391</v>
      </c>
      <c r="D1315" s="16" t="s">
        <v>8390</v>
      </c>
      <c r="E1315" s="18" t="s">
        <v>3964</v>
      </c>
      <c r="F1315" s="19" t="str">
        <f t="shared" si="1"/>
        <v>XIOTO4</v>
      </c>
      <c r="G1315" s="19" t="s">
        <v>5408</v>
      </c>
      <c r="H1315" s="20" t="s">
        <v>3045</v>
      </c>
      <c r="I1315" s="19" t="s">
        <v>5409</v>
      </c>
      <c r="J1315" s="19" t="s">
        <v>5410</v>
      </c>
      <c r="K1315" s="21" t="s">
        <v>5411</v>
      </c>
      <c r="L1315" s="19" t="s">
        <v>6826</v>
      </c>
      <c r="M1315" s="16" t="s">
        <v>3963</v>
      </c>
      <c r="N1315" s="18"/>
      <c r="O1315" s="18"/>
      <c r="P1315" s="18">
        <f>VLOOKUP($A1315,MasterData!$C$1:$I$3001,1,FALSE)</f>
        <v>8835</v>
      </c>
      <c r="Q1315" s="18" t="str">
        <f t="shared" si="2"/>
        <v>XIOTO4</v>
      </c>
    </row>
    <row r="1316" ht="15.75" customHeight="1">
      <c r="A1316" s="15">
        <v>8844.0</v>
      </c>
      <c r="B1316" s="16" t="s">
        <v>8392</v>
      </c>
      <c r="C1316" s="17" t="s">
        <v>8393</v>
      </c>
      <c r="D1316" s="16" t="s">
        <v>8392</v>
      </c>
      <c r="E1316" s="18" t="s">
        <v>3966</v>
      </c>
      <c r="F1316" s="19" t="str">
        <f t="shared" si="1"/>
        <v>XIOTO4</v>
      </c>
      <c r="G1316" s="19" t="s">
        <v>5408</v>
      </c>
      <c r="H1316" s="20" t="s">
        <v>3045</v>
      </c>
      <c r="I1316" s="19" t="s">
        <v>5409</v>
      </c>
      <c r="J1316" s="19" t="s">
        <v>5410</v>
      </c>
      <c r="K1316" s="21" t="s">
        <v>5411</v>
      </c>
      <c r="L1316" s="19" t="s">
        <v>6826</v>
      </c>
      <c r="M1316" s="16" t="s">
        <v>3965</v>
      </c>
      <c r="N1316" s="18"/>
      <c r="O1316" s="18"/>
      <c r="P1316" s="18">
        <f>VLOOKUP($A1316,MasterData!$C$1:$I$3001,1,FALSE)</f>
        <v>8844</v>
      </c>
      <c r="Q1316" s="18" t="str">
        <f t="shared" si="2"/>
        <v>XIOTO4</v>
      </c>
    </row>
    <row r="1317" ht="15.75" customHeight="1">
      <c r="A1317" s="15">
        <v>8855.0</v>
      </c>
      <c r="B1317" s="16" t="s">
        <v>8394</v>
      </c>
      <c r="C1317" s="17" t="s">
        <v>8395</v>
      </c>
      <c r="D1317" s="16" t="s">
        <v>8394</v>
      </c>
      <c r="E1317" s="18" t="s">
        <v>3968</v>
      </c>
      <c r="F1317" s="19" t="str">
        <f t="shared" si="1"/>
        <v>XIOTO4</v>
      </c>
      <c r="G1317" s="19" t="s">
        <v>5408</v>
      </c>
      <c r="H1317" s="20" t="s">
        <v>3045</v>
      </c>
      <c r="I1317" s="19" t="s">
        <v>5409</v>
      </c>
      <c r="J1317" s="19" t="s">
        <v>5410</v>
      </c>
      <c r="K1317" s="21" t="s">
        <v>5411</v>
      </c>
      <c r="L1317" s="19" t="s">
        <v>6826</v>
      </c>
      <c r="M1317" s="16" t="s">
        <v>3967</v>
      </c>
      <c r="N1317" s="18"/>
      <c r="O1317" s="18"/>
      <c r="P1317" s="18">
        <f>VLOOKUP($A1317,MasterData!$C$1:$I$3001,1,FALSE)</f>
        <v>8855</v>
      </c>
      <c r="Q1317" s="18" t="str">
        <f t="shared" si="2"/>
        <v>XIOTO4</v>
      </c>
    </row>
    <row r="1318" ht="15.75" customHeight="1">
      <c r="A1318" s="15">
        <v>8865.0</v>
      </c>
      <c r="B1318" s="16" t="s">
        <v>8396</v>
      </c>
      <c r="C1318" s="17" t="s">
        <v>8397</v>
      </c>
      <c r="D1318" s="16" t="s">
        <v>8396</v>
      </c>
      <c r="E1318" s="18" t="s">
        <v>3970</v>
      </c>
      <c r="F1318" s="19" t="str">
        <f t="shared" si="1"/>
        <v>XIOTO4</v>
      </c>
      <c r="G1318" s="19" t="s">
        <v>5408</v>
      </c>
      <c r="H1318" s="20" t="s">
        <v>3045</v>
      </c>
      <c r="I1318" s="19" t="s">
        <v>5409</v>
      </c>
      <c r="J1318" s="19" t="s">
        <v>5410</v>
      </c>
      <c r="K1318" s="21" t="s">
        <v>5411</v>
      </c>
      <c r="L1318" s="19" t="s">
        <v>6826</v>
      </c>
      <c r="M1318" s="16" t="s">
        <v>3969</v>
      </c>
      <c r="N1318" s="18"/>
      <c r="O1318" s="18"/>
      <c r="P1318" s="18">
        <f>VLOOKUP($A1318,MasterData!$C$1:$I$3001,1,FALSE)</f>
        <v>8865</v>
      </c>
      <c r="Q1318" s="18" t="str">
        <f t="shared" si="2"/>
        <v>XIOTO4</v>
      </c>
    </row>
    <row r="1319" ht="15.75" customHeight="1">
      <c r="A1319" s="15">
        <v>8886.0</v>
      </c>
      <c r="B1319" s="16" t="s">
        <v>8398</v>
      </c>
      <c r="C1319" s="17" t="s">
        <v>8399</v>
      </c>
      <c r="D1319" s="16" t="s">
        <v>8398</v>
      </c>
      <c r="E1319" s="18" t="s">
        <v>3972</v>
      </c>
      <c r="F1319" s="19" t="str">
        <f t="shared" si="1"/>
        <v>XIOTO4</v>
      </c>
      <c r="G1319" s="19" t="s">
        <v>5408</v>
      </c>
      <c r="H1319" s="20" t="s">
        <v>3045</v>
      </c>
      <c r="I1319" s="19" t="s">
        <v>5409</v>
      </c>
      <c r="J1319" s="19" t="s">
        <v>5410</v>
      </c>
      <c r="K1319" s="21" t="s">
        <v>5411</v>
      </c>
      <c r="L1319" s="19" t="s">
        <v>6826</v>
      </c>
      <c r="M1319" s="16" t="s">
        <v>3971</v>
      </c>
      <c r="N1319" s="18"/>
      <c r="O1319" s="18"/>
      <c r="P1319" s="18">
        <f>VLOOKUP($A1319,MasterData!$C$1:$I$3001,1,FALSE)</f>
        <v>8886</v>
      </c>
      <c r="Q1319" s="18" t="str">
        <f t="shared" si="2"/>
        <v>XIOTO4</v>
      </c>
    </row>
    <row r="1320" ht="15.75" customHeight="1">
      <c r="A1320" s="15">
        <v>8896.0</v>
      </c>
      <c r="B1320" s="16" t="s">
        <v>8400</v>
      </c>
      <c r="C1320" s="17" t="s">
        <v>8401</v>
      </c>
      <c r="D1320" s="16" t="s">
        <v>8400</v>
      </c>
      <c r="E1320" s="18" t="s">
        <v>3974</v>
      </c>
      <c r="F1320" s="19" t="str">
        <f t="shared" si="1"/>
        <v>XIOTO4</v>
      </c>
      <c r="G1320" s="19" t="s">
        <v>5408</v>
      </c>
      <c r="H1320" s="20" t="s">
        <v>3045</v>
      </c>
      <c r="I1320" s="19" t="s">
        <v>5409</v>
      </c>
      <c r="J1320" s="19" t="s">
        <v>5410</v>
      </c>
      <c r="K1320" s="21" t="s">
        <v>5411</v>
      </c>
      <c r="L1320" s="19" t="s">
        <v>6826</v>
      </c>
      <c r="M1320" s="16" t="s">
        <v>3973</v>
      </c>
      <c r="N1320" s="18"/>
      <c r="O1320" s="18"/>
      <c r="P1320" s="18">
        <f>VLOOKUP($A1320,MasterData!$C$1:$I$3001,1,FALSE)</f>
        <v>8896</v>
      </c>
      <c r="Q1320" s="18" t="str">
        <f t="shared" si="2"/>
        <v>XIOTO4</v>
      </c>
    </row>
    <row r="1321" ht="15.75" customHeight="1">
      <c r="A1321" s="15">
        <v>8940.0</v>
      </c>
      <c r="B1321" s="16" t="s">
        <v>8402</v>
      </c>
      <c r="C1321" s="17" t="s">
        <v>8403</v>
      </c>
      <c r="D1321" s="16" t="s">
        <v>8402</v>
      </c>
      <c r="E1321" s="18" t="s">
        <v>3976</v>
      </c>
      <c r="F1321" s="19" t="str">
        <f t="shared" si="1"/>
        <v>XIOTO4</v>
      </c>
      <c r="G1321" s="19" t="s">
        <v>5408</v>
      </c>
      <c r="H1321" s="20" t="s">
        <v>3045</v>
      </c>
      <c r="I1321" s="19" t="s">
        <v>5409</v>
      </c>
      <c r="J1321" s="19" t="s">
        <v>5410</v>
      </c>
      <c r="K1321" s="21" t="s">
        <v>5411</v>
      </c>
      <c r="L1321" s="19" t="s">
        <v>6826</v>
      </c>
      <c r="M1321" s="16" t="s">
        <v>3975</v>
      </c>
      <c r="N1321" s="18"/>
      <c r="O1321" s="18"/>
      <c r="P1321" s="18">
        <f>VLOOKUP($A1321,MasterData!$C$1:$I$3001,1,FALSE)</f>
        <v>8940</v>
      </c>
      <c r="Q1321" s="18" t="str">
        <f t="shared" si="2"/>
        <v>XIOTO4</v>
      </c>
    </row>
    <row r="1322" ht="15.75" customHeight="1">
      <c r="A1322" s="15">
        <v>8975.0</v>
      </c>
      <c r="B1322" s="16" t="s">
        <v>8404</v>
      </c>
      <c r="C1322" s="17" t="s">
        <v>8405</v>
      </c>
      <c r="D1322" s="16" t="s">
        <v>8404</v>
      </c>
      <c r="E1322" s="18" t="s">
        <v>3978</v>
      </c>
      <c r="F1322" s="19" t="str">
        <f t="shared" si="1"/>
        <v>XIOTO4</v>
      </c>
      <c r="G1322" s="19" t="s">
        <v>5408</v>
      </c>
      <c r="H1322" s="20" t="s">
        <v>3045</v>
      </c>
      <c r="I1322" s="19" t="s">
        <v>5409</v>
      </c>
      <c r="J1322" s="19" t="s">
        <v>5410</v>
      </c>
      <c r="K1322" s="21" t="s">
        <v>5411</v>
      </c>
      <c r="L1322" s="19" t="s">
        <v>6826</v>
      </c>
      <c r="M1322" s="16" t="s">
        <v>3977</v>
      </c>
      <c r="N1322" s="18"/>
      <c r="O1322" s="18"/>
      <c r="P1322" s="18">
        <f>VLOOKUP($A1322,MasterData!$C$1:$I$3001,1,FALSE)</f>
        <v>8975</v>
      </c>
      <c r="Q1322" s="18" t="str">
        <f t="shared" si="2"/>
        <v>XIOTO4</v>
      </c>
    </row>
    <row r="1323" ht="15.75" customHeight="1">
      <c r="A1323" s="15">
        <v>8981.0</v>
      </c>
      <c r="B1323" s="16" t="s">
        <v>8406</v>
      </c>
      <c r="C1323" s="17" t="s">
        <v>8407</v>
      </c>
      <c r="D1323" s="16" t="s">
        <v>8406</v>
      </c>
      <c r="E1323" s="18" t="s">
        <v>3980</v>
      </c>
      <c r="F1323" s="19" t="str">
        <f t="shared" si="1"/>
        <v>XIOTO4</v>
      </c>
      <c r="G1323" s="19" t="s">
        <v>5408</v>
      </c>
      <c r="H1323" s="20" t="s">
        <v>3045</v>
      </c>
      <c r="I1323" s="19" t="s">
        <v>5409</v>
      </c>
      <c r="J1323" s="19" t="s">
        <v>5410</v>
      </c>
      <c r="K1323" s="21" t="s">
        <v>5411</v>
      </c>
      <c r="L1323" s="19" t="s">
        <v>6826</v>
      </c>
      <c r="M1323" s="16" t="s">
        <v>3979</v>
      </c>
      <c r="N1323" s="18"/>
      <c r="O1323" s="18"/>
      <c r="P1323" s="18">
        <f>VLOOKUP($A1323,MasterData!$C$1:$I$3001,1,FALSE)</f>
        <v>8981</v>
      </c>
      <c r="Q1323" s="18" t="str">
        <f t="shared" si="2"/>
        <v>XIOTO4</v>
      </c>
    </row>
    <row r="1324" ht="15.75" customHeight="1">
      <c r="A1324" s="15">
        <v>8376.0</v>
      </c>
      <c r="B1324" s="18" t="s">
        <v>8408</v>
      </c>
      <c r="C1324" s="16" t="s">
        <v>8409</v>
      </c>
      <c r="D1324" s="18" t="s">
        <v>8408</v>
      </c>
      <c r="E1324" s="18" t="s">
        <v>3982</v>
      </c>
      <c r="F1324" s="19" t="str">
        <f t="shared" si="1"/>
        <v>XIOTO4</v>
      </c>
      <c r="G1324" s="19" t="s">
        <v>5408</v>
      </c>
      <c r="H1324" s="20" t="s">
        <v>3045</v>
      </c>
      <c r="I1324" s="19" t="s">
        <v>5409</v>
      </c>
      <c r="J1324" s="19" t="s">
        <v>5410</v>
      </c>
      <c r="K1324" s="21" t="s">
        <v>5415</v>
      </c>
      <c r="L1324" s="19" t="s">
        <v>6826</v>
      </c>
      <c r="M1324" s="16" t="s">
        <v>3981</v>
      </c>
      <c r="N1324" s="18" t="s">
        <v>5416</v>
      </c>
      <c r="O1324" s="18">
        <v>0.0</v>
      </c>
      <c r="P1324" s="18">
        <f>VLOOKUP($A1324,MasterData!$C$1:$I$3001,1,FALSE)</f>
        <v>8376</v>
      </c>
      <c r="Q1324" s="18" t="str">
        <f t="shared" si="2"/>
        <v>XIOTO4</v>
      </c>
    </row>
    <row r="1325" ht="15.75" customHeight="1">
      <c r="A1325" s="15">
        <v>8989.0</v>
      </c>
      <c r="B1325" s="16" t="s">
        <v>8410</v>
      </c>
      <c r="C1325" s="17" t="s">
        <v>8411</v>
      </c>
      <c r="D1325" s="16" t="s">
        <v>8410</v>
      </c>
      <c r="E1325" s="18" t="s">
        <v>3984</v>
      </c>
      <c r="F1325" s="19" t="str">
        <f t="shared" si="1"/>
        <v>XIOTO4</v>
      </c>
      <c r="G1325" s="19" t="s">
        <v>5408</v>
      </c>
      <c r="H1325" s="20" t="s">
        <v>3045</v>
      </c>
      <c r="I1325" s="19" t="s">
        <v>5409</v>
      </c>
      <c r="J1325" s="19" t="s">
        <v>5410</v>
      </c>
      <c r="K1325" s="21" t="s">
        <v>5411</v>
      </c>
      <c r="L1325" s="19" t="s">
        <v>6826</v>
      </c>
      <c r="M1325" s="16" t="s">
        <v>3983</v>
      </c>
      <c r="N1325" s="18"/>
      <c r="O1325" s="18"/>
      <c r="P1325" s="18">
        <f>VLOOKUP($A1325,MasterData!$C$1:$I$3001,1,FALSE)</f>
        <v>8989</v>
      </c>
      <c r="Q1325" s="18" t="str">
        <f t="shared" si="2"/>
        <v>XIOTO4</v>
      </c>
    </row>
    <row r="1326" ht="15.75" customHeight="1">
      <c r="A1326" s="15">
        <v>8994.0</v>
      </c>
      <c r="B1326" s="16" t="s">
        <v>8412</v>
      </c>
      <c r="C1326" s="17" t="s">
        <v>8413</v>
      </c>
      <c r="D1326" s="16" t="s">
        <v>8412</v>
      </c>
      <c r="E1326" s="18" t="s">
        <v>3986</v>
      </c>
      <c r="F1326" s="19" t="str">
        <f t="shared" si="1"/>
        <v>XIOTO4</v>
      </c>
      <c r="G1326" s="19" t="s">
        <v>5408</v>
      </c>
      <c r="H1326" s="20" t="s">
        <v>3045</v>
      </c>
      <c r="I1326" s="19" t="s">
        <v>5409</v>
      </c>
      <c r="J1326" s="19" t="s">
        <v>5410</v>
      </c>
      <c r="K1326" s="21" t="s">
        <v>5411</v>
      </c>
      <c r="L1326" s="19" t="s">
        <v>6826</v>
      </c>
      <c r="M1326" s="16" t="s">
        <v>3985</v>
      </c>
      <c r="N1326" s="18"/>
      <c r="O1326" s="18"/>
      <c r="P1326" s="18">
        <f>VLOOKUP($A1326,MasterData!$C$1:$I$3001,1,FALSE)</f>
        <v>8994</v>
      </c>
      <c r="Q1326" s="18" t="str">
        <f t="shared" si="2"/>
        <v>XIOTO4</v>
      </c>
    </row>
    <row r="1327" ht="15.75" customHeight="1">
      <c r="A1327" s="15">
        <v>9000.0</v>
      </c>
      <c r="B1327" s="16" t="s">
        <v>8414</v>
      </c>
      <c r="C1327" s="17" t="s">
        <v>8415</v>
      </c>
      <c r="D1327" s="16" t="s">
        <v>8414</v>
      </c>
      <c r="E1327" s="18" t="s">
        <v>3988</v>
      </c>
      <c r="F1327" s="19" t="str">
        <f t="shared" si="1"/>
        <v>XIOTO4</v>
      </c>
      <c r="G1327" s="19" t="s">
        <v>5408</v>
      </c>
      <c r="H1327" s="20" t="s">
        <v>3045</v>
      </c>
      <c r="I1327" s="19" t="s">
        <v>5409</v>
      </c>
      <c r="J1327" s="19" t="s">
        <v>5410</v>
      </c>
      <c r="K1327" s="21" t="s">
        <v>5411</v>
      </c>
      <c r="L1327" s="19" t="s">
        <v>6826</v>
      </c>
      <c r="M1327" s="16" t="s">
        <v>3987</v>
      </c>
      <c r="N1327" s="18"/>
      <c r="O1327" s="18"/>
      <c r="P1327" s="18">
        <f>VLOOKUP($A1327,MasterData!$C$1:$I$3001,1,FALSE)</f>
        <v>9000</v>
      </c>
      <c r="Q1327" s="18" t="str">
        <f t="shared" si="2"/>
        <v>XIOTO4</v>
      </c>
    </row>
    <row r="1328" ht="15.75" customHeight="1">
      <c r="A1328" s="15">
        <v>9003.0</v>
      </c>
      <c r="B1328" s="16" t="s">
        <v>8416</v>
      </c>
      <c r="C1328" s="17" t="s">
        <v>8417</v>
      </c>
      <c r="D1328" s="16" t="s">
        <v>8416</v>
      </c>
      <c r="E1328" s="18" t="s">
        <v>3990</v>
      </c>
      <c r="F1328" s="19" t="str">
        <f t="shared" si="1"/>
        <v>XIOTO4</v>
      </c>
      <c r="G1328" s="19" t="s">
        <v>5408</v>
      </c>
      <c r="H1328" s="20" t="s">
        <v>3045</v>
      </c>
      <c r="I1328" s="19" t="s">
        <v>5409</v>
      </c>
      <c r="J1328" s="19" t="s">
        <v>5410</v>
      </c>
      <c r="K1328" s="21" t="s">
        <v>5411</v>
      </c>
      <c r="L1328" s="19" t="s">
        <v>6826</v>
      </c>
      <c r="M1328" s="16" t="s">
        <v>3989</v>
      </c>
      <c r="N1328" s="18"/>
      <c r="O1328" s="18"/>
      <c r="P1328" s="18">
        <f>VLOOKUP($A1328,MasterData!$C$1:$I$3001,1,FALSE)</f>
        <v>9003</v>
      </c>
      <c r="Q1328" s="18" t="str">
        <f t="shared" si="2"/>
        <v>XIOTO4</v>
      </c>
    </row>
    <row r="1329" ht="15.75" customHeight="1">
      <c r="A1329" s="15">
        <v>9007.0</v>
      </c>
      <c r="B1329" s="16" t="s">
        <v>8418</v>
      </c>
      <c r="C1329" s="17" t="s">
        <v>8419</v>
      </c>
      <c r="D1329" s="16" t="s">
        <v>8418</v>
      </c>
      <c r="E1329" s="18" t="s">
        <v>3992</v>
      </c>
      <c r="F1329" s="19" t="str">
        <f t="shared" si="1"/>
        <v>XIOTO4</v>
      </c>
      <c r="G1329" s="19" t="s">
        <v>5408</v>
      </c>
      <c r="H1329" s="20" t="s">
        <v>3045</v>
      </c>
      <c r="I1329" s="19" t="s">
        <v>5409</v>
      </c>
      <c r="J1329" s="19" t="s">
        <v>5410</v>
      </c>
      <c r="K1329" s="21" t="s">
        <v>5411</v>
      </c>
      <c r="L1329" s="19" t="s">
        <v>6826</v>
      </c>
      <c r="M1329" s="16" t="s">
        <v>3991</v>
      </c>
      <c r="N1329" s="18"/>
      <c r="O1329" s="18"/>
      <c r="P1329" s="18">
        <f>VLOOKUP($A1329,MasterData!$C$1:$I$3001,1,FALSE)</f>
        <v>9007</v>
      </c>
      <c r="Q1329" s="18" t="str">
        <f t="shared" si="2"/>
        <v>XIOTO4</v>
      </c>
    </row>
    <row r="1330" ht="15.75" customHeight="1">
      <c r="A1330" s="15">
        <v>9010.0</v>
      </c>
      <c r="B1330" s="16" t="s">
        <v>8420</v>
      </c>
      <c r="C1330" s="17" t="s">
        <v>8421</v>
      </c>
      <c r="D1330" s="16" t="s">
        <v>8420</v>
      </c>
      <c r="E1330" s="18" t="s">
        <v>3994</v>
      </c>
      <c r="F1330" s="19" t="str">
        <f t="shared" si="1"/>
        <v>XIOTO4</v>
      </c>
      <c r="G1330" s="19" t="s">
        <v>5408</v>
      </c>
      <c r="H1330" s="20" t="s">
        <v>3045</v>
      </c>
      <c r="I1330" s="19" t="s">
        <v>5409</v>
      </c>
      <c r="J1330" s="19" t="s">
        <v>5410</v>
      </c>
      <c r="K1330" s="21" t="s">
        <v>5411</v>
      </c>
      <c r="L1330" s="19" t="s">
        <v>6826</v>
      </c>
      <c r="M1330" s="16" t="s">
        <v>3993</v>
      </c>
      <c r="N1330" s="18"/>
      <c r="O1330" s="18"/>
      <c r="P1330" s="18">
        <f>VLOOKUP($A1330,MasterData!$C$1:$I$3001,1,FALSE)</f>
        <v>9010</v>
      </c>
      <c r="Q1330" s="18" t="str">
        <f t="shared" si="2"/>
        <v>XIOTO4</v>
      </c>
    </row>
    <row r="1331" ht="15.75" customHeight="1">
      <c r="A1331" s="15">
        <v>9015.0</v>
      </c>
      <c r="B1331" s="16" t="s">
        <v>8422</v>
      </c>
      <c r="C1331" s="17" t="s">
        <v>8423</v>
      </c>
      <c r="D1331" s="16" t="s">
        <v>8422</v>
      </c>
      <c r="E1331" s="18" t="s">
        <v>3996</v>
      </c>
      <c r="F1331" s="19" t="str">
        <f t="shared" si="1"/>
        <v>XIOTO4</v>
      </c>
      <c r="G1331" s="19" t="s">
        <v>5408</v>
      </c>
      <c r="H1331" s="20" t="s">
        <v>3045</v>
      </c>
      <c r="I1331" s="19" t="s">
        <v>5409</v>
      </c>
      <c r="J1331" s="19" t="s">
        <v>5410</v>
      </c>
      <c r="K1331" s="21" t="s">
        <v>5411</v>
      </c>
      <c r="L1331" s="19" t="s">
        <v>6826</v>
      </c>
      <c r="M1331" s="16" t="s">
        <v>3995</v>
      </c>
      <c r="N1331" s="18"/>
      <c r="O1331" s="18"/>
      <c r="P1331" s="18">
        <f>VLOOKUP($A1331,MasterData!$C$1:$I$3001,1,FALSE)</f>
        <v>9015</v>
      </c>
      <c r="Q1331" s="18" t="str">
        <f t="shared" si="2"/>
        <v>XIOTO4</v>
      </c>
    </row>
    <row r="1332" ht="15.75" customHeight="1">
      <c r="A1332" s="15">
        <v>9030.0</v>
      </c>
      <c r="B1332" s="16" t="s">
        <v>8424</v>
      </c>
      <c r="C1332" s="17" t="s">
        <v>8425</v>
      </c>
      <c r="D1332" s="16" t="s">
        <v>8424</v>
      </c>
      <c r="E1332" s="18" t="s">
        <v>3998</v>
      </c>
      <c r="F1332" s="19" t="str">
        <f t="shared" si="1"/>
        <v>XIOTO4</v>
      </c>
      <c r="G1332" s="19" t="s">
        <v>5408</v>
      </c>
      <c r="H1332" s="20" t="s">
        <v>3045</v>
      </c>
      <c r="I1332" s="19" t="s">
        <v>5409</v>
      </c>
      <c r="J1332" s="19" t="s">
        <v>5410</v>
      </c>
      <c r="K1332" s="21" t="s">
        <v>5411</v>
      </c>
      <c r="L1332" s="19" t="s">
        <v>6826</v>
      </c>
      <c r="M1332" s="16" t="s">
        <v>3997</v>
      </c>
      <c r="N1332" s="18"/>
      <c r="O1332" s="18"/>
      <c r="P1332" s="18">
        <f>VLOOKUP($A1332,MasterData!$C$1:$I$3001,1,FALSE)</f>
        <v>9030</v>
      </c>
      <c r="Q1332" s="18" t="str">
        <f t="shared" si="2"/>
        <v>XIOTO4</v>
      </c>
    </row>
    <row r="1333" ht="15.75" customHeight="1">
      <c r="A1333" s="15">
        <v>9115.0</v>
      </c>
      <c r="B1333" s="16" t="s">
        <v>8426</v>
      </c>
      <c r="C1333" s="17" t="s">
        <v>8427</v>
      </c>
      <c r="D1333" s="16" t="s">
        <v>8426</v>
      </c>
      <c r="E1333" s="18" t="s">
        <v>4000</v>
      </c>
      <c r="F1333" s="19" t="str">
        <f t="shared" si="1"/>
        <v>XIOTO4</v>
      </c>
      <c r="G1333" s="19" t="s">
        <v>5408</v>
      </c>
      <c r="H1333" s="20" t="s">
        <v>3045</v>
      </c>
      <c r="I1333" s="19" t="s">
        <v>5409</v>
      </c>
      <c r="J1333" s="19" t="s">
        <v>5410</v>
      </c>
      <c r="K1333" s="21" t="s">
        <v>5411</v>
      </c>
      <c r="L1333" s="19" t="s">
        <v>6826</v>
      </c>
      <c r="M1333" s="16" t="s">
        <v>3999</v>
      </c>
      <c r="N1333" s="18"/>
      <c r="O1333" s="18"/>
      <c r="P1333" s="18">
        <f>VLOOKUP($A1333,MasterData!$C$1:$I$3001,1,FALSE)</f>
        <v>9115</v>
      </c>
      <c r="Q1333" s="18" t="str">
        <f t="shared" si="2"/>
        <v>XIOTO4</v>
      </c>
    </row>
    <row r="1334" ht="15.75" customHeight="1">
      <c r="A1334" s="15">
        <v>9138.0</v>
      </c>
      <c r="B1334" s="16" t="s">
        <v>8428</v>
      </c>
      <c r="C1334" s="17" t="s">
        <v>8429</v>
      </c>
      <c r="D1334" s="16" t="s">
        <v>8428</v>
      </c>
      <c r="E1334" s="18" t="s">
        <v>4002</v>
      </c>
      <c r="F1334" s="19" t="str">
        <f t="shared" si="1"/>
        <v>XIOTO4</v>
      </c>
      <c r="G1334" s="19" t="s">
        <v>5408</v>
      </c>
      <c r="H1334" s="20" t="s">
        <v>3045</v>
      </c>
      <c r="I1334" s="19" t="s">
        <v>5409</v>
      </c>
      <c r="J1334" s="19" t="s">
        <v>5410</v>
      </c>
      <c r="K1334" s="21" t="s">
        <v>5411</v>
      </c>
      <c r="L1334" s="19" t="s">
        <v>6826</v>
      </c>
      <c r="M1334" s="16" t="s">
        <v>4001</v>
      </c>
      <c r="N1334" s="18"/>
      <c r="O1334" s="18"/>
      <c r="P1334" s="18">
        <f>VLOOKUP($A1334,MasterData!$C$1:$I$3001,1,FALSE)</f>
        <v>9138</v>
      </c>
      <c r="Q1334" s="18" t="str">
        <f t="shared" si="2"/>
        <v>XIOTO4</v>
      </c>
    </row>
    <row r="1335" ht="15.75" customHeight="1">
      <c r="A1335" s="15">
        <v>9143.0</v>
      </c>
      <c r="B1335" s="16" t="s">
        <v>8430</v>
      </c>
      <c r="C1335" s="17" t="s">
        <v>8431</v>
      </c>
      <c r="D1335" s="16" t="s">
        <v>8430</v>
      </c>
      <c r="E1335" s="18" t="s">
        <v>4004</v>
      </c>
      <c r="F1335" s="19" t="str">
        <f t="shared" si="1"/>
        <v>XIOTO4</v>
      </c>
      <c r="G1335" s="19" t="s">
        <v>5408</v>
      </c>
      <c r="H1335" s="20" t="s">
        <v>3045</v>
      </c>
      <c r="I1335" s="19" t="s">
        <v>5409</v>
      </c>
      <c r="J1335" s="19" t="s">
        <v>5410</v>
      </c>
      <c r="K1335" s="21" t="s">
        <v>5411</v>
      </c>
      <c r="L1335" s="19" t="s">
        <v>6826</v>
      </c>
      <c r="M1335" s="16" t="s">
        <v>4003</v>
      </c>
      <c r="N1335" s="18"/>
      <c r="O1335" s="18"/>
      <c r="P1335" s="18">
        <f>VLOOKUP($A1335,MasterData!$C$1:$I$3001,1,FALSE)</f>
        <v>9143</v>
      </c>
      <c r="Q1335" s="18" t="str">
        <f t="shared" si="2"/>
        <v>XIOTO4</v>
      </c>
    </row>
    <row r="1336" ht="15.75" customHeight="1">
      <c r="A1336" s="15">
        <v>9150.0</v>
      </c>
      <c r="B1336" s="16" t="s">
        <v>8432</v>
      </c>
      <c r="C1336" s="17" t="s">
        <v>8433</v>
      </c>
      <c r="D1336" s="16" t="s">
        <v>8432</v>
      </c>
      <c r="E1336" s="18" t="s">
        <v>4006</v>
      </c>
      <c r="F1336" s="19" t="str">
        <f t="shared" si="1"/>
        <v>XIOTO4</v>
      </c>
      <c r="G1336" s="19" t="s">
        <v>5408</v>
      </c>
      <c r="H1336" s="20" t="s">
        <v>3045</v>
      </c>
      <c r="I1336" s="19" t="s">
        <v>5409</v>
      </c>
      <c r="J1336" s="19" t="s">
        <v>5410</v>
      </c>
      <c r="K1336" s="21" t="s">
        <v>5411</v>
      </c>
      <c r="L1336" s="19" t="s">
        <v>6826</v>
      </c>
      <c r="M1336" s="16" t="s">
        <v>4005</v>
      </c>
      <c r="N1336" s="18"/>
      <c r="O1336" s="18"/>
      <c r="P1336" s="18">
        <f>VLOOKUP($A1336,MasterData!$C$1:$I$3001,1,FALSE)</f>
        <v>9150</v>
      </c>
      <c r="Q1336" s="18" t="str">
        <f t="shared" si="2"/>
        <v>XIOTO4</v>
      </c>
    </row>
    <row r="1337" ht="15.75" customHeight="1">
      <c r="A1337" s="15">
        <v>9191.0</v>
      </c>
      <c r="B1337" s="16" t="s">
        <v>8434</v>
      </c>
      <c r="C1337" s="17" t="s">
        <v>8435</v>
      </c>
      <c r="D1337" s="16" t="s">
        <v>8434</v>
      </c>
      <c r="E1337" s="18" t="s">
        <v>4008</v>
      </c>
      <c r="F1337" s="19" t="str">
        <f t="shared" si="1"/>
        <v>XIOTO4</v>
      </c>
      <c r="G1337" s="19" t="s">
        <v>5408</v>
      </c>
      <c r="H1337" s="20" t="s">
        <v>3045</v>
      </c>
      <c r="I1337" s="19" t="s">
        <v>5409</v>
      </c>
      <c r="J1337" s="19" t="s">
        <v>5410</v>
      </c>
      <c r="K1337" s="21" t="s">
        <v>5411</v>
      </c>
      <c r="L1337" s="19" t="s">
        <v>6826</v>
      </c>
      <c r="M1337" s="16" t="s">
        <v>4007</v>
      </c>
      <c r="N1337" s="18"/>
      <c r="O1337" s="18"/>
      <c r="P1337" s="18">
        <f>VLOOKUP($A1337,MasterData!$C$1:$I$3001,1,FALSE)</f>
        <v>9191</v>
      </c>
      <c r="Q1337" s="18" t="str">
        <f t="shared" si="2"/>
        <v>XIOTO4</v>
      </c>
    </row>
    <row r="1338" ht="15.75" customHeight="1">
      <c r="A1338" s="15">
        <v>9216.0</v>
      </c>
      <c r="B1338" s="16" t="s">
        <v>8436</v>
      </c>
      <c r="C1338" s="17" t="s">
        <v>8437</v>
      </c>
      <c r="D1338" s="16" t="s">
        <v>8436</v>
      </c>
      <c r="E1338" s="18" t="s">
        <v>4010</v>
      </c>
      <c r="F1338" s="19" t="str">
        <f t="shared" si="1"/>
        <v>XIOTO4</v>
      </c>
      <c r="G1338" s="19" t="s">
        <v>5408</v>
      </c>
      <c r="H1338" s="20" t="s">
        <v>3045</v>
      </c>
      <c r="I1338" s="19" t="s">
        <v>5409</v>
      </c>
      <c r="J1338" s="19" t="s">
        <v>5410</v>
      </c>
      <c r="K1338" s="21" t="s">
        <v>5411</v>
      </c>
      <c r="L1338" s="19" t="s">
        <v>6826</v>
      </c>
      <c r="M1338" s="16" t="s">
        <v>4009</v>
      </c>
      <c r="N1338" s="18"/>
      <c r="O1338" s="18"/>
      <c r="P1338" s="18">
        <f>VLOOKUP($A1338,MasterData!$C$1:$I$3001,1,FALSE)</f>
        <v>9216</v>
      </c>
      <c r="Q1338" s="18" t="str">
        <f t="shared" si="2"/>
        <v>XIOTO4</v>
      </c>
    </row>
    <row r="1339" ht="15.75" customHeight="1">
      <c r="A1339" s="15">
        <v>8647.0</v>
      </c>
      <c r="B1339" s="16" t="s">
        <v>8438</v>
      </c>
      <c r="C1339" s="17" t="s">
        <v>8439</v>
      </c>
      <c r="D1339" s="16" t="s">
        <v>8438</v>
      </c>
      <c r="E1339" s="18" t="s">
        <v>4012</v>
      </c>
      <c r="F1339" s="19" t="str">
        <f t="shared" si="1"/>
        <v>XIOTO5</v>
      </c>
      <c r="G1339" s="19" t="s">
        <v>5408</v>
      </c>
      <c r="H1339" s="20" t="s">
        <v>3045</v>
      </c>
      <c r="I1339" s="19" t="s">
        <v>5409</v>
      </c>
      <c r="J1339" s="19" t="s">
        <v>5410</v>
      </c>
      <c r="K1339" s="21" t="s">
        <v>5411</v>
      </c>
      <c r="L1339" s="19" t="s">
        <v>6905</v>
      </c>
      <c r="M1339" s="16" t="s">
        <v>4011</v>
      </c>
      <c r="N1339" s="18"/>
      <c r="O1339" s="18"/>
      <c r="P1339" s="18">
        <f>VLOOKUP($A1339,MasterData!$C$1:$I$3001,1,FALSE)</f>
        <v>8647</v>
      </c>
      <c r="Q1339" s="18" t="str">
        <f t="shared" si="2"/>
        <v>XIOTO5</v>
      </c>
    </row>
    <row r="1340" ht="15.75" customHeight="1">
      <c r="A1340" s="15">
        <v>8663.0</v>
      </c>
      <c r="B1340" s="16" t="s">
        <v>8440</v>
      </c>
      <c r="C1340" s="17" t="s">
        <v>8441</v>
      </c>
      <c r="D1340" s="16" t="s">
        <v>8440</v>
      </c>
      <c r="E1340" s="18" t="s">
        <v>4014</v>
      </c>
      <c r="F1340" s="19" t="str">
        <f t="shared" si="1"/>
        <v>XIOTO5</v>
      </c>
      <c r="G1340" s="19" t="s">
        <v>5408</v>
      </c>
      <c r="H1340" s="20" t="s">
        <v>3045</v>
      </c>
      <c r="I1340" s="19" t="s">
        <v>5409</v>
      </c>
      <c r="J1340" s="19" t="s">
        <v>5410</v>
      </c>
      <c r="K1340" s="21" t="s">
        <v>5411</v>
      </c>
      <c r="L1340" s="19" t="s">
        <v>6905</v>
      </c>
      <c r="M1340" s="16" t="s">
        <v>4013</v>
      </c>
      <c r="N1340" s="18"/>
      <c r="O1340" s="18"/>
      <c r="P1340" s="18">
        <f>VLOOKUP($A1340,MasterData!$C$1:$I$3001,1,FALSE)</f>
        <v>8663</v>
      </c>
      <c r="Q1340" s="18" t="str">
        <f t="shared" si="2"/>
        <v>XIOTO5</v>
      </c>
    </row>
    <row r="1341" ht="15.75" customHeight="1">
      <c r="A1341" s="15">
        <v>8668.0</v>
      </c>
      <c r="B1341" s="16" t="s">
        <v>8442</v>
      </c>
      <c r="C1341" s="17" t="s">
        <v>8443</v>
      </c>
      <c r="D1341" s="16" t="s">
        <v>8442</v>
      </c>
      <c r="E1341" s="18" t="s">
        <v>4016</v>
      </c>
      <c r="F1341" s="19" t="str">
        <f t="shared" si="1"/>
        <v>XIOTO5</v>
      </c>
      <c r="G1341" s="19" t="s">
        <v>5408</v>
      </c>
      <c r="H1341" s="20" t="s">
        <v>3045</v>
      </c>
      <c r="I1341" s="19" t="s">
        <v>5409</v>
      </c>
      <c r="J1341" s="19" t="s">
        <v>5410</v>
      </c>
      <c r="K1341" s="21" t="s">
        <v>5411</v>
      </c>
      <c r="L1341" s="19" t="s">
        <v>6905</v>
      </c>
      <c r="M1341" s="16" t="s">
        <v>4015</v>
      </c>
      <c r="N1341" s="18"/>
      <c r="O1341" s="18"/>
      <c r="P1341" s="18">
        <f>VLOOKUP($A1341,MasterData!$C$1:$I$3001,1,FALSE)</f>
        <v>8668</v>
      </c>
      <c r="Q1341" s="18" t="str">
        <f t="shared" si="2"/>
        <v>XIOTO5</v>
      </c>
    </row>
    <row r="1342" ht="15.75" customHeight="1">
      <c r="A1342" s="15">
        <v>8671.0</v>
      </c>
      <c r="B1342" s="16" t="s">
        <v>8444</v>
      </c>
      <c r="C1342" s="17" t="s">
        <v>8445</v>
      </c>
      <c r="D1342" s="16" t="s">
        <v>8444</v>
      </c>
      <c r="E1342" s="18" t="s">
        <v>4018</v>
      </c>
      <c r="F1342" s="19" t="str">
        <f t="shared" si="1"/>
        <v>XIOTO5</v>
      </c>
      <c r="G1342" s="19" t="s">
        <v>5408</v>
      </c>
      <c r="H1342" s="20" t="s">
        <v>3045</v>
      </c>
      <c r="I1342" s="19" t="s">
        <v>5409</v>
      </c>
      <c r="J1342" s="19" t="s">
        <v>5410</v>
      </c>
      <c r="K1342" s="21" t="s">
        <v>5411</v>
      </c>
      <c r="L1342" s="19" t="s">
        <v>6905</v>
      </c>
      <c r="M1342" s="16" t="s">
        <v>4017</v>
      </c>
      <c r="N1342" s="18"/>
      <c r="O1342" s="18"/>
      <c r="P1342" s="18">
        <f>VLOOKUP($A1342,MasterData!$C$1:$I$3001,1,FALSE)</f>
        <v>8671</v>
      </c>
      <c r="Q1342" s="18" t="str">
        <f t="shared" si="2"/>
        <v>XIOTO5</v>
      </c>
    </row>
    <row r="1343" ht="15.75" customHeight="1">
      <c r="A1343" s="15">
        <v>8680.0</v>
      </c>
      <c r="B1343" s="16" t="s">
        <v>8446</v>
      </c>
      <c r="C1343" s="17" t="s">
        <v>8447</v>
      </c>
      <c r="D1343" s="16" t="s">
        <v>8446</v>
      </c>
      <c r="E1343" s="18" t="s">
        <v>4020</v>
      </c>
      <c r="F1343" s="19" t="str">
        <f t="shared" si="1"/>
        <v>XIOTO5</v>
      </c>
      <c r="G1343" s="19" t="s">
        <v>5408</v>
      </c>
      <c r="H1343" s="20" t="s">
        <v>3045</v>
      </c>
      <c r="I1343" s="19" t="s">
        <v>5409</v>
      </c>
      <c r="J1343" s="19" t="s">
        <v>5410</v>
      </c>
      <c r="K1343" s="21" t="s">
        <v>5411</v>
      </c>
      <c r="L1343" s="19" t="s">
        <v>6905</v>
      </c>
      <c r="M1343" s="16" t="s">
        <v>4019</v>
      </c>
      <c r="N1343" s="18"/>
      <c r="O1343" s="18"/>
      <c r="P1343" s="18">
        <f>VLOOKUP($A1343,MasterData!$C$1:$I$3001,1,FALSE)</f>
        <v>8680</v>
      </c>
      <c r="Q1343" s="18" t="str">
        <f t="shared" si="2"/>
        <v>XIOTO5</v>
      </c>
    </row>
    <row r="1344" ht="15.75" customHeight="1">
      <c r="A1344" s="15">
        <v>8684.0</v>
      </c>
      <c r="B1344" s="16" t="s">
        <v>8448</v>
      </c>
      <c r="C1344" s="17" t="s">
        <v>8449</v>
      </c>
      <c r="D1344" s="16" t="s">
        <v>8448</v>
      </c>
      <c r="E1344" s="18" t="s">
        <v>4022</v>
      </c>
      <c r="F1344" s="19" t="str">
        <f t="shared" si="1"/>
        <v>XIOTO5</v>
      </c>
      <c r="G1344" s="19" t="s">
        <v>5408</v>
      </c>
      <c r="H1344" s="20" t="s">
        <v>3045</v>
      </c>
      <c r="I1344" s="19" t="s">
        <v>5409</v>
      </c>
      <c r="J1344" s="19" t="s">
        <v>5410</v>
      </c>
      <c r="K1344" s="21" t="s">
        <v>5411</v>
      </c>
      <c r="L1344" s="19" t="s">
        <v>6905</v>
      </c>
      <c r="M1344" s="16" t="s">
        <v>4021</v>
      </c>
      <c r="N1344" s="18"/>
      <c r="O1344" s="18"/>
      <c r="P1344" s="18">
        <f>VLOOKUP($A1344,MasterData!$C$1:$I$3001,1,FALSE)</f>
        <v>8684</v>
      </c>
      <c r="Q1344" s="18" t="str">
        <f t="shared" si="2"/>
        <v>XIOTO5</v>
      </c>
    </row>
    <row r="1345" ht="15.75" customHeight="1">
      <c r="A1345" s="15">
        <v>8691.0</v>
      </c>
      <c r="B1345" s="16" t="s">
        <v>8450</v>
      </c>
      <c r="C1345" s="17" t="s">
        <v>8451</v>
      </c>
      <c r="D1345" s="16" t="s">
        <v>8450</v>
      </c>
      <c r="E1345" s="18" t="s">
        <v>4024</v>
      </c>
      <c r="F1345" s="19" t="str">
        <f t="shared" si="1"/>
        <v>XIOTO5</v>
      </c>
      <c r="G1345" s="19" t="s">
        <v>5408</v>
      </c>
      <c r="H1345" s="20" t="s">
        <v>3045</v>
      </c>
      <c r="I1345" s="19" t="s">
        <v>5409</v>
      </c>
      <c r="J1345" s="19" t="s">
        <v>5410</v>
      </c>
      <c r="K1345" s="21" t="s">
        <v>5411</v>
      </c>
      <c r="L1345" s="19" t="s">
        <v>6905</v>
      </c>
      <c r="M1345" s="16" t="s">
        <v>4023</v>
      </c>
      <c r="N1345" s="18"/>
      <c r="O1345" s="18"/>
      <c r="P1345" s="18">
        <f>VLOOKUP($A1345,MasterData!$C$1:$I$3001,1,FALSE)</f>
        <v>8691</v>
      </c>
      <c r="Q1345" s="18" t="str">
        <f t="shared" si="2"/>
        <v>XIOTO5</v>
      </c>
    </row>
    <row r="1346" ht="15.75" customHeight="1">
      <c r="A1346" s="15">
        <v>8698.0</v>
      </c>
      <c r="B1346" s="16" t="s">
        <v>8452</v>
      </c>
      <c r="C1346" s="17" t="s">
        <v>8453</v>
      </c>
      <c r="D1346" s="16" t="s">
        <v>8452</v>
      </c>
      <c r="E1346" s="18" t="s">
        <v>4026</v>
      </c>
      <c r="F1346" s="19" t="str">
        <f t="shared" si="1"/>
        <v>XIOTO5</v>
      </c>
      <c r="G1346" s="19" t="s">
        <v>5408</v>
      </c>
      <c r="H1346" s="20" t="s">
        <v>3045</v>
      </c>
      <c r="I1346" s="19" t="s">
        <v>5409</v>
      </c>
      <c r="J1346" s="19" t="s">
        <v>5410</v>
      </c>
      <c r="K1346" s="21" t="s">
        <v>5411</v>
      </c>
      <c r="L1346" s="19" t="s">
        <v>6905</v>
      </c>
      <c r="M1346" s="16" t="s">
        <v>4025</v>
      </c>
      <c r="N1346" s="18"/>
      <c r="O1346" s="18"/>
      <c r="P1346" s="18">
        <f>VLOOKUP($A1346,MasterData!$C$1:$I$3001,1,FALSE)</f>
        <v>8698</v>
      </c>
      <c r="Q1346" s="18" t="str">
        <f t="shared" si="2"/>
        <v>XIOTO5</v>
      </c>
    </row>
    <row r="1347" ht="15.75" customHeight="1">
      <c r="A1347" s="15">
        <v>8764.0</v>
      </c>
      <c r="B1347" s="16" t="s">
        <v>8454</v>
      </c>
      <c r="C1347" s="17" t="s">
        <v>8455</v>
      </c>
      <c r="D1347" s="16" t="s">
        <v>8454</v>
      </c>
      <c r="E1347" s="18" t="s">
        <v>4028</v>
      </c>
      <c r="F1347" s="19" t="str">
        <f t="shared" si="1"/>
        <v>XIOTO5</v>
      </c>
      <c r="G1347" s="19" t="s">
        <v>5408</v>
      </c>
      <c r="H1347" s="20" t="s">
        <v>3045</v>
      </c>
      <c r="I1347" s="19" t="s">
        <v>5409</v>
      </c>
      <c r="J1347" s="19" t="s">
        <v>5410</v>
      </c>
      <c r="K1347" s="21" t="s">
        <v>5411</v>
      </c>
      <c r="L1347" s="19" t="s">
        <v>6905</v>
      </c>
      <c r="M1347" s="16" t="s">
        <v>4027</v>
      </c>
      <c r="N1347" s="18"/>
      <c r="O1347" s="18"/>
      <c r="P1347" s="18">
        <f>VLOOKUP($A1347,MasterData!$C$1:$I$3001,1,FALSE)</f>
        <v>8764</v>
      </c>
      <c r="Q1347" s="18" t="str">
        <f t="shared" si="2"/>
        <v>XIOTO5</v>
      </c>
    </row>
    <row r="1348" ht="15.75" customHeight="1">
      <c r="A1348" s="15">
        <v>8779.0</v>
      </c>
      <c r="B1348" s="16" t="s">
        <v>8456</v>
      </c>
      <c r="C1348" s="17" t="s">
        <v>8457</v>
      </c>
      <c r="D1348" s="16" t="s">
        <v>8456</v>
      </c>
      <c r="E1348" s="18" t="s">
        <v>4030</v>
      </c>
      <c r="F1348" s="19" t="str">
        <f t="shared" si="1"/>
        <v>XIOTO5</v>
      </c>
      <c r="G1348" s="19" t="s">
        <v>5408</v>
      </c>
      <c r="H1348" s="20" t="s">
        <v>3045</v>
      </c>
      <c r="I1348" s="19" t="s">
        <v>5409</v>
      </c>
      <c r="J1348" s="19" t="s">
        <v>5410</v>
      </c>
      <c r="K1348" s="21" t="s">
        <v>5411</v>
      </c>
      <c r="L1348" s="19" t="s">
        <v>6905</v>
      </c>
      <c r="M1348" s="16" t="s">
        <v>4029</v>
      </c>
      <c r="N1348" s="18"/>
      <c r="O1348" s="18"/>
      <c r="P1348" s="18">
        <f>VLOOKUP($A1348,MasterData!$C$1:$I$3001,1,FALSE)</f>
        <v>8779</v>
      </c>
      <c r="Q1348" s="18" t="str">
        <f t="shared" si="2"/>
        <v>XIOTO5</v>
      </c>
    </row>
    <row r="1349" ht="15.75" customHeight="1">
      <c r="A1349" s="15">
        <v>8829.0</v>
      </c>
      <c r="B1349" s="16" t="s">
        <v>8458</v>
      </c>
      <c r="C1349" s="17" t="s">
        <v>8459</v>
      </c>
      <c r="D1349" s="16" t="s">
        <v>8458</v>
      </c>
      <c r="E1349" s="18" t="s">
        <v>4032</v>
      </c>
      <c r="F1349" s="19" t="str">
        <f t="shared" si="1"/>
        <v>XIOTO5</v>
      </c>
      <c r="G1349" s="19" t="s">
        <v>5408</v>
      </c>
      <c r="H1349" s="20" t="s">
        <v>3045</v>
      </c>
      <c r="I1349" s="19" t="s">
        <v>5409</v>
      </c>
      <c r="J1349" s="19" t="s">
        <v>5410</v>
      </c>
      <c r="K1349" s="21" t="s">
        <v>5411</v>
      </c>
      <c r="L1349" s="19" t="s">
        <v>6905</v>
      </c>
      <c r="M1349" s="16" t="s">
        <v>4031</v>
      </c>
      <c r="N1349" s="18"/>
      <c r="O1349" s="18"/>
      <c r="P1349" s="18">
        <f>VLOOKUP($A1349,MasterData!$C$1:$I$3001,1,FALSE)</f>
        <v>8829</v>
      </c>
      <c r="Q1349" s="18" t="str">
        <f t="shared" si="2"/>
        <v>XIOTO5</v>
      </c>
    </row>
    <row r="1350" ht="15.75" customHeight="1">
      <c r="A1350" s="15">
        <v>8836.0</v>
      </c>
      <c r="B1350" s="16" t="s">
        <v>8460</v>
      </c>
      <c r="C1350" s="17" t="s">
        <v>8461</v>
      </c>
      <c r="D1350" s="16" t="s">
        <v>8460</v>
      </c>
      <c r="E1350" s="18" t="s">
        <v>4034</v>
      </c>
      <c r="F1350" s="19" t="str">
        <f t="shared" si="1"/>
        <v>XIOTO5</v>
      </c>
      <c r="G1350" s="19" t="s">
        <v>5408</v>
      </c>
      <c r="H1350" s="20" t="s">
        <v>3045</v>
      </c>
      <c r="I1350" s="19" t="s">
        <v>5409</v>
      </c>
      <c r="J1350" s="19" t="s">
        <v>5410</v>
      </c>
      <c r="K1350" s="21" t="s">
        <v>5411</v>
      </c>
      <c r="L1350" s="19" t="s">
        <v>6905</v>
      </c>
      <c r="M1350" s="16" t="s">
        <v>4033</v>
      </c>
      <c r="N1350" s="18"/>
      <c r="O1350" s="18"/>
      <c r="P1350" s="18">
        <f>VLOOKUP($A1350,MasterData!$C$1:$I$3001,1,FALSE)</f>
        <v>8836</v>
      </c>
      <c r="Q1350" s="18" t="str">
        <f t="shared" si="2"/>
        <v>XIOTO5</v>
      </c>
    </row>
    <row r="1351" ht="15.75" customHeight="1">
      <c r="A1351" s="15">
        <v>8854.0</v>
      </c>
      <c r="B1351" s="16" t="s">
        <v>8462</v>
      </c>
      <c r="C1351" s="17" t="s">
        <v>8463</v>
      </c>
      <c r="D1351" s="16" t="s">
        <v>8462</v>
      </c>
      <c r="E1351" s="18" t="s">
        <v>4036</v>
      </c>
      <c r="F1351" s="19" t="str">
        <f t="shared" si="1"/>
        <v>XIOTO5</v>
      </c>
      <c r="G1351" s="19" t="s">
        <v>5408</v>
      </c>
      <c r="H1351" s="20" t="s">
        <v>3045</v>
      </c>
      <c r="I1351" s="19" t="s">
        <v>5409</v>
      </c>
      <c r="J1351" s="19" t="s">
        <v>5410</v>
      </c>
      <c r="K1351" s="21" t="s">
        <v>5411</v>
      </c>
      <c r="L1351" s="19" t="s">
        <v>6905</v>
      </c>
      <c r="M1351" s="16" t="s">
        <v>4035</v>
      </c>
      <c r="N1351" s="18"/>
      <c r="O1351" s="18"/>
      <c r="P1351" s="18">
        <f>VLOOKUP($A1351,MasterData!$C$1:$I$3001,1,FALSE)</f>
        <v>8854</v>
      </c>
      <c r="Q1351" s="18" t="str">
        <f t="shared" si="2"/>
        <v>XIOTO5</v>
      </c>
    </row>
    <row r="1352" ht="15.75" customHeight="1">
      <c r="A1352" s="15">
        <v>8858.0</v>
      </c>
      <c r="B1352" s="16" t="s">
        <v>8464</v>
      </c>
      <c r="C1352" s="17" t="s">
        <v>8465</v>
      </c>
      <c r="D1352" s="16" t="s">
        <v>8464</v>
      </c>
      <c r="E1352" s="18" t="s">
        <v>4038</v>
      </c>
      <c r="F1352" s="19" t="str">
        <f t="shared" si="1"/>
        <v>XIOTO5</v>
      </c>
      <c r="G1352" s="19" t="s">
        <v>5408</v>
      </c>
      <c r="H1352" s="20" t="s">
        <v>3045</v>
      </c>
      <c r="I1352" s="19" t="s">
        <v>5409</v>
      </c>
      <c r="J1352" s="19" t="s">
        <v>5410</v>
      </c>
      <c r="K1352" s="21" t="s">
        <v>5411</v>
      </c>
      <c r="L1352" s="19" t="s">
        <v>6905</v>
      </c>
      <c r="M1352" s="16" t="s">
        <v>4037</v>
      </c>
      <c r="N1352" s="18"/>
      <c r="O1352" s="18"/>
      <c r="P1352" s="18">
        <f>VLOOKUP($A1352,MasterData!$C$1:$I$3001,1,FALSE)</f>
        <v>8858</v>
      </c>
      <c r="Q1352" s="18" t="str">
        <f t="shared" si="2"/>
        <v>XIOTO5</v>
      </c>
    </row>
    <row r="1353" ht="15.75" customHeight="1">
      <c r="A1353" s="15">
        <v>8885.0</v>
      </c>
      <c r="B1353" s="16" t="s">
        <v>8466</v>
      </c>
      <c r="C1353" s="17" t="s">
        <v>8467</v>
      </c>
      <c r="D1353" s="16" t="s">
        <v>8466</v>
      </c>
      <c r="E1353" s="18" t="s">
        <v>4040</v>
      </c>
      <c r="F1353" s="19" t="str">
        <f t="shared" si="1"/>
        <v>XIOTO5</v>
      </c>
      <c r="G1353" s="19" t="s">
        <v>5408</v>
      </c>
      <c r="H1353" s="20" t="s">
        <v>3045</v>
      </c>
      <c r="I1353" s="19" t="s">
        <v>5409</v>
      </c>
      <c r="J1353" s="19" t="s">
        <v>5410</v>
      </c>
      <c r="K1353" s="21" t="s">
        <v>5411</v>
      </c>
      <c r="L1353" s="19" t="s">
        <v>6905</v>
      </c>
      <c r="M1353" s="16" t="s">
        <v>4039</v>
      </c>
      <c r="N1353" s="18"/>
      <c r="O1353" s="18"/>
      <c r="P1353" s="18">
        <f>VLOOKUP($A1353,MasterData!$C$1:$I$3001,1,FALSE)</f>
        <v>8885</v>
      </c>
      <c r="Q1353" s="18" t="str">
        <f t="shared" si="2"/>
        <v>XIOTO5</v>
      </c>
    </row>
    <row r="1354" ht="15.75" customHeight="1">
      <c r="A1354" s="15">
        <v>8888.0</v>
      </c>
      <c r="B1354" s="16" t="s">
        <v>8468</v>
      </c>
      <c r="C1354" s="17" t="s">
        <v>8469</v>
      </c>
      <c r="D1354" s="16" t="s">
        <v>8468</v>
      </c>
      <c r="E1354" s="18" t="s">
        <v>4042</v>
      </c>
      <c r="F1354" s="19" t="str">
        <f t="shared" si="1"/>
        <v>XIOTO5</v>
      </c>
      <c r="G1354" s="19" t="s">
        <v>5408</v>
      </c>
      <c r="H1354" s="20" t="s">
        <v>3045</v>
      </c>
      <c r="I1354" s="19" t="s">
        <v>5409</v>
      </c>
      <c r="J1354" s="19" t="s">
        <v>5410</v>
      </c>
      <c r="K1354" s="21" t="s">
        <v>5411</v>
      </c>
      <c r="L1354" s="19" t="s">
        <v>6905</v>
      </c>
      <c r="M1354" s="16" t="s">
        <v>4041</v>
      </c>
      <c r="N1354" s="18"/>
      <c r="O1354" s="18"/>
      <c r="P1354" s="18">
        <f>VLOOKUP($A1354,MasterData!$C$1:$I$3001,1,FALSE)</f>
        <v>8888</v>
      </c>
      <c r="Q1354" s="18" t="str">
        <f t="shared" si="2"/>
        <v>XIOTO5</v>
      </c>
    </row>
    <row r="1355" ht="15.75" customHeight="1">
      <c r="A1355" s="15">
        <v>8914.0</v>
      </c>
      <c r="B1355" s="16" t="s">
        <v>8470</v>
      </c>
      <c r="C1355" s="17" t="s">
        <v>8471</v>
      </c>
      <c r="D1355" s="16" t="s">
        <v>8470</v>
      </c>
      <c r="E1355" s="18" t="s">
        <v>4044</v>
      </c>
      <c r="F1355" s="19" t="str">
        <f t="shared" si="1"/>
        <v>XIOTO5</v>
      </c>
      <c r="G1355" s="19" t="s">
        <v>5408</v>
      </c>
      <c r="H1355" s="20" t="s">
        <v>3045</v>
      </c>
      <c r="I1355" s="19" t="s">
        <v>5409</v>
      </c>
      <c r="J1355" s="19" t="s">
        <v>5410</v>
      </c>
      <c r="K1355" s="21" t="s">
        <v>5411</v>
      </c>
      <c r="L1355" s="19" t="s">
        <v>6905</v>
      </c>
      <c r="M1355" s="16" t="s">
        <v>4043</v>
      </c>
      <c r="N1355" s="18"/>
      <c r="O1355" s="18"/>
      <c r="P1355" s="18">
        <f>VLOOKUP($A1355,MasterData!$C$1:$I$3001,1,FALSE)</f>
        <v>8914</v>
      </c>
      <c r="Q1355" s="18" t="str">
        <f t="shared" si="2"/>
        <v>XIOTO5</v>
      </c>
    </row>
    <row r="1356" ht="15.75" customHeight="1">
      <c r="A1356" s="15">
        <v>8973.0</v>
      </c>
      <c r="B1356" s="16" t="s">
        <v>8472</v>
      </c>
      <c r="C1356" s="17" t="s">
        <v>8473</v>
      </c>
      <c r="D1356" s="16" t="s">
        <v>8472</v>
      </c>
      <c r="E1356" s="18" t="s">
        <v>4046</v>
      </c>
      <c r="F1356" s="19" t="str">
        <f t="shared" si="1"/>
        <v>XIOTO5</v>
      </c>
      <c r="G1356" s="19" t="s">
        <v>5408</v>
      </c>
      <c r="H1356" s="20" t="s">
        <v>3045</v>
      </c>
      <c r="I1356" s="19" t="s">
        <v>5409</v>
      </c>
      <c r="J1356" s="19" t="s">
        <v>5410</v>
      </c>
      <c r="K1356" s="21" t="s">
        <v>5411</v>
      </c>
      <c r="L1356" s="19" t="s">
        <v>6905</v>
      </c>
      <c r="M1356" s="16" t="s">
        <v>4045</v>
      </c>
      <c r="N1356" s="18"/>
      <c r="O1356" s="18"/>
      <c r="P1356" s="18">
        <f>VLOOKUP($A1356,MasterData!$C$1:$I$3001,1,FALSE)</f>
        <v>8973</v>
      </c>
      <c r="Q1356" s="18" t="str">
        <f t="shared" si="2"/>
        <v>XIOTO5</v>
      </c>
    </row>
    <row r="1357" ht="15.75" customHeight="1">
      <c r="A1357" s="15">
        <v>8979.0</v>
      </c>
      <c r="B1357" s="16" t="s">
        <v>8474</v>
      </c>
      <c r="C1357" s="17" t="s">
        <v>8475</v>
      </c>
      <c r="D1357" s="16" t="s">
        <v>8474</v>
      </c>
      <c r="E1357" s="18" t="s">
        <v>4048</v>
      </c>
      <c r="F1357" s="19" t="str">
        <f t="shared" si="1"/>
        <v>XIOTO5</v>
      </c>
      <c r="G1357" s="19" t="s">
        <v>5408</v>
      </c>
      <c r="H1357" s="20" t="s">
        <v>3045</v>
      </c>
      <c r="I1357" s="19" t="s">
        <v>5409</v>
      </c>
      <c r="J1357" s="19" t="s">
        <v>5410</v>
      </c>
      <c r="K1357" s="21" t="s">
        <v>5411</v>
      </c>
      <c r="L1357" s="19" t="s">
        <v>6905</v>
      </c>
      <c r="M1357" s="16" t="s">
        <v>4047</v>
      </c>
      <c r="N1357" s="18"/>
      <c r="O1357" s="18"/>
      <c r="P1357" s="18">
        <f>VLOOKUP($A1357,MasterData!$C$1:$I$3001,1,FALSE)</f>
        <v>8979</v>
      </c>
      <c r="Q1357" s="18" t="str">
        <f t="shared" si="2"/>
        <v>XIOTO5</v>
      </c>
    </row>
    <row r="1358" ht="15.75" customHeight="1">
      <c r="A1358" s="15">
        <v>8986.0</v>
      </c>
      <c r="B1358" s="16" t="s">
        <v>8476</v>
      </c>
      <c r="C1358" s="17" t="s">
        <v>8477</v>
      </c>
      <c r="D1358" s="16" t="s">
        <v>8476</v>
      </c>
      <c r="E1358" s="18" t="s">
        <v>4050</v>
      </c>
      <c r="F1358" s="19" t="str">
        <f t="shared" si="1"/>
        <v>XIOTO5</v>
      </c>
      <c r="G1358" s="19" t="s">
        <v>5408</v>
      </c>
      <c r="H1358" s="20" t="s">
        <v>3045</v>
      </c>
      <c r="I1358" s="19" t="s">
        <v>5409</v>
      </c>
      <c r="J1358" s="19" t="s">
        <v>5410</v>
      </c>
      <c r="K1358" s="21" t="s">
        <v>5411</v>
      </c>
      <c r="L1358" s="19" t="s">
        <v>6905</v>
      </c>
      <c r="M1358" s="16" t="s">
        <v>4049</v>
      </c>
      <c r="N1358" s="18"/>
      <c r="O1358" s="18"/>
      <c r="P1358" s="18">
        <f>VLOOKUP($A1358,MasterData!$C$1:$I$3001,1,FALSE)</f>
        <v>8986</v>
      </c>
      <c r="Q1358" s="18" t="str">
        <f t="shared" si="2"/>
        <v>XIOTO5</v>
      </c>
    </row>
    <row r="1359" ht="15.75" customHeight="1">
      <c r="A1359" s="15">
        <v>8991.0</v>
      </c>
      <c r="B1359" s="16" t="s">
        <v>8478</v>
      </c>
      <c r="C1359" s="17" t="s">
        <v>8479</v>
      </c>
      <c r="D1359" s="16" t="s">
        <v>8478</v>
      </c>
      <c r="E1359" s="18" t="s">
        <v>4052</v>
      </c>
      <c r="F1359" s="19" t="str">
        <f t="shared" si="1"/>
        <v>XIOTO5</v>
      </c>
      <c r="G1359" s="19" t="s">
        <v>5408</v>
      </c>
      <c r="H1359" s="20" t="s">
        <v>3045</v>
      </c>
      <c r="I1359" s="19" t="s">
        <v>5409</v>
      </c>
      <c r="J1359" s="19" t="s">
        <v>5410</v>
      </c>
      <c r="K1359" s="21" t="s">
        <v>5411</v>
      </c>
      <c r="L1359" s="19" t="s">
        <v>6905</v>
      </c>
      <c r="M1359" s="16" t="s">
        <v>4051</v>
      </c>
      <c r="N1359" s="18"/>
      <c r="O1359" s="18"/>
      <c r="P1359" s="18">
        <f>VLOOKUP($A1359,MasterData!$C$1:$I$3001,1,FALSE)</f>
        <v>8991</v>
      </c>
      <c r="Q1359" s="18" t="str">
        <f t="shared" si="2"/>
        <v>XIOTO5</v>
      </c>
    </row>
    <row r="1360" ht="15.75" customHeight="1">
      <c r="A1360" s="15">
        <v>8999.0</v>
      </c>
      <c r="B1360" s="16" t="s">
        <v>8480</v>
      </c>
      <c r="C1360" s="17" t="s">
        <v>8481</v>
      </c>
      <c r="D1360" s="16" t="s">
        <v>8480</v>
      </c>
      <c r="E1360" s="18" t="s">
        <v>4054</v>
      </c>
      <c r="F1360" s="19" t="str">
        <f t="shared" si="1"/>
        <v>XIOTO5</v>
      </c>
      <c r="G1360" s="19" t="s">
        <v>5408</v>
      </c>
      <c r="H1360" s="20" t="s">
        <v>3045</v>
      </c>
      <c r="I1360" s="19" t="s">
        <v>5409</v>
      </c>
      <c r="J1360" s="19" t="s">
        <v>5410</v>
      </c>
      <c r="K1360" s="21" t="s">
        <v>5411</v>
      </c>
      <c r="L1360" s="19" t="s">
        <v>6905</v>
      </c>
      <c r="M1360" s="16" t="s">
        <v>4053</v>
      </c>
      <c r="N1360" s="18"/>
      <c r="O1360" s="18"/>
      <c r="P1360" s="18">
        <f>VLOOKUP($A1360,MasterData!$C$1:$I$3001,1,FALSE)</f>
        <v>8999</v>
      </c>
      <c r="Q1360" s="18" t="str">
        <f t="shared" si="2"/>
        <v>XIOTO5</v>
      </c>
    </row>
    <row r="1361" ht="15.75" customHeight="1">
      <c r="A1361" s="15">
        <v>9002.0</v>
      </c>
      <c r="B1361" s="16" t="s">
        <v>8482</v>
      </c>
      <c r="C1361" s="17" t="s">
        <v>8483</v>
      </c>
      <c r="D1361" s="16" t="s">
        <v>8482</v>
      </c>
      <c r="E1361" s="18" t="s">
        <v>4056</v>
      </c>
      <c r="F1361" s="19" t="str">
        <f t="shared" si="1"/>
        <v>XIOTO5</v>
      </c>
      <c r="G1361" s="19" t="s">
        <v>5408</v>
      </c>
      <c r="H1361" s="20" t="s">
        <v>3045</v>
      </c>
      <c r="I1361" s="19" t="s">
        <v>5409</v>
      </c>
      <c r="J1361" s="19" t="s">
        <v>5410</v>
      </c>
      <c r="K1361" s="21" t="s">
        <v>5411</v>
      </c>
      <c r="L1361" s="19" t="s">
        <v>6905</v>
      </c>
      <c r="M1361" s="16" t="s">
        <v>4055</v>
      </c>
      <c r="N1361" s="18"/>
      <c r="O1361" s="18"/>
      <c r="P1361" s="18">
        <f>VLOOKUP($A1361,MasterData!$C$1:$I$3001,1,FALSE)</f>
        <v>9002</v>
      </c>
      <c r="Q1361" s="18" t="str">
        <f t="shared" si="2"/>
        <v>XIOTO5</v>
      </c>
    </row>
    <row r="1362" ht="15.75" customHeight="1">
      <c r="A1362" s="15">
        <v>9005.0</v>
      </c>
      <c r="B1362" s="16" t="s">
        <v>8484</v>
      </c>
      <c r="C1362" s="17" t="s">
        <v>8485</v>
      </c>
      <c r="D1362" s="16" t="s">
        <v>8484</v>
      </c>
      <c r="E1362" s="18" t="s">
        <v>4058</v>
      </c>
      <c r="F1362" s="19" t="str">
        <f t="shared" si="1"/>
        <v>XIOTO5</v>
      </c>
      <c r="G1362" s="19" t="s">
        <v>5408</v>
      </c>
      <c r="H1362" s="20" t="s">
        <v>3045</v>
      </c>
      <c r="I1362" s="19" t="s">
        <v>5409</v>
      </c>
      <c r="J1362" s="19" t="s">
        <v>5410</v>
      </c>
      <c r="K1362" s="21" t="s">
        <v>5411</v>
      </c>
      <c r="L1362" s="19" t="s">
        <v>6905</v>
      </c>
      <c r="M1362" s="16" t="s">
        <v>4057</v>
      </c>
      <c r="N1362" s="18"/>
      <c r="O1362" s="18"/>
      <c r="P1362" s="18">
        <f>VLOOKUP($A1362,MasterData!$C$1:$I$3001,1,FALSE)</f>
        <v>9005</v>
      </c>
      <c r="Q1362" s="18" t="str">
        <f t="shared" si="2"/>
        <v>XIOTO5</v>
      </c>
    </row>
    <row r="1363" ht="15.75" customHeight="1">
      <c r="A1363" s="15">
        <v>9009.0</v>
      </c>
      <c r="B1363" s="16" t="s">
        <v>8486</v>
      </c>
      <c r="C1363" s="17" t="s">
        <v>8487</v>
      </c>
      <c r="D1363" s="16" t="s">
        <v>8486</v>
      </c>
      <c r="E1363" s="18" t="s">
        <v>4060</v>
      </c>
      <c r="F1363" s="19" t="str">
        <f t="shared" si="1"/>
        <v>XIOTO5</v>
      </c>
      <c r="G1363" s="19" t="s">
        <v>5408</v>
      </c>
      <c r="H1363" s="20" t="s">
        <v>3045</v>
      </c>
      <c r="I1363" s="19" t="s">
        <v>5409</v>
      </c>
      <c r="J1363" s="19" t="s">
        <v>5410</v>
      </c>
      <c r="K1363" s="21" t="s">
        <v>5411</v>
      </c>
      <c r="L1363" s="19" t="s">
        <v>6905</v>
      </c>
      <c r="M1363" s="16" t="s">
        <v>4059</v>
      </c>
      <c r="N1363" s="18"/>
      <c r="O1363" s="18"/>
      <c r="P1363" s="18">
        <f>VLOOKUP($A1363,MasterData!$C$1:$I$3001,1,FALSE)</f>
        <v>9009</v>
      </c>
      <c r="Q1363" s="18" t="str">
        <f t="shared" si="2"/>
        <v>XIOTO5</v>
      </c>
    </row>
    <row r="1364" ht="15.75" customHeight="1">
      <c r="A1364" s="15">
        <v>9014.0</v>
      </c>
      <c r="B1364" s="16" t="s">
        <v>8488</v>
      </c>
      <c r="C1364" s="17" t="s">
        <v>8489</v>
      </c>
      <c r="D1364" s="16" t="s">
        <v>8488</v>
      </c>
      <c r="E1364" s="18" t="s">
        <v>4062</v>
      </c>
      <c r="F1364" s="19" t="str">
        <f t="shared" si="1"/>
        <v>XIOTO5</v>
      </c>
      <c r="G1364" s="19" t="s">
        <v>5408</v>
      </c>
      <c r="H1364" s="20" t="s">
        <v>3045</v>
      </c>
      <c r="I1364" s="19" t="s">
        <v>5409</v>
      </c>
      <c r="J1364" s="19" t="s">
        <v>5410</v>
      </c>
      <c r="K1364" s="21" t="s">
        <v>5411</v>
      </c>
      <c r="L1364" s="19" t="s">
        <v>6905</v>
      </c>
      <c r="M1364" s="16" t="s">
        <v>4061</v>
      </c>
      <c r="N1364" s="18"/>
      <c r="O1364" s="18"/>
      <c r="P1364" s="18">
        <f>VLOOKUP($A1364,MasterData!$C$1:$I$3001,1,FALSE)</f>
        <v>9014</v>
      </c>
      <c r="Q1364" s="18" t="str">
        <f t="shared" si="2"/>
        <v>XIOTO5</v>
      </c>
    </row>
    <row r="1365" ht="15.75" customHeight="1">
      <c r="A1365" s="15">
        <v>9029.0</v>
      </c>
      <c r="B1365" s="16" t="s">
        <v>8490</v>
      </c>
      <c r="C1365" s="17" t="s">
        <v>8491</v>
      </c>
      <c r="D1365" s="16" t="s">
        <v>8490</v>
      </c>
      <c r="E1365" s="18" t="s">
        <v>4064</v>
      </c>
      <c r="F1365" s="19" t="str">
        <f t="shared" si="1"/>
        <v>XIOTO5</v>
      </c>
      <c r="G1365" s="19" t="s">
        <v>5408</v>
      </c>
      <c r="H1365" s="20" t="s">
        <v>3045</v>
      </c>
      <c r="I1365" s="19" t="s">
        <v>5409</v>
      </c>
      <c r="J1365" s="19" t="s">
        <v>5410</v>
      </c>
      <c r="K1365" s="21" t="s">
        <v>5411</v>
      </c>
      <c r="L1365" s="19" t="s">
        <v>6905</v>
      </c>
      <c r="M1365" s="16" t="s">
        <v>4063</v>
      </c>
      <c r="N1365" s="18"/>
      <c r="O1365" s="18"/>
      <c r="P1365" s="18">
        <f>VLOOKUP($A1365,MasterData!$C$1:$I$3001,1,FALSE)</f>
        <v>9029</v>
      </c>
      <c r="Q1365" s="18" t="str">
        <f t="shared" si="2"/>
        <v>XIOTO5</v>
      </c>
    </row>
    <row r="1366" ht="15.75" customHeight="1">
      <c r="A1366" s="15">
        <v>9055.0</v>
      </c>
      <c r="B1366" s="16" t="s">
        <v>8492</v>
      </c>
      <c r="C1366" s="17" t="s">
        <v>8493</v>
      </c>
      <c r="D1366" s="16" t="s">
        <v>8492</v>
      </c>
      <c r="E1366" s="18" t="s">
        <v>4066</v>
      </c>
      <c r="F1366" s="19" t="str">
        <f t="shared" si="1"/>
        <v>XIOTO5</v>
      </c>
      <c r="G1366" s="19" t="s">
        <v>5408</v>
      </c>
      <c r="H1366" s="20" t="s">
        <v>3045</v>
      </c>
      <c r="I1366" s="19" t="s">
        <v>5409</v>
      </c>
      <c r="J1366" s="19" t="s">
        <v>5410</v>
      </c>
      <c r="K1366" s="21" t="s">
        <v>5411</v>
      </c>
      <c r="L1366" s="19" t="s">
        <v>6905</v>
      </c>
      <c r="M1366" s="16" t="s">
        <v>4065</v>
      </c>
      <c r="N1366" s="18"/>
      <c r="O1366" s="18"/>
      <c r="P1366" s="18">
        <f>VLOOKUP($A1366,MasterData!$C$1:$I$3001,1,FALSE)</f>
        <v>9055</v>
      </c>
      <c r="Q1366" s="18" t="str">
        <f t="shared" si="2"/>
        <v>XIOTO5</v>
      </c>
    </row>
    <row r="1367" ht="15.75" customHeight="1">
      <c r="A1367" s="15">
        <v>9099.0</v>
      </c>
      <c r="B1367" s="16" t="s">
        <v>8494</v>
      </c>
      <c r="C1367" s="17" t="s">
        <v>8495</v>
      </c>
      <c r="D1367" s="16" t="s">
        <v>8494</v>
      </c>
      <c r="E1367" s="18" t="s">
        <v>4068</v>
      </c>
      <c r="F1367" s="19" t="str">
        <f t="shared" si="1"/>
        <v>XIOTO5</v>
      </c>
      <c r="G1367" s="19" t="s">
        <v>5408</v>
      </c>
      <c r="H1367" s="20" t="s">
        <v>3045</v>
      </c>
      <c r="I1367" s="19" t="s">
        <v>5409</v>
      </c>
      <c r="J1367" s="19" t="s">
        <v>5410</v>
      </c>
      <c r="K1367" s="21" t="s">
        <v>5411</v>
      </c>
      <c r="L1367" s="19" t="s">
        <v>6905</v>
      </c>
      <c r="M1367" s="16" t="s">
        <v>4067</v>
      </c>
      <c r="N1367" s="18"/>
      <c r="O1367" s="18"/>
      <c r="P1367" s="18">
        <f>VLOOKUP($A1367,MasterData!$C$1:$I$3001,1,FALSE)</f>
        <v>9099</v>
      </c>
      <c r="Q1367" s="18" t="str">
        <f t="shared" si="2"/>
        <v>XIOTO5</v>
      </c>
    </row>
    <row r="1368" ht="15.75" customHeight="1">
      <c r="A1368" s="15">
        <v>9140.0</v>
      </c>
      <c r="B1368" s="16" t="s">
        <v>8496</v>
      </c>
      <c r="C1368" s="17" t="s">
        <v>8497</v>
      </c>
      <c r="D1368" s="16" t="s">
        <v>8496</v>
      </c>
      <c r="E1368" s="18" t="s">
        <v>4070</v>
      </c>
      <c r="F1368" s="19" t="str">
        <f t="shared" si="1"/>
        <v>XIOTO5</v>
      </c>
      <c r="G1368" s="19" t="s">
        <v>5408</v>
      </c>
      <c r="H1368" s="20" t="s">
        <v>3045</v>
      </c>
      <c r="I1368" s="19" t="s">
        <v>5409</v>
      </c>
      <c r="J1368" s="19" t="s">
        <v>5410</v>
      </c>
      <c r="K1368" s="21" t="s">
        <v>5411</v>
      </c>
      <c r="L1368" s="19" t="s">
        <v>6905</v>
      </c>
      <c r="M1368" s="16" t="s">
        <v>4069</v>
      </c>
      <c r="N1368" s="18"/>
      <c r="O1368" s="18"/>
      <c r="P1368" s="18">
        <f>VLOOKUP($A1368,MasterData!$C$1:$I$3001,1,FALSE)</f>
        <v>9140</v>
      </c>
      <c r="Q1368" s="18" t="str">
        <f t="shared" si="2"/>
        <v>XIOTO5</v>
      </c>
    </row>
    <row r="1369" ht="15.75" customHeight="1">
      <c r="A1369" s="15">
        <v>9145.0</v>
      </c>
      <c r="B1369" s="16" t="s">
        <v>8498</v>
      </c>
      <c r="C1369" s="17" t="s">
        <v>8499</v>
      </c>
      <c r="D1369" s="16" t="s">
        <v>8498</v>
      </c>
      <c r="E1369" s="18" t="s">
        <v>4072</v>
      </c>
      <c r="F1369" s="19" t="str">
        <f t="shared" si="1"/>
        <v>XIOTO5</v>
      </c>
      <c r="G1369" s="19" t="s">
        <v>5408</v>
      </c>
      <c r="H1369" s="20" t="s">
        <v>3045</v>
      </c>
      <c r="I1369" s="19" t="s">
        <v>5409</v>
      </c>
      <c r="J1369" s="19" t="s">
        <v>5410</v>
      </c>
      <c r="K1369" s="21" t="s">
        <v>5411</v>
      </c>
      <c r="L1369" s="19" t="s">
        <v>6905</v>
      </c>
      <c r="M1369" s="16" t="s">
        <v>4071</v>
      </c>
      <c r="N1369" s="18"/>
      <c r="O1369" s="18"/>
      <c r="P1369" s="18">
        <f>VLOOKUP($A1369,MasterData!$C$1:$I$3001,1,FALSE)</f>
        <v>9145</v>
      </c>
      <c r="Q1369" s="18" t="str">
        <f t="shared" si="2"/>
        <v>XIOTO5</v>
      </c>
    </row>
    <row r="1370" ht="15.75" customHeight="1">
      <c r="A1370" s="15">
        <v>9158.0</v>
      </c>
      <c r="B1370" s="16" t="s">
        <v>8500</v>
      </c>
      <c r="C1370" s="17" t="s">
        <v>8501</v>
      </c>
      <c r="D1370" s="16" t="s">
        <v>8500</v>
      </c>
      <c r="E1370" s="18" t="s">
        <v>4074</v>
      </c>
      <c r="F1370" s="19" t="str">
        <f t="shared" si="1"/>
        <v>XIOTO5</v>
      </c>
      <c r="G1370" s="19" t="s">
        <v>5408</v>
      </c>
      <c r="H1370" s="20" t="s">
        <v>3045</v>
      </c>
      <c r="I1370" s="19" t="s">
        <v>5409</v>
      </c>
      <c r="J1370" s="19" t="s">
        <v>5410</v>
      </c>
      <c r="K1370" s="21" t="s">
        <v>5411</v>
      </c>
      <c r="L1370" s="19" t="s">
        <v>6905</v>
      </c>
      <c r="M1370" s="16" t="s">
        <v>4073</v>
      </c>
      <c r="N1370" s="18"/>
      <c r="O1370" s="18"/>
      <c r="P1370" s="18">
        <f>VLOOKUP($A1370,MasterData!$C$1:$I$3001,1,FALSE)</f>
        <v>9158</v>
      </c>
      <c r="Q1370" s="18" t="str">
        <f t="shared" si="2"/>
        <v>XIOTO5</v>
      </c>
    </row>
    <row r="1371" ht="15.75" customHeight="1">
      <c r="A1371" s="15">
        <v>9208.0</v>
      </c>
      <c r="B1371" s="16" t="s">
        <v>8502</v>
      </c>
      <c r="C1371" s="17" t="s">
        <v>8503</v>
      </c>
      <c r="D1371" s="16" t="s">
        <v>8502</v>
      </c>
      <c r="E1371" s="18" t="s">
        <v>4076</v>
      </c>
      <c r="F1371" s="19" t="str">
        <f t="shared" si="1"/>
        <v>XIOTO5</v>
      </c>
      <c r="G1371" s="19" t="s">
        <v>5408</v>
      </c>
      <c r="H1371" s="20" t="s">
        <v>3045</v>
      </c>
      <c r="I1371" s="19" t="s">
        <v>5409</v>
      </c>
      <c r="J1371" s="19" t="s">
        <v>5410</v>
      </c>
      <c r="K1371" s="21" t="s">
        <v>5411</v>
      </c>
      <c r="L1371" s="19" t="s">
        <v>6905</v>
      </c>
      <c r="M1371" s="16" t="s">
        <v>4075</v>
      </c>
      <c r="N1371" s="18"/>
      <c r="O1371" s="18"/>
      <c r="P1371" s="18">
        <f>VLOOKUP($A1371,MasterData!$C$1:$I$3001,1,FALSE)</f>
        <v>9208</v>
      </c>
      <c r="Q1371" s="18" t="str">
        <f t="shared" si="2"/>
        <v>XIOTO5</v>
      </c>
    </row>
    <row r="1372" ht="15.75" customHeight="1">
      <c r="A1372" s="15">
        <v>9222.0</v>
      </c>
      <c r="B1372" s="16" t="s">
        <v>8504</v>
      </c>
      <c r="C1372" s="17" t="s">
        <v>8505</v>
      </c>
      <c r="D1372" s="16" t="s">
        <v>8504</v>
      </c>
      <c r="E1372" s="18" t="s">
        <v>4078</v>
      </c>
      <c r="F1372" s="19" t="str">
        <f t="shared" si="1"/>
        <v>XIOTO5</v>
      </c>
      <c r="G1372" s="19" t="s">
        <v>5408</v>
      </c>
      <c r="H1372" s="20" t="s">
        <v>3045</v>
      </c>
      <c r="I1372" s="19" t="s">
        <v>5409</v>
      </c>
      <c r="J1372" s="19" t="s">
        <v>5410</v>
      </c>
      <c r="K1372" s="21" t="s">
        <v>5411</v>
      </c>
      <c r="L1372" s="19" t="s">
        <v>6905</v>
      </c>
      <c r="M1372" s="16" t="s">
        <v>4077</v>
      </c>
      <c r="N1372" s="18"/>
      <c r="O1372" s="18"/>
      <c r="P1372" s="18">
        <f>VLOOKUP($A1372,MasterData!$C$1:$I$3001,1,FALSE)</f>
        <v>9222</v>
      </c>
      <c r="Q1372" s="18" t="str">
        <f t="shared" si="2"/>
        <v>XIOTO5</v>
      </c>
    </row>
    <row r="1373" ht="15.75" customHeight="1">
      <c r="A1373" s="15">
        <v>9233.0</v>
      </c>
      <c r="B1373" s="16" t="s">
        <v>8506</v>
      </c>
      <c r="C1373" s="17" t="s">
        <v>8507</v>
      </c>
      <c r="D1373" s="16" t="s">
        <v>8506</v>
      </c>
      <c r="E1373" s="18" t="s">
        <v>4080</v>
      </c>
      <c r="F1373" s="19" t="str">
        <f t="shared" si="1"/>
        <v>XIOTO5</v>
      </c>
      <c r="G1373" s="19" t="s">
        <v>5408</v>
      </c>
      <c r="H1373" s="20" t="s">
        <v>3045</v>
      </c>
      <c r="I1373" s="19" t="s">
        <v>5409</v>
      </c>
      <c r="J1373" s="19" t="s">
        <v>5410</v>
      </c>
      <c r="K1373" s="21" t="s">
        <v>5411</v>
      </c>
      <c r="L1373" s="19" t="s">
        <v>6905</v>
      </c>
      <c r="M1373" s="16" t="s">
        <v>4079</v>
      </c>
      <c r="N1373" s="18"/>
      <c r="O1373" s="18"/>
      <c r="P1373" s="18">
        <f>VLOOKUP($A1373,MasterData!$C$1:$I$3001,1,FALSE)</f>
        <v>9233</v>
      </c>
      <c r="Q1373" s="18" t="str">
        <f t="shared" si="2"/>
        <v>XIOTO5</v>
      </c>
    </row>
    <row r="1374" ht="15.75" customHeight="1">
      <c r="A1374" s="31">
        <v>9245.0</v>
      </c>
      <c r="B1374" s="22" t="s">
        <v>1967</v>
      </c>
      <c r="C1374" s="24" t="s">
        <v>8508</v>
      </c>
      <c r="D1374" s="33" t="s">
        <v>1967</v>
      </c>
      <c r="E1374" s="22" t="s">
        <v>1966</v>
      </c>
      <c r="F1374" s="19" t="str">
        <f t="shared" si="1"/>
        <v>XPFL1</v>
      </c>
      <c r="G1374" s="19" t="s">
        <v>5408</v>
      </c>
      <c r="H1374" s="20" t="s">
        <v>1212</v>
      </c>
      <c r="I1374" s="19" t="s">
        <v>5409</v>
      </c>
      <c r="J1374" s="19" t="s">
        <v>5410</v>
      </c>
      <c r="K1374" s="25" t="s">
        <v>7500</v>
      </c>
      <c r="L1374" s="20" t="s">
        <v>8509</v>
      </c>
      <c r="M1374" s="23" t="s">
        <v>1965</v>
      </c>
      <c r="N1374" s="18"/>
      <c r="O1374" s="18"/>
      <c r="P1374" s="18">
        <f>VLOOKUP($A1374,MasterData!$C$1:$I$3001,1,FALSE)</f>
        <v>9245</v>
      </c>
      <c r="Q1374" s="18" t="str">
        <f t="shared" si="2"/>
        <v>XPFL1</v>
      </c>
    </row>
    <row r="1375" ht="15.75" customHeight="1">
      <c r="A1375" s="31">
        <v>9258.0</v>
      </c>
      <c r="B1375" s="22" t="s">
        <v>1970</v>
      </c>
      <c r="C1375" s="24" t="s">
        <v>8510</v>
      </c>
      <c r="D1375" s="33" t="s">
        <v>1970</v>
      </c>
      <c r="E1375" s="22" t="s">
        <v>1969</v>
      </c>
      <c r="F1375" s="19" t="str">
        <f t="shared" si="1"/>
        <v>XPFL1</v>
      </c>
      <c r="G1375" s="19" t="s">
        <v>5408</v>
      </c>
      <c r="H1375" s="20" t="s">
        <v>1212</v>
      </c>
      <c r="I1375" s="19" t="s">
        <v>5409</v>
      </c>
      <c r="J1375" s="19" t="s">
        <v>5410</v>
      </c>
      <c r="K1375" s="25" t="s">
        <v>7500</v>
      </c>
      <c r="L1375" s="20" t="s">
        <v>8509</v>
      </c>
      <c r="M1375" s="23" t="s">
        <v>1968</v>
      </c>
      <c r="N1375" s="18"/>
      <c r="O1375" s="18"/>
      <c r="P1375" s="18">
        <f>VLOOKUP($A1375,MasterData!$C$1:$I$3001,1,FALSE)</f>
        <v>9258</v>
      </c>
      <c r="Q1375" s="18" t="str">
        <f t="shared" si="2"/>
        <v>XPFL1</v>
      </c>
    </row>
    <row r="1376" ht="15.75" customHeight="1">
      <c r="A1376" s="31">
        <v>9262.0</v>
      </c>
      <c r="B1376" s="22" t="s">
        <v>1973</v>
      </c>
      <c r="C1376" s="24" t="s">
        <v>8511</v>
      </c>
      <c r="D1376" s="33" t="s">
        <v>1973</v>
      </c>
      <c r="E1376" s="22" t="s">
        <v>1972</v>
      </c>
      <c r="F1376" s="19" t="str">
        <f t="shared" si="1"/>
        <v>XPFL1</v>
      </c>
      <c r="G1376" s="19" t="s">
        <v>5408</v>
      </c>
      <c r="H1376" s="20" t="s">
        <v>1212</v>
      </c>
      <c r="I1376" s="19" t="s">
        <v>5409</v>
      </c>
      <c r="J1376" s="19" t="s">
        <v>5410</v>
      </c>
      <c r="K1376" s="25" t="s">
        <v>7500</v>
      </c>
      <c r="L1376" s="20" t="s">
        <v>8509</v>
      </c>
      <c r="M1376" s="23" t="s">
        <v>1971</v>
      </c>
      <c r="N1376" s="18"/>
      <c r="O1376" s="18"/>
      <c r="P1376" s="18">
        <f>VLOOKUP($A1376,MasterData!$C$1:$I$3001,1,FALSE)</f>
        <v>9262</v>
      </c>
      <c r="Q1376" s="18" t="str">
        <f t="shared" si="2"/>
        <v>XPFL1</v>
      </c>
    </row>
    <row r="1377" ht="15.75" customHeight="1">
      <c r="A1377" s="31">
        <v>9276.0</v>
      </c>
      <c r="B1377" s="22" t="s">
        <v>1976</v>
      </c>
      <c r="C1377" s="24" t="s">
        <v>8512</v>
      </c>
      <c r="D1377" s="33" t="s">
        <v>1976</v>
      </c>
      <c r="E1377" s="22" t="s">
        <v>1975</v>
      </c>
      <c r="F1377" s="19" t="str">
        <f t="shared" si="1"/>
        <v>XPFL1</v>
      </c>
      <c r="G1377" s="19" t="s">
        <v>5408</v>
      </c>
      <c r="H1377" s="20" t="s">
        <v>1212</v>
      </c>
      <c r="I1377" s="19" t="s">
        <v>5409</v>
      </c>
      <c r="J1377" s="19" t="s">
        <v>5410</v>
      </c>
      <c r="K1377" s="25" t="s">
        <v>7500</v>
      </c>
      <c r="L1377" s="20" t="s">
        <v>8509</v>
      </c>
      <c r="M1377" s="23" t="s">
        <v>1974</v>
      </c>
      <c r="N1377" s="18"/>
      <c r="O1377" s="18"/>
      <c r="P1377" s="18">
        <f>VLOOKUP($A1377,MasterData!$C$1:$I$3001,1,FALSE)</f>
        <v>9276</v>
      </c>
      <c r="Q1377" s="18" t="str">
        <f t="shared" si="2"/>
        <v>XPFL1</v>
      </c>
    </row>
    <row r="1378" ht="15.75" customHeight="1">
      <c r="A1378" s="31">
        <v>9298.0</v>
      </c>
      <c r="B1378" s="22" t="s">
        <v>1979</v>
      </c>
      <c r="C1378" s="24" t="s">
        <v>8513</v>
      </c>
      <c r="D1378" s="33" t="s">
        <v>1979</v>
      </c>
      <c r="E1378" s="22" t="s">
        <v>1978</v>
      </c>
      <c r="F1378" s="19" t="str">
        <f t="shared" si="1"/>
        <v>XPFL1</v>
      </c>
      <c r="G1378" s="19" t="s">
        <v>5408</v>
      </c>
      <c r="H1378" s="20" t="s">
        <v>1212</v>
      </c>
      <c r="I1378" s="19" t="s">
        <v>5409</v>
      </c>
      <c r="J1378" s="19" t="s">
        <v>5410</v>
      </c>
      <c r="K1378" s="25" t="s">
        <v>7500</v>
      </c>
      <c r="L1378" s="20" t="s">
        <v>8509</v>
      </c>
      <c r="M1378" s="23" t="s">
        <v>1977</v>
      </c>
      <c r="N1378" s="18"/>
      <c r="O1378" s="18"/>
      <c r="P1378" s="18">
        <f>VLOOKUP($A1378,MasterData!$C$1:$I$3001,1,FALSE)</f>
        <v>9298</v>
      </c>
      <c r="Q1378" s="18" t="str">
        <f t="shared" si="2"/>
        <v>XPFL1</v>
      </c>
    </row>
    <row r="1379" ht="15.75" customHeight="1">
      <c r="A1379" s="31">
        <v>9303.0</v>
      </c>
      <c r="B1379" s="22" t="s">
        <v>1982</v>
      </c>
      <c r="C1379" s="24" t="s">
        <v>8514</v>
      </c>
      <c r="D1379" s="33" t="s">
        <v>1982</v>
      </c>
      <c r="E1379" s="22" t="s">
        <v>1981</v>
      </c>
      <c r="F1379" s="19" t="str">
        <f t="shared" si="1"/>
        <v>XPFL1</v>
      </c>
      <c r="G1379" s="19" t="s">
        <v>5408</v>
      </c>
      <c r="H1379" s="20" t="s">
        <v>1212</v>
      </c>
      <c r="I1379" s="19" t="s">
        <v>5409</v>
      </c>
      <c r="J1379" s="19" t="s">
        <v>5410</v>
      </c>
      <c r="K1379" s="25" t="s">
        <v>7500</v>
      </c>
      <c r="L1379" s="20" t="s">
        <v>8509</v>
      </c>
      <c r="M1379" s="23" t="s">
        <v>1980</v>
      </c>
      <c r="N1379" s="18"/>
      <c r="O1379" s="18"/>
      <c r="P1379" s="18">
        <f>VLOOKUP($A1379,MasterData!$C$1:$I$3001,1,FALSE)</f>
        <v>9303</v>
      </c>
      <c r="Q1379" s="18" t="str">
        <f t="shared" si="2"/>
        <v>XPFL1</v>
      </c>
    </row>
    <row r="1380" ht="15.75" customHeight="1">
      <c r="A1380" s="31">
        <v>9306.0</v>
      </c>
      <c r="B1380" s="22" t="s">
        <v>1985</v>
      </c>
      <c r="C1380" s="24" t="s">
        <v>8515</v>
      </c>
      <c r="D1380" s="33" t="s">
        <v>1985</v>
      </c>
      <c r="E1380" s="22" t="s">
        <v>1984</v>
      </c>
      <c r="F1380" s="19" t="str">
        <f t="shared" si="1"/>
        <v>XPFL1</v>
      </c>
      <c r="G1380" s="19" t="s">
        <v>5408</v>
      </c>
      <c r="H1380" s="20" t="s">
        <v>1212</v>
      </c>
      <c r="I1380" s="19" t="s">
        <v>5409</v>
      </c>
      <c r="J1380" s="19" t="s">
        <v>5410</v>
      </c>
      <c r="K1380" s="25" t="s">
        <v>7500</v>
      </c>
      <c r="L1380" s="20" t="s">
        <v>8509</v>
      </c>
      <c r="M1380" s="23" t="s">
        <v>1983</v>
      </c>
      <c r="N1380" s="18"/>
      <c r="O1380" s="18"/>
      <c r="P1380" s="18">
        <f>VLOOKUP($A1380,MasterData!$C$1:$I$3001,1,FALSE)</f>
        <v>9306</v>
      </c>
      <c r="Q1380" s="18" t="str">
        <f t="shared" si="2"/>
        <v>XPFL1</v>
      </c>
    </row>
    <row r="1381" ht="15.75" customHeight="1">
      <c r="A1381" s="31">
        <v>9359.0</v>
      </c>
      <c r="B1381" s="22" t="s">
        <v>1988</v>
      </c>
      <c r="C1381" s="24" t="s">
        <v>8516</v>
      </c>
      <c r="D1381" s="33" t="s">
        <v>1988</v>
      </c>
      <c r="E1381" s="22" t="s">
        <v>1987</v>
      </c>
      <c r="F1381" s="19" t="str">
        <f t="shared" si="1"/>
        <v>XPFL1</v>
      </c>
      <c r="G1381" s="19" t="s">
        <v>5408</v>
      </c>
      <c r="H1381" s="20" t="s">
        <v>1212</v>
      </c>
      <c r="I1381" s="19" t="s">
        <v>5409</v>
      </c>
      <c r="J1381" s="19" t="s">
        <v>5410</v>
      </c>
      <c r="K1381" s="25" t="s">
        <v>7500</v>
      </c>
      <c r="L1381" s="20" t="s">
        <v>8509</v>
      </c>
      <c r="M1381" s="23" t="s">
        <v>1986</v>
      </c>
      <c r="N1381" s="18"/>
      <c r="O1381" s="18"/>
      <c r="P1381" s="18">
        <f>VLOOKUP($A1381,MasterData!$C$1:$I$3001,1,FALSE)</f>
        <v>9359</v>
      </c>
      <c r="Q1381" s="18" t="str">
        <f t="shared" si="2"/>
        <v>XPFL1</v>
      </c>
    </row>
    <row r="1382" ht="15.75" customHeight="1">
      <c r="A1382" s="31">
        <v>9404.0</v>
      </c>
      <c r="B1382" s="22" t="s">
        <v>1991</v>
      </c>
      <c r="C1382" s="24" t="s">
        <v>8517</v>
      </c>
      <c r="D1382" s="33" t="s">
        <v>1991</v>
      </c>
      <c r="E1382" s="22" t="s">
        <v>1990</v>
      </c>
      <c r="F1382" s="19" t="str">
        <f t="shared" si="1"/>
        <v>XPFL1</v>
      </c>
      <c r="G1382" s="19" t="s">
        <v>5408</v>
      </c>
      <c r="H1382" s="20" t="s">
        <v>1212</v>
      </c>
      <c r="I1382" s="19" t="s">
        <v>5409</v>
      </c>
      <c r="J1382" s="19" t="s">
        <v>5410</v>
      </c>
      <c r="K1382" s="25" t="s">
        <v>7500</v>
      </c>
      <c r="L1382" s="20" t="s">
        <v>8509</v>
      </c>
      <c r="M1382" s="23" t="s">
        <v>1989</v>
      </c>
      <c r="N1382" s="18"/>
      <c r="O1382" s="18"/>
      <c r="P1382" s="18">
        <f>VLOOKUP($A1382,MasterData!$C$1:$I$3001,1,FALSE)</f>
        <v>9404</v>
      </c>
      <c r="Q1382" s="18" t="str">
        <f t="shared" si="2"/>
        <v>XPFL1</v>
      </c>
    </row>
    <row r="1383" ht="15.75" customHeight="1">
      <c r="A1383" s="15">
        <v>8826.0</v>
      </c>
      <c r="B1383" s="16" t="s">
        <v>1994</v>
      </c>
      <c r="C1383" s="17" t="s">
        <v>8518</v>
      </c>
      <c r="D1383" s="16" t="s">
        <v>1994</v>
      </c>
      <c r="E1383" s="18" t="s">
        <v>1993</v>
      </c>
      <c r="F1383" s="19" t="str">
        <f t="shared" si="1"/>
        <v>XPFL1</v>
      </c>
      <c r="G1383" s="19" t="s">
        <v>5408</v>
      </c>
      <c r="H1383" s="20" t="s">
        <v>1212</v>
      </c>
      <c r="I1383" s="19" t="s">
        <v>5409</v>
      </c>
      <c r="J1383" s="19" t="s">
        <v>5410</v>
      </c>
      <c r="K1383" s="21" t="s">
        <v>5411</v>
      </c>
      <c r="L1383" s="20" t="s">
        <v>8509</v>
      </c>
      <c r="M1383" s="16" t="s">
        <v>1992</v>
      </c>
      <c r="N1383" s="18"/>
      <c r="O1383" s="18"/>
      <c r="P1383" s="18">
        <f>VLOOKUP($A1383,MasterData!$C$1:$I$3001,1,FALSE)</f>
        <v>8826</v>
      </c>
      <c r="Q1383" s="18" t="str">
        <f t="shared" si="2"/>
        <v>XPFL1</v>
      </c>
    </row>
    <row r="1384" ht="15.75" customHeight="1">
      <c r="A1384" s="31">
        <v>9446.0</v>
      </c>
      <c r="B1384" s="22" t="s">
        <v>1997</v>
      </c>
      <c r="C1384" s="24" t="s">
        <v>8519</v>
      </c>
      <c r="D1384" s="33" t="s">
        <v>1997</v>
      </c>
      <c r="E1384" s="22" t="s">
        <v>1996</v>
      </c>
      <c r="F1384" s="19" t="str">
        <f t="shared" si="1"/>
        <v>XPFL1</v>
      </c>
      <c r="G1384" s="19" t="s">
        <v>5408</v>
      </c>
      <c r="H1384" s="20" t="s">
        <v>1212</v>
      </c>
      <c r="I1384" s="19" t="s">
        <v>5409</v>
      </c>
      <c r="J1384" s="19" t="s">
        <v>5410</v>
      </c>
      <c r="K1384" s="25" t="s">
        <v>7500</v>
      </c>
      <c r="L1384" s="20" t="s">
        <v>8509</v>
      </c>
      <c r="M1384" s="23" t="s">
        <v>1995</v>
      </c>
      <c r="N1384" s="18"/>
      <c r="O1384" s="18"/>
      <c r="P1384" s="18">
        <f>VLOOKUP($A1384,MasterData!$C$1:$I$3001,1,FALSE)</f>
        <v>9446</v>
      </c>
      <c r="Q1384" s="18" t="str">
        <f t="shared" si="2"/>
        <v>XPFL1</v>
      </c>
    </row>
    <row r="1385" ht="15.75" customHeight="1">
      <c r="A1385" s="31">
        <v>9455.0</v>
      </c>
      <c r="B1385" s="22" t="s">
        <v>2000</v>
      </c>
      <c r="C1385" s="24" t="s">
        <v>8520</v>
      </c>
      <c r="D1385" s="33" t="s">
        <v>2000</v>
      </c>
      <c r="E1385" s="22" t="s">
        <v>1999</v>
      </c>
      <c r="F1385" s="19" t="str">
        <f t="shared" si="1"/>
        <v>XPFL1</v>
      </c>
      <c r="G1385" s="19" t="s">
        <v>5408</v>
      </c>
      <c r="H1385" s="20" t="s">
        <v>1212</v>
      </c>
      <c r="I1385" s="19" t="s">
        <v>5409</v>
      </c>
      <c r="J1385" s="19" t="s">
        <v>5410</v>
      </c>
      <c r="K1385" s="25" t="s">
        <v>7500</v>
      </c>
      <c r="L1385" s="20" t="s">
        <v>8509</v>
      </c>
      <c r="M1385" s="23" t="s">
        <v>1998</v>
      </c>
      <c r="N1385" s="18"/>
      <c r="O1385" s="18"/>
      <c r="P1385" s="18">
        <f>VLOOKUP($A1385,MasterData!$C$1:$I$3001,1,FALSE)</f>
        <v>9455</v>
      </c>
      <c r="Q1385" s="18" t="str">
        <f t="shared" si="2"/>
        <v>XPFL1</v>
      </c>
    </row>
    <row r="1386" ht="15.75" customHeight="1">
      <c r="A1386" s="31">
        <v>9468.0</v>
      </c>
      <c r="B1386" s="22" t="s">
        <v>2003</v>
      </c>
      <c r="C1386" s="24" t="s">
        <v>8521</v>
      </c>
      <c r="D1386" s="33" t="s">
        <v>2003</v>
      </c>
      <c r="E1386" s="22" t="s">
        <v>2002</v>
      </c>
      <c r="F1386" s="19" t="str">
        <f t="shared" si="1"/>
        <v>XPFL1</v>
      </c>
      <c r="G1386" s="19" t="s">
        <v>5408</v>
      </c>
      <c r="H1386" s="20" t="s">
        <v>1212</v>
      </c>
      <c r="I1386" s="19" t="s">
        <v>5409</v>
      </c>
      <c r="J1386" s="19" t="s">
        <v>5410</v>
      </c>
      <c r="K1386" s="25" t="s">
        <v>7500</v>
      </c>
      <c r="L1386" s="20" t="s">
        <v>8509</v>
      </c>
      <c r="M1386" s="23" t="s">
        <v>2001</v>
      </c>
      <c r="N1386" s="18"/>
      <c r="O1386" s="18"/>
      <c r="P1386" s="18">
        <f>VLOOKUP($A1386,MasterData!$C$1:$I$3001,1,FALSE)</f>
        <v>9468</v>
      </c>
      <c r="Q1386" s="18" t="str">
        <f t="shared" si="2"/>
        <v>XPFL1</v>
      </c>
    </row>
    <row r="1387" ht="15.75" customHeight="1">
      <c r="A1387" s="31">
        <v>9516.0</v>
      </c>
      <c r="B1387" s="22" t="s">
        <v>2006</v>
      </c>
      <c r="C1387" s="24" t="s">
        <v>8522</v>
      </c>
      <c r="D1387" s="33" t="s">
        <v>2006</v>
      </c>
      <c r="E1387" s="22" t="s">
        <v>2005</v>
      </c>
      <c r="F1387" s="19" t="str">
        <f t="shared" si="1"/>
        <v>XPFL1</v>
      </c>
      <c r="G1387" s="19" t="s">
        <v>5408</v>
      </c>
      <c r="H1387" s="20" t="s">
        <v>1212</v>
      </c>
      <c r="I1387" s="19" t="s">
        <v>5409</v>
      </c>
      <c r="J1387" s="19" t="s">
        <v>5410</v>
      </c>
      <c r="K1387" s="25" t="s">
        <v>7500</v>
      </c>
      <c r="L1387" s="20" t="s">
        <v>8509</v>
      </c>
      <c r="M1387" s="23" t="s">
        <v>2004</v>
      </c>
      <c r="N1387" s="18"/>
      <c r="O1387" s="18"/>
      <c r="P1387" s="18">
        <f>VLOOKUP($A1387,MasterData!$C$1:$I$3001,1,FALSE)</f>
        <v>9516</v>
      </c>
      <c r="Q1387" s="18" t="str">
        <f t="shared" si="2"/>
        <v>XPFL1</v>
      </c>
    </row>
    <row r="1388" ht="15.75" customHeight="1">
      <c r="A1388" s="31">
        <v>9520.0</v>
      </c>
      <c r="B1388" s="22" t="s">
        <v>2009</v>
      </c>
      <c r="C1388" s="24" t="s">
        <v>8523</v>
      </c>
      <c r="D1388" s="33" t="s">
        <v>2009</v>
      </c>
      <c r="E1388" s="22" t="s">
        <v>2008</v>
      </c>
      <c r="F1388" s="19" t="str">
        <f t="shared" si="1"/>
        <v>XPFL1</v>
      </c>
      <c r="G1388" s="19" t="s">
        <v>5408</v>
      </c>
      <c r="H1388" s="20" t="s">
        <v>1212</v>
      </c>
      <c r="I1388" s="19" t="s">
        <v>5409</v>
      </c>
      <c r="J1388" s="19" t="s">
        <v>5410</v>
      </c>
      <c r="K1388" s="25" t="s">
        <v>7500</v>
      </c>
      <c r="L1388" s="20" t="s">
        <v>8509</v>
      </c>
      <c r="M1388" s="23" t="s">
        <v>2007</v>
      </c>
      <c r="N1388" s="18"/>
      <c r="O1388" s="18"/>
      <c r="P1388" s="18">
        <f>VLOOKUP($A1388,MasterData!$C$1:$I$3001,1,FALSE)</f>
        <v>9520</v>
      </c>
      <c r="Q1388" s="18" t="str">
        <f t="shared" si="2"/>
        <v>XPFL1</v>
      </c>
    </row>
    <row r="1389" ht="15.75" customHeight="1">
      <c r="A1389" s="31">
        <v>9521.0</v>
      </c>
      <c r="B1389" s="22" t="s">
        <v>2012</v>
      </c>
      <c r="C1389" s="24" t="s">
        <v>8524</v>
      </c>
      <c r="D1389" s="33" t="s">
        <v>2012</v>
      </c>
      <c r="E1389" s="22" t="s">
        <v>2011</v>
      </c>
      <c r="F1389" s="19" t="str">
        <f t="shared" si="1"/>
        <v>XPFL1</v>
      </c>
      <c r="G1389" s="19" t="s">
        <v>5408</v>
      </c>
      <c r="H1389" s="20" t="s">
        <v>1212</v>
      </c>
      <c r="I1389" s="19" t="s">
        <v>5409</v>
      </c>
      <c r="J1389" s="19" t="s">
        <v>5410</v>
      </c>
      <c r="K1389" s="25" t="s">
        <v>7500</v>
      </c>
      <c r="L1389" s="20" t="s">
        <v>8509</v>
      </c>
      <c r="M1389" s="23" t="s">
        <v>2010</v>
      </c>
      <c r="N1389" s="18"/>
      <c r="O1389" s="18"/>
      <c r="P1389" s="18">
        <f>VLOOKUP($A1389,MasterData!$C$1:$I$3001,1,FALSE)</f>
        <v>9521</v>
      </c>
      <c r="Q1389" s="18" t="str">
        <f t="shared" si="2"/>
        <v>XPFL1</v>
      </c>
    </row>
    <row r="1390" ht="15.75" customHeight="1">
      <c r="A1390" s="31">
        <v>9525.0</v>
      </c>
      <c r="B1390" s="22" t="s">
        <v>2015</v>
      </c>
      <c r="C1390" s="24" t="s">
        <v>8525</v>
      </c>
      <c r="D1390" s="33" t="s">
        <v>2015</v>
      </c>
      <c r="E1390" s="22" t="s">
        <v>2014</v>
      </c>
      <c r="F1390" s="19" t="str">
        <f t="shared" si="1"/>
        <v>XPFL1</v>
      </c>
      <c r="G1390" s="19" t="s">
        <v>5408</v>
      </c>
      <c r="H1390" s="20" t="s">
        <v>1212</v>
      </c>
      <c r="I1390" s="19" t="s">
        <v>5409</v>
      </c>
      <c r="J1390" s="19" t="s">
        <v>5410</v>
      </c>
      <c r="K1390" s="25" t="s">
        <v>7500</v>
      </c>
      <c r="L1390" s="20" t="s">
        <v>8509</v>
      </c>
      <c r="M1390" s="23" t="s">
        <v>2013</v>
      </c>
      <c r="N1390" s="18"/>
      <c r="O1390" s="18"/>
      <c r="P1390" s="18">
        <f>VLOOKUP($A1390,MasterData!$C$1:$I$3001,1,FALSE)</f>
        <v>9525</v>
      </c>
      <c r="Q1390" s="18" t="str">
        <f t="shared" si="2"/>
        <v>XPFL1</v>
      </c>
    </row>
    <row r="1391" ht="15.75" customHeight="1">
      <c r="A1391" s="31">
        <v>9585.0</v>
      </c>
      <c r="B1391" s="22" t="s">
        <v>2018</v>
      </c>
      <c r="C1391" s="24" t="s">
        <v>8526</v>
      </c>
      <c r="D1391" s="33" t="s">
        <v>2018</v>
      </c>
      <c r="E1391" s="22" t="s">
        <v>2017</v>
      </c>
      <c r="F1391" s="19" t="str">
        <f t="shared" si="1"/>
        <v>XPFL1</v>
      </c>
      <c r="G1391" s="19" t="s">
        <v>5408</v>
      </c>
      <c r="H1391" s="20" t="s">
        <v>1212</v>
      </c>
      <c r="I1391" s="19" t="s">
        <v>5409</v>
      </c>
      <c r="J1391" s="19" t="s">
        <v>5410</v>
      </c>
      <c r="K1391" s="25" t="s">
        <v>7500</v>
      </c>
      <c r="L1391" s="20" t="s">
        <v>8509</v>
      </c>
      <c r="M1391" s="23" t="s">
        <v>2016</v>
      </c>
      <c r="N1391" s="18"/>
      <c r="O1391" s="18"/>
      <c r="P1391" s="18">
        <f>VLOOKUP($A1391,MasterData!$C$1:$I$3001,1,FALSE)</f>
        <v>9585</v>
      </c>
      <c r="Q1391" s="18" t="str">
        <f t="shared" si="2"/>
        <v>XPFL1</v>
      </c>
    </row>
    <row r="1392" ht="15.75" customHeight="1">
      <c r="A1392" s="31">
        <v>9608.0</v>
      </c>
      <c r="B1392" s="22" t="s">
        <v>2021</v>
      </c>
      <c r="C1392" s="24" t="s">
        <v>8527</v>
      </c>
      <c r="D1392" s="33" t="s">
        <v>2021</v>
      </c>
      <c r="E1392" s="22" t="s">
        <v>2020</v>
      </c>
      <c r="F1392" s="19" t="str">
        <f t="shared" si="1"/>
        <v>XPFL1</v>
      </c>
      <c r="G1392" s="19" t="s">
        <v>5408</v>
      </c>
      <c r="H1392" s="20" t="s">
        <v>1212</v>
      </c>
      <c r="I1392" s="19" t="s">
        <v>5409</v>
      </c>
      <c r="J1392" s="19" t="s">
        <v>5410</v>
      </c>
      <c r="K1392" s="25" t="s">
        <v>7500</v>
      </c>
      <c r="L1392" s="20" t="s">
        <v>8509</v>
      </c>
      <c r="M1392" s="23" t="s">
        <v>2019</v>
      </c>
      <c r="N1392" s="18"/>
      <c r="O1392" s="18"/>
      <c r="P1392" s="18">
        <f>VLOOKUP($A1392,MasterData!$C$1:$I$3001,1,FALSE)</f>
        <v>9608</v>
      </c>
      <c r="Q1392" s="18" t="str">
        <f t="shared" si="2"/>
        <v>XPFL1</v>
      </c>
    </row>
    <row r="1393" ht="15.75" customHeight="1">
      <c r="A1393" s="31">
        <v>9611.0</v>
      </c>
      <c r="B1393" s="22" t="s">
        <v>2024</v>
      </c>
      <c r="C1393" s="24" t="s">
        <v>8528</v>
      </c>
      <c r="D1393" s="33" t="s">
        <v>2024</v>
      </c>
      <c r="E1393" s="22" t="s">
        <v>2023</v>
      </c>
      <c r="F1393" s="19" t="str">
        <f t="shared" si="1"/>
        <v>XPFL1</v>
      </c>
      <c r="G1393" s="19" t="s">
        <v>5408</v>
      </c>
      <c r="H1393" s="20" t="s">
        <v>1212</v>
      </c>
      <c r="I1393" s="19" t="s">
        <v>5409</v>
      </c>
      <c r="J1393" s="19" t="s">
        <v>5410</v>
      </c>
      <c r="K1393" s="25" t="s">
        <v>7500</v>
      </c>
      <c r="L1393" s="20" t="s">
        <v>8509</v>
      </c>
      <c r="M1393" s="23" t="s">
        <v>2022</v>
      </c>
      <c r="N1393" s="18"/>
      <c r="O1393" s="18"/>
      <c r="P1393" s="18">
        <f>VLOOKUP($A1393,MasterData!$C$1:$I$3001,1,FALSE)</f>
        <v>9611</v>
      </c>
      <c r="Q1393" s="18" t="str">
        <f t="shared" si="2"/>
        <v>XPFL1</v>
      </c>
    </row>
    <row r="1394" ht="15.75" customHeight="1">
      <c r="A1394" s="31">
        <v>9635.0</v>
      </c>
      <c r="B1394" s="22" t="s">
        <v>2027</v>
      </c>
      <c r="C1394" s="24" t="s">
        <v>8529</v>
      </c>
      <c r="D1394" s="33" t="s">
        <v>2027</v>
      </c>
      <c r="E1394" s="22" t="s">
        <v>2026</v>
      </c>
      <c r="F1394" s="19" t="str">
        <f t="shared" si="1"/>
        <v>XPFL1</v>
      </c>
      <c r="G1394" s="19" t="s">
        <v>5408</v>
      </c>
      <c r="H1394" s="20" t="s">
        <v>1212</v>
      </c>
      <c r="I1394" s="19" t="s">
        <v>5409</v>
      </c>
      <c r="J1394" s="19" t="s">
        <v>5410</v>
      </c>
      <c r="K1394" s="25" t="s">
        <v>7500</v>
      </c>
      <c r="L1394" s="20" t="s">
        <v>8509</v>
      </c>
      <c r="M1394" s="23" t="s">
        <v>2025</v>
      </c>
      <c r="N1394" s="18"/>
      <c r="O1394" s="18"/>
      <c r="P1394" s="18">
        <f>VLOOKUP($A1394,MasterData!$C$1:$I$3001,1,FALSE)</f>
        <v>9635</v>
      </c>
      <c r="Q1394" s="18" t="str">
        <f t="shared" si="2"/>
        <v>XPFL1</v>
      </c>
    </row>
    <row r="1395" ht="15.75" customHeight="1">
      <c r="A1395" s="31">
        <v>9652.0</v>
      </c>
      <c r="B1395" s="22" t="s">
        <v>2030</v>
      </c>
      <c r="C1395" s="24" t="s">
        <v>8530</v>
      </c>
      <c r="D1395" s="33" t="s">
        <v>2030</v>
      </c>
      <c r="E1395" s="22" t="s">
        <v>2029</v>
      </c>
      <c r="F1395" s="19" t="str">
        <f t="shared" si="1"/>
        <v>XPFL1</v>
      </c>
      <c r="G1395" s="19" t="s">
        <v>5408</v>
      </c>
      <c r="H1395" s="20" t="s">
        <v>1212</v>
      </c>
      <c r="I1395" s="19" t="s">
        <v>5409</v>
      </c>
      <c r="J1395" s="19" t="s">
        <v>5410</v>
      </c>
      <c r="K1395" s="25" t="s">
        <v>7500</v>
      </c>
      <c r="L1395" s="20" t="s">
        <v>8509</v>
      </c>
      <c r="M1395" s="23" t="s">
        <v>2028</v>
      </c>
      <c r="N1395" s="18"/>
      <c r="O1395" s="18"/>
      <c r="P1395" s="18">
        <f>VLOOKUP($A1395,MasterData!$C$1:$I$3001,1,FALSE)</f>
        <v>9652</v>
      </c>
      <c r="Q1395" s="18" t="str">
        <f t="shared" si="2"/>
        <v>XPFL1</v>
      </c>
    </row>
    <row r="1396" ht="15.75" customHeight="1">
      <c r="A1396" s="31">
        <v>9653.0</v>
      </c>
      <c r="B1396" s="22" t="s">
        <v>2033</v>
      </c>
      <c r="C1396" s="24" t="s">
        <v>8531</v>
      </c>
      <c r="D1396" s="33" t="s">
        <v>2033</v>
      </c>
      <c r="E1396" s="22" t="s">
        <v>2032</v>
      </c>
      <c r="F1396" s="19" t="str">
        <f t="shared" si="1"/>
        <v>XPFL1</v>
      </c>
      <c r="G1396" s="19" t="s">
        <v>5408</v>
      </c>
      <c r="H1396" s="20" t="s">
        <v>1212</v>
      </c>
      <c r="I1396" s="19" t="s">
        <v>5409</v>
      </c>
      <c r="J1396" s="19" t="s">
        <v>5410</v>
      </c>
      <c r="K1396" s="25" t="s">
        <v>7500</v>
      </c>
      <c r="L1396" s="20" t="s">
        <v>8509</v>
      </c>
      <c r="M1396" s="23" t="s">
        <v>2031</v>
      </c>
      <c r="N1396" s="18"/>
      <c r="O1396" s="18"/>
      <c r="P1396" s="18">
        <f>VLOOKUP($A1396,MasterData!$C$1:$I$3001,1,FALSE)</f>
        <v>9653</v>
      </c>
      <c r="Q1396" s="18" t="str">
        <f t="shared" si="2"/>
        <v>XPFL1</v>
      </c>
    </row>
    <row r="1397" ht="15.75" customHeight="1">
      <c r="A1397" s="31">
        <v>9662.0</v>
      </c>
      <c r="B1397" s="22" t="s">
        <v>2036</v>
      </c>
      <c r="C1397" s="24" t="s">
        <v>8532</v>
      </c>
      <c r="D1397" s="33" t="s">
        <v>2036</v>
      </c>
      <c r="E1397" s="22" t="s">
        <v>2035</v>
      </c>
      <c r="F1397" s="19" t="str">
        <f t="shared" si="1"/>
        <v>XPFL1</v>
      </c>
      <c r="G1397" s="19" t="s">
        <v>5408</v>
      </c>
      <c r="H1397" s="20" t="s">
        <v>1212</v>
      </c>
      <c r="I1397" s="19" t="s">
        <v>5409</v>
      </c>
      <c r="J1397" s="19" t="s">
        <v>5410</v>
      </c>
      <c r="K1397" s="25" t="s">
        <v>7500</v>
      </c>
      <c r="L1397" s="20" t="s">
        <v>8509</v>
      </c>
      <c r="M1397" s="23" t="s">
        <v>2034</v>
      </c>
      <c r="N1397" s="18"/>
      <c r="O1397" s="18"/>
      <c r="P1397" s="18">
        <f>VLOOKUP($A1397,MasterData!$C$1:$I$3001,1,FALSE)</f>
        <v>9662</v>
      </c>
      <c r="Q1397" s="18" t="str">
        <f t="shared" si="2"/>
        <v>XPFL1</v>
      </c>
    </row>
    <row r="1398" ht="15.75" customHeight="1">
      <c r="A1398" s="31">
        <v>9722.0</v>
      </c>
      <c r="B1398" s="22" t="s">
        <v>2039</v>
      </c>
      <c r="C1398" s="24" t="s">
        <v>8533</v>
      </c>
      <c r="D1398" s="33" t="s">
        <v>2039</v>
      </c>
      <c r="E1398" s="22" t="s">
        <v>2038</v>
      </c>
      <c r="F1398" s="19" t="str">
        <f t="shared" si="1"/>
        <v>XPFL1</v>
      </c>
      <c r="G1398" s="19" t="s">
        <v>5408</v>
      </c>
      <c r="H1398" s="20" t="s">
        <v>1212</v>
      </c>
      <c r="I1398" s="19" t="s">
        <v>5409</v>
      </c>
      <c r="J1398" s="19" t="s">
        <v>5410</v>
      </c>
      <c r="K1398" s="25" t="s">
        <v>7500</v>
      </c>
      <c r="L1398" s="20" t="s">
        <v>8509</v>
      </c>
      <c r="M1398" s="23" t="s">
        <v>2037</v>
      </c>
      <c r="N1398" s="18"/>
      <c r="O1398" s="18"/>
      <c r="P1398" s="18">
        <f>VLOOKUP($A1398,MasterData!$C$1:$I$3001,1,FALSE)</f>
        <v>9722</v>
      </c>
      <c r="Q1398" s="18" t="str">
        <f t="shared" si="2"/>
        <v>XPFL1</v>
      </c>
    </row>
    <row r="1399" ht="15.75" customHeight="1">
      <c r="A1399" s="31">
        <v>9723.0</v>
      </c>
      <c r="B1399" s="22" t="s">
        <v>2042</v>
      </c>
      <c r="C1399" s="24" t="s">
        <v>8534</v>
      </c>
      <c r="D1399" s="33" t="s">
        <v>2042</v>
      </c>
      <c r="E1399" s="22" t="s">
        <v>2041</v>
      </c>
      <c r="F1399" s="19" t="str">
        <f t="shared" si="1"/>
        <v>XPFL1</v>
      </c>
      <c r="G1399" s="19" t="s">
        <v>5408</v>
      </c>
      <c r="H1399" s="20" t="s">
        <v>1212</v>
      </c>
      <c r="I1399" s="19" t="s">
        <v>5409</v>
      </c>
      <c r="J1399" s="19" t="s">
        <v>5410</v>
      </c>
      <c r="K1399" s="25" t="s">
        <v>7500</v>
      </c>
      <c r="L1399" s="20" t="s">
        <v>8509</v>
      </c>
      <c r="M1399" s="23" t="s">
        <v>2040</v>
      </c>
      <c r="N1399" s="18"/>
      <c r="O1399" s="18"/>
      <c r="P1399" s="18">
        <f>VLOOKUP($A1399,MasterData!$C$1:$I$3001,1,FALSE)</f>
        <v>9723</v>
      </c>
      <c r="Q1399" s="18" t="str">
        <f t="shared" si="2"/>
        <v>XPFL1</v>
      </c>
    </row>
    <row r="1400" ht="15.75" customHeight="1">
      <c r="A1400" s="31">
        <v>9727.0</v>
      </c>
      <c r="B1400" s="22" t="s">
        <v>2045</v>
      </c>
      <c r="C1400" s="24" t="s">
        <v>8535</v>
      </c>
      <c r="D1400" s="33" t="s">
        <v>2045</v>
      </c>
      <c r="E1400" s="22" t="s">
        <v>2044</v>
      </c>
      <c r="F1400" s="19" t="str">
        <f t="shared" si="1"/>
        <v>XPFL1</v>
      </c>
      <c r="G1400" s="19" t="s">
        <v>5408</v>
      </c>
      <c r="H1400" s="20" t="s">
        <v>1212</v>
      </c>
      <c r="I1400" s="19" t="s">
        <v>5409</v>
      </c>
      <c r="J1400" s="19" t="s">
        <v>5410</v>
      </c>
      <c r="K1400" s="25" t="s">
        <v>7500</v>
      </c>
      <c r="L1400" s="20" t="s">
        <v>8509</v>
      </c>
      <c r="M1400" s="23" t="s">
        <v>2043</v>
      </c>
      <c r="N1400" s="18"/>
      <c r="O1400" s="18"/>
      <c r="P1400" s="18">
        <f>VLOOKUP($A1400,MasterData!$C$1:$I$3001,1,FALSE)</f>
        <v>9727</v>
      </c>
      <c r="Q1400" s="18" t="str">
        <f t="shared" si="2"/>
        <v>XPFL1</v>
      </c>
    </row>
    <row r="1401" ht="15.75" customHeight="1">
      <c r="A1401" s="31">
        <v>9771.0</v>
      </c>
      <c r="B1401" s="22" t="s">
        <v>2048</v>
      </c>
      <c r="C1401" s="24" t="s">
        <v>8536</v>
      </c>
      <c r="D1401" s="33" t="s">
        <v>2048</v>
      </c>
      <c r="E1401" s="22" t="s">
        <v>2047</v>
      </c>
      <c r="F1401" s="19" t="str">
        <f t="shared" si="1"/>
        <v>XPFL1</v>
      </c>
      <c r="G1401" s="19" t="s">
        <v>5408</v>
      </c>
      <c r="H1401" s="20" t="s">
        <v>1212</v>
      </c>
      <c r="I1401" s="19" t="s">
        <v>5409</v>
      </c>
      <c r="J1401" s="19" t="s">
        <v>5410</v>
      </c>
      <c r="K1401" s="25" t="s">
        <v>7500</v>
      </c>
      <c r="L1401" s="20" t="s">
        <v>8509</v>
      </c>
      <c r="M1401" s="23" t="s">
        <v>2046</v>
      </c>
      <c r="N1401" s="18"/>
      <c r="O1401" s="18"/>
      <c r="P1401" s="18">
        <f>VLOOKUP($A1401,MasterData!$C$1:$I$3001,1,FALSE)</f>
        <v>9771</v>
      </c>
      <c r="Q1401" s="18" t="str">
        <f t="shared" si="2"/>
        <v>XPFL1</v>
      </c>
    </row>
    <row r="1402" ht="15.75" customHeight="1">
      <c r="A1402" s="31">
        <v>9799.0</v>
      </c>
      <c r="B1402" s="22" t="s">
        <v>2051</v>
      </c>
      <c r="C1402" s="24" t="s">
        <v>8537</v>
      </c>
      <c r="D1402" s="33" t="s">
        <v>2051</v>
      </c>
      <c r="E1402" s="22" t="s">
        <v>2050</v>
      </c>
      <c r="F1402" s="19" t="str">
        <f t="shared" si="1"/>
        <v>XPFL1</v>
      </c>
      <c r="G1402" s="19" t="s">
        <v>5408</v>
      </c>
      <c r="H1402" s="20" t="s">
        <v>1212</v>
      </c>
      <c r="I1402" s="19" t="s">
        <v>5409</v>
      </c>
      <c r="J1402" s="19" t="s">
        <v>5410</v>
      </c>
      <c r="K1402" s="25" t="s">
        <v>7500</v>
      </c>
      <c r="L1402" s="20" t="s">
        <v>8509</v>
      </c>
      <c r="M1402" s="23" t="s">
        <v>2049</v>
      </c>
      <c r="N1402" s="18"/>
      <c r="O1402" s="18"/>
      <c r="P1402" s="18">
        <f>VLOOKUP($A1402,MasterData!$C$1:$I$3001,1,FALSE)</f>
        <v>9799</v>
      </c>
      <c r="Q1402" s="18" t="str">
        <f t="shared" si="2"/>
        <v>XPFL1</v>
      </c>
    </row>
    <row r="1403" ht="15.75" customHeight="1">
      <c r="A1403" s="31">
        <v>9814.0</v>
      </c>
      <c r="B1403" s="22" t="s">
        <v>2054</v>
      </c>
      <c r="C1403" s="24" t="s">
        <v>8538</v>
      </c>
      <c r="D1403" s="33" t="s">
        <v>2054</v>
      </c>
      <c r="E1403" s="22" t="s">
        <v>2053</v>
      </c>
      <c r="F1403" s="19" t="str">
        <f t="shared" si="1"/>
        <v>XPFL1</v>
      </c>
      <c r="G1403" s="19" t="s">
        <v>5408</v>
      </c>
      <c r="H1403" s="20" t="s">
        <v>1212</v>
      </c>
      <c r="I1403" s="19" t="s">
        <v>5409</v>
      </c>
      <c r="J1403" s="19" t="s">
        <v>5410</v>
      </c>
      <c r="K1403" s="25" t="s">
        <v>7500</v>
      </c>
      <c r="L1403" s="20" t="s">
        <v>8509</v>
      </c>
      <c r="M1403" s="23" t="s">
        <v>2052</v>
      </c>
      <c r="N1403" s="18"/>
      <c r="O1403" s="18"/>
      <c r="P1403" s="18">
        <f>VLOOKUP($A1403,MasterData!$C$1:$I$3001,1,FALSE)</f>
        <v>9814</v>
      </c>
      <c r="Q1403" s="18" t="str">
        <f t="shared" si="2"/>
        <v>XPFL1</v>
      </c>
    </row>
    <row r="1404" ht="15.75" customHeight="1">
      <c r="A1404" s="31">
        <v>9823.0</v>
      </c>
      <c r="B1404" s="22" t="s">
        <v>2057</v>
      </c>
      <c r="C1404" s="24" t="s">
        <v>8539</v>
      </c>
      <c r="D1404" s="33" t="s">
        <v>2057</v>
      </c>
      <c r="E1404" s="22" t="s">
        <v>2056</v>
      </c>
      <c r="F1404" s="19" t="str">
        <f t="shared" si="1"/>
        <v>XPFL1</v>
      </c>
      <c r="G1404" s="19" t="s">
        <v>5408</v>
      </c>
      <c r="H1404" s="20" t="s">
        <v>1212</v>
      </c>
      <c r="I1404" s="19" t="s">
        <v>5409</v>
      </c>
      <c r="J1404" s="19" t="s">
        <v>5410</v>
      </c>
      <c r="K1404" s="25" t="s">
        <v>7500</v>
      </c>
      <c r="L1404" s="20" t="s">
        <v>8509</v>
      </c>
      <c r="M1404" s="23" t="s">
        <v>2055</v>
      </c>
      <c r="N1404" s="18"/>
      <c r="O1404" s="18"/>
      <c r="P1404" s="18">
        <f>VLOOKUP($A1404,MasterData!$C$1:$I$3001,1,FALSE)</f>
        <v>9823</v>
      </c>
      <c r="Q1404" s="18" t="str">
        <f t="shared" si="2"/>
        <v>XPFL1</v>
      </c>
    </row>
    <row r="1405" ht="15.75" customHeight="1">
      <c r="A1405" s="31">
        <v>9833.0</v>
      </c>
      <c r="B1405" s="22" t="s">
        <v>2060</v>
      </c>
      <c r="C1405" s="24" t="s">
        <v>8540</v>
      </c>
      <c r="D1405" s="33" t="s">
        <v>2060</v>
      </c>
      <c r="E1405" s="22" t="s">
        <v>2059</v>
      </c>
      <c r="F1405" s="19" t="str">
        <f t="shared" si="1"/>
        <v>XPFL1</v>
      </c>
      <c r="G1405" s="19" t="s">
        <v>5408</v>
      </c>
      <c r="H1405" s="20" t="s">
        <v>1212</v>
      </c>
      <c r="I1405" s="19" t="s">
        <v>5409</v>
      </c>
      <c r="J1405" s="19" t="s">
        <v>5410</v>
      </c>
      <c r="K1405" s="25" t="s">
        <v>7500</v>
      </c>
      <c r="L1405" s="20" t="s">
        <v>8509</v>
      </c>
      <c r="M1405" s="23" t="s">
        <v>2058</v>
      </c>
      <c r="N1405" s="18"/>
      <c r="O1405" s="18"/>
      <c r="P1405" s="18">
        <f>VLOOKUP($A1405,MasterData!$C$1:$I$3001,1,FALSE)</f>
        <v>9833</v>
      </c>
      <c r="Q1405" s="18" t="str">
        <f t="shared" si="2"/>
        <v>XPFL1</v>
      </c>
    </row>
    <row r="1406" ht="15.75" customHeight="1">
      <c r="A1406" s="31">
        <v>9835.0</v>
      </c>
      <c r="B1406" s="22" t="s">
        <v>2063</v>
      </c>
      <c r="C1406" s="24" t="s">
        <v>8541</v>
      </c>
      <c r="D1406" s="33" t="s">
        <v>2063</v>
      </c>
      <c r="E1406" s="22" t="s">
        <v>2062</v>
      </c>
      <c r="F1406" s="19" t="str">
        <f t="shared" si="1"/>
        <v>XPFL1</v>
      </c>
      <c r="G1406" s="19" t="s">
        <v>5408</v>
      </c>
      <c r="H1406" s="20" t="s">
        <v>1212</v>
      </c>
      <c r="I1406" s="19" t="s">
        <v>5409</v>
      </c>
      <c r="J1406" s="19" t="s">
        <v>5410</v>
      </c>
      <c r="K1406" s="25" t="s">
        <v>7500</v>
      </c>
      <c r="L1406" s="20" t="s">
        <v>8509</v>
      </c>
      <c r="M1406" s="23" t="s">
        <v>2061</v>
      </c>
      <c r="N1406" s="18"/>
      <c r="O1406" s="18"/>
      <c r="P1406" s="18">
        <f>VLOOKUP($A1406,MasterData!$C$1:$I$3001,1,FALSE)</f>
        <v>9835</v>
      </c>
      <c r="Q1406" s="18" t="str">
        <f t="shared" si="2"/>
        <v>XPFL1</v>
      </c>
    </row>
    <row r="1407" ht="15.75" customHeight="1">
      <c r="A1407" s="31">
        <v>9842.0</v>
      </c>
      <c r="B1407" s="22" t="s">
        <v>2066</v>
      </c>
      <c r="C1407" s="24" t="s">
        <v>8542</v>
      </c>
      <c r="D1407" s="33" t="s">
        <v>2066</v>
      </c>
      <c r="E1407" s="22" t="s">
        <v>2065</v>
      </c>
      <c r="F1407" s="19" t="str">
        <f t="shared" si="1"/>
        <v>XPFL1</v>
      </c>
      <c r="G1407" s="19" t="s">
        <v>5408</v>
      </c>
      <c r="H1407" s="20" t="s">
        <v>1212</v>
      </c>
      <c r="I1407" s="19" t="s">
        <v>5409</v>
      </c>
      <c r="J1407" s="19" t="s">
        <v>5410</v>
      </c>
      <c r="K1407" s="25" t="s">
        <v>7500</v>
      </c>
      <c r="L1407" s="20" t="s">
        <v>8509</v>
      </c>
      <c r="M1407" s="23" t="s">
        <v>2064</v>
      </c>
      <c r="N1407" s="18"/>
      <c r="O1407" s="18"/>
      <c r="P1407" s="18">
        <f>VLOOKUP($A1407,MasterData!$C$1:$I$3001,1,FALSE)</f>
        <v>9842</v>
      </c>
      <c r="Q1407" s="18" t="str">
        <f t="shared" si="2"/>
        <v>XPFL1</v>
      </c>
    </row>
    <row r="1408" ht="15.75" customHeight="1">
      <c r="A1408" s="31">
        <v>9846.0</v>
      </c>
      <c r="B1408" s="22" t="s">
        <v>2069</v>
      </c>
      <c r="C1408" s="24" t="s">
        <v>8543</v>
      </c>
      <c r="D1408" s="33" t="s">
        <v>2069</v>
      </c>
      <c r="E1408" s="22" t="s">
        <v>2068</v>
      </c>
      <c r="F1408" s="19" t="str">
        <f t="shared" si="1"/>
        <v>XPFL1</v>
      </c>
      <c r="G1408" s="19" t="s">
        <v>5408</v>
      </c>
      <c r="H1408" s="20" t="s">
        <v>1212</v>
      </c>
      <c r="I1408" s="19" t="s">
        <v>5409</v>
      </c>
      <c r="J1408" s="19" t="s">
        <v>5410</v>
      </c>
      <c r="K1408" s="25" t="s">
        <v>7500</v>
      </c>
      <c r="L1408" s="20" t="s">
        <v>8509</v>
      </c>
      <c r="M1408" s="23" t="s">
        <v>2067</v>
      </c>
      <c r="N1408" s="18"/>
      <c r="O1408" s="18"/>
      <c r="P1408" s="18">
        <f>VLOOKUP($A1408,MasterData!$C$1:$I$3001,1,FALSE)</f>
        <v>9846</v>
      </c>
      <c r="Q1408" s="18" t="str">
        <f t="shared" si="2"/>
        <v>XPFL1</v>
      </c>
    </row>
    <row r="1409" ht="15.75" customHeight="1">
      <c r="A1409" s="31">
        <v>9848.0</v>
      </c>
      <c r="B1409" s="22" t="s">
        <v>2072</v>
      </c>
      <c r="C1409" s="24" t="s">
        <v>8544</v>
      </c>
      <c r="D1409" s="33" t="s">
        <v>2072</v>
      </c>
      <c r="E1409" s="22" t="s">
        <v>2071</v>
      </c>
      <c r="F1409" s="19" t="str">
        <f t="shared" si="1"/>
        <v>XPFL1</v>
      </c>
      <c r="G1409" s="19" t="s">
        <v>5408</v>
      </c>
      <c r="H1409" s="20" t="s">
        <v>1212</v>
      </c>
      <c r="I1409" s="19" t="s">
        <v>5409</v>
      </c>
      <c r="J1409" s="19" t="s">
        <v>5410</v>
      </c>
      <c r="K1409" s="25" t="s">
        <v>7500</v>
      </c>
      <c r="L1409" s="20" t="s">
        <v>8509</v>
      </c>
      <c r="M1409" s="23" t="s">
        <v>2070</v>
      </c>
      <c r="N1409" s="18"/>
      <c r="O1409" s="18"/>
      <c r="P1409" s="18">
        <f>VLOOKUP($A1409,MasterData!$C$1:$I$3001,1,FALSE)</f>
        <v>9848</v>
      </c>
      <c r="Q1409" s="18" t="str">
        <f t="shared" si="2"/>
        <v>XPFL1</v>
      </c>
    </row>
    <row r="1410" ht="15.75" customHeight="1">
      <c r="A1410" s="15">
        <v>8648.0</v>
      </c>
      <c r="B1410" s="16" t="s">
        <v>8545</v>
      </c>
      <c r="C1410" s="17" t="s">
        <v>8546</v>
      </c>
      <c r="D1410" s="16" t="s">
        <v>8545</v>
      </c>
      <c r="E1410" s="18" t="s">
        <v>4082</v>
      </c>
      <c r="F1410" s="19" t="str">
        <f t="shared" si="1"/>
        <v>XIPLG1</v>
      </c>
      <c r="G1410" s="19" t="s">
        <v>5408</v>
      </c>
      <c r="H1410" s="20" t="s">
        <v>3045</v>
      </c>
      <c r="I1410" s="19" t="s">
        <v>5409</v>
      </c>
      <c r="J1410" s="19" t="s">
        <v>5410</v>
      </c>
      <c r="K1410" s="21" t="s">
        <v>5411</v>
      </c>
      <c r="L1410" s="19" t="s">
        <v>7002</v>
      </c>
      <c r="M1410" s="16" t="s">
        <v>4081</v>
      </c>
      <c r="N1410" s="18"/>
      <c r="O1410" s="18"/>
      <c r="P1410" s="18">
        <f>VLOOKUP($A1410,MasterData!$C$1:$I$3001,1,FALSE)</f>
        <v>8648</v>
      </c>
      <c r="Q1410" s="18" t="str">
        <f t="shared" si="2"/>
        <v>XIPLG1</v>
      </c>
    </row>
    <row r="1411" ht="15.75" customHeight="1">
      <c r="A1411" s="15">
        <v>8689.0</v>
      </c>
      <c r="B1411" s="16" t="s">
        <v>8547</v>
      </c>
      <c r="C1411" s="17" t="s">
        <v>8548</v>
      </c>
      <c r="D1411" s="16" t="s">
        <v>8547</v>
      </c>
      <c r="E1411" s="18" t="s">
        <v>4084</v>
      </c>
      <c r="F1411" s="19" t="str">
        <f t="shared" si="1"/>
        <v>XIPLG1</v>
      </c>
      <c r="G1411" s="19" t="s">
        <v>5408</v>
      </c>
      <c r="H1411" s="20" t="s">
        <v>3045</v>
      </c>
      <c r="I1411" s="19" t="s">
        <v>5409</v>
      </c>
      <c r="J1411" s="19" t="s">
        <v>5410</v>
      </c>
      <c r="K1411" s="21" t="s">
        <v>5411</v>
      </c>
      <c r="L1411" s="19" t="s">
        <v>7002</v>
      </c>
      <c r="M1411" s="16" t="s">
        <v>4083</v>
      </c>
      <c r="N1411" s="18"/>
      <c r="O1411" s="18"/>
      <c r="P1411" s="18">
        <f>VLOOKUP($A1411,MasterData!$C$1:$I$3001,1,FALSE)</f>
        <v>8689</v>
      </c>
      <c r="Q1411" s="18" t="str">
        <f t="shared" si="2"/>
        <v>XIPLG1</v>
      </c>
    </row>
    <row r="1412" ht="15.75" customHeight="1">
      <c r="A1412" s="15">
        <v>8697.0</v>
      </c>
      <c r="B1412" s="16" t="s">
        <v>8549</v>
      </c>
      <c r="C1412" s="17" t="s">
        <v>8550</v>
      </c>
      <c r="D1412" s="16" t="s">
        <v>8549</v>
      </c>
      <c r="E1412" s="18" t="s">
        <v>4086</v>
      </c>
      <c r="F1412" s="19" t="str">
        <f t="shared" si="1"/>
        <v>XIPLG1</v>
      </c>
      <c r="G1412" s="19" t="s">
        <v>5408</v>
      </c>
      <c r="H1412" s="20" t="s">
        <v>3045</v>
      </c>
      <c r="I1412" s="19" t="s">
        <v>5409</v>
      </c>
      <c r="J1412" s="19" t="s">
        <v>5410</v>
      </c>
      <c r="K1412" s="21" t="s">
        <v>5411</v>
      </c>
      <c r="L1412" s="19" t="s">
        <v>7002</v>
      </c>
      <c r="M1412" s="16" t="s">
        <v>4085</v>
      </c>
      <c r="N1412" s="18"/>
      <c r="O1412" s="18"/>
      <c r="P1412" s="18">
        <f>VLOOKUP($A1412,MasterData!$C$1:$I$3001,1,FALSE)</f>
        <v>8697</v>
      </c>
      <c r="Q1412" s="18" t="str">
        <f t="shared" si="2"/>
        <v>XIPLG1</v>
      </c>
    </row>
    <row r="1413" ht="15.75" customHeight="1">
      <c r="A1413" s="15">
        <v>8723.0</v>
      </c>
      <c r="B1413" s="16" t="s">
        <v>8551</v>
      </c>
      <c r="C1413" s="17" t="s">
        <v>8552</v>
      </c>
      <c r="D1413" s="16" t="s">
        <v>8551</v>
      </c>
      <c r="E1413" s="18" t="s">
        <v>4088</v>
      </c>
      <c r="F1413" s="19" t="str">
        <f t="shared" si="1"/>
        <v>XIPLG1</v>
      </c>
      <c r="G1413" s="19" t="s">
        <v>5408</v>
      </c>
      <c r="H1413" s="20" t="s">
        <v>3045</v>
      </c>
      <c r="I1413" s="19" t="s">
        <v>5409</v>
      </c>
      <c r="J1413" s="19" t="s">
        <v>5410</v>
      </c>
      <c r="K1413" s="21" t="s">
        <v>5411</v>
      </c>
      <c r="L1413" s="19" t="s">
        <v>7002</v>
      </c>
      <c r="M1413" s="16" t="s">
        <v>4087</v>
      </c>
      <c r="N1413" s="18"/>
      <c r="O1413" s="18"/>
      <c r="P1413" s="18">
        <f>VLOOKUP($A1413,MasterData!$C$1:$I$3001,1,FALSE)</f>
        <v>8723</v>
      </c>
      <c r="Q1413" s="18" t="str">
        <f t="shared" si="2"/>
        <v>XIPLG1</v>
      </c>
    </row>
    <row r="1414" ht="15.75" customHeight="1">
      <c r="A1414" s="15">
        <v>8742.0</v>
      </c>
      <c r="B1414" s="16" t="s">
        <v>8553</v>
      </c>
      <c r="C1414" s="17" t="s">
        <v>8554</v>
      </c>
      <c r="D1414" s="16" t="s">
        <v>8553</v>
      </c>
      <c r="E1414" s="18" t="s">
        <v>4090</v>
      </c>
      <c r="F1414" s="19" t="str">
        <f t="shared" si="1"/>
        <v>XIPLG1</v>
      </c>
      <c r="G1414" s="19" t="s">
        <v>5408</v>
      </c>
      <c r="H1414" s="20" t="s">
        <v>3045</v>
      </c>
      <c r="I1414" s="19" t="s">
        <v>5409</v>
      </c>
      <c r="J1414" s="19" t="s">
        <v>5410</v>
      </c>
      <c r="K1414" s="21" t="s">
        <v>5411</v>
      </c>
      <c r="L1414" s="19" t="s">
        <v>7002</v>
      </c>
      <c r="M1414" s="16" t="s">
        <v>4089</v>
      </c>
      <c r="N1414" s="18"/>
      <c r="O1414" s="18"/>
      <c r="P1414" s="18">
        <f>VLOOKUP($A1414,MasterData!$C$1:$I$3001,1,FALSE)</f>
        <v>8742</v>
      </c>
      <c r="Q1414" s="18" t="str">
        <f t="shared" si="2"/>
        <v>XIPLG1</v>
      </c>
    </row>
    <row r="1415" ht="15.75" customHeight="1">
      <c r="A1415" s="15">
        <v>8746.0</v>
      </c>
      <c r="B1415" s="16" t="s">
        <v>8555</v>
      </c>
      <c r="C1415" s="17" t="s">
        <v>8556</v>
      </c>
      <c r="D1415" s="16" t="s">
        <v>8555</v>
      </c>
      <c r="E1415" s="18" t="s">
        <v>4092</v>
      </c>
      <c r="F1415" s="19" t="str">
        <f t="shared" si="1"/>
        <v>XIPLG1</v>
      </c>
      <c r="G1415" s="19" t="s">
        <v>5408</v>
      </c>
      <c r="H1415" s="20" t="s">
        <v>3045</v>
      </c>
      <c r="I1415" s="19" t="s">
        <v>5409</v>
      </c>
      <c r="J1415" s="19" t="s">
        <v>5410</v>
      </c>
      <c r="K1415" s="21" t="s">
        <v>5411</v>
      </c>
      <c r="L1415" s="19" t="s">
        <v>7002</v>
      </c>
      <c r="M1415" s="16" t="s">
        <v>4091</v>
      </c>
      <c r="N1415" s="18"/>
      <c r="O1415" s="18"/>
      <c r="P1415" s="18">
        <f>VLOOKUP($A1415,MasterData!$C$1:$I$3001,1,FALSE)</f>
        <v>8746</v>
      </c>
      <c r="Q1415" s="18" t="str">
        <f t="shared" si="2"/>
        <v>XIPLG1</v>
      </c>
    </row>
    <row r="1416" ht="15.75" customHeight="1">
      <c r="A1416" s="15">
        <v>8749.0</v>
      </c>
      <c r="B1416" s="16" t="s">
        <v>8557</v>
      </c>
      <c r="C1416" s="17" t="s">
        <v>8558</v>
      </c>
      <c r="D1416" s="16" t="s">
        <v>8557</v>
      </c>
      <c r="E1416" s="18" t="s">
        <v>4094</v>
      </c>
      <c r="F1416" s="19" t="str">
        <f t="shared" si="1"/>
        <v>XIPLG1</v>
      </c>
      <c r="G1416" s="19" t="s">
        <v>5408</v>
      </c>
      <c r="H1416" s="20" t="s">
        <v>3045</v>
      </c>
      <c r="I1416" s="19" t="s">
        <v>5409</v>
      </c>
      <c r="J1416" s="19" t="s">
        <v>5410</v>
      </c>
      <c r="K1416" s="21" t="s">
        <v>5411</v>
      </c>
      <c r="L1416" s="19" t="s">
        <v>7002</v>
      </c>
      <c r="M1416" s="16" t="s">
        <v>4093</v>
      </c>
      <c r="N1416" s="18"/>
      <c r="O1416" s="18"/>
      <c r="P1416" s="18">
        <f>VLOOKUP($A1416,MasterData!$C$1:$I$3001,1,FALSE)</f>
        <v>8749</v>
      </c>
      <c r="Q1416" s="18" t="str">
        <f t="shared" si="2"/>
        <v>XIPLG1</v>
      </c>
    </row>
    <row r="1417" ht="15.75" customHeight="1">
      <c r="A1417" s="15">
        <v>8758.0</v>
      </c>
      <c r="B1417" s="16" t="s">
        <v>8559</v>
      </c>
      <c r="C1417" s="17" t="s">
        <v>8560</v>
      </c>
      <c r="D1417" s="16" t="s">
        <v>8559</v>
      </c>
      <c r="E1417" s="22" t="s">
        <v>4096</v>
      </c>
      <c r="F1417" s="19" t="str">
        <f t="shared" si="1"/>
        <v>XIPLG1</v>
      </c>
      <c r="G1417" s="19" t="s">
        <v>5408</v>
      </c>
      <c r="H1417" s="20" t="s">
        <v>3045</v>
      </c>
      <c r="I1417" s="19" t="s">
        <v>5409</v>
      </c>
      <c r="J1417" s="19" t="s">
        <v>5410</v>
      </c>
      <c r="K1417" s="21" t="s">
        <v>5411</v>
      </c>
      <c r="L1417" s="19" t="s">
        <v>7002</v>
      </c>
      <c r="M1417" s="16" t="s">
        <v>4095</v>
      </c>
      <c r="N1417" s="18"/>
      <c r="O1417" s="18"/>
      <c r="P1417" s="18">
        <f>VLOOKUP($A1417,MasterData!$C$1:$I$3001,1,FALSE)</f>
        <v>8758</v>
      </c>
      <c r="Q1417" s="18" t="str">
        <f t="shared" si="2"/>
        <v>XIPLG1</v>
      </c>
    </row>
    <row r="1418" ht="15.75" customHeight="1">
      <c r="A1418" s="15">
        <v>8773.0</v>
      </c>
      <c r="B1418" s="16" t="s">
        <v>8561</v>
      </c>
      <c r="C1418" s="17" t="s">
        <v>8562</v>
      </c>
      <c r="D1418" s="16" t="s">
        <v>8561</v>
      </c>
      <c r="E1418" s="18" t="s">
        <v>4098</v>
      </c>
      <c r="F1418" s="19" t="str">
        <f t="shared" si="1"/>
        <v>XIPLG1</v>
      </c>
      <c r="G1418" s="19" t="s">
        <v>5408</v>
      </c>
      <c r="H1418" s="20" t="s">
        <v>3045</v>
      </c>
      <c r="I1418" s="19" t="s">
        <v>5409</v>
      </c>
      <c r="J1418" s="19" t="s">
        <v>5410</v>
      </c>
      <c r="K1418" s="21" t="s">
        <v>5411</v>
      </c>
      <c r="L1418" s="19" t="s">
        <v>7002</v>
      </c>
      <c r="M1418" s="16" t="s">
        <v>4097</v>
      </c>
      <c r="N1418" s="18"/>
      <c r="O1418" s="18"/>
      <c r="P1418" s="18">
        <f>VLOOKUP($A1418,MasterData!$C$1:$I$3001,1,FALSE)</f>
        <v>8773</v>
      </c>
      <c r="Q1418" s="18" t="str">
        <f t="shared" si="2"/>
        <v>XIPLG1</v>
      </c>
    </row>
    <row r="1419" ht="15.75" customHeight="1">
      <c r="A1419" s="15">
        <v>8782.0</v>
      </c>
      <c r="B1419" s="16" t="s">
        <v>8563</v>
      </c>
      <c r="C1419" s="17" t="s">
        <v>8564</v>
      </c>
      <c r="D1419" s="16" t="s">
        <v>8563</v>
      </c>
      <c r="E1419" s="18" t="s">
        <v>4100</v>
      </c>
      <c r="F1419" s="19" t="str">
        <f t="shared" si="1"/>
        <v>XIPLG1</v>
      </c>
      <c r="G1419" s="19" t="s">
        <v>5408</v>
      </c>
      <c r="H1419" s="20" t="s">
        <v>3045</v>
      </c>
      <c r="I1419" s="19" t="s">
        <v>5409</v>
      </c>
      <c r="J1419" s="19" t="s">
        <v>5410</v>
      </c>
      <c r="K1419" s="21" t="s">
        <v>5411</v>
      </c>
      <c r="L1419" s="19" t="s">
        <v>7002</v>
      </c>
      <c r="M1419" s="16" t="s">
        <v>4099</v>
      </c>
      <c r="N1419" s="18"/>
      <c r="O1419" s="18"/>
      <c r="P1419" s="18">
        <f>VLOOKUP($A1419,MasterData!$C$1:$I$3001,1,FALSE)</f>
        <v>8782</v>
      </c>
      <c r="Q1419" s="18" t="str">
        <f t="shared" si="2"/>
        <v>XIPLG1</v>
      </c>
    </row>
    <row r="1420" ht="15.75" customHeight="1">
      <c r="A1420" s="15">
        <v>8825.0</v>
      </c>
      <c r="B1420" s="16" t="s">
        <v>8565</v>
      </c>
      <c r="C1420" s="17" t="s">
        <v>8566</v>
      </c>
      <c r="D1420" s="16" t="s">
        <v>8565</v>
      </c>
      <c r="E1420" s="18" t="s">
        <v>4102</v>
      </c>
      <c r="F1420" s="19" t="str">
        <f t="shared" si="1"/>
        <v>XIPLG1</v>
      </c>
      <c r="G1420" s="19" t="s">
        <v>5408</v>
      </c>
      <c r="H1420" s="20" t="s">
        <v>3045</v>
      </c>
      <c r="I1420" s="19" t="s">
        <v>5409</v>
      </c>
      <c r="J1420" s="19" t="s">
        <v>5410</v>
      </c>
      <c r="K1420" s="21" t="s">
        <v>5411</v>
      </c>
      <c r="L1420" s="19" t="s">
        <v>7002</v>
      </c>
      <c r="M1420" s="16" t="s">
        <v>4101</v>
      </c>
      <c r="N1420" s="18"/>
      <c r="O1420" s="18"/>
      <c r="P1420" s="18">
        <f>VLOOKUP($A1420,MasterData!$C$1:$I$3001,1,FALSE)</f>
        <v>8825</v>
      </c>
      <c r="Q1420" s="18" t="str">
        <f t="shared" si="2"/>
        <v>XIPLG1</v>
      </c>
    </row>
    <row r="1421" ht="15.75" customHeight="1">
      <c r="A1421" s="15">
        <v>8834.0</v>
      </c>
      <c r="B1421" s="16" t="s">
        <v>8567</v>
      </c>
      <c r="C1421" s="17" t="s">
        <v>8568</v>
      </c>
      <c r="D1421" s="16" t="s">
        <v>8567</v>
      </c>
      <c r="E1421" s="18" t="s">
        <v>4104</v>
      </c>
      <c r="F1421" s="19" t="str">
        <f t="shared" si="1"/>
        <v>XIPLG1</v>
      </c>
      <c r="G1421" s="19" t="s">
        <v>5408</v>
      </c>
      <c r="H1421" s="20" t="s">
        <v>3045</v>
      </c>
      <c r="I1421" s="19" t="s">
        <v>5409</v>
      </c>
      <c r="J1421" s="19" t="s">
        <v>5410</v>
      </c>
      <c r="K1421" s="21" t="s">
        <v>5411</v>
      </c>
      <c r="L1421" s="19" t="s">
        <v>7002</v>
      </c>
      <c r="M1421" s="16" t="s">
        <v>4103</v>
      </c>
      <c r="N1421" s="18"/>
      <c r="O1421" s="18"/>
      <c r="P1421" s="18">
        <f>VLOOKUP($A1421,MasterData!$C$1:$I$3001,1,FALSE)</f>
        <v>8834</v>
      </c>
      <c r="Q1421" s="18" t="str">
        <f t="shared" si="2"/>
        <v>XIPLG1</v>
      </c>
    </row>
    <row r="1422" ht="15.75" customHeight="1">
      <c r="A1422" s="15">
        <v>8845.0</v>
      </c>
      <c r="B1422" s="16" t="s">
        <v>8569</v>
      </c>
      <c r="C1422" s="17" t="s">
        <v>8570</v>
      </c>
      <c r="D1422" s="16" t="s">
        <v>8569</v>
      </c>
      <c r="E1422" s="18" t="s">
        <v>4106</v>
      </c>
      <c r="F1422" s="19" t="str">
        <f t="shared" si="1"/>
        <v>XIPLG1</v>
      </c>
      <c r="G1422" s="19" t="s">
        <v>5408</v>
      </c>
      <c r="H1422" s="20" t="s">
        <v>3045</v>
      </c>
      <c r="I1422" s="19" t="s">
        <v>5409</v>
      </c>
      <c r="J1422" s="19" t="s">
        <v>5410</v>
      </c>
      <c r="K1422" s="21" t="s">
        <v>5411</v>
      </c>
      <c r="L1422" s="19" t="s">
        <v>7002</v>
      </c>
      <c r="M1422" s="16" t="s">
        <v>4105</v>
      </c>
      <c r="N1422" s="18"/>
      <c r="O1422" s="18"/>
      <c r="P1422" s="18">
        <f>VLOOKUP($A1422,MasterData!$C$1:$I$3001,1,FALSE)</f>
        <v>8845</v>
      </c>
      <c r="Q1422" s="18" t="str">
        <f t="shared" si="2"/>
        <v>XIPLG1</v>
      </c>
    </row>
    <row r="1423" ht="15.75" customHeight="1">
      <c r="A1423" s="15">
        <v>8874.0</v>
      </c>
      <c r="B1423" s="16" t="s">
        <v>8571</v>
      </c>
      <c r="C1423" s="17" t="s">
        <v>8572</v>
      </c>
      <c r="D1423" s="16" t="s">
        <v>8571</v>
      </c>
      <c r="E1423" s="18" t="s">
        <v>4108</v>
      </c>
      <c r="F1423" s="19" t="str">
        <f t="shared" si="1"/>
        <v>XIPLG1</v>
      </c>
      <c r="G1423" s="19" t="s">
        <v>5408</v>
      </c>
      <c r="H1423" s="20" t="s">
        <v>3045</v>
      </c>
      <c r="I1423" s="19" t="s">
        <v>5409</v>
      </c>
      <c r="J1423" s="19" t="s">
        <v>5410</v>
      </c>
      <c r="K1423" s="21" t="s">
        <v>5411</v>
      </c>
      <c r="L1423" s="19" t="s">
        <v>7002</v>
      </c>
      <c r="M1423" s="16" t="s">
        <v>4107</v>
      </c>
      <c r="N1423" s="18"/>
      <c r="O1423" s="18"/>
      <c r="P1423" s="18">
        <f>VLOOKUP($A1423,MasterData!$C$1:$I$3001,1,FALSE)</f>
        <v>8874</v>
      </c>
      <c r="Q1423" s="18" t="str">
        <f t="shared" si="2"/>
        <v>XIPLG1</v>
      </c>
    </row>
    <row r="1424" ht="15.75" customHeight="1">
      <c r="A1424" s="15">
        <v>8878.0</v>
      </c>
      <c r="B1424" s="16" t="s">
        <v>8573</v>
      </c>
      <c r="C1424" s="17" t="s">
        <v>8574</v>
      </c>
      <c r="D1424" s="16" t="s">
        <v>8573</v>
      </c>
      <c r="E1424" s="18" t="s">
        <v>4110</v>
      </c>
      <c r="F1424" s="19" t="str">
        <f t="shared" si="1"/>
        <v>XIPLG1</v>
      </c>
      <c r="G1424" s="19" t="s">
        <v>5408</v>
      </c>
      <c r="H1424" s="20" t="s">
        <v>3045</v>
      </c>
      <c r="I1424" s="19" t="s">
        <v>5409</v>
      </c>
      <c r="J1424" s="19" t="s">
        <v>5410</v>
      </c>
      <c r="K1424" s="21" t="s">
        <v>5411</v>
      </c>
      <c r="L1424" s="19" t="s">
        <v>7002</v>
      </c>
      <c r="M1424" s="16" t="s">
        <v>4109</v>
      </c>
      <c r="N1424" s="18"/>
      <c r="O1424" s="18"/>
      <c r="P1424" s="18">
        <f>VLOOKUP($A1424,MasterData!$C$1:$I$3001,1,FALSE)</f>
        <v>8878</v>
      </c>
      <c r="Q1424" s="18" t="str">
        <f t="shared" si="2"/>
        <v>XIPLG1</v>
      </c>
    </row>
    <row r="1425" ht="15.75" customHeight="1">
      <c r="A1425" s="15">
        <v>8881.0</v>
      </c>
      <c r="B1425" s="16" t="s">
        <v>8575</v>
      </c>
      <c r="C1425" s="17" t="s">
        <v>8576</v>
      </c>
      <c r="D1425" s="16" t="s">
        <v>8575</v>
      </c>
      <c r="E1425" s="18" t="s">
        <v>4112</v>
      </c>
      <c r="F1425" s="19" t="str">
        <f t="shared" si="1"/>
        <v>XIPLG1</v>
      </c>
      <c r="G1425" s="19" t="s">
        <v>5408</v>
      </c>
      <c r="H1425" s="20" t="s">
        <v>3045</v>
      </c>
      <c r="I1425" s="19" t="s">
        <v>5409</v>
      </c>
      <c r="J1425" s="19" t="s">
        <v>5410</v>
      </c>
      <c r="K1425" s="21" t="s">
        <v>5411</v>
      </c>
      <c r="L1425" s="19" t="s">
        <v>7002</v>
      </c>
      <c r="M1425" s="16" t="s">
        <v>4111</v>
      </c>
      <c r="N1425" s="18"/>
      <c r="O1425" s="18"/>
      <c r="P1425" s="18">
        <f>VLOOKUP($A1425,MasterData!$C$1:$I$3001,1,FALSE)</f>
        <v>8881</v>
      </c>
      <c r="Q1425" s="18" t="str">
        <f t="shared" si="2"/>
        <v>XIPLG1</v>
      </c>
    </row>
    <row r="1426" ht="15.75" customHeight="1">
      <c r="A1426" s="15">
        <v>8917.0</v>
      </c>
      <c r="B1426" s="16" t="s">
        <v>8577</v>
      </c>
      <c r="C1426" s="17" t="s">
        <v>8578</v>
      </c>
      <c r="D1426" s="16" t="s">
        <v>8577</v>
      </c>
      <c r="E1426" s="18" t="s">
        <v>4114</v>
      </c>
      <c r="F1426" s="19" t="str">
        <f t="shared" si="1"/>
        <v>XIPLG1</v>
      </c>
      <c r="G1426" s="19" t="s">
        <v>5408</v>
      </c>
      <c r="H1426" s="20" t="s">
        <v>3045</v>
      </c>
      <c r="I1426" s="19" t="s">
        <v>5409</v>
      </c>
      <c r="J1426" s="19" t="s">
        <v>5410</v>
      </c>
      <c r="K1426" s="21" t="s">
        <v>5411</v>
      </c>
      <c r="L1426" s="19" t="s">
        <v>7002</v>
      </c>
      <c r="M1426" s="16" t="s">
        <v>4113</v>
      </c>
      <c r="N1426" s="18"/>
      <c r="O1426" s="18"/>
      <c r="P1426" s="18">
        <f>VLOOKUP($A1426,MasterData!$C$1:$I$3001,1,FALSE)</f>
        <v>8917</v>
      </c>
      <c r="Q1426" s="18" t="str">
        <f t="shared" si="2"/>
        <v>XIPLG1</v>
      </c>
    </row>
    <row r="1427" ht="15.75" customHeight="1">
      <c r="A1427" s="15">
        <v>8920.0</v>
      </c>
      <c r="B1427" s="16" t="s">
        <v>8579</v>
      </c>
      <c r="C1427" s="17" t="s">
        <v>8580</v>
      </c>
      <c r="D1427" s="16" t="s">
        <v>8579</v>
      </c>
      <c r="E1427" s="18" t="s">
        <v>4116</v>
      </c>
      <c r="F1427" s="19" t="str">
        <f t="shared" si="1"/>
        <v>XIPLG1</v>
      </c>
      <c r="G1427" s="19" t="s">
        <v>5408</v>
      </c>
      <c r="H1427" s="20" t="s">
        <v>3045</v>
      </c>
      <c r="I1427" s="19" t="s">
        <v>5409</v>
      </c>
      <c r="J1427" s="19" t="s">
        <v>5410</v>
      </c>
      <c r="K1427" s="21" t="s">
        <v>5411</v>
      </c>
      <c r="L1427" s="19" t="s">
        <v>7002</v>
      </c>
      <c r="M1427" s="16" t="s">
        <v>4115</v>
      </c>
      <c r="N1427" s="18"/>
      <c r="O1427" s="18"/>
      <c r="P1427" s="18">
        <f>VLOOKUP($A1427,MasterData!$C$1:$I$3001,1,FALSE)</f>
        <v>8920</v>
      </c>
      <c r="Q1427" s="18" t="str">
        <f t="shared" si="2"/>
        <v>XIPLG1</v>
      </c>
    </row>
    <row r="1428" ht="15.75" customHeight="1">
      <c r="A1428" s="15">
        <v>8927.0</v>
      </c>
      <c r="B1428" s="16" t="s">
        <v>8581</v>
      </c>
      <c r="C1428" s="17" t="s">
        <v>8582</v>
      </c>
      <c r="D1428" s="16" t="s">
        <v>8581</v>
      </c>
      <c r="E1428" s="18" t="s">
        <v>4118</v>
      </c>
      <c r="F1428" s="19" t="str">
        <f t="shared" si="1"/>
        <v>XIPLG1</v>
      </c>
      <c r="G1428" s="19" t="s">
        <v>5408</v>
      </c>
      <c r="H1428" s="20" t="s">
        <v>3045</v>
      </c>
      <c r="I1428" s="19" t="s">
        <v>5409</v>
      </c>
      <c r="J1428" s="19" t="s">
        <v>5410</v>
      </c>
      <c r="K1428" s="21" t="s">
        <v>5411</v>
      </c>
      <c r="L1428" s="19" t="s">
        <v>7002</v>
      </c>
      <c r="M1428" s="16" t="s">
        <v>4117</v>
      </c>
      <c r="N1428" s="18"/>
      <c r="O1428" s="18"/>
      <c r="P1428" s="18">
        <f>VLOOKUP($A1428,MasterData!$C$1:$I$3001,1,FALSE)</f>
        <v>8927</v>
      </c>
      <c r="Q1428" s="18" t="str">
        <f t="shared" si="2"/>
        <v>XIPLG1</v>
      </c>
    </row>
    <row r="1429" ht="15.75" customHeight="1">
      <c r="A1429" s="15">
        <v>8956.0</v>
      </c>
      <c r="B1429" s="16" t="s">
        <v>8583</v>
      </c>
      <c r="C1429" s="17" t="s">
        <v>8584</v>
      </c>
      <c r="D1429" s="16" t="s">
        <v>8583</v>
      </c>
      <c r="E1429" s="18" t="s">
        <v>4120</v>
      </c>
      <c r="F1429" s="19" t="str">
        <f t="shared" si="1"/>
        <v>XIPLG1</v>
      </c>
      <c r="G1429" s="19" t="s">
        <v>5408</v>
      </c>
      <c r="H1429" s="20" t="s">
        <v>3045</v>
      </c>
      <c r="I1429" s="19" t="s">
        <v>5409</v>
      </c>
      <c r="J1429" s="19" t="s">
        <v>5410</v>
      </c>
      <c r="K1429" s="21" t="s">
        <v>5411</v>
      </c>
      <c r="L1429" s="19" t="s">
        <v>7002</v>
      </c>
      <c r="M1429" s="16" t="s">
        <v>4119</v>
      </c>
      <c r="N1429" s="18"/>
      <c r="O1429" s="18"/>
      <c r="P1429" s="18">
        <f>VLOOKUP($A1429,MasterData!$C$1:$I$3001,1,FALSE)</f>
        <v>8956</v>
      </c>
      <c r="Q1429" s="18" t="str">
        <f t="shared" si="2"/>
        <v>XIPLG1</v>
      </c>
    </row>
    <row r="1430" ht="15.75" customHeight="1">
      <c r="A1430" s="15">
        <v>8966.0</v>
      </c>
      <c r="B1430" s="16" t="s">
        <v>8585</v>
      </c>
      <c r="C1430" s="17" t="s">
        <v>8586</v>
      </c>
      <c r="D1430" s="16" t="s">
        <v>8585</v>
      </c>
      <c r="E1430" s="18" t="s">
        <v>4122</v>
      </c>
      <c r="F1430" s="19" t="str">
        <f t="shared" si="1"/>
        <v>XIPLG1</v>
      </c>
      <c r="G1430" s="19" t="s">
        <v>5408</v>
      </c>
      <c r="H1430" s="20" t="s">
        <v>3045</v>
      </c>
      <c r="I1430" s="19" t="s">
        <v>5409</v>
      </c>
      <c r="J1430" s="19" t="s">
        <v>5410</v>
      </c>
      <c r="K1430" s="21" t="s">
        <v>5411</v>
      </c>
      <c r="L1430" s="19" t="s">
        <v>7002</v>
      </c>
      <c r="M1430" s="16" t="s">
        <v>4121</v>
      </c>
      <c r="N1430" s="18"/>
      <c r="O1430" s="18"/>
      <c r="P1430" s="18">
        <f>VLOOKUP($A1430,MasterData!$C$1:$I$3001,1,FALSE)</f>
        <v>8966</v>
      </c>
      <c r="Q1430" s="18" t="str">
        <f t="shared" si="2"/>
        <v>XIPLG1</v>
      </c>
    </row>
    <row r="1431" ht="15.75" customHeight="1">
      <c r="A1431" s="15">
        <v>8993.0</v>
      </c>
      <c r="B1431" s="16" t="s">
        <v>8587</v>
      </c>
      <c r="C1431" s="17" t="s">
        <v>8588</v>
      </c>
      <c r="D1431" s="16" t="s">
        <v>8587</v>
      </c>
      <c r="E1431" s="18" t="s">
        <v>4124</v>
      </c>
      <c r="F1431" s="19" t="str">
        <f t="shared" si="1"/>
        <v>XIPLG1</v>
      </c>
      <c r="G1431" s="19" t="s">
        <v>5408</v>
      </c>
      <c r="H1431" s="20" t="s">
        <v>3045</v>
      </c>
      <c r="I1431" s="19" t="s">
        <v>5409</v>
      </c>
      <c r="J1431" s="19" t="s">
        <v>5410</v>
      </c>
      <c r="K1431" s="21" t="s">
        <v>5411</v>
      </c>
      <c r="L1431" s="19" t="s">
        <v>7002</v>
      </c>
      <c r="M1431" s="16" t="s">
        <v>4123</v>
      </c>
      <c r="N1431" s="18"/>
      <c r="O1431" s="18"/>
      <c r="P1431" s="18">
        <f>VLOOKUP($A1431,MasterData!$C$1:$I$3001,1,FALSE)</f>
        <v>8993</v>
      </c>
      <c r="Q1431" s="18" t="str">
        <f t="shared" si="2"/>
        <v>XIPLG1</v>
      </c>
    </row>
    <row r="1432" ht="15.75" customHeight="1">
      <c r="A1432" s="15">
        <v>9012.0</v>
      </c>
      <c r="B1432" s="16" t="s">
        <v>8589</v>
      </c>
      <c r="C1432" s="17" t="s">
        <v>8590</v>
      </c>
      <c r="D1432" s="16" t="s">
        <v>8589</v>
      </c>
      <c r="E1432" s="18" t="s">
        <v>4126</v>
      </c>
      <c r="F1432" s="19" t="str">
        <f t="shared" si="1"/>
        <v>XIPLG1</v>
      </c>
      <c r="G1432" s="19" t="s">
        <v>5408</v>
      </c>
      <c r="H1432" s="20" t="s">
        <v>3045</v>
      </c>
      <c r="I1432" s="19" t="s">
        <v>5409</v>
      </c>
      <c r="J1432" s="19" t="s">
        <v>5410</v>
      </c>
      <c r="K1432" s="21" t="s">
        <v>5411</v>
      </c>
      <c r="L1432" s="19" t="s">
        <v>7002</v>
      </c>
      <c r="M1432" s="16" t="s">
        <v>4125</v>
      </c>
      <c r="N1432" s="18"/>
      <c r="O1432" s="18"/>
      <c r="P1432" s="18">
        <f>VLOOKUP($A1432,MasterData!$C$1:$I$3001,1,FALSE)</f>
        <v>9012</v>
      </c>
      <c r="Q1432" s="18" t="str">
        <f t="shared" si="2"/>
        <v>XIPLG1</v>
      </c>
    </row>
    <row r="1433" ht="15.75" customHeight="1">
      <c r="A1433" s="15">
        <v>9025.0</v>
      </c>
      <c r="B1433" s="16" t="s">
        <v>8591</v>
      </c>
      <c r="C1433" s="17" t="s">
        <v>8592</v>
      </c>
      <c r="D1433" s="16" t="s">
        <v>8591</v>
      </c>
      <c r="E1433" s="18" t="s">
        <v>4128</v>
      </c>
      <c r="F1433" s="19" t="str">
        <f t="shared" si="1"/>
        <v>XIPLG1</v>
      </c>
      <c r="G1433" s="19" t="s">
        <v>5408</v>
      </c>
      <c r="H1433" s="20" t="s">
        <v>3045</v>
      </c>
      <c r="I1433" s="19" t="s">
        <v>5409</v>
      </c>
      <c r="J1433" s="19" t="s">
        <v>5410</v>
      </c>
      <c r="K1433" s="21" t="s">
        <v>5411</v>
      </c>
      <c r="L1433" s="19" t="s">
        <v>7002</v>
      </c>
      <c r="M1433" s="16" t="s">
        <v>4127</v>
      </c>
      <c r="N1433" s="18"/>
      <c r="O1433" s="18"/>
      <c r="P1433" s="18">
        <f>VLOOKUP($A1433,MasterData!$C$1:$I$3001,1,FALSE)</f>
        <v>9025</v>
      </c>
      <c r="Q1433" s="18" t="str">
        <f t="shared" si="2"/>
        <v>XIPLG1</v>
      </c>
    </row>
    <row r="1434" ht="15.75" customHeight="1">
      <c r="A1434" s="15">
        <v>9058.0</v>
      </c>
      <c r="B1434" s="16" t="s">
        <v>8593</v>
      </c>
      <c r="C1434" s="17" t="s">
        <v>8594</v>
      </c>
      <c r="D1434" s="16" t="s">
        <v>8593</v>
      </c>
      <c r="E1434" s="18" t="s">
        <v>4130</v>
      </c>
      <c r="F1434" s="19" t="str">
        <f t="shared" si="1"/>
        <v>XIPLG1</v>
      </c>
      <c r="G1434" s="19" t="s">
        <v>5408</v>
      </c>
      <c r="H1434" s="20" t="s">
        <v>3045</v>
      </c>
      <c r="I1434" s="19" t="s">
        <v>5409</v>
      </c>
      <c r="J1434" s="19" t="s">
        <v>5410</v>
      </c>
      <c r="K1434" s="21" t="s">
        <v>5411</v>
      </c>
      <c r="L1434" s="19" t="s">
        <v>7002</v>
      </c>
      <c r="M1434" s="16" t="s">
        <v>4129</v>
      </c>
      <c r="N1434" s="18"/>
      <c r="O1434" s="18"/>
      <c r="P1434" s="18">
        <f>VLOOKUP($A1434,MasterData!$C$1:$I$3001,1,FALSE)</f>
        <v>9058</v>
      </c>
      <c r="Q1434" s="18" t="str">
        <f t="shared" si="2"/>
        <v>XIPLG1</v>
      </c>
    </row>
    <row r="1435" ht="15.75" customHeight="1">
      <c r="A1435" s="15">
        <v>9079.0</v>
      </c>
      <c r="B1435" s="16" t="s">
        <v>8595</v>
      </c>
      <c r="C1435" s="17" t="s">
        <v>8596</v>
      </c>
      <c r="D1435" s="16" t="s">
        <v>8595</v>
      </c>
      <c r="E1435" s="18" t="s">
        <v>4132</v>
      </c>
      <c r="F1435" s="19" t="str">
        <f t="shared" si="1"/>
        <v>XIPLG1</v>
      </c>
      <c r="G1435" s="19" t="s">
        <v>5408</v>
      </c>
      <c r="H1435" s="20" t="s">
        <v>3045</v>
      </c>
      <c r="I1435" s="19" t="s">
        <v>5409</v>
      </c>
      <c r="J1435" s="19" t="s">
        <v>5410</v>
      </c>
      <c r="K1435" s="21" t="s">
        <v>5411</v>
      </c>
      <c r="L1435" s="19" t="s">
        <v>7002</v>
      </c>
      <c r="M1435" s="16" t="s">
        <v>4131</v>
      </c>
      <c r="N1435" s="18"/>
      <c r="O1435" s="18"/>
      <c r="P1435" s="18">
        <f>VLOOKUP($A1435,MasterData!$C$1:$I$3001,1,FALSE)</f>
        <v>9079</v>
      </c>
      <c r="Q1435" s="18" t="str">
        <f t="shared" si="2"/>
        <v>XIPLG1</v>
      </c>
    </row>
    <row r="1436" ht="15.75" customHeight="1">
      <c r="A1436" s="15">
        <v>9085.0</v>
      </c>
      <c r="B1436" s="16" t="s">
        <v>8597</v>
      </c>
      <c r="C1436" s="17" t="s">
        <v>8598</v>
      </c>
      <c r="D1436" s="16" t="s">
        <v>8597</v>
      </c>
      <c r="E1436" s="18" t="s">
        <v>4134</v>
      </c>
      <c r="F1436" s="19" t="str">
        <f t="shared" si="1"/>
        <v>XIPLG1</v>
      </c>
      <c r="G1436" s="19" t="s">
        <v>5408</v>
      </c>
      <c r="H1436" s="20" t="s">
        <v>3045</v>
      </c>
      <c r="I1436" s="19" t="s">
        <v>5409</v>
      </c>
      <c r="J1436" s="19" t="s">
        <v>5410</v>
      </c>
      <c r="K1436" s="21" t="s">
        <v>5411</v>
      </c>
      <c r="L1436" s="19" t="s">
        <v>7002</v>
      </c>
      <c r="M1436" s="16" t="s">
        <v>4133</v>
      </c>
      <c r="N1436" s="18"/>
      <c r="O1436" s="18"/>
      <c r="P1436" s="18">
        <f>VLOOKUP($A1436,MasterData!$C$1:$I$3001,1,FALSE)</f>
        <v>9085</v>
      </c>
      <c r="Q1436" s="18" t="str">
        <f t="shared" si="2"/>
        <v>XIPLG1</v>
      </c>
    </row>
    <row r="1437" ht="15.75" customHeight="1">
      <c r="A1437" s="15">
        <v>9111.0</v>
      </c>
      <c r="B1437" s="16" t="s">
        <v>8599</v>
      </c>
      <c r="C1437" s="17" t="s">
        <v>8600</v>
      </c>
      <c r="D1437" s="16" t="s">
        <v>8599</v>
      </c>
      <c r="E1437" s="18" t="s">
        <v>4136</v>
      </c>
      <c r="F1437" s="19" t="str">
        <f t="shared" si="1"/>
        <v>XIPLG1</v>
      </c>
      <c r="G1437" s="19" t="s">
        <v>5408</v>
      </c>
      <c r="H1437" s="20" t="s">
        <v>3045</v>
      </c>
      <c r="I1437" s="19" t="s">
        <v>5409</v>
      </c>
      <c r="J1437" s="19" t="s">
        <v>5410</v>
      </c>
      <c r="K1437" s="21" t="s">
        <v>5411</v>
      </c>
      <c r="L1437" s="19" t="s">
        <v>7002</v>
      </c>
      <c r="M1437" s="16" t="s">
        <v>4135</v>
      </c>
      <c r="N1437" s="18"/>
      <c r="O1437" s="18"/>
      <c r="P1437" s="18">
        <f>VLOOKUP($A1437,MasterData!$C$1:$I$3001,1,FALSE)</f>
        <v>9111</v>
      </c>
      <c r="Q1437" s="18" t="str">
        <f t="shared" si="2"/>
        <v>XIPLG1</v>
      </c>
    </row>
    <row r="1438" ht="15.75" customHeight="1">
      <c r="A1438" s="15">
        <v>9122.0</v>
      </c>
      <c r="B1438" s="16" t="s">
        <v>8601</v>
      </c>
      <c r="C1438" s="17" t="s">
        <v>8602</v>
      </c>
      <c r="D1438" s="16" t="s">
        <v>8601</v>
      </c>
      <c r="E1438" s="18" t="s">
        <v>4138</v>
      </c>
      <c r="F1438" s="19" t="str">
        <f t="shared" si="1"/>
        <v>XIPLG1</v>
      </c>
      <c r="G1438" s="19" t="s">
        <v>5408</v>
      </c>
      <c r="H1438" s="20" t="s">
        <v>3045</v>
      </c>
      <c r="I1438" s="19" t="s">
        <v>5409</v>
      </c>
      <c r="J1438" s="19" t="s">
        <v>5410</v>
      </c>
      <c r="K1438" s="21" t="s">
        <v>5411</v>
      </c>
      <c r="L1438" s="19" t="s">
        <v>7002</v>
      </c>
      <c r="M1438" s="16" t="s">
        <v>4137</v>
      </c>
      <c r="N1438" s="18"/>
      <c r="O1438" s="18"/>
      <c r="P1438" s="18">
        <f>VLOOKUP($A1438,MasterData!$C$1:$I$3001,1,FALSE)</f>
        <v>9122</v>
      </c>
      <c r="Q1438" s="18" t="str">
        <f t="shared" si="2"/>
        <v>XIPLG1</v>
      </c>
    </row>
    <row r="1439" ht="15.75" customHeight="1">
      <c r="A1439" s="15">
        <v>9137.0</v>
      </c>
      <c r="B1439" s="16" t="s">
        <v>8603</v>
      </c>
      <c r="C1439" s="17" t="s">
        <v>8604</v>
      </c>
      <c r="D1439" s="16" t="s">
        <v>8603</v>
      </c>
      <c r="E1439" s="18" t="s">
        <v>4140</v>
      </c>
      <c r="F1439" s="19" t="str">
        <f t="shared" si="1"/>
        <v>XIPLG1</v>
      </c>
      <c r="G1439" s="19" t="s">
        <v>5408</v>
      </c>
      <c r="H1439" s="20" t="s">
        <v>3045</v>
      </c>
      <c r="I1439" s="19" t="s">
        <v>5409</v>
      </c>
      <c r="J1439" s="19" t="s">
        <v>5410</v>
      </c>
      <c r="K1439" s="21" t="s">
        <v>5411</v>
      </c>
      <c r="L1439" s="20" t="s">
        <v>7002</v>
      </c>
      <c r="M1439" s="16" t="s">
        <v>4139</v>
      </c>
      <c r="N1439" s="18"/>
      <c r="O1439" s="18"/>
      <c r="P1439" s="18">
        <f>VLOOKUP($A1439,MasterData!$C$1:$I$3001,1,FALSE)</f>
        <v>9137</v>
      </c>
      <c r="Q1439" s="18" t="str">
        <f t="shared" si="2"/>
        <v>XIPLG1</v>
      </c>
    </row>
    <row r="1440" ht="15.75" customHeight="1">
      <c r="A1440" s="15">
        <v>9160.0</v>
      </c>
      <c r="B1440" s="16" t="s">
        <v>8605</v>
      </c>
      <c r="C1440" s="17" t="s">
        <v>8606</v>
      </c>
      <c r="D1440" s="16" t="s">
        <v>8605</v>
      </c>
      <c r="E1440" s="18" t="s">
        <v>4142</v>
      </c>
      <c r="F1440" s="19" t="str">
        <f t="shared" si="1"/>
        <v>XIPLG1</v>
      </c>
      <c r="G1440" s="19" t="s">
        <v>5408</v>
      </c>
      <c r="H1440" s="20" t="s">
        <v>3045</v>
      </c>
      <c r="I1440" s="19" t="s">
        <v>5409</v>
      </c>
      <c r="J1440" s="19" t="s">
        <v>5410</v>
      </c>
      <c r="K1440" s="21" t="s">
        <v>5411</v>
      </c>
      <c r="L1440" s="19" t="s">
        <v>7002</v>
      </c>
      <c r="M1440" s="16" t="s">
        <v>4141</v>
      </c>
      <c r="N1440" s="18"/>
      <c r="O1440" s="18"/>
      <c r="P1440" s="18">
        <f>VLOOKUP($A1440,MasterData!$C$1:$I$3001,1,FALSE)</f>
        <v>9160</v>
      </c>
      <c r="Q1440" s="18" t="str">
        <f t="shared" si="2"/>
        <v>XIPLG1</v>
      </c>
    </row>
    <row r="1441" ht="15.75" customHeight="1">
      <c r="A1441" s="15">
        <v>9184.0</v>
      </c>
      <c r="B1441" s="16" t="s">
        <v>8607</v>
      </c>
      <c r="C1441" s="17" t="s">
        <v>8608</v>
      </c>
      <c r="D1441" s="16" t="s">
        <v>8607</v>
      </c>
      <c r="E1441" s="18" t="s">
        <v>4144</v>
      </c>
      <c r="F1441" s="19" t="str">
        <f t="shared" si="1"/>
        <v>XIPLG1</v>
      </c>
      <c r="G1441" s="19" t="s">
        <v>5408</v>
      </c>
      <c r="H1441" s="20" t="s">
        <v>3045</v>
      </c>
      <c r="I1441" s="19" t="s">
        <v>5409</v>
      </c>
      <c r="J1441" s="19" t="s">
        <v>5410</v>
      </c>
      <c r="K1441" s="21" t="s">
        <v>5411</v>
      </c>
      <c r="L1441" s="19" t="s">
        <v>7002</v>
      </c>
      <c r="M1441" s="16" t="s">
        <v>4143</v>
      </c>
      <c r="N1441" s="18"/>
      <c r="O1441" s="18"/>
      <c r="P1441" s="18">
        <f>VLOOKUP($A1441,MasterData!$C$1:$I$3001,1,FALSE)</f>
        <v>9184</v>
      </c>
      <c r="Q1441" s="18" t="str">
        <f t="shared" si="2"/>
        <v>XIPLG1</v>
      </c>
    </row>
    <row r="1442" ht="15.75" customHeight="1">
      <c r="A1442" s="15">
        <v>9207.0</v>
      </c>
      <c r="B1442" s="16" t="s">
        <v>8609</v>
      </c>
      <c r="C1442" s="17" t="s">
        <v>8610</v>
      </c>
      <c r="D1442" s="16" t="s">
        <v>8609</v>
      </c>
      <c r="E1442" s="18" t="s">
        <v>4146</v>
      </c>
      <c r="F1442" s="19" t="str">
        <f t="shared" si="1"/>
        <v>XIPLG1</v>
      </c>
      <c r="G1442" s="19" t="s">
        <v>5408</v>
      </c>
      <c r="H1442" s="20" t="s">
        <v>3045</v>
      </c>
      <c r="I1442" s="19" t="s">
        <v>5409</v>
      </c>
      <c r="J1442" s="19" t="s">
        <v>5410</v>
      </c>
      <c r="K1442" s="21" t="s">
        <v>5411</v>
      </c>
      <c r="L1442" s="19" t="s">
        <v>7002</v>
      </c>
      <c r="M1442" s="16" t="s">
        <v>4145</v>
      </c>
      <c r="N1442" s="18"/>
      <c r="O1442" s="18"/>
      <c r="P1442" s="18">
        <f>VLOOKUP($A1442,MasterData!$C$1:$I$3001,1,FALSE)</f>
        <v>9207</v>
      </c>
      <c r="Q1442" s="18" t="str">
        <f t="shared" si="2"/>
        <v>XIPLG1</v>
      </c>
    </row>
    <row r="1443" ht="15.75" customHeight="1">
      <c r="A1443" s="15">
        <v>9212.0</v>
      </c>
      <c r="B1443" s="16" t="s">
        <v>8611</v>
      </c>
      <c r="C1443" s="17" t="s">
        <v>8612</v>
      </c>
      <c r="D1443" s="16" t="s">
        <v>8611</v>
      </c>
      <c r="E1443" s="18" t="s">
        <v>4148</v>
      </c>
      <c r="F1443" s="19" t="str">
        <f t="shared" si="1"/>
        <v>XIPLG1</v>
      </c>
      <c r="G1443" s="19" t="s">
        <v>5408</v>
      </c>
      <c r="H1443" s="20" t="s">
        <v>3045</v>
      </c>
      <c r="I1443" s="19" t="s">
        <v>5409</v>
      </c>
      <c r="J1443" s="19" t="s">
        <v>5410</v>
      </c>
      <c r="K1443" s="21" t="s">
        <v>5411</v>
      </c>
      <c r="L1443" s="19" t="s">
        <v>7002</v>
      </c>
      <c r="M1443" s="16" t="s">
        <v>4147</v>
      </c>
      <c r="N1443" s="18"/>
      <c r="O1443" s="18"/>
      <c r="P1443" s="18">
        <f>VLOOKUP($A1443,MasterData!$C$1:$I$3001,1,FALSE)</f>
        <v>9212</v>
      </c>
      <c r="Q1443" s="18" t="str">
        <f t="shared" si="2"/>
        <v>XIPLG1</v>
      </c>
    </row>
    <row r="1444" ht="15.75" customHeight="1">
      <c r="A1444" s="15">
        <v>9223.0</v>
      </c>
      <c r="B1444" s="16" t="s">
        <v>8613</v>
      </c>
      <c r="C1444" s="17" t="s">
        <v>8614</v>
      </c>
      <c r="D1444" s="16" t="s">
        <v>8613</v>
      </c>
      <c r="E1444" s="18" t="s">
        <v>4150</v>
      </c>
      <c r="F1444" s="19" t="str">
        <f t="shared" si="1"/>
        <v>XIPLG1</v>
      </c>
      <c r="G1444" s="19" t="s">
        <v>5408</v>
      </c>
      <c r="H1444" s="20" t="s">
        <v>3045</v>
      </c>
      <c r="I1444" s="19" t="s">
        <v>5409</v>
      </c>
      <c r="J1444" s="19" t="s">
        <v>5410</v>
      </c>
      <c r="K1444" s="21" t="s">
        <v>5411</v>
      </c>
      <c r="L1444" s="19" t="s">
        <v>7002</v>
      </c>
      <c r="M1444" s="16" t="s">
        <v>4149</v>
      </c>
      <c r="N1444" s="18"/>
      <c r="O1444" s="18"/>
      <c r="P1444" s="18">
        <f>VLOOKUP($A1444,MasterData!$C$1:$I$3001,1,FALSE)</f>
        <v>9223</v>
      </c>
      <c r="Q1444" s="18" t="str">
        <f t="shared" si="2"/>
        <v>XIPLG1</v>
      </c>
    </row>
    <row r="1445" ht="15.75" customHeight="1">
      <c r="A1445" s="15">
        <v>8677.0</v>
      </c>
      <c r="B1445" s="16" t="s">
        <v>8615</v>
      </c>
      <c r="C1445" s="17" t="s">
        <v>8616</v>
      </c>
      <c r="D1445" s="16" t="s">
        <v>8615</v>
      </c>
      <c r="E1445" s="18" t="s">
        <v>4152</v>
      </c>
      <c r="F1445" s="19" t="str">
        <f t="shared" si="1"/>
        <v>XIPLG2</v>
      </c>
      <c r="G1445" s="19" t="s">
        <v>5408</v>
      </c>
      <c r="H1445" s="20" t="s">
        <v>3045</v>
      </c>
      <c r="I1445" s="19" t="s">
        <v>5409</v>
      </c>
      <c r="J1445" s="19" t="s">
        <v>5410</v>
      </c>
      <c r="K1445" s="21" t="s">
        <v>5411</v>
      </c>
      <c r="L1445" s="19" t="s">
        <v>7108</v>
      </c>
      <c r="M1445" s="16" t="s">
        <v>4151</v>
      </c>
      <c r="N1445" s="18"/>
      <c r="O1445" s="18"/>
      <c r="P1445" s="18">
        <f>VLOOKUP($A1445,MasterData!$C$1:$I$3001,1,FALSE)</f>
        <v>8677</v>
      </c>
      <c r="Q1445" s="18" t="str">
        <f t="shared" si="2"/>
        <v>XIPLG2</v>
      </c>
    </row>
    <row r="1446" ht="15.75" customHeight="1">
      <c r="A1446" s="15">
        <v>8695.0</v>
      </c>
      <c r="B1446" s="16" t="s">
        <v>8617</v>
      </c>
      <c r="C1446" s="17" t="s">
        <v>8618</v>
      </c>
      <c r="D1446" s="16" t="s">
        <v>8617</v>
      </c>
      <c r="E1446" s="18" t="s">
        <v>4154</v>
      </c>
      <c r="F1446" s="19" t="str">
        <f t="shared" si="1"/>
        <v>XIPLG2</v>
      </c>
      <c r="G1446" s="19" t="s">
        <v>5408</v>
      </c>
      <c r="H1446" s="20" t="s">
        <v>3045</v>
      </c>
      <c r="I1446" s="19" t="s">
        <v>5409</v>
      </c>
      <c r="J1446" s="19" t="s">
        <v>5410</v>
      </c>
      <c r="K1446" s="21" t="s">
        <v>5411</v>
      </c>
      <c r="L1446" s="19" t="s">
        <v>7108</v>
      </c>
      <c r="M1446" s="16" t="s">
        <v>4153</v>
      </c>
      <c r="N1446" s="18"/>
      <c r="O1446" s="18"/>
      <c r="P1446" s="18">
        <f>VLOOKUP($A1446,MasterData!$C$1:$I$3001,1,FALSE)</f>
        <v>8695</v>
      </c>
      <c r="Q1446" s="18" t="str">
        <f t="shared" si="2"/>
        <v>XIPLG2</v>
      </c>
    </row>
    <row r="1447" ht="15.75" customHeight="1">
      <c r="A1447" s="15">
        <v>8702.0</v>
      </c>
      <c r="B1447" s="16" t="s">
        <v>8619</v>
      </c>
      <c r="C1447" s="17" t="s">
        <v>8620</v>
      </c>
      <c r="D1447" s="16" t="s">
        <v>8619</v>
      </c>
      <c r="E1447" s="18" t="s">
        <v>4156</v>
      </c>
      <c r="F1447" s="19" t="str">
        <f t="shared" si="1"/>
        <v>XIPLG2</v>
      </c>
      <c r="G1447" s="19" t="s">
        <v>5408</v>
      </c>
      <c r="H1447" s="20" t="s">
        <v>3045</v>
      </c>
      <c r="I1447" s="19" t="s">
        <v>5409</v>
      </c>
      <c r="J1447" s="19" t="s">
        <v>5410</v>
      </c>
      <c r="K1447" s="21" t="s">
        <v>5411</v>
      </c>
      <c r="L1447" s="19" t="s">
        <v>7108</v>
      </c>
      <c r="M1447" s="16" t="s">
        <v>4155</v>
      </c>
      <c r="N1447" s="18"/>
      <c r="O1447" s="18"/>
      <c r="P1447" s="18">
        <f>VLOOKUP($A1447,MasterData!$C$1:$I$3001,1,FALSE)</f>
        <v>8702</v>
      </c>
      <c r="Q1447" s="18" t="str">
        <f t="shared" si="2"/>
        <v>XIPLG2</v>
      </c>
    </row>
    <row r="1448" ht="15.75" customHeight="1">
      <c r="A1448" s="15">
        <v>8728.0</v>
      </c>
      <c r="B1448" s="16" t="s">
        <v>8621</v>
      </c>
      <c r="C1448" s="17" t="s">
        <v>8622</v>
      </c>
      <c r="D1448" s="16" t="s">
        <v>8621</v>
      </c>
      <c r="E1448" s="18" t="s">
        <v>4158</v>
      </c>
      <c r="F1448" s="19" t="str">
        <f t="shared" si="1"/>
        <v>XIPLG2</v>
      </c>
      <c r="G1448" s="19" t="s">
        <v>5408</v>
      </c>
      <c r="H1448" s="20" t="s">
        <v>3045</v>
      </c>
      <c r="I1448" s="19" t="s">
        <v>5409</v>
      </c>
      <c r="J1448" s="19" t="s">
        <v>5410</v>
      </c>
      <c r="K1448" s="21" t="s">
        <v>5411</v>
      </c>
      <c r="L1448" s="19" t="s">
        <v>7108</v>
      </c>
      <c r="M1448" s="16" t="s">
        <v>4157</v>
      </c>
      <c r="N1448" s="18"/>
      <c r="O1448" s="18"/>
      <c r="P1448" s="18">
        <f>VLOOKUP($A1448,MasterData!$C$1:$I$3001,1,FALSE)</f>
        <v>8728</v>
      </c>
      <c r="Q1448" s="18" t="str">
        <f t="shared" si="2"/>
        <v>XIPLG2</v>
      </c>
    </row>
    <row r="1449" ht="15.75" customHeight="1">
      <c r="A1449" s="15">
        <v>8743.0</v>
      </c>
      <c r="B1449" s="16" t="s">
        <v>8623</v>
      </c>
      <c r="C1449" s="17" t="s">
        <v>8624</v>
      </c>
      <c r="D1449" s="16" t="s">
        <v>8623</v>
      </c>
      <c r="E1449" s="18" t="s">
        <v>4160</v>
      </c>
      <c r="F1449" s="19" t="str">
        <f t="shared" si="1"/>
        <v>XIPLG2</v>
      </c>
      <c r="G1449" s="19" t="s">
        <v>5408</v>
      </c>
      <c r="H1449" s="20" t="s">
        <v>3045</v>
      </c>
      <c r="I1449" s="19" t="s">
        <v>5409</v>
      </c>
      <c r="J1449" s="19" t="s">
        <v>5410</v>
      </c>
      <c r="K1449" s="21" t="s">
        <v>5411</v>
      </c>
      <c r="L1449" s="19" t="s">
        <v>7108</v>
      </c>
      <c r="M1449" s="16" t="s">
        <v>4159</v>
      </c>
      <c r="N1449" s="18"/>
      <c r="O1449" s="18"/>
      <c r="P1449" s="18">
        <f>VLOOKUP($A1449,MasterData!$C$1:$I$3001,1,FALSE)</f>
        <v>8743</v>
      </c>
      <c r="Q1449" s="18" t="str">
        <f t="shared" si="2"/>
        <v>XIPLG2</v>
      </c>
    </row>
    <row r="1450" ht="15.75" customHeight="1">
      <c r="A1450" s="15">
        <v>8747.0</v>
      </c>
      <c r="B1450" s="16" t="s">
        <v>8625</v>
      </c>
      <c r="C1450" s="17" t="s">
        <v>8626</v>
      </c>
      <c r="D1450" s="16" t="s">
        <v>8625</v>
      </c>
      <c r="E1450" s="18" t="s">
        <v>4162</v>
      </c>
      <c r="F1450" s="19" t="str">
        <f t="shared" si="1"/>
        <v>XIPLG2</v>
      </c>
      <c r="G1450" s="19" t="s">
        <v>5408</v>
      </c>
      <c r="H1450" s="20" t="s">
        <v>3045</v>
      </c>
      <c r="I1450" s="19" t="s">
        <v>5409</v>
      </c>
      <c r="J1450" s="19" t="s">
        <v>5410</v>
      </c>
      <c r="K1450" s="21" t="s">
        <v>5411</v>
      </c>
      <c r="L1450" s="19" t="s">
        <v>7108</v>
      </c>
      <c r="M1450" s="16" t="s">
        <v>4161</v>
      </c>
      <c r="N1450" s="18"/>
      <c r="O1450" s="18"/>
      <c r="P1450" s="18">
        <f>VLOOKUP($A1450,MasterData!$C$1:$I$3001,1,FALSE)</f>
        <v>8747</v>
      </c>
      <c r="Q1450" s="18" t="str">
        <f t="shared" si="2"/>
        <v>XIPLG2</v>
      </c>
    </row>
    <row r="1451" ht="15.75" customHeight="1">
      <c r="A1451" s="15">
        <v>8753.0</v>
      </c>
      <c r="B1451" s="16" t="s">
        <v>8627</v>
      </c>
      <c r="C1451" s="17" t="s">
        <v>8628</v>
      </c>
      <c r="D1451" s="16" t="s">
        <v>8627</v>
      </c>
      <c r="E1451" s="18" t="s">
        <v>4164</v>
      </c>
      <c r="F1451" s="19" t="str">
        <f t="shared" si="1"/>
        <v>XIPLG2</v>
      </c>
      <c r="G1451" s="19" t="s">
        <v>5408</v>
      </c>
      <c r="H1451" s="20" t="s">
        <v>3045</v>
      </c>
      <c r="I1451" s="19" t="s">
        <v>5409</v>
      </c>
      <c r="J1451" s="19" t="s">
        <v>5410</v>
      </c>
      <c r="K1451" s="21" t="s">
        <v>5411</v>
      </c>
      <c r="L1451" s="19" t="s">
        <v>7108</v>
      </c>
      <c r="M1451" s="16" t="s">
        <v>4163</v>
      </c>
      <c r="N1451" s="18"/>
      <c r="O1451" s="18"/>
      <c r="P1451" s="18">
        <f>VLOOKUP($A1451,MasterData!$C$1:$I$3001,1,FALSE)</f>
        <v>8753</v>
      </c>
      <c r="Q1451" s="18" t="str">
        <f t="shared" si="2"/>
        <v>XIPLG2</v>
      </c>
    </row>
    <row r="1452" ht="15.75" customHeight="1">
      <c r="A1452" s="15">
        <v>8757.0</v>
      </c>
      <c r="B1452" s="16" t="s">
        <v>8629</v>
      </c>
      <c r="C1452" s="17" t="s">
        <v>8630</v>
      </c>
      <c r="D1452" s="16" t="s">
        <v>8629</v>
      </c>
      <c r="E1452" s="18" t="s">
        <v>4166</v>
      </c>
      <c r="F1452" s="19" t="str">
        <f t="shared" si="1"/>
        <v>XIPLG2</v>
      </c>
      <c r="G1452" s="19" t="s">
        <v>5408</v>
      </c>
      <c r="H1452" s="20" t="s">
        <v>3045</v>
      </c>
      <c r="I1452" s="19" t="s">
        <v>5409</v>
      </c>
      <c r="J1452" s="19" t="s">
        <v>5410</v>
      </c>
      <c r="K1452" s="21" t="s">
        <v>5411</v>
      </c>
      <c r="L1452" s="19" t="s">
        <v>7108</v>
      </c>
      <c r="M1452" s="16" t="s">
        <v>4165</v>
      </c>
      <c r="N1452" s="18"/>
      <c r="O1452" s="18"/>
      <c r="P1452" s="18">
        <f>VLOOKUP($A1452,MasterData!$C$1:$I$3001,1,FALSE)</f>
        <v>8757</v>
      </c>
      <c r="Q1452" s="18" t="str">
        <f t="shared" si="2"/>
        <v>XIPLG2</v>
      </c>
    </row>
    <row r="1453" ht="15.75" customHeight="1">
      <c r="A1453" s="15">
        <v>8762.0</v>
      </c>
      <c r="B1453" s="16" t="s">
        <v>8631</v>
      </c>
      <c r="C1453" s="17" t="s">
        <v>8632</v>
      </c>
      <c r="D1453" s="16" t="s">
        <v>8631</v>
      </c>
      <c r="E1453" s="18" t="s">
        <v>4168</v>
      </c>
      <c r="F1453" s="19" t="str">
        <f t="shared" si="1"/>
        <v>XIPLG2</v>
      </c>
      <c r="G1453" s="19" t="s">
        <v>5408</v>
      </c>
      <c r="H1453" s="20" t="s">
        <v>3045</v>
      </c>
      <c r="I1453" s="19" t="s">
        <v>5409</v>
      </c>
      <c r="J1453" s="19" t="s">
        <v>5410</v>
      </c>
      <c r="K1453" s="21" t="s">
        <v>5411</v>
      </c>
      <c r="L1453" s="19" t="s">
        <v>7108</v>
      </c>
      <c r="M1453" s="16" t="s">
        <v>4167</v>
      </c>
      <c r="N1453" s="18"/>
      <c r="O1453" s="18"/>
      <c r="P1453" s="18">
        <f>VLOOKUP($A1453,MasterData!$C$1:$I$3001,1,FALSE)</f>
        <v>8762</v>
      </c>
      <c r="Q1453" s="18" t="str">
        <f t="shared" si="2"/>
        <v>XIPLG2</v>
      </c>
    </row>
    <row r="1454" ht="15.75" customHeight="1">
      <c r="A1454" s="15">
        <v>8777.0</v>
      </c>
      <c r="B1454" s="16" t="s">
        <v>8633</v>
      </c>
      <c r="C1454" s="17" t="s">
        <v>8634</v>
      </c>
      <c r="D1454" s="16" t="s">
        <v>8633</v>
      </c>
      <c r="E1454" s="18" t="s">
        <v>4170</v>
      </c>
      <c r="F1454" s="19" t="str">
        <f t="shared" si="1"/>
        <v>XIPLG2</v>
      </c>
      <c r="G1454" s="19" t="s">
        <v>5408</v>
      </c>
      <c r="H1454" s="20" t="s">
        <v>3045</v>
      </c>
      <c r="I1454" s="19" t="s">
        <v>5409</v>
      </c>
      <c r="J1454" s="19" t="s">
        <v>5410</v>
      </c>
      <c r="K1454" s="21" t="s">
        <v>5411</v>
      </c>
      <c r="L1454" s="19" t="s">
        <v>7108</v>
      </c>
      <c r="M1454" s="16" t="s">
        <v>4169</v>
      </c>
      <c r="N1454" s="18"/>
      <c r="O1454" s="18"/>
      <c r="P1454" s="18">
        <f>VLOOKUP($A1454,MasterData!$C$1:$I$3001,1,FALSE)</f>
        <v>8777</v>
      </c>
      <c r="Q1454" s="18" t="str">
        <f t="shared" si="2"/>
        <v>XIPLG2</v>
      </c>
    </row>
    <row r="1455" ht="15.75" customHeight="1">
      <c r="A1455" s="15">
        <v>8805.0</v>
      </c>
      <c r="B1455" s="16" t="s">
        <v>8635</v>
      </c>
      <c r="C1455" s="17" t="s">
        <v>8636</v>
      </c>
      <c r="D1455" s="16" t="s">
        <v>8635</v>
      </c>
      <c r="E1455" s="18" t="s">
        <v>4172</v>
      </c>
      <c r="F1455" s="19" t="str">
        <f t="shared" si="1"/>
        <v>XIPLG2</v>
      </c>
      <c r="G1455" s="19" t="s">
        <v>5408</v>
      </c>
      <c r="H1455" s="20" t="s">
        <v>3045</v>
      </c>
      <c r="I1455" s="19" t="s">
        <v>5409</v>
      </c>
      <c r="J1455" s="19" t="s">
        <v>5410</v>
      </c>
      <c r="K1455" s="21" t="s">
        <v>5411</v>
      </c>
      <c r="L1455" s="19" t="s">
        <v>7108</v>
      </c>
      <c r="M1455" s="16" t="s">
        <v>4171</v>
      </c>
      <c r="N1455" s="18"/>
      <c r="O1455" s="18"/>
      <c r="P1455" s="18">
        <f>VLOOKUP($A1455,MasterData!$C$1:$I$3001,1,FALSE)</f>
        <v>8805</v>
      </c>
      <c r="Q1455" s="18" t="str">
        <f t="shared" si="2"/>
        <v>XIPLG2</v>
      </c>
    </row>
    <row r="1456" ht="15.75" customHeight="1">
      <c r="A1456" s="15">
        <v>8823.0</v>
      </c>
      <c r="B1456" s="16" t="s">
        <v>8637</v>
      </c>
      <c r="C1456" s="17" t="s">
        <v>8638</v>
      </c>
      <c r="D1456" s="16" t="s">
        <v>8637</v>
      </c>
      <c r="E1456" s="18" t="s">
        <v>4174</v>
      </c>
      <c r="F1456" s="19" t="str">
        <f t="shared" si="1"/>
        <v>XIPLG2</v>
      </c>
      <c r="G1456" s="19" t="s">
        <v>5408</v>
      </c>
      <c r="H1456" s="20" t="s">
        <v>3045</v>
      </c>
      <c r="I1456" s="19" t="s">
        <v>5409</v>
      </c>
      <c r="J1456" s="19" t="s">
        <v>5410</v>
      </c>
      <c r="K1456" s="21" t="s">
        <v>5411</v>
      </c>
      <c r="L1456" s="19" t="s">
        <v>7108</v>
      </c>
      <c r="M1456" s="16" t="s">
        <v>4173</v>
      </c>
      <c r="N1456" s="18"/>
      <c r="O1456" s="18"/>
      <c r="P1456" s="18">
        <f>VLOOKUP($A1456,MasterData!$C$1:$I$3001,1,FALSE)</f>
        <v>8823</v>
      </c>
      <c r="Q1456" s="18" t="str">
        <f t="shared" si="2"/>
        <v>XIPLG2</v>
      </c>
    </row>
    <row r="1457" ht="15.75" customHeight="1">
      <c r="A1457" s="15">
        <v>8832.0</v>
      </c>
      <c r="B1457" s="16" t="s">
        <v>8639</v>
      </c>
      <c r="C1457" s="17" t="s">
        <v>8640</v>
      </c>
      <c r="D1457" s="16" t="s">
        <v>8639</v>
      </c>
      <c r="E1457" s="18" t="s">
        <v>4176</v>
      </c>
      <c r="F1457" s="19" t="str">
        <f t="shared" si="1"/>
        <v>XIPLG2</v>
      </c>
      <c r="G1457" s="19" t="s">
        <v>5408</v>
      </c>
      <c r="H1457" s="20" t="s">
        <v>3045</v>
      </c>
      <c r="I1457" s="19" t="s">
        <v>5409</v>
      </c>
      <c r="J1457" s="19" t="s">
        <v>5410</v>
      </c>
      <c r="K1457" s="21" t="s">
        <v>5411</v>
      </c>
      <c r="L1457" s="19" t="s">
        <v>7108</v>
      </c>
      <c r="M1457" s="16" t="s">
        <v>4175</v>
      </c>
      <c r="N1457" s="18"/>
      <c r="O1457" s="18"/>
      <c r="P1457" s="18">
        <f>VLOOKUP($A1457,MasterData!$C$1:$I$3001,1,FALSE)</f>
        <v>8832</v>
      </c>
      <c r="Q1457" s="18" t="str">
        <f t="shared" si="2"/>
        <v>XIPLG2</v>
      </c>
    </row>
    <row r="1458" ht="15.75" customHeight="1">
      <c r="A1458" s="15">
        <v>8841.0</v>
      </c>
      <c r="B1458" s="16" t="s">
        <v>8641</v>
      </c>
      <c r="C1458" s="17" t="s">
        <v>8642</v>
      </c>
      <c r="D1458" s="16" t="s">
        <v>8641</v>
      </c>
      <c r="E1458" s="18" t="s">
        <v>4178</v>
      </c>
      <c r="F1458" s="19" t="str">
        <f t="shared" si="1"/>
        <v>XIPLG2</v>
      </c>
      <c r="G1458" s="19" t="s">
        <v>5408</v>
      </c>
      <c r="H1458" s="20" t="s">
        <v>3045</v>
      </c>
      <c r="I1458" s="19" t="s">
        <v>5409</v>
      </c>
      <c r="J1458" s="19" t="s">
        <v>5410</v>
      </c>
      <c r="K1458" s="21" t="s">
        <v>5411</v>
      </c>
      <c r="L1458" s="19" t="s">
        <v>7108</v>
      </c>
      <c r="M1458" s="16" t="s">
        <v>4177</v>
      </c>
      <c r="N1458" s="18"/>
      <c r="O1458" s="18"/>
      <c r="P1458" s="18">
        <f>VLOOKUP($A1458,MasterData!$C$1:$I$3001,1,FALSE)</f>
        <v>8841</v>
      </c>
      <c r="Q1458" s="18" t="str">
        <f t="shared" si="2"/>
        <v>XIPLG2</v>
      </c>
    </row>
    <row r="1459" ht="15.75" customHeight="1">
      <c r="A1459" s="15">
        <v>8859.0</v>
      </c>
      <c r="B1459" s="16" t="s">
        <v>8643</v>
      </c>
      <c r="C1459" s="17" t="s">
        <v>8644</v>
      </c>
      <c r="D1459" s="16" t="s">
        <v>8643</v>
      </c>
      <c r="E1459" s="18" t="s">
        <v>4180</v>
      </c>
      <c r="F1459" s="19" t="str">
        <f t="shared" si="1"/>
        <v>XIPLG2</v>
      </c>
      <c r="G1459" s="19" t="s">
        <v>5408</v>
      </c>
      <c r="H1459" s="20" t="s">
        <v>3045</v>
      </c>
      <c r="I1459" s="19" t="s">
        <v>5409</v>
      </c>
      <c r="J1459" s="19" t="s">
        <v>5410</v>
      </c>
      <c r="K1459" s="21" t="s">
        <v>5411</v>
      </c>
      <c r="L1459" s="19" t="s">
        <v>7108</v>
      </c>
      <c r="M1459" s="16" t="s">
        <v>4179</v>
      </c>
      <c r="N1459" s="18"/>
      <c r="O1459" s="18"/>
      <c r="P1459" s="18">
        <f>VLOOKUP($A1459,MasterData!$C$1:$I$3001,1,FALSE)</f>
        <v>8859</v>
      </c>
      <c r="Q1459" s="18" t="str">
        <f t="shared" si="2"/>
        <v>XIPLG2</v>
      </c>
    </row>
    <row r="1460" ht="15.75" customHeight="1">
      <c r="A1460" s="15">
        <v>8877.0</v>
      </c>
      <c r="B1460" s="16" t="s">
        <v>8645</v>
      </c>
      <c r="C1460" s="17" t="s">
        <v>8646</v>
      </c>
      <c r="D1460" s="16" t="s">
        <v>8645</v>
      </c>
      <c r="E1460" s="18" t="s">
        <v>4182</v>
      </c>
      <c r="F1460" s="19" t="str">
        <f t="shared" si="1"/>
        <v>XIPLG2</v>
      </c>
      <c r="G1460" s="19" t="s">
        <v>5408</v>
      </c>
      <c r="H1460" s="20" t="s">
        <v>3045</v>
      </c>
      <c r="I1460" s="19" t="s">
        <v>5409</v>
      </c>
      <c r="J1460" s="19" t="s">
        <v>5410</v>
      </c>
      <c r="K1460" s="21" t="s">
        <v>5411</v>
      </c>
      <c r="L1460" s="19" t="s">
        <v>7108</v>
      </c>
      <c r="M1460" s="16" t="s">
        <v>4181</v>
      </c>
      <c r="N1460" s="18"/>
      <c r="O1460" s="18"/>
      <c r="P1460" s="18">
        <f>VLOOKUP($A1460,MasterData!$C$1:$I$3001,1,FALSE)</f>
        <v>8877</v>
      </c>
      <c r="Q1460" s="18" t="str">
        <f t="shared" si="2"/>
        <v>XIPLG2</v>
      </c>
    </row>
    <row r="1461" ht="15.75" customHeight="1">
      <c r="A1461" s="15">
        <v>8879.0</v>
      </c>
      <c r="B1461" s="16" t="s">
        <v>8647</v>
      </c>
      <c r="C1461" s="17" t="s">
        <v>8648</v>
      </c>
      <c r="D1461" s="16" t="s">
        <v>8647</v>
      </c>
      <c r="E1461" s="18" t="s">
        <v>4184</v>
      </c>
      <c r="F1461" s="19" t="str">
        <f t="shared" si="1"/>
        <v>XIPLG2</v>
      </c>
      <c r="G1461" s="19" t="s">
        <v>5408</v>
      </c>
      <c r="H1461" s="20" t="s">
        <v>3045</v>
      </c>
      <c r="I1461" s="19" t="s">
        <v>5409</v>
      </c>
      <c r="J1461" s="19" t="s">
        <v>5410</v>
      </c>
      <c r="K1461" s="21" t="s">
        <v>5411</v>
      </c>
      <c r="L1461" s="19" t="s">
        <v>7108</v>
      </c>
      <c r="M1461" s="16" t="s">
        <v>4183</v>
      </c>
      <c r="N1461" s="18"/>
      <c r="O1461" s="18"/>
      <c r="P1461" s="18">
        <f>VLOOKUP($A1461,MasterData!$C$1:$I$3001,1,FALSE)</f>
        <v>8879</v>
      </c>
      <c r="Q1461" s="18" t="str">
        <f t="shared" si="2"/>
        <v>XIPLG2</v>
      </c>
    </row>
    <row r="1462" ht="15.75" customHeight="1">
      <c r="A1462" s="15">
        <v>8910.0</v>
      </c>
      <c r="B1462" s="16" t="s">
        <v>8649</v>
      </c>
      <c r="C1462" s="17" t="s">
        <v>8650</v>
      </c>
      <c r="D1462" s="16" t="s">
        <v>8649</v>
      </c>
      <c r="E1462" s="18" t="s">
        <v>4186</v>
      </c>
      <c r="F1462" s="19" t="str">
        <f t="shared" si="1"/>
        <v>XIPLG2</v>
      </c>
      <c r="G1462" s="19" t="s">
        <v>5408</v>
      </c>
      <c r="H1462" s="20" t="s">
        <v>3045</v>
      </c>
      <c r="I1462" s="19" t="s">
        <v>5409</v>
      </c>
      <c r="J1462" s="19" t="s">
        <v>5410</v>
      </c>
      <c r="K1462" s="21" t="s">
        <v>5411</v>
      </c>
      <c r="L1462" s="19" t="s">
        <v>7108</v>
      </c>
      <c r="M1462" s="16" t="s">
        <v>4185</v>
      </c>
      <c r="N1462" s="18"/>
      <c r="O1462" s="18"/>
      <c r="P1462" s="18">
        <f>VLOOKUP($A1462,MasterData!$C$1:$I$3001,1,FALSE)</f>
        <v>8910</v>
      </c>
      <c r="Q1462" s="18" t="str">
        <f t="shared" si="2"/>
        <v>XIPLG2</v>
      </c>
    </row>
    <row r="1463" ht="15.75" customHeight="1">
      <c r="A1463" s="15">
        <v>8919.0</v>
      </c>
      <c r="B1463" s="16" t="s">
        <v>8651</v>
      </c>
      <c r="C1463" s="17" t="s">
        <v>8652</v>
      </c>
      <c r="D1463" s="16" t="s">
        <v>8651</v>
      </c>
      <c r="E1463" s="18" t="s">
        <v>4188</v>
      </c>
      <c r="F1463" s="19" t="str">
        <f t="shared" si="1"/>
        <v>XIPLG2</v>
      </c>
      <c r="G1463" s="19" t="s">
        <v>5408</v>
      </c>
      <c r="H1463" s="20" t="s">
        <v>3045</v>
      </c>
      <c r="I1463" s="19" t="s">
        <v>5409</v>
      </c>
      <c r="J1463" s="19" t="s">
        <v>5410</v>
      </c>
      <c r="K1463" s="21" t="s">
        <v>5411</v>
      </c>
      <c r="L1463" s="19" t="s">
        <v>7108</v>
      </c>
      <c r="M1463" s="16" t="s">
        <v>4187</v>
      </c>
      <c r="N1463" s="18"/>
      <c r="O1463" s="18"/>
      <c r="P1463" s="18">
        <f>VLOOKUP($A1463,MasterData!$C$1:$I$3001,1,FALSE)</f>
        <v>8919</v>
      </c>
      <c r="Q1463" s="18" t="str">
        <f t="shared" si="2"/>
        <v>XIPLG2</v>
      </c>
    </row>
    <row r="1464" ht="15.75" customHeight="1">
      <c r="A1464" s="15">
        <v>8925.0</v>
      </c>
      <c r="B1464" s="16" t="s">
        <v>8653</v>
      </c>
      <c r="C1464" s="17" t="s">
        <v>8654</v>
      </c>
      <c r="D1464" s="16" t="s">
        <v>8653</v>
      </c>
      <c r="E1464" s="18" t="s">
        <v>4190</v>
      </c>
      <c r="F1464" s="19" t="str">
        <f t="shared" si="1"/>
        <v>XIPLG2</v>
      </c>
      <c r="G1464" s="19" t="s">
        <v>5408</v>
      </c>
      <c r="H1464" s="20" t="s">
        <v>3045</v>
      </c>
      <c r="I1464" s="19" t="s">
        <v>5409</v>
      </c>
      <c r="J1464" s="19" t="s">
        <v>5410</v>
      </c>
      <c r="K1464" s="21" t="s">
        <v>5411</v>
      </c>
      <c r="L1464" s="19" t="s">
        <v>7108</v>
      </c>
      <c r="M1464" s="16" t="s">
        <v>4189</v>
      </c>
      <c r="N1464" s="18"/>
      <c r="O1464" s="18"/>
      <c r="P1464" s="18">
        <f>VLOOKUP($A1464,MasterData!$C$1:$I$3001,1,FALSE)</f>
        <v>8925</v>
      </c>
      <c r="Q1464" s="18" t="str">
        <f t="shared" si="2"/>
        <v>XIPLG2</v>
      </c>
    </row>
    <row r="1465" ht="15.75" customHeight="1">
      <c r="A1465" s="15">
        <v>8937.0</v>
      </c>
      <c r="B1465" s="16" t="s">
        <v>8655</v>
      </c>
      <c r="C1465" s="17" t="s">
        <v>8656</v>
      </c>
      <c r="D1465" s="16" t="s">
        <v>8655</v>
      </c>
      <c r="E1465" s="18" t="s">
        <v>4192</v>
      </c>
      <c r="F1465" s="19" t="str">
        <f t="shared" si="1"/>
        <v>XIPLG2</v>
      </c>
      <c r="G1465" s="19" t="s">
        <v>5408</v>
      </c>
      <c r="H1465" s="20" t="s">
        <v>3045</v>
      </c>
      <c r="I1465" s="19" t="s">
        <v>5409</v>
      </c>
      <c r="J1465" s="19" t="s">
        <v>5410</v>
      </c>
      <c r="K1465" s="21" t="s">
        <v>5411</v>
      </c>
      <c r="L1465" s="19" t="s">
        <v>7108</v>
      </c>
      <c r="M1465" s="16" t="s">
        <v>4191</v>
      </c>
      <c r="N1465" s="18"/>
      <c r="O1465" s="18"/>
      <c r="P1465" s="18">
        <f>VLOOKUP($A1465,MasterData!$C$1:$I$3001,1,FALSE)</f>
        <v>8937</v>
      </c>
      <c r="Q1465" s="18" t="str">
        <f t="shared" si="2"/>
        <v>XIPLG2</v>
      </c>
    </row>
    <row r="1466" ht="15.75" customHeight="1">
      <c r="A1466" s="15">
        <v>8963.0</v>
      </c>
      <c r="B1466" s="16" t="s">
        <v>8657</v>
      </c>
      <c r="C1466" s="17" t="s">
        <v>8658</v>
      </c>
      <c r="D1466" s="16" t="s">
        <v>8657</v>
      </c>
      <c r="E1466" s="18" t="s">
        <v>4194</v>
      </c>
      <c r="F1466" s="19" t="str">
        <f t="shared" si="1"/>
        <v>XIPLG2</v>
      </c>
      <c r="G1466" s="19" t="s">
        <v>5408</v>
      </c>
      <c r="H1466" s="20" t="s">
        <v>3045</v>
      </c>
      <c r="I1466" s="19" t="s">
        <v>5409</v>
      </c>
      <c r="J1466" s="19" t="s">
        <v>5410</v>
      </c>
      <c r="K1466" s="21" t="s">
        <v>5411</v>
      </c>
      <c r="L1466" s="19" t="s">
        <v>7108</v>
      </c>
      <c r="M1466" s="16" t="s">
        <v>4193</v>
      </c>
      <c r="N1466" s="18"/>
      <c r="O1466" s="18"/>
      <c r="P1466" s="18">
        <f>VLOOKUP($A1466,MasterData!$C$1:$I$3001,1,FALSE)</f>
        <v>8963</v>
      </c>
      <c r="Q1466" s="18" t="str">
        <f t="shared" si="2"/>
        <v>XIPLG2</v>
      </c>
    </row>
    <row r="1467" ht="15.75" customHeight="1">
      <c r="A1467" s="15">
        <v>8990.0</v>
      </c>
      <c r="B1467" s="16" t="s">
        <v>8659</v>
      </c>
      <c r="C1467" s="17" t="s">
        <v>8660</v>
      </c>
      <c r="D1467" s="16" t="s">
        <v>8659</v>
      </c>
      <c r="E1467" s="18" t="s">
        <v>4196</v>
      </c>
      <c r="F1467" s="19" t="str">
        <f t="shared" si="1"/>
        <v>XIPLG2</v>
      </c>
      <c r="G1467" s="19" t="s">
        <v>5408</v>
      </c>
      <c r="H1467" s="20" t="s">
        <v>3045</v>
      </c>
      <c r="I1467" s="19" t="s">
        <v>5409</v>
      </c>
      <c r="J1467" s="19" t="s">
        <v>5410</v>
      </c>
      <c r="K1467" s="21" t="s">
        <v>5411</v>
      </c>
      <c r="L1467" s="19" t="s">
        <v>7108</v>
      </c>
      <c r="M1467" s="16" t="s">
        <v>4195</v>
      </c>
      <c r="N1467" s="18"/>
      <c r="O1467" s="18"/>
      <c r="P1467" s="18">
        <f>VLOOKUP($A1467,MasterData!$C$1:$I$3001,1,FALSE)</f>
        <v>8990</v>
      </c>
      <c r="Q1467" s="18" t="str">
        <f t="shared" si="2"/>
        <v>XIPLG2</v>
      </c>
    </row>
    <row r="1468" ht="15.75" customHeight="1">
      <c r="A1468" s="15">
        <v>8997.0</v>
      </c>
      <c r="B1468" s="16" t="s">
        <v>8661</v>
      </c>
      <c r="C1468" s="17" t="s">
        <v>8662</v>
      </c>
      <c r="D1468" s="16" t="s">
        <v>8661</v>
      </c>
      <c r="E1468" s="18" t="s">
        <v>4198</v>
      </c>
      <c r="F1468" s="19" t="str">
        <f t="shared" si="1"/>
        <v>XIPLG2</v>
      </c>
      <c r="G1468" s="19" t="s">
        <v>5408</v>
      </c>
      <c r="H1468" s="20" t="s">
        <v>3045</v>
      </c>
      <c r="I1468" s="19" t="s">
        <v>5409</v>
      </c>
      <c r="J1468" s="19" t="s">
        <v>5410</v>
      </c>
      <c r="K1468" s="21" t="s">
        <v>5411</v>
      </c>
      <c r="L1468" s="19" t="s">
        <v>7108</v>
      </c>
      <c r="M1468" s="16" t="s">
        <v>4197</v>
      </c>
      <c r="N1468" s="18"/>
      <c r="O1468" s="18"/>
      <c r="P1468" s="18">
        <f>VLOOKUP($A1468,MasterData!$C$1:$I$3001,1,FALSE)</f>
        <v>8997</v>
      </c>
      <c r="Q1468" s="18" t="str">
        <f t="shared" si="2"/>
        <v>XIPLG2</v>
      </c>
    </row>
    <row r="1469" ht="15.75" customHeight="1">
      <c r="A1469" s="15">
        <v>9013.0</v>
      </c>
      <c r="B1469" s="16" t="s">
        <v>8663</v>
      </c>
      <c r="C1469" s="17" t="s">
        <v>8664</v>
      </c>
      <c r="D1469" s="16" t="s">
        <v>8663</v>
      </c>
      <c r="E1469" s="18" t="s">
        <v>4200</v>
      </c>
      <c r="F1469" s="19" t="str">
        <f t="shared" si="1"/>
        <v>XIPLG2</v>
      </c>
      <c r="G1469" s="19" t="s">
        <v>5408</v>
      </c>
      <c r="H1469" s="20" t="s">
        <v>3045</v>
      </c>
      <c r="I1469" s="19" t="s">
        <v>5409</v>
      </c>
      <c r="J1469" s="19" t="s">
        <v>5410</v>
      </c>
      <c r="K1469" s="21" t="s">
        <v>5411</v>
      </c>
      <c r="L1469" s="19" t="s">
        <v>7108</v>
      </c>
      <c r="M1469" s="16" t="s">
        <v>4199</v>
      </c>
      <c r="N1469" s="18"/>
      <c r="O1469" s="18"/>
      <c r="P1469" s="18">
        <f>VLOOKUP($A1469,MasterData!$C$1:$I$3001,1,FALSE)</f>
        <v>9013</v>
      </c>
      <c r="Q1469" s="18" t="str">
        <f t="shared" si="2"/>
        <v>XIPLG2</v>
      </c>
    </row>
    <row r="1470" ht="15.75" customHeight="1">
      <c r="A1470" s="15">
        <v>9046.0</v>
      </c>
      <c r="B1470" s="16" t="s">
        <v>8665</v>
      </c>
      <c r="C1470" s="17" t="s">
        <v>8666</v>
      </c>
      <c r="D1470" s="16" t="s">
        <v>8665</v>
      </c>
      <c r="E1470" s="18" t="s">
        <v>4202</v>
      </c>
      <c r="F1470" s="19" t="str">
        <f t="shared" si="1"/>
        <v>XIPLG2</v>
      </c>
      <c r="G1470" s="19" t="s">
        <v>5408</v>
      </c>
      <c r="H1470" s="20" t="s">
        <v>3045</v>
      </c>
      <c r="I1470" s="19" t="s">
        <v>5409</v>
      </c>
      <c r="J1470" s="19" t="s">
        <v>5410</v>
      </c>
      <c r="K1470" s="21" t="s">
        <v>5411</v>
      </c>
      <c r="L1470" s="19" t="s">
        <v>7108</v>
      </c>
      <c r="M1470" s="16" t="s">
        <v>4201</v>
      </c>
      <c r="N1470" s="18"/>
      <c r="O1470" s="18"/>
      <c r="P1470" s="18">
        <f>VLOOKUP($A1470,MasterData!$C$1:$I$3001,1,FALSE)</f>
        <v>9046</v>
      </c>
      <c r="Q1470" s="18" t="str">
        <f t="shared" si="2"/>
        <v>XIPLG2</v>
      </c>
    </row>
    <row r="1471" ht="15.75" customHeight="1">
      <c r="A1471" s="15">
        <v>9078.0</v>
      </c>
      <c r="B1471" s="16" t="s">
        <v>8667</v>
      </c>
      <c r="C1471" s="17" t="s">
        <v>8668</v>
      </c>
      <c r="D1471" s="16" t="s">
        <v>8667</v>
      </c>
      <c r="E1471" s="18" t="s">
        <v>4204</v>
      </c>
      <c r="F1471" s="19" t="str">
        <f t="shared" si="1"/>
        <v>XIPLG2</v>
      </c>
      <c r="G1471" s="19" t="s">
        <v>5408</v>
      </c>
      <c r="H1471" s="20" t="s">
        <v>3045</v>
      </c>
      <c r="I1471" s="19" t="s">
        <v>5409</v>
      </c>
      <c r="J1471" s="19" t="s">
        <v>5410</v>
      </c>
      <c r="K1471" s="21" t="s">
        <v>5411</v>
      </c>
      <c r="L1471" s="19" t="s">
        <v>7108</v>
      </c>
      <c r="M1471" s="16" t="s">
        <v>4203</v>
      </c>
      <c r="N1471" s="18"/>
      <c r="O1471" s="18"/>
      <c r="P1471" s="18">
        <f>VLOOKUP($A1471,MasterData!$C$1:$I$3001,1,FALSE)</f>
        <v>9078</v>
      </c>
      <c r="Q1471" s="18" t="str">
        <f t="shared" si="2"/>
        <v>XIPLG2</v>
      </c>
    </row>
    <row r="1472" ht="15.75" customHeight="1">
      <c r="A1472" s="15">
        <v>9083.0</v>
      </c>
      <c r="B1472" s="16" t="s">
        <v>8669</v>
      </c>
      <c r="C1472" s="17" t="s">
        <v>8670</v>
      </c>
      <c r="D1472" s="16" t="s">
        <v>8669</v>
      </c>
      <c r="E1472" s="18" t="s">
        <v>4206</v>
      </c>
      <c r="F1472" s="19" t="str">
        <f t="shared" si="1"/>
        <v>XIPLG2</v>
      </c>
      <c r="G1472" s="19" t="s">
        <v>5408</v>
      </c>
      <c r="H1472" s="20" t="s">
        <v>3045</v>
      </c>
      <c r="I1472" s="19" t="s">
        <v>5409</v>
      </c>
      <c r="J1472" s="19" t="s">
        <v>5410</v>
      </c>
      <c r="K1472" s="21" t="s">
        <v>5411</v>
      </c>
      <c r="L1472" s="19" t="s">
        <v>7108</v>
      </c>
      <c r="M1472" s="16" t="s">
        <v>4205</v>
      </c>
      <c r="N1472" s="18"/>
      <c r="O1472" s="18"/>
      <c r="P1472" s="18">
        <f>VLOOKUP($A1472,MasterData!$C$1:$I$3001,1,FALSE)</f>
        <v>9083</v>
      </c>
      <c r="Q1472" s="18" t="str">
        <f t="shared" si="2"/>
        <v>XIPLG2</v>
      </c>
    </row>
    <row r="1473" ht="15.75" customHeight="1">
      <c r="A1473" s="15">
        <v>9108.0</v>
      </c>
      <c r="B1473" s="16" t="s">
        <v>8671</v>
      </c>
      <c r="C1473" s="17" t="s">
        <v>8672</v>
      </c>
      <c r="D1473" s="16" t="s">
        <v>8671</v>
      </c>
      <c r="E1473" s="18" t="s">
        <v>4208</v>
      </c>
      <c r="F1473" s="19" t="str">
        <f t="shared" si="1"/>
        <v>XIPLG2</v>
      </c>
      <c r="G1473" s="19" t="s">
        <v>5408</v>
      </c>
      <c r="H1473" s="20" t="s">
        <v>3045</v>
      </c>
      <c r="I1473" s="19" t="s">
        <v>5409</v>
      </c>
      <c r="J1473" s="19" t="s">
        <v>5410</v>
      </c>
      <c r="K1473" s="21" t="s">
        <v>5411</v>
      </c>
      <c r="L1473" s="19" t="s">
        <v>7108</v>
      </c>
      <c r="M1473" s="16" t="s">
        <v>4207</v>
      </c>
      <c r="N1473" s="18"/>
      <c r="O1473" s="18"/>
      <c r="P1473" s="18">
        <f>VLOOKUP($A1473,MasterData!$C$1:$I$3001,1,FALSE)</f>
        <v>9108</v>
      </c>
      <c r="Q1473" s="18" t="str">
        <f t="shared" si="2"/>
        <v>XIPLG2</v>
      </c>
    </row>
    <row r="1474" ht="15.75" customHeight="1">
      <c r="A1474" s="15">
        <v>9113.0</v>
      </c>
      <c r="B1474" s="16" t="s">
        <v>8673</v>
      </c>
      <c r="C1474" s="17" t="s">
        <v>8674</v>
      </c>
      <c r="D1474" s="16" t="s">
        <v>8673</v>
      </c>
      <c r="E1474" s="18" t="s">
        <v>4210</v>
      </c>
      <c r="F1474" s="19" t="str">
        <f t="shared" si="1"/>
        <v>XIPLG2</v>
      </c>
      <c r="G1474" s="19" t="s">
        <v>5408</v>
      </c>
      <c r="H1474" s="20" t="s">
        <v>3045</v>
      </c>
      <c r="I1474" s="19" t="s">
        <v>5409</v>
      </c>
      <c r="J1474" s="19" t="s">
        <v>5410</v>
      </c>
      <c r="K1474" s="21" t="s">
        <v>5411</v>
      </c>
      <c r="L1474" s="19" t="s">
        <v>7108</v>
      </c>
      <c r="M1474" s="16" t="s">
        <v>4209</v>
      </c>
      <c r="N1474" s="18"/>
      <c r="O1474" s="18"/>
      <c r="P1474" s="18">
        <f>VLOOKUP($A1474,MasterData!$C$1:$I$3001,1,FALSE)</f>
        <v>9113</v>
      </c>
      <c r="Q1474" s="18" t="str">
        <f t="shared" si="2"/>
        <v>XIPLG2</v>
      </c>
    </row>
    <row r="1475" ht="15.75" customHeight="1">
      <c r="A1475" s="15">
        <v>9149.0</v>
      </c>
      <c r="B1475" s="16" t="s">
        <v>8675</v>
      </c>
      <c r="C1475" s="17" t="s">
        <v>8676</v>
      </c>
      <c r="D1475" s="16" t="s">
        <v>8675</v>
      </c>
      <c r="E1475" s="18" t="s">
        <v>4212</v>
      </c>
      <c r="F1475" s="19" t="str">
        <f t="shared" si="1"/>
        <v>XIPLG2</v>
      </c>
      <c r="G1475" s="19" t="s">
        <v>5408</v>
      </c>
      <c r="H1475" s="20" t="s">
        <v>3045</v>
      </c>
      <c r="I1475" s="19" t="s">
        <v>5409</v>
      </c>
      <c r="J1475" s="19" t="s">
        <v>5410</v>
      </c>
      <c r="K1475" s="21" t="s">
        <v>5411</v>
      </c>
      <c r="L1475" s="19" t="s">
        <v>7108</v>
      </c>
      <c r="M1475" s="16" t="s">
        <v>4211</v>
      </c>
      <c r="N1475" s="18"/>
      <c r="O1475" s="18"/>
      <c r="P1475" s="18">
        <f>VLOOKUP($A1475,MasterData!$C$1:$I$3001,1,FALSE)</f>
        <v>9149</v>
      </c>
      <c r="Q1475" s="18" t="str">
        <f t="shared" si="2"/>
        <v>XIPLG2</v>
      </c>
    </row>
    <row r="1476" ht="15.75" customHeight="1">
      <c r="A1476" s="15">
        <v>9177.0</v>
      </c>
      <c r="B1476" s="16" t="s">
        <v>8677</v>
      </c>
      <c r="C1476" s="17" t="s">
        <v>8678</v>
      </c>
      <c r="D1476" s="16" t="s">
        <v>8677</v>
      </c>
      <c r="E1476" s="18" t="s">
        <v>4214</v>
      </c>
      <c r="F1476" s="19" t="str">
        <f t="shared" si="1"/>
        <v>XIPLG2</v>
      </c>
      <c r="G1476" s="19" t="s">
        <v>5408</v>
      </c>
      <c r="H1476" s="20" t="s">
        <v>3045</v>
      </c>
      <c r="I1476" s="19" t="s">
        <v>5409</v>
      </c>
      <c r="J1476" s="19" t="s">
        <v>5410</v>
      </c>
      <c r="K1476" s="21" t="s">
        <v>5411</v>
      </c>
      <c r="L1476" s="19" t="s">
        <v>7108</v>
      </c>
      <c r="M1476" s="16" t="s">
        <v>4213</v>
      </c>
      <c r="N1476" s="18"/>
      <c r="O1476" s="18"/>
      <c r="P1476" s="18">
        <f>VLOOKUP($A1476,MasterData!$C$1:$I$3001,1,FALSE)</f>
        <v>9177</v>
      </c>
      <c r="Q1476" s="18" t="str">
        <f t="shared" si="2"/>
        <v>XIPLG2</v>
      </c>
    </row>
    <row r="1477" ht="15.75" customHeight="1">
      <c r="A1477" s="15">
        <v>9187.0</v>
      </c>
      <c r="B1477" s="16" t="s">
        <v>8679</v>
      </c>
      <c r="C1477" s="17" t="s">
        <v>8680</v>
      </c>
      <c r="D1477" s="16" t="s">
        <v>8679</v>
      </c>
      <c r="E1477" s="18" t="s">
        <v>4216</v>
      </c>
      <c r="F1477" s="19" t="str">
        <f t="shared" si="1"/>
        <v>XIPLG2</v>
      </c>
      <c r="G1477" s="19" t="s">
        <v>5408</v>
      </c>
      <c r="H1477" s="20" t="s">
        <v>3045</v>
      </c>
      <c r="I1477" s="19" t="s">
        <v>5409</v>
      </c>
      <c r="J1477" s="19" t="s">
        <v>5410</v>
      </c>
      <c r="K1477" s="21" t="s">
        <v>5411</v>
      </c>
      <c r="L1477" s="19" t="s">
        <v>7108</v>
      </c>
      <c r="M1477" s="16" t="s">
        <v>4215</v>
      </c>
      <c r="N1477" s="18"/>
      <c r="O1477" s="18"/>
      <c r="P1477" s="18">
        <f>VLOOKUP($A1477,MasterData!$C$1:$I$3001,1,FALSE)</f>
        <v>9187</v>
      </c>
      <c r="Q1477" s="18" t="str">
        <f t="shared" si="2"/>
        <v>XIPLG2</v>
      </c>
    </row>
    <row r="1478" ht="15.75" customHeight="1">
      <c r="A1478" s="15">
        <v>9221.0</v>
      </c>
      <c r="B1478" s="16" t="s">
        <v>8681</v>
      </c>
      <c r="C1478" s="17" t="s">
        <v>8682</v>
      </c>
      <c r="D1478" s="16" t="s">
        <v>8681</v>
      </c>
      <c r="E1478" s="18" t="s">
        <v>4218</v>
      </c>
      <c r="F1478" s="19" t="str">
        <f t="shared" si="1"/>
        <v>XIPLG2</v>
      </c>
      <c r="G1478" s="19" t="s">
        <v>5408</v>
      </c>
      <c r="H1478" s="20" t="s">
        <v>3045</v>
      </c>
      <c r="I1478" s="19" t="s">
        <v>5409</v>
      </c>
      <c r="J1478" s="19" t="s">
        <v>5410</v>
      </c>
      <c r="K1478" s="21" t="s">
        <v>5411</v>
      </c>
      <c r="L1478" s="19" t="s">
        <v>7108</v>
      </c>
      <c r="M1478" s="16" t="s">
        <v>4217</v>
      </c>
      <c r="N1478" s="18"/>
      <c r="O1478" s="18"/>
      <c r="P1478" s="18">
        <f>VLOOKUP($A1478,MasterData!$C$1:$I$3001,1,FALSE)</f>
        <v>9221</v>
      </c>
      <c r="Q1478" s="18" t="str">
        <f t="shared" si="2"/>
        <v>XIPLG2</v>
      </c>
    </row>
    <row r="1479" ht="15.75" customHeight="1">
      <c r="A1479" s="15">
        <v>9242.0</v>
      </c>
      <c r="B1479" s="16" t="s">
        <v>8683</v>
      </c>
      <c r="C1479" s="17" t="s">
        <v>8684</v>
      </c>
      <c r="D1479" s="16" t="s">
        <v>8683</v>
      </c>
      <c r="E1479" s="18" t="s">
        <v>4220</v>
      </c>
      <c r="F1479" s="19" t="str">
        <f t="shared" si="1"/>
        <v>XIPLG2</v>
      </c>
      <c r="G1479" s="19" t="s">
        <v>5408</v>
      </c>
      <c r="H1479" s="20" t="s">
        <v>3045</v>
      </c>
      <c r="I1479" s="19" t="s">
        <v>5409</v>
      </c>
      <c r="J1479" s="19" t="s">
        <v>5410</v>
      </c>
      <c r="K1479" s="21" t="s">
        <v>5411</v>
      </c>
      <c r="L1479" s="19" t="s">
        <v>7108</v>
      </c>
      <c r="M1479" s="16" t="s">
        <v>4219</v>
      </c>
      <c r="N1479" s="18"/>
      <c r="O1479" s="18"/>
      <c r="P1479" s="18">
        <f>VLOOKUP($A1479,MasterData!$C$1:$I$3001,1,FALSE)</f>
        <v>9242</v>
      </c>
      <c r="Q1479" s="18" t="str">
        <f t="shared" si="2"/>
        <v>XIPLG2</v>
      </c>
    </row>
    <row r="1480" ht="15.75" customHeight="1">
      <c r="A1480" s="31">
        <v>9256.0</v>
      </c>
      <c r="B1480" s="22" t="s">
        <v>2075</v>
      </c>
      <c r="C1480" s="24" t="s">
        <v>8685</v>
      </c>
      <c r="D1480" s="33" t="s">
        <v>2075</v>
      </c>
      <c r="E1480" s="22" t="s">
        <v>2074</v>
      </c>
      <c r="F1480" s="19" t="str">
        <f t="shared" si="1"/>
        <v>XRPL1</v>
      </c>
      <c r="G1480" s="19" t="s">
        <v>5408</v>
      </c>
      <c r="H1480" s="20" t="s">
        <v>1212</v>
      </c>
      <c r="I1480" s="19" t="s">
        <v>5409</v>
      </c>
      <c r="J1480" s="19" t="s">
        <v>5410</v>
      </c>
      <c r="K1480" s="25" t="s">
        <v>7500</v>
      </c>
      <c r="L1480" s="20" t="s">
        <v>8686</v>
      </c>
      <c r="M1480" s="23" t="s">
        <v>2073</v>
      </c>
      <c r="N1480" s="18"/>
      <c r="O1480" s="18"/>
      <c r="P1480" s="18">
        <f>VLOOKUP($A1480,MasterData!$C$1:$I$3001,1,FALSE)</f>
        <v>9256</v>
      </c>
      <c r="Q1480" s="18" t="str">
        <f t="shared" si="2"/>
        <v>XRPL1</v>
      </c>
    </row>
    <row r="1481" ht="15.75" customHeight="1">
      <c r="A1481" s="31">
        <v>9287.0</v>
      </c>
      <c r="B1481" s="22" t="s">
        <v>2078</v>
      </c>
      <c r="C1481" s="24" t="s">
        <v>8687</v>
      </c>
      <c r="D1481" s="33" t="s">
        <v>2078</v>
      </c>
      <c r="E1481" s="22" t="s">
        <v>2077</v>
      </c>
      <c r="F1481" s="19" t="str">
        <f t="shared" si="1"/>
        <v>XRPL1</v>
      </c>
      <c r="G1481" s="19" t="s">
        <v>5408</v>
      </c>
      <c r="H1481" s="20" t="s">
        <v>1212</v>
      </c>
      <c r="I1481" s="19" t="s">
        <v>5409</v>
      </c>
      <c r="J1481" s="19" t="s">
        <v>5410</v>
      </c>
      <c r="K1481" s="25" t="s">
        <v>7500</v>
      </c>
      <c r="L1481" s="20" t="s">
        <v>8686</v>
      </c>
      <c r="M1481" s="23" t="s">
        <v>2076</v>
      </c>
      <c r="N1481" s="18"/>
      <c r="O1481" s="18"/>
      <c r="P1481" s="18">
        <f>VLOOKUP($A1481,MasterData!$C$1:$I$3001,1,FALSE)</f>
        <v>9287</v>
      </c>
      <c r="Q1481" s="18" t="str">
        <f t="shared" si="2"/>
        <v>XRPL1</v>
      </c>
    </row>
    <row r="1482" ht="15.75" customHeight="1">
      <c r="A1482" s="31">
        <v>9299.0</v>
      </c>
      <c r="B1482" s="22" t="s">
        <v>2081</v>
      </c>
      <c r="C1482" s="24" t="s">
        <v>8688</v>
      </c>
      <c r="D1482" s="33" t="s">
        <v>2081</v>
      </c>
      <c r="E1482" s="22" t="s">
        <v>2080</v>
      </c>
      <c r="F1482" s="19" t="str">
        <f t="shared" si="1"/>
        <v>XRPL1</v>
      </c>
      <c r="G1482" s="19" t="s">
        <v>5408</v>
      </c>
      <c r="H1482" s="20" t="s">
        <v>1212</v>
      </c>
      <c r="I1482" s="19" t="s">
        <v>5409</v>
      </c>
      <c r="J1482" s="19" t="s">
        <v>5410</v>
      </c>
      <c r="K1482" s="25" t="s">
        <v>7500</v>
      </c>
      <c r="L1482" s="20" t="s">
        <v>8686</v>
      </c>
      <c r="M1482" s="23" t="s">
        <v>2079</v>
      </c>
      <c r="N1482" s="18"/>
      <c r="O1482" s="18"/>
      <c r="P1482" s="18">
        <f>VLOOKUP($A1482,MasterData!$C$1:$I$3001,1,FALSE)</f>
        <v>9299</v>
      </c>
      <c r="Q1482" s="18" t="str">
        <f t="shared" si="2"/>
        <v>XRPL1</v>
      </c>
    </row>
    <row r="1483" ht="15.75" customHeight="1">
      <c r="A1483" s="31">
        <v>9321.0</v>
      </c>
      <c r="B1483" s="22" t="s">
        <v>2084</v>
      </c>
      <c r="C1483" s="24" t="s">
        <v>8689</v>
      </c>
      <c r="D1483" s="33" t="s">
        <v>2084</v>
      </c>
      <c r="E1483" s="22" t="s">
        <v>2083</v>
      </c>
      <c r="F1483" s="19" t="str">
        <f t="shared" si="1"/>
        <v>XRPL1</v>
      </c>
      <c r="G1483" s="19" t="s">
        <v>5408</v>
      </c>
      <c r="H1483" s="20" t="s">
        <v>1212</v>
      </c>
      <c r="I1483" s="19" t="s">
        <v>5409</v>
      </c>
      <c r="J1483" s="19" t="s">
        <v>5410</v>
      </c>
      <c r="K1483" s="25" t="s">
        <v>7500</v>
      </c>
      <c r="L1483" s="20" t="s">
        <v>8686</v>
      </c>
      <c r="M1483" s="23" t="s">
        <v>2082</v>
      </c>
      <c r="N1483" s="18"/>
      <c r="O1483" s="18"/>
      <c r="P1483" s="18">
        <f>VLOOKUP($A1483,MasterData!$C$1:$I$3001,1,FALSE)</f>
        <v>9321</v>
      </c>
      <c r="Q1483" s="18" t="str">
        <f t="shared" si="2"/>
        <v>XRPL1</v>
      </c>
    </row>
    <row r="1484" ht="15.75" customHeight="1">
      <c r="A1484" s="31">
        <v>9341.0</v>
      </c>
      <c r="B1484" s="22" t="s">
        <v>2087</v>
      </c>
      <c r="C1484" s="24" t="s">
        <v>8690</v>
      </c>
      <c r="D1484" s="33" t="s">
        <v>2087</v>
      </c>
      <c r="E1484" s="22" t="s">
        <v>2086</v>
      </c>
      <c r="F1484" s="19" t="str">
        <f t="shared" si="1"/>
        <v>XRPL1</v>
      </c>
      <c r="G1484" s="19" t="s">
        <v>5408</v>
      </c>
      <c r="H1484" s="20" t="s">
        <v>1212</v>
      </c>
      <c r="I1484" s="19" t="s">
        <v>5409</v>
      </c>
      <c r="J1484" s="19" t="s">
        <v>5410</v>
      </c>
      <c r="K1484" s="25" t="s">
        <v>7500</v>
      </c>
      <c r="L1484" s="20" t="s">
        <v>8686</v>
      </c>
      <c r="M1484" s="23" t="s">
        <v>2085</v>
      </c>
      <c r="N1484" s="18"/>
      <c r="O1484" s="18"/>
      <c r="P1484" s="18">
        <f>VLOOKUP($A1484,MasterData!$C$1:$I$3001,1,FALSE)</f>
        <v>9341</v>
      </c>
      <c r="Q1484" s="18" t="str">
        <f t="shared" si="2"/>
        <v>XRPL1</v>
      </c>
    </row>
    <row r="1485" ht="15.75" customHeight="1">
      <c r="A1485" s="31">
        <v>9364.0</v>
      </c>
      <c r="B1485" s="22" t="s">
        <v>2090</v>
      </c>
      <c r="C1485" s="24" t="s">
        <v>8691</v>
      </c>
      <c r="D1485" s="33" t="s">
        <v>2090</v>
      </c>
      <c r="E1485" s="22" t="s">
        <v>2089</v>
      </c>
      <c r="F1485" s="19" t="str">
        <f t="shared" si="1"/>
        <v>XRPL1</v>
      </c>
      <c r="G1485" s="19" t="s">
        <v>5408</v>
      </c>
      <c r="H1485" s="20" t="s">
        <v>1212</v>
      </c>
      <c r="I1485" s="19" t="s">
        <v>5409</v>
      </c>
      <c r="J1485" s="19" t="s">
        <v>5410</v>
      </c>
      <c r="K1485" s="25" t="s">
        <v>7500</v>
      </c>
      <c r="L1485" s="20" t="s">
        <v>8686</v>
      </c>
      <c r="M1485" s="23" t="s">
        <v>2088</v>
      </c>
      <c r="N1485" s="18"/>
      <c r="O1485" s="18"/>
      <c r="P1485" s="18">
        <f>VLOOKUP($A1485,MasterData!$C$1:$I$3001,1,FALSE)</f>
        <v>9364</v>
      </c>
      <c r="Q1485" s="18" t="str">
        <f t="shared" si="2"/>
        <v>XRPL1</v>
      </c>
    </row>
    <row r="1486" ht="15.75" customHeight="1">
      <c r="A1486" s="31">
        <v>9374.0</v>
      </c>
      <c r="B1486" s="22" t="s">
        <v>2093</v>
      </c>
      <c r="C1486" s="24" t="s">
        <v>8692</v>
      </c>
      <c r="D1486" s="33" t="s">
        <v>2093</v>
      </c>
      <c r="E1486" s="22" t="s">
        <v>2092</v>
      </c>
      <c r="F1486" s="19" t="str">
        <f t="shared" si="1"/>
        <v>XRPL1</v>
      </c>
      <c r="G1486" s="19" t="s">
        <v>5408</v>
      </c>
      <c r="H1486" s="20" t="s">
        <v>1212</v>
      </c>
      <c r="I1486" s="19" t="s">
        <v>5409</v>
      </c>
      <c r="J1486" s="19" t="s">
        <v>5410</v>
      </c>
      <c r="K1486" s="25" t="s">
        <v>7500</v>
      </c>
      <c r="L1486" s="20" t="s">
        <v>8686</v>
      </c>
      <c r="M1486" s="23" t="s">
        <v>2091</v>
      </c>
      <c r="N1486" s="18"/>
      <c r="O1486" s="18"/>
      <c r="P1486" s="18">
        <f>VLOOKUP($A1486,MasterData!$C$1:$I$3001,1,FALSE)</f>
        <v>9374</v>
      </c>
      <c r="Q1486" s="18" t="str">
        <f t="shared" si="2"/>
        <v>XRPL1</v>
      </c>
    </row>
    <row r="1487" ht="15.75" customHeight="1">
      <c r="A1487" s="31">
        <v>9380.0</v>
      </c>
      <c r="B1487" s="22" t="s">
        <v>2096</v>
      </c>
      <c r="C1487" s="24" t="s">
        <v>8693</v>
      </c>
      <c r="D1487" s="33" t="s">
        <v>2096</v>
      </c>
      <c r="E1487" s="22" t="s">
        <v>2095</v>
      </c>
      <c r="F1487" s="19" t="str">
        <f t="shared" si="1"/>
        <v>XRPL1</v>
      </c>
      <c r="G1487" s="19" t="s">
        <v>5408</v>
      </c>
      <c r="H1487" s="20" t="s">
        <v>1212</v>
      </c>
      <c r="I1487" s="19" t="s">
        <v>5409</v>
      </c>
      <c r="J1487" s="19" t="s">
        <v>5410</v>
      </c>
      <c r="K1487" s="25" t="s">
        <v>7500</v>
      </c>
      <c r="L1487" s="20" t="s">
        <v>8686</v>
      </c>
      <c r="M1487" s="23" t="s">
        <v>2094</v>
      </c>
      <c r="N1487" s="18"/>
      <c r="O1487" s="18"/>
      <c r="P1487" s="18">
        <f>VLOOKUP($A1487,MasterData!$C$1:$I$3001,1,FALSE)</f>
        <v>9380</v>
      </c>
      <c r="Q1487" s="18" t="str">
        <f t="shared" si="2"/>
        <v>XRPL1</v>
      </c>
    </row>
    <row r="1488" ht="15.75" customHeight="1">
      <c r="A1488" s="31">
        <v>9386.0</v>
      </c>
      <c r="B1488" s="22" t="s">
        <v>2099</v>
      </c>
      <c r="C1488" s="24" t="s">
        <v>8694</v>
      </c>
      <c r="D1488" s="33" t="s">
        <v>2099</v>
      </c>
      <c r="E1488" s="22" t="s">
        <v>2098</v>
      </c>
      <c r="F1488" s="19" t="str">
        <f t="shared" si="1"/>
        <v>XRPL1</v>
      </c>
      <c r="G1488" s="19" t="s">
        <v>5408</v>
      </c>
      <c r="H1488" s="20" t="s">
        <v>1212</v>
      </c>
      <c r="I1488" s="19" t="s">
        <v>5409</v>
      </c>
      <c r="J1488" s="19" t="s">
        <v>5410</v>
      </c>
      <c r="K1488" s="25" t="s">
        <v>7500</v>
      </c>
      <c r="L1488" s="20" t="s">
        <v>8686</v>
      </c>
      <c r="M1488" s="23" t="s">
        <v>2097</v>
      </c>
      <c r="N1488" s="18"/>
      <c r="O1488" s="18"/>
      <c r="P1488" s="18">
        <f>VLOOKUP($A1488,MasterData!$C$1:$I$3001,1,FALSE)</f>
        <v>9386</v>
      </c>
      <c r="Q1488" s="18" t="str">
        <f t="shared" si="2"/>
        <v>XRPL1</v>
      </c>
    </row>
    <row r="1489" ht="15.75" customHeight="1">
      <c r="A1489" s="31">
        <v>9398.0</v>
      </c>
      <c r="B1489" s="22" t="s">
        <v>2102</v>
      </c>
      <c r="C1489" s="24" t="s">
        <v>8695</v>
      </c>
      <c r="D1489" s="33" t="s">
        <v>2102</v>
      </c>
      <c r="E1489" s="22" t="s">
        <v>2101</v>
      </c>
      <c r="F1489" s="19" t="str">
        <f t="shared" si="1"/>
        <v>XRPL1</v>
      </c>
      <c r="G1489" s="19" t="s">
        <v>5408</v>
      </c>
      <c r="H1489" s="20" t="s">
        <v>1212</v>
      </c>
      <c r="I1489" s="19" t="s">
        <v>5409</v>
      </c>
      <c r="J1489" s="19" t="s">
        <v>5410</v>
      </c>
      <c r="K1489" s="25" t="s">
        <v>7500</v>
      </c>
      <c r="L1489" s="20" t="s">
        <v>8686</v>
      </c>
      <c r="M1489" s="23" t="s">
        <v>2100</v>
      </c>
      <c r="N1489" s="18"/>
      <c r="O1489" s="18"/>
      <c r="P1489" s="18">
        <f>VLOOKUP($A1489,MasterData!$C$1:$I$3001,1,FALSE)</f>
        <v>9398</v>
      </c>
      <c r="Q1489" s="18" t="str">
        <f t="shared" si="2"/>
        <v>XRPL1</v>
      </c>
    </row>
    <row r="1490" ht="15.75" customHeight="1">
      <c r="A1490" s="31">
        <v>9449.0</v>
      </c>
      <c r="B1490" s="22" t="s">
        <v>2105</v>
      </c>
      <c r="C1490" s="24" t="s">
        <v>8696</v>
      </c>
      <c r="D1490" s="33" t="s">
        <v>2105</v>
      </c>
      <c r="E1490" s="22" t="s">
        <v>2104</v>
      </c>
      <c r="F1490" s="19" t="str">
        <f t="shared" si="1"/>
        <v>XRPL1</v>
      </c>
      <c r="G1490" s="19" t="s">
        <v>5408</v>
      </c>
      <c r="H1490" s="20" t="s">
        <v>1212</v>
      </c>
      <c r="I1490" s="19" t="s">
        <v>5409</v>
      </c>
      <c r="J1490" s="19" t="s">
        <v>5410</v>
      </c>
      <c r="K1490" s="25" t="s">
        <v>7500</v>
      </c>
      <c r="L1490" s="20" t="s">
        <v>8686</v>
      </c>
      <c r="M1490" s="23" t="s">
        <v>2103</v>
      </c>
      <c r="N1490" s="18"/>
      <c r="O1490" s="18"/>
      <c r="P1490" s="18">
        <f>VLOOKUP($A1490,MasterData!$C$1:$I$3001,1,FALSE)</f>
        <v>9449</v>
      </c>
      <c r="Q1490" s="18" t="str">
        <f t="shared" si="2"/>
        <v>XRPL1</v>
      </c>
    </row>
    <row r="1491" ht="15.75" customHeight="1">
      <c r="A1491" s="31">
        <v>9472.0</v>
      </c>
      <c r="B1491" s="22" t="s">
        <v>2108</v>
      </c>
      <c r="C1491" s="24" t="s">
        <v>8697</v>
      </c>
      <c r="D1491" s="33" t="s">
        <v>2108</v>
      </c>
      <c r="E1491" s="22" t="s">
        <v>2107</v>
      </c>
      <c r="F1491" s="19" t="str">
        <f t="shared" si="1"/>
        <v>XRPL1</v>
      </c>
      <c r="G1491" s="19" t="s">
        <v>5408</v>
      </c>
      <c r="H1491" s="20" t="s">
        <v>1212</v>
      </c>
      <c r="I1491" s="19" t="s">
        <v>5409</v>
      </c>
      <c r="J1491" s="19" t="s">
        <v>5410</v>
      </c>
      <c r="K1491" s="25" t="s">
        <v>7500</v>
      </c>
      <c r="L1491" s="20" t="s">
        <v>8686</v>
      </c>
      <c r="M1491" s="23" t="s">
        <v>2106</v>
      </c>
      <c r="N1491" s="18"/>
      <c r="O1491" s="18"/>
      <c r="P1491" s="18">
        <f>VLOOKUP($A1491,MasterData!$C$1:$I$3001,1,FALSE)</f>
        <v>9472</v>
      </c>
      <c r="Q1491" s="18" t="str">
        <f t="shared" si="2"/>
        <v>XRPL1</v>
      </c>
    </row>
    <row r="1492" ht="15.75" customHeight="1">
      <c r="A1492" s="31">
        <v>9501.0</v>
      </c>
      <c r="B1492" s="22" t="s">
        <v>2111</v>
      </c>
      <c r="C1492" s="24" t="s">
        <v>8698</v>
      </c>
      <c r="D1492" s="33" t="s">
        <v>2111</v>
      </c>
      <c r="E1492" s="22" t="s">
        <v>2110</v>
      </c>
      <c r="F1492" s="19" t="str">
        <f t="shared" si="1"/>
        <v>XRPL1</v>
      </c>
      <c r="G1492" s="19" t="s">
        <v>5408</v>
      </c>
      <c r="H1492" s="20" t="s">
        <v>1212</v>
      </c>
      <c r="I1492" s="19" t="s">
        <v>5409</v>
      </c>
      <c r="J1492" s="19" t="s">
        <v>5410</v>
      </c>
      <c r="K1492" s="25" t="s">
        <v>7500</v>
      </c>
      <c r="L1492" s="20" t="s">
        <v>8686</v>
      </c>
      <c r="M1492" s="23" t="s">
        <v>2109</v>
      </c>
      <c r="N1492" s="18"/>
      <c r="O1492" s="18"/>
      <c r="P1492" s="18">
        <f>VLOOKUP($A1492,MasterData!$C$1:$I$3001,1,FALSE)</f>
        <v>9501</v>
      </c>
      <c r="Q1492" s="18" t="str">
        <f t="shared" si="2"/>
        <v>XRPL1</v>
      </c>
    </row>
    <row r="1493" ht="15.75" customHeight="1">
      <c r="A1493" s="31">
        <v>9507.0</v>
      </c>
      <c r="B1493" s="22" t="s">
        <v>2114</v>
      </c>
      <c r="C1493" s="24" t="s">
        <v>8699</v>
      </c>
      <c r="D1493" s="33" t="s">
        <v>2114</v>
      </c>
      <c r="E1493" s="22" t="s">
        <v>2113</v>
      </c>
      <c r="F1493" s="19" t="str">
        <f t="shared" si="1"/>
        <v>XRPL1</v>
      </c>
      <c r="G1493" s="19" t="s">
        <v>5408</v>
      </c>
      <c r="H1493" s="20" t="s">
        <v>1212</v>
      </c>
      <c r="I1493" s="19" t="s">
        <v>5409</v>
      </c>
      <c r="J1493" s="19" t="s">
        <v>5410</v>
      </c>
      <c r="K1493" s="25" t="s">
        <v>7500</v>
      </c>
      <c r="L1493" s="20" t="s">
        <v>8686</v>
      </c>
      <c r="M1493" s="23" t="s">
        <v>2112</v>
      </c>
      <c r="N1493" s="18"/>
      <c r="O1493" s="18"/>
      <c r="P1493" s="18">
        <f>VLOOKUP($A1493,MasterData!$C$1:$I$3001,1,FALSE)</f>
        <v>9507</v>
      </c>
      <c r="Q1493" s="18" t="str">
        <f t="shared" si="2"/>
        <v>XRPL1</v>
      </c>
    </row>
    <row r="1494" ht="15.75" customHeight="1">
      <c r="A1494" s="31">
        <v>9519.0</v>
      </c>
      <c r="B1494" s="22" t="s">
        <v>2117</v>
      </c>
      <c r="C1494" s="24" t="s">
        <v>8700</v>
      </c>
      <c r="D1494" s="33" t="s">
        <v>2117</v>
      </c>
      <c r="E1494" s="22" t="s">
        <v>2116</v>
      </c>
      <c r="F1494" s="19" t="str">
        <f t="shared" si="1"/>
        <v>XRPL1</v>
      </c>
      <c r="G1494" s="19" t="s">
        <v>5408</v>
      </c>
      <c r="H1494" s="20" t="s">
        <v>1212</v>
      </c>
      <c r="I1494" s="19" t="s">
        <v>5409</v>
      </c>
      <c r="J1494" s="19" t="s">
        <v>5410</v>
      </c>
      <c r="K1494" s="25" t="s">
        <v>7500</v>
      </c>
      <c r="L1494" s="20" t="s">
        <v>8686</v>
      </c>
      <c r="M1494" s="23" t="s">
        <v>2115</v>
      </c>
      <c r="N1494" s="18"/>
      <c r="O1494" s="18"/>
      <c r="P1494" s="18">
        <f>VLOOKUP($A1494,MasterData!$C$1:$I$3001,1,FALSE)</f>
        <v>9519</v>
      </c>
      <c r="Q1494" s="18" t="str">
        <f t="shared" si="2"/>
        <v>XRPL1</v>
      </c>
    </row>
    <row r="1495" ht="15.75" customHeight="1">
      <c r="A1495" s="31">
        <v>9538.0</v>
      </c>
      <c r="B1495" s="22" t="s">
        <v>2120</v>
      </c>
      <c r="C1495" s="24" t="s">
        <v>8701</v>
      </c>
      <c r="D1495" s="33" t="s">
        <v>2120</v>
      </c>
      <c r="E1495" s="22" t="s">
        <v>2119</v>
      </c>
      <c r="F1495" s="19" t="str">
        <f t="shared" si="1"/>
        <v>XRPL1</v>
      </c>
      <c r="G1495" s="19" t="s">
        <v>5408</v>
      </c>
      <c r="H1495" s="20" t="s">
        <v>1212</v>
      </c>
      <c r="I1495" s="19" t="s">
        <v>5409</v>
      </c>
      <c r="J1495" s="19" t="s">
        <v>5410</v>
      </c>
      <c r="K1495" s="25" t="s">
        <v>7500</v>
      </c>
      <c r="L1495" s="20" t="s">
        <v>8686</v>
      </c>
      <c r="M1495" s="23" t="s">
        <v>2118</v>
      </c>
      <c r="N1495" s="18"/>
      <c r="O1495" s="18"/>
      <c r="P1495" s="18">
        <f>VLOOKUP($A1495,MasterData!$C$1:$I$3001,1,FALSE)</f>
        <v>9538</v>
      </c>
      <c r="Q1495" s="18" t="str">
        <f t="shared" si="2"/>
        <v>XRPL1</v>
      </c>
    </row>
    <row r="1496" ht="15.75" customHeight="1">
      <c r="A1496" s="31">
        <v>9547.0</v>
      </c>
      <c r="B1496" s="22" t="s">
        <v>2123</v>
      </c>
      <c r="C1496" s="24" t="s">
        <v>8702</v>
      </c>
      <c r="D1496" s="33" t="s">
        <v>2123</v>
      </c>
      <c r="E1496" s="22" t="s">
        <v>2122</v>
      </c>
      <c r="F1496" s="19" t="str">
        <f t="shared" si="1"/>
        <v>XRPL1</v>
      </c>
      <c r="G1496" s="19" t="s">
        <v>5408</v>
      </c>
      <c r="H1496" s="20" t="s">
        <v>1212</v>
      </c>
      <c r="I1496" s="19" t="s">
        <v>5409</v>
      </c>
      <c r="J1496" s="19" t="s">
        <v>5410</v>
      </c>
      <c r="K1496" s="25" t="s">
        <v>7500</v>
      </c>
      <c r="L1496" s="20" t="s">
        <v>8686</v>
      </c>
      <c r="M1496" s="23" t="s">
        <v>2121</v>
      </c>
      <c r="N1496" s="18"/>
      <c r="O1496" s="18"/>
      <c r="P1496" s="18">
        <f>VLOOKUP($A1496,MasterData!$C$1:$I$3001,1,FALSE)</f>
        <v>9547</v>
      </c>
      <c r="Q1496" s="18" t="str">
        <f t="shared" si="2"/>
        <v>XRPL1</v>
      </c>
    </row>
    <row r="1497" ht="15.75" customHeight="1">
      <c r="A1497" s="31">
        <v>9559.0</v>
      </c>
      <c r="B1497" s="22" t="s">
        <v>2126</v>
      </c>
      <c r="C1497" s="24" t="s">
        <v>8703</v>
      </c>
      <c r="D1497" s="33" t="s">
        <v>2126</v>
      </c>
      <c r="E1497" s="22" t="s">
        <v>2125</v>
      </c>
      <c r="F1497" s="19" t="str">
        <f t="shared" si="1"/>
        <v>XRPL1</v>
      </c>
      <c r="G1497" s="19" t="s">
        <v>5408</v>
      </c>
      <c r="H1497" s="20" t="s">
        <v>1212</v>
      </c>
      <c r="I1497" s="19" t="s">
        <v>5409</v>
      </c>
      <c r="J1497" s="19" t="s">
        <v>5410</v>
      </c>
      <c r="K1497" s="25" t="s">
        <v>7500</v>
      </c>
      <c r="L1497" s="20" t="s">
        <v>8686</v>
      </c>
      <c r="M1497" s="23" t="s">
        <v>2124</v>
      </c>
      <c r="N1497" s="18"/>
      <c r="O1497" s="18"/>
      <c r="P1497" s="18">
        <f>VLOOKUP($A1497,MasterData!$C$1:$I$3001,1,FALSE)</f>
        <v>9559</v>
      </c>
      <c r="Q1497" s="18" t="str">
        <f t="shared" si="2"/>
        <v>XRPL1</v>
      </c>
    </row>
    <row r="1498" ht="15.75" customHeight="1">
      <c r="A1498" s="31">
        <v>9587.0</v>
      </c>
      <c r="B1498" s="22" t="s">
        <v>2129</v>
      </c>
      <c r="C1498" s="24" t="s">
        <v>8704</v>
      </c>
      <c r="D1498" s="33" t="s">
        <v>2129</v>
      </c>
      <c r="E1498" s="22" t="s">
        <v>2128</v>
      </c>
      <c r="F1498" s="19" t="str">
        <f t="shared" si="1"/>
        <v>XRPL1</v>
      </c>
      <c r="G1498" s="19" t="s">
        <v>5408</v>
      </c>
      <c r="H1498" s="20" t="s">
        <v>1212</v>
      </c>
      <c r="I1498" s="19" t="s">
        <v>5409</v>
      </c>
      <c r="J1498" s="19" t="s">
        <v>5410</v>
      </c>
      <c r="K1498" s="25" t="s">
        <v>7500</v>
      </c>
      <c r="L1498" s="20" t="s">
        <v>8686</v>
      </c>
      <c r="M1498" s="23" t="s">
        <v>2127</v>
      </c>
      <c r="N1498" s="18"/>
      <c r="O1498" s="18"/>
      <c r="P1498" s="18">
        <f>VLOOKUP($A1498,MasterData!$C$1:$I$3001,1,FALSE)</f>
        <v>9587</v>
      </c>
      <c r="Q1498" s="18" t="str">
        <f t="shared" si="2"/>
        <v>XRPL1</v>
      </c>
    </row>
    <row r="1499" ht="15.75" customHeight="1">
      <c r="A1499" s="31">
        <v>9597.0</v>
      </c>
      <c r="B1499" s="22" t="s">
        <v>2132</v>
      </c>
      <c r="C1499" s="24" t="s">
        <v>8705</v>
      </c>
      <c r="D1499" s="33" t="s">
        <v>2132</v>
      </c>
      <c r="E1499" s="22" t="s">
        <v>2131</v>
      </c>
      <c r="F1499" s="19" t="str">
        <f t="shared" si="1"/>
        <v>XRPL1</v>
      </c>
      <c r="G1499" s="19" t="s">
        <v>5408</v>
      </c>
      <c r="H1499" s="20" t="s">
        <v>1212</v>
      </c>
      <c r="I1499" s="19" t="s">
        <v>5409</v>
      </c>
      <c r="J1499" s="19" t="s">
        <v>5410</v>
      </c>
      <c r="K1499" s="25" t="s">
        <v>7500</v>
      </c>
      <c r="L1499" s="20" t="s">
        <v>8686</v>
      </c>
      <c r="M1499" s="23" t="s">
        <v>2130</v>
      </c>
      <c r="N1499" s="18"/>
      <c r="O1499" s="18"/>
      <c r="P1499" s="18">
        <f>VLOOKUP($A1499,MasterData!$C$1:$I$3001,1,FALSE)</f>
        <v>9597</v>
      </c>
      <c r="Q1499" s="18" t="str">
        <f t="shared" si="2"/>
        <v>XRPL1</v>
      </c>
    </row>
    <row r="1500" ht="15.75" customHeight="1">
      <c r="A1500" s="31">
        <v>9605.0</v>
      </c>
      <c r="B1500" s="22" t="s">
        <v>2135</v>
      </c>
      <c r="C1500" s="24" t="s">
        <v>8706</v>
      </c>
      <c r="D1500" s="33" t="s">
        <v>2135</v>
      </c>
      <c r="E1500" s="22" t="s">
        <v>2134</v>
      </c>
      <c r="F1500" s="19" t="str">
        <f t="shared" si="1"/>
        <v>XRPL1</v>
      </c>
      <c r="G1500" s="19" t="s">
        <v>5408</v>
      </c>
      <c r="H1500" s="20" t="s">
        <v>1212</v>
      </c>
      <c r="I1500" s="19" t="s">
        <v>5409</v>
      </c>
      <c r="J1500" s="19" t="s">
        <v>5410</v>
      </c>
      <c r="K1500" s="25" t="s">
        <v>7500</v>
      </c>
      <c r="L1500" s="20" t="s">
        <v>8686</v>
      </c>
      <c r="M1500" s="23" t="s">
        <v>2133</v>
      </c>
      <c r="N1500" s="18"/>
      <c r="O1500" s="18"/>
      <c r="P1500" s="18">
        <f>VLOOKUP($A1500,MasterData!$C$1:$I$3001,1,FALSE)</f>
        <v>9605</v>
      </c>
      <c r="Q1500" s="18" t="str">
        <f t="shared" si="2"/>
        <v>XRPL1</v>
      </c>
    </row>
    <row r="1501" ht="15.75" customHeight="1">
      <c r="A1501" s="31">
        <v>9616.0</v>
      </c>
      <c r="B1501" s="22" t="s">
        <v>2138</v>
      </c>
      <c r="C1501" s="24" t="s">
        <v>8707</v>
      </c>
      <c r="D1501" s="33" t="s">
        <v>2138</v>
      </c>
      <c r="E1501" s="22" t="s">
        <v>2137</v>
      </c>
      <c r="F1501" s="19" t="str">
        <f t="shared" si="1"/>
        <v>XRPL1</v>
      </c>
      <c r="G1501" s="19" t="s">
        <v>5408</v>
      </c>
      <c r="H1501" s="20" t="s">
        <v>1212</v>
      </c>
      <c r="I1501" s="19" t="s">
        <v>5409</v>
      </c>
      <c r="J1501" s="19" t="s">
        <v>5410</v>
      </c>
      <c r="K1501" s="25" t="s">
        <v>7500</v>
      </c>
      <c r="L1501" s="20" t="s">
        <v>8686</v>
      </c>
      <c r="M1501" s="23" t="s">
        <v>2136</v>
      </c>
      <c r="N1501" s="18"/>
      <c r="O1501" s="18"/>
      <c r="P1501" s="18">
        <f>VLOOKUP($A1501,MasterData!$C$1:$I$3001,1,FALSE)</f>
        <v>9616</v>
      </c>
      <c r="Q1501" s="18" t="str">
        <f t="shared" si="2"/>
        <v>XRPL1</v>
      </c>
    </row>
    <row r="1502" ht="15.75" customHeight="1">
      <c r="A1502" s="31">
        <v>9637.0</v>
      </c>
      <c r="B1502" s="22" t="s">
        <v>2141</v>
      </c>
      <c r="C1502" s="24" t="s">
        <v>8708</v>
      </c>
      <c r="D1502" s="33" t="s">
        <v>2141</v>
      </c>
      <c r="E1502" s="22" t="s">
        <v>2140</v>
      </c>
      <c r="F1502" s="19" t="str">
        <f t="shared" si="1"/>
        <v>XRPL1</v>
      </c>
      <c r="G1502" s="19" t="s">
        <v>5408</v>
      </c>
      <c r="H1502" s="20" t="s">
        <v>1212</v>
      </c>
      <c r="I1502" s="19" t="s">
        <v>5409</v>
      </c>
      <c r="J1502" s="19" t="s">
        <v>5410</v>
      </c>
      <c r="K1502" s="25" t="s">
        <v>7500</v>
      </c>
      <c r="L1502" s="20" t="s">
        <v>8686</v>
      </c>
      <c r="M1502" s="23" t="s">
        <v>2139</v>
      </c>
      <c r="N1502" s="18"/>
      <c r="O1502" s="18"/>
      <c r="P1502" s="18">
        <f>VLOOKUP($A1502,MasterData!$C$1:$I$3001,1,FALSE)</f>
        <v>9637</v>
      </c>
      <c r="Q1502" s="18" t="str">
        <f t="shared" si="2"/>
        <v>XRPL1</v>
      </c>
    </row>
    <row r="1503" ht="15.75" customHeight="1">
      <c r="A1503" s="31">
        <v>9650.0</v>
      </c>
      <c r="B1503" s="22" t="s">
        <v>2144</v>
      </c>
      <c r="C1503" s="24" t="s">
        <v>8709</v>
      </c>
      <c r="D1503" s="33" t="s">
        <v>2144</v>
      </c>
      <c r="E1503" s="22" t="s">
        <v>2143</v>
      </c>
      <c r="F1503" s="19" t="str">
        <f t="shared" si="1"/>
        <v>XRPL1</v>
      </c>
      <c r="G1503" s="19" t="s">
        <v>5408</v>
      </c>
      <c r="H1503" s="20" t="s">
        <v>1212</v>
      </c>
      <c r="I1503" s="19" t="s">
        <v>5409</v>
      </c>
      <c r="J1503" s="19" t="s">
        <v>5410</v>
      </c>
      <c r="K1503" s="25" t="s">
        <v>7500</v>
      </c>
      <c r="L1503" s="20" t="s">
        <v>8686</v>
      </c>
      <c r="M1503" s="23" t="s">
        <v>2142</v>
      </c>
      <c r="N1503" s="18"/>
      <c r="O1503" s="18"/>
      <c r="P1503" s="18">
        <f>VLOOKUP($A1503,MasterData!$C$1:$I$3001,1,FALSE)</f>
        <v>9650</v>
      </c>
      <c r="Q1503" s="18" t="str">
        <f t="shared" si="2"/>
        <v>XRPL1</v>
      </c>
    </row>
    <row r="1504" ht="15.75" customHeight="1">
      <c r="A1504" s="31">
        <v>9668.0</v>
      </c>
      <c r="B1504" s="22" t="s">
        <v>2147</v>
      </c>
      <c r="C1504" s="24" t="s">
        <v>8710</v>
      </c>
      <c r="D1504" s="33" t="s">
        <v>2147</v>
      </c>
      <c r="E1504" s="22" t="s">
        <v>2146</v>
      </c>
      <c r="F1504" s="19" t="str">
        <f t="shared" si="1"/>
        <v>XRPL1</v>
      </c>
      <c r="G1504" s="19" t="s">
        <v>5408</v>
      </c>
      <c r="H1504" s="20" t="s">
        <v>1212</v>
      </c>
      <c r="I1504" s="19" t="s">
        <v>5409</v>
      </c>
      <c r="J1504" s="19" t="s">
        <v>5410</v>
      </c>
      <c r="K1504" s="25" t="s">
        <v>7500</v>
      </c>
      <c r="L1504" s="20" t="s">
        <v>8686</v>
      </c>
      <c r="M1504" s="23" t="s">
        <v>2145</v>
      </c>
      <c r="N1504" s="18"/>
      <c r="O1504" s="18"/>
      <c r="P1504" s="18">
        <f>VLOOKUP($A1504,MasterData!$C$1:$I$3001,1,FALSE)</f>
        <v>9668</v>
      </c>
      <c r="Q1504" s="18" t="str">
        <f t="shared" si="2"/>
        <v>XRPL1</v>
      </c>
    </row>
    <row r="1505" ht="15.75" customHeight="1">
      <c r="A1505" s="31">
        <v>9671.0</v>
      </c>
      <c r="B1505" s="22" t="s">
        <v>2150</v>
      </c>
      <c r="C1505" s="24" t="s">
        <v>8711</v>
      </c>
      <c r="D1505" s="33" t="s">
        <v>2150</v>
      </c>
      <c r="E1505" s="22" t="s">
        <v>2149</v>
      </c>
      <c r="F1505" s="19" t="str">
        <f t="shared" si="1"/>
        <v>XRPL1</v>
      </c>
      <c r="G1505" s="19" t="s">
        <v>5408</v>
      </c>
      <c r="H1505" s="20" t="s">
        <v>1212</v>
      </c>
      <c r="I1505" s="19" t="s">
        <v>5409</v>
      </c>
      <c r="J1505" s="19" t="s">
        <v>5410</v>
      </c>
      <c r="K1505" s="25" t="s">
        <v>7500</v>
      </c>
      <c r="L1505" s="20" t="s">
        <v>8686</v>
      </c>
      <c r="M1505" s="23" t="s">
        <v>2148</v>
      </c>
      <c r="N1505" s="18"/>
      <c r="O1505" s="18"/>
      <c r="P1505" s="18">
        <f>VLOOKUP($A1505,MasterData!$C$1:$I$3001,1,FALSE)</f>
        <v>9671</v>
      </c>
      <c r="Q1505" s="18" t="str">
        <f t="shared" si="2"/>
        <v>XRPL1</v>
      </c>
    </row>
    <row r="1506" ht="15.75" customHeight="1">
      <c r="A1506" s="31">
        <v>9677.0</v>
      </c>
      <c r="B1506" s="22" t="s">
        <v>2153</v>
      </c>
      <c r="C1506" s="24" t="s">
        <v>8712</v>
      </c>
      <c r="D1506" s="33" t="s">
        <v>2153</v>
      </c>
      <c r="E1506" s="22" t="s">
        <v>2152</v>
      </c>
      <c r="F1506" s="19" t="str">
        <f t="shared" si="1"/>
        <v>XRPL1</v>
      </c>
      <c r="G1506" s="19" t="s">
        <v>5408</v>
      </c>
      <c r="H1506" s="20" t="s">
        <v>1212</v>
      </c>
      <c r="I1506" s="19" t="s">
        <v>5409</v>
      </c>
      <c r="J1506" s="19" t="s">
        <v>5410</v>
      </c>
      <c r="K1506" s="25" t="s">
        <v>7500</v>
      </c>
      <c r="L1506" s="20" t="s">
        <v>8686</v>
      </c>
      <c r="M1506" s="23" t="s">
        <v>2151</v>
      </c>
      <c r="N1506" s="18"/>
      <c r="O1506" s="18"/>
      <c r="P1506" s="18">
        <f>VLOOKUP($A1506,MasterData!$C$1:$I$3001,1,FALSE)</f>
        <v>9677</v>
      </c>
      <c r="Q1506" s="18" t="str">
        <f t="shared" si="2"/>
        <v>XRPL1</v>
      </c>
    </row>
    <row r="1507" ht="15.75" customHeight="1">
      <c r="A1507" s="31">
        <v>9681.0</v>
      </c>
      <c r="B1507" s="22" t="s">
        <v>2156</v>
      </c>
      <c r="C1507" s="24" t="s">
        <v>8713</v>
      </c>
      <c r="D1507" s="33" t="s">
        <v>2156</v>
      </c>
      <c r="E1507" s="22" t="s">
        <v>2155</v>
      </c>
      <c r="F1507" s="19" t="str">
        <f t="shared" si="1"/>
        <v>XRPL1</v>
      </c>
      <c r="G1507" s="19" t="s">
        <v>5408</v>
      </c>
      <c r="H1507" s="20" t="s">
        <v>1212</v>
      </c>
      <c r="I1507" s="19" t="s">
        <v>5409</v>
      </c>
      <c r="J1507" s="19" t="s">
        <v>5410</v>
      </c>
      <c r="K1507" s="25" t="s">
        <v>7500</v>
      </c>
      <c r="L1507" s="20" t="s">
        <v>8686</v>
      </c>
      <c r="M1507" s="23" t="s">
        <v>2154</v>
      </c>
      <c r="N1507" s="18"/>
      <c r="O1507" s="18"/>
      <c r="P1507" s="18">
        <f>VLOOKUP($A1507,MasterData!$C$1:$I$3001,1,FALSE)</f>
        <v>9681</v>
      </c>
      <c r="Q1507" s="18" t="str">
        <f t="shared" si="2"/>
        <v>XRPL1</v>
      </c>
    </row>
    <row r="1508" ht="15.75" customHeight="1">
      <c r="A1508" s="31">
        <v>9706.0</v>
      </c>
      <c r="B1508" s="22" t="s">
        <v>2159</v>
      </c>
      <c r="C1508" s="24" t="s">
        <v>8714</v>
      </c>
      <c r="D1508" s="33" t="s">
        <v>2159</v>
      </c>
      <c r="E1508" s="22" t="s">
        <v>2158</v>
      </c>
      <c r="F1508" s="19" t="str">
        <f t="shared" si="1"/>
        <v>XRPL1</v>
      </c>
      <c r="G1508" s="19" t="s">
        <v>5408</v>
      </c>
      <c r="H1508" s="20" t="s">
        <v>1212</v>
      </c>
      <c r="I1508" s="19" t="s">
        <v>5409</v>
      </c>
      <c r="J1508" s="19" t="s">
        <v>5410</v>
      </c>
      <c r="K1508" s="25" t="s">
        <v>7500</v>
      </c>
      <c r="L1508" s="20" t="s">
        <v>8686</v>
      </c>
      <c r="M1508" s="23" t="s">
        <v>2157</v>
      </c>
      <c r="N1508" s="18"/>
      <c r="O1508" s="18"/>
      <c r="P1508" s="18">
        <f>VLOOKUP($A1508,MasterData!$C$1:$I$3001,1,FALSE)</f>
        <v>9706</v>
      </c>
      <c r="Q1508" s="18" t="str">
        <f t="shared" si="2"/>
        <v>XRPL1</v>
      </c>
    </row>
    <row r="1509" ht="15.75" customHeight="1">
      <c r="A1509" s="31">
        <v>9721.0</v>
      </c>
      <c r="B1509" s="22" t="s">
        <v>2162</v>
      </c>
      <c r="C1509" s="24" t="s">
        <v>8715</v>
      </c>
      <c r="D1509" s="33" t="s">
        <v>2162</v>
      </c>
      <c r="E1509" s="22" t="s">
        <v>2161</v>
      </c>
      <c r="F1509" s="19" t="str">
        <f t="shared" si="1"/>
        <v>XRPL1</v>
      </c>
      <c r="G1509" s="19" t="s">
        <v>5408</v>
      </c>
      <c r="H1509" s="20" t="s">
        <v>1212</v>
      </c>
      <c r="I1509" s="19" t="s">
        <v>5409</v>
      </c>
      <c r="J1509" s="19" t="s">
        <v>5410</v>
      </c>
      <c r="K1509" s="25" t="s">
        <v>7500</v>
      </c>
      <c r="L1509" s="20" t="s">
        <v>8686</v>
      </c>
      <c r="M1509" s="23" t="s">
        <v>2160</v>
      </c>
      <c r="N1509" s="18"/>
      <c r="O1509" s="18"/>
      <c r="P1509" s="18">
        <f>VLOOKUP($A1509,MasterData!$C$1:$I$3001,1,FALSE)</f>
        <v>9721</v>
      </c>
      <c r="Q1509" s="18" t="str">
        <f t="shared" si="2"/>
        <v>XRPL1</v>
      </c>
    </row>
    <row r="1510" ht="15.75" customHeight="1">
      <c r="A1510" s="31">
        <v>9733.0</v>
      </c>
      <c r="B1510" s="22" t="s">
        <v>2165</v>
      </c>
      <c r="C1510" s="24" t="s">
        <v>8716</v>
      </c>
      <c r="D1510" s="33" t="s">
        <v>2165</v>
      </c>
      <c r="E1510" s="22" t="s">
        <v>2164</v>
      </c>
      <c r="F1510" s="19" t="str">
        <f t="shared" si="1"/>
        <v>XRPL1</v>
      </c>
      <c r="G1510" s="19" t="s">
        <v>5408</v>
      </c>
      <c r="H1510" s="20" t="s">
        <v>1212</v>
      </c>
      <c r="I1510" s="19" t="s">
        <v>5409</v>
      </c>
      <c r="J1510" s="19" t="s">
        <v>5410</v>
      </c>
      <c r="K1510" s="25" t="s">
        <v>7500</v>
      </c>
      <c r="L1510" s="20" t="s">
        <v>8686</v>
      </c>
      <c r="M1510" s="23" t="s">
        <v>2163</v>
      </c>
      <c r="N1510" s="18"/>
      <c r="O1510" s="18"/>
      <c r="P1510" s="18">
        <f>VLOOKUP($A1510,MasterData!$C$1:$I$3001,1,FALSE)</f>
        <v>9733</v>
      </c>
      <c r="Q1510" s="18" t="str">
        <f t="shared" si="2"/>
        <v>XRPL1</v>
      </c>
    </row>
    <row r="1511" ht="15.75" customHeight="1">
      <c r="A1511" s="31">
        <v>9747.0</v>
      </c>
      <c r="B1511" s="22" t="s">
        <v>2168</v>
      </c>
      <c r="C1511" s="24" t="s">
        <v>8717</v>
      </c>
      <c r="D1511" s="33" t="s">
        <v>2168</v>
      </c>
      <c r="E1511" s="22" t="s">
        <v>2167</v>
      </c>
      <c r="F1511" s="19" t="str">
        <f t="shared" si="1"/>
        <v>XRPL1</v>
      </c>
      <c r="G1511" s="19" t="s">
        <v>5408</v>
      </c>
      <c r="H1511" s="20" t="s">
        <v>1212</v>
      </c>
      <c r="I1511" s="19" t="s">
        <v>5409</v>
      </c>
      <c r="J1511" s="19" t="s">
        <v>5410</v>
      </c>
      <c r="K1511" s="25" t="s">
        <v>7500</v>
      </c>
      <c r="L1511" s="20" t="s">
        <v>8686</v>
      </c>
      <c r="M1511" s="23" t="s">
        <v>2166</v>
      </c>
      <c r="N1511" s="18"/>
      <c r="O1511" s="18"/>
      <c r="P1511" s="18">
        <f>VLOOKUP($A1511,MasterData!$C$1:$I$3001,1,FALSE)</f>
        <v>9747</v>
      </c>
      <c r="Q1511" s="18" t="str">
        <f t="shared" si="2"/>
        <v>XRPL1</v>
      </c>
    </row>
    <row r="1512" ht="15.75" customHeight="1">
      <c r="A1512" s="31">
        <v>9784.0</v>
      </c>
      <c r="B1512" s="22" t="s">
        <v>2171</v>
      </c>
      <c r="C1512" s="24" t="s">
        <v>8718</v>
      </c>
      <c r="D1512" s="33" t="s">
        <v>2171</v>
      </c>
      <c r="E1512" s="22" t="s">
        <v>2170</v>
      </c>
      <c r="F1512" s="19" t="str">
        <f t="shared" si="1"/>
        <v>XRPL1</v>
      </c>
      <c r="G1512" s="19" t="s">
        <v>5408</v>
      </c>
      <c r="H1512" s="20" t="s">
        <v>1212</v>
      </c>
      <c r="I1512" s="19" t="s">
        <v>5409</v>
      </c>
      <c r="J1512" s="19" t="s">
        <v>5410</v>
      </c>
      <c r="K1512" s="25" t="s">
        <v>7500</v>
      </c>
      <c r="L1512" s="20" t="s">
        <v>8686</v>
      </c>
      <c r="M1512" s="23" t="s">
        <v>2169</v>
      </c>
      <c r="N1512" s="18"/>
      <c r="O1512" s="18"/>
      <c r="P1512" s="18">
        <f>VLOOKUP($A1512,MasterData!$C$1:$I$3001,1,FALSE)</f>
        <v>9784</v>
      </c>
      <c r="Q1512" s="18" t="str">
        <f t="shared" si="2"/>
        <v>XRPL1</v>
      </c>
    </row>
    <row r="1513" ht="15.75" customHeight="1">
      <c r="A1513" s="31">
        <v>9792.0</v>
      </c>
      <c r="B1513" s="22" t="s">
        <v>2174</v>
      </c>
      <c r="C1513" s="24" t="s">
        <v>8719</v>
      </c>
      <c r="D1513" s="33" t="s">
        <v>2174</v>
      </c>
      <c r="E1513" s="22" t="s">
        <v>2173</v>
      </c>
      <c r="F1513" s="19" t="str">
        <f t="shared" si="1"/>
        <v>XRPL1</v>
      </c>
      <c r="G1513" s="19" t="s">
        <v>5408</v>
      </c>
      <c r="H1513" s="20" t="s">
        <v>1212</v>
      </c>
      <c r="I1513" s="19" t="s">
        <v>5409</v>
      </c>
      <c r="J1513" s="19" t="s">
        <v>5410</v>
      </c>
      <c r="K1513" s="25" t="s">
        <v>7500</v>
      </c>
      <c r="L1513" s="20" t="s">
        <v>8686</v>
      </c>
      <c r="M1513" s="23" t="s">
        <v>2172</v>
      </c>
      <c r="N1513" s="18"/>
      <c r="O1513" s="18"/>
      <c r="P1513" s="18">
        <f>VLOOKUP($A1513,MasterData!$C$1:$I$3001,1,FALSE)</f>
        <v>9792</v>
      </c>
      <c r="Q1513" s="18" t="str">
        <f t="shared" si="2"/>
        <v>XRPL1</v>
      </c>
    </row>
    <row r="1514" ht="15.75" customHeight="1">
      <c r="A1514" s="31">
        <v>9824.0</v>
      </c>
      <c r="B1514" s="22" t="s">
        <v>2177</v>
      </c>
      <c r="C1514" s="24" t="s">
        <v>8720</v>
      </c>
      <c r="D1514" s="33" t="s">
        <v>2177</v>
      </c>
      <c r="E1514" s="22" t="s">
        <v>2176</v>
      </c>
      <c r="F1514" s="19" t="str">
        <f t="shared" si="1"/>
        <v>XRPL1</v>
      </c>
      <c r="G1514" s="19" t="s">
        <v>5408</v>
      </c>
      <c r="H1514" s="20" t="s">
        <v>1212</v>
      </c>
      <c r="I1514" s="19" t="s">
        <v>5409</v>
      </c>
      <c r="J1514" s="19" t="s">
        <v>5410</v>
      </c>
      <c r="K1514" s="25" t="s">
        <v>7500</v>
      </c>
      <c r="L1514" s="20" t="s">
        <v>8686</v>
      </c>
      <c r="M1514" s="23" t="s">
        <v>2175</v>
      </c>
      <c r="N1514" s="18"/>
      <c r="O1514" s="18"/>
      <c r="P1514" s="18">
        <f>VLOOKUP($A1514,MasterData!$C$1:$I$3001,1,FALSE)</f>
        <v>9824</v>
      </c>
      <c r="Q1514" s="18" t="str">
        <f t="shared" si="2"/>
        <v>XRPL1</v>
      </c>
    </row>
    <row r="1515" ht="15.75" customHeight="1">
      <c r="A1515" s="31">
        <v>9844.0</v>
      </c>
      <c r="B1515" s="22" t="s">
        <v>2180</v>
      </c>
      <c r="C1515" s="24" t="s">
        <v>8721</v>
      </c>
      <c r="D1515" s="33" t="s">
        <v>2180</v>
      </c>
      <c r="E1515" s="22" t="s">
        <v>2179</v>
      </c>
      <c r="F1515" s="19" t="str">
        <f t="shared" si="1"/>
        <v>XRPL1</v>
      </c>
      <c r="G1515" s="19" t="s">
        <v>5408</v>
      </c>
      <c r="H1515" s="20" t="s">
        <v>1212</v>
      </c>
      <c r="I1515" s="19" t="s">
        <v>5409</v>
      </c>
      <c r="J1515" s="19" t="s">
        <v>5410</v>
      </c>
      <c r="K1515" s="25" t="s">
        <v>7500</v>
      </c>
      <c r="L1515" s="20" t="s">
        <v>8686</v>
      </c>
      <c r="M1515" s="23" t="s">
        <v>2178</v>
      </c>
      <c r="N1515" s="18"/>
      <c r="O1515" s="18"/>
      <c r="P1515" s="18">
        <f>VLOOKUP($A1515,MasterData!$C$1:$I$3001,1,FALSE)</f>
        <v>9844</v>
      </c>
      <c r="Q1515" s="18" t="str">
        <f t="shared" si="2"/>
        <v>XRPL1</v>
      </c>
    </row>
    <row r="1516" ht="15.75" customHeight="1">
      <c r="A1516" s="31">
        <v>9275.0</v>
      </c>
      <c r="B1516" s="22" t="s">
        <v>2183</v>
      </c>
      <c r="C1516" s="24" t="s">
        <v>8722</v>
      </c>
      <c r="D1516" s="33" t="s">
        <v>2183</v>
      </c>
      <c r="E1516" s="22" t="s">
        <v>2182</v>
      </c>
      <c r="F1516" s="19" t="str">
        <f t="shared" si="1"/>
        <v>XRPL2</v>
      </c>
      <c r="G1516" s="19" t="s">
        <v>5408</v>
      </c>
      <c r="H1516" s="20" t="s">
        <v>1212</v>
      </c>
      <c r="I1516" s="19" t="s">
        <v>5409</v>
      </c>
      <c r="J1516" s="19" t="s">
        <v>5410</v>
      </c>
      <c r="K1516" s="25" t="s">
        <v>7500</v>
      </c>
      <c r="L1516" s="20" t="s">
        <v>8723</v>
      </c>
      <c r="M1516" s="23" t="s">
        <v>2181</v>
      </c>
      <c r="N1516" s="18"/>
      <c r="O1516" s="18"/>
      <c r="P1516" s="18">
        <f>VLOOKUP($A1516,MasterData!$C$1:$I$3001,1,FALSE)</f>
        <v>9275</v>
      </c>
      <c r="Q1516" s="18" t="str">
        <f t="shared" si="2"/>
        <v>XRPL2</v>
      </c>
    </row>
    <row r="1517" ht="15.75" customHeight="1">
      <c r="A1517" s="31">
        <v>9294.0</v>
      </c>
      <c r="B1517" s="22" t="s">
        <v>2186</v>
      </c>
      <c r="C1517" s="24" t="s">
        <v>8724</v>
      </c>
      <c r="D1517" s="33" t="s">
        <v>2186</v>
      </c>
      <c r="E1517" s="22" t="s">
        <v>2185</v>
      </c>
      <c r="F1517" s="19" t="str">
        <f t="shared" si="1"/>
        <v>XRPL2</v>
      </c>
      <c r="G1517" s="19" t="s">
        <v>5408</v>
      </c>
      <c r="H1517" s="20" t="s">
        <v>1212</v>
      </c>
      <c r="I1517" s="19" t="s">
        <v>5409</v>
      </c>
      <c r="J1517" s="19" t="s">
        <v>5410</v>
      </c>
      <c r="K1517" s="25" t="s">
        <v>7500</v>
      </c>
      <c r="L1517" s="20" t="s">
        <v>8723</v>
      </c>
      <c r="M1517" s="23" t="s">
        <v>2184</v>
      </c>
      <c r="N1517" s="18"/>
      <c r="O1517" s="18"/>
      <c r="P1517" s="18">
        <f>VLOOKUP($A1517,MasterData!$C$1:$I$3001,1,FALSE)</f>
        <v>9294</v>
      </c>
      <c r="Q1517" s="18" t="str">
        <f t="shared" si="2"/>
        <v>XRPL2</v>
      </c>
    </row>
    <row r="1518" ht="15.75" customHeight="1">
      <c r="A1518" s="31">
        <v>9313.0</v>
      </c>
      <c r="B1518" s="22" t="s">
        <v>2189</v>
      </c>
      <c r="C1518" s="24" t="s">
        <v>8725</v>
      </c>
      <c r="D1518" s="33" t="s">
        <v>2189</v>
      </c>
      <c r="E1518" s="22" t="s">
        <v>2188</v>
      </c>
      <c r="F1518" s="19" t="str">
        <f t="shared" si="1"/>
        <v>XRPL2</v>
      </c>
      <c r="G1518" s="19" t="s">
        <v>5408</v>
      </c>
      <c r="H1518" s="20" t="s">
        <v>1212</v>
      </c>
      <c r="I1518" s="19" t="s">
        <v>5409</v>
      </c>
      <c r="J1518" s="19" t="s">
        <v>5410</v>
      </c>
      <c r="K1518" s="25" t="s">
        <v>7500</v>
      </c>
      <c r="L1518" s="20" t="s">
        <v>8723</v>
      </c>
      <c r="M1518" s="23" t="s">
        <v>2187</v>
      </c>
      <c r="N1518" s="18"/>
      <c r="O1518" s="18"/>
      <c r="P1518" s="18">
        <f>VLOOKUP($A1518,MasterData!$C$1:$I$3001,1,FALSE)</f>
        <v>9313</v>
      </c>
      <c r="Q1518" s="18" t="str">
        <f t="shared" si="2"/>
        <v>XRPL2</v>
      </c>
    </row>
    <row r="1519" ht="15.75" customHeight="1">
      <c r="A1519" s="31">
        <v>9327.0</v>
      </c>
      <c r="B1519" s="22" t="s">
        <v>2192</v>
      </c>
      <c r="C1519" s="24" t="s">
        <v>8726</v>
      </c>
      <c r="D1519" s="33" t="s">
        <v>2192</v>
      </c>
      <c r="E1519" s="22" t="s">
        <v>2191</v>
      </c>
      <c r="F1519" s="19" t="str">
        <f t="shared" si="1"/>
        <v>XRPL2</v>
      </c>
      <c r="G1519" s="19" t="s">
        <v>5408</v>
      </c>
      <c r="H1519" s="20" t="s">
        <v>1212</v>
      </c>
      <c r="I1519" s="19" t="s">
        <v>5409</v>
      </c>
      <c r="J1519" s="19" t="s">
        <v>5410</v>
      </c>
      <c r="K1519" s="25" t="s">
        <v>7500</v>
      </c>
      <c r="L1519" s="20" t="s">
        <v>8723</v>
      </c>
      <c r="M1519" s="23" t="s">
        <v>2190</v>
      </c>
      <c r="N1519" s="18"/>
      <c r="O1519" s="18"/>
      <c r="P1519" s="18">
        <f>VLOOKUP($A1519,MasterData!$C$1:$I$3001,1,FALSE)</f>
        <v>9327</v>
      </c>
      <c r="Q1519" s="18" t="str">
        <f t="shared" si="2"/>
        <v>XRPL2</v>
      </c>
    </row>
    <row r="1520" ht="15.75" customHeight="1">
      <c r="A1520" s="31">
        <v>9345.0</v>
      </c>
      <c r="B1520" s="22" t="s">
        <v>2195</v>
      </c>
      <c r="C1520" s="24" t="s">
        <v>8727</v>
      </c>
      <c r="D1520" s="33" t="s">
        <v>2195</v>
      </c>
      <c r="E1520" s="22" t="s">
        <v>2194</v>
      </c>
      <c r="F1520" s="19" t="str">
        <f t="shared" si="1"/>
        <v>XRPL2</v>
      </c>
      <c r="G1520" s="19" t="s">
        <v>5408</v>
      </c>
      <c r="H1520" s="20" t="s">
        <v>1212</v>
      </c>
      <c r="I1520" s="19" t="s">
        <v>5409</v>
      </c>
      <c r="J1520" s="19" t="s">
        <v>5410</v>
      </c>
      <c r="K1520" s="25" t="s">
        <v>7500</v>
      </c>
      <c r="L1520" s="20" t="s">
        <v>8723</v>
      </c>
      <c r="M1520" s="23" t="s">
        <v>2193</v>
      </c>
      <c r="N1520" s="18"/>
      <c r="O1520" s="18"/>
      <c r="P1520" s="18">
        <f>VLOOKUP($A1520,MasterData!$C$1:$I$3001,1,FALSE)</f>
        <v>9345</v>
      </c>
      <c r="Q1520" s="18" t="str">
        <f t="shared" si="2"/>
        <v>XRPL2</v>
      </c>
    </row>
    <row r="1521" ht="15.75" customHeight="1">
      <c r="A1521" s="31">
        <v>9373.0</v>
      </c>
      <c r="B1521" s="22" t="s">
        <v>2198</v>
      </c>
      <c r="C1521" s="24" t="s">
        <v>8728</v>
      </c>
      <c r="D1521" s="33" t="s">
        <v>2198</v>
      </c>
      <c r="E1521" s="22" t="s">
        <v>2197</v>
      </c>
      <c r="F1521" s="19" t="str">
        <f t="shared" si="1"/>
        <v>XRPL2</v>
      </c>
      <c r="G1521" s="19" t="s">
        <v>5408</v>
      </c>
      <c r="H1521" s="20" t="s">
        <v>1212</v>
      </c>
      <c r="I1521" s="19" t="s">
        <v>5409</v>
      </c>
      <c r="J1521" s="19" t="s">
        <v>5410</v>
      </c>
      <c r="K1521" s="25" t="s">
        <v>7500</v>
      </c>
      <c r="L1521" s="20" t="s">
        <v>8723</v>
      </c>
      <c r="M1521" s="23" t="s">
        <v>2196</v>
      </c>
      <c r="N1521" s="18"/>
      <c r="O1521" s="18"/>
      <c r="P1521" s="18">
        <f>VLOOKUP($A1521,MasterData!$C$1:$I$3001,1,FALSE)</f>
        <v>9373</v>
      </c>
      <c r="Q1521" s="18" t="str">
        <f t="shared" si="2"/>
        <v>XRPL2</v>
      </c>
    </row>
    <row r="1522" ht="15.75" customHeight="1">
      <c r="A1522" s="31">
        <v>9375.0</v>
      </c>
      <c r="B1522" s="22" t="s">
        <v>2201</v>
      </c>
      <c r="C1522" s="24" t="s">
        <v>8729</v>
      </c>
      <c r="D1522" s="33" t="s">
        <v>2201</v>
      </c>
      <c r="E1522" s="22" t="s">
        <v>2200</v>
      </c>
      <c r="F1522" s="19" t="str">
        <f t="shared" si="1"/>
        <v>XRPL2</v>
      </c>
      <c r="G1522" s="19" t="s">
        <v>5408</v>
      </c>
      <c r="H1522" s="20" t="s">
        <v>1212</v>
      </c>
      <c r="I1522" s="19" t="s">
        <v>5409</v>
      </c>
      <c r="J1522" s="19" t="s">
        <v>5410</v>
      </c>
      <c r="K1522" s="25" t="s">
        <v>7500</v>
      </c>
      <c r="L1522" s="20" t="s">
        <v>8723</v>
      </c>
      <c r="M1522" s="23" t="s">
        <v>2199</v>
      </c>
      <c r="N1522" s="18"/>
      <c r="O1522" s="18"/>
      <c r="P1522" s="18">
        <f>VLOOKUP($A1522,MasterData!$C$1:$I$3001,1,FALSE)</f>
        <v>9375</v>
      </c>
      <c r="Q1522" s="18" t="str">
        <f t="shared" si="2"/>
        <v>XRPL2</v>
      </c>
    </row>
    <row r="1523" ht="15.75" customHeight="1">
      <c r="A1523" s="31">
        <v>9381.0</v>
      </c>
      <c r="B1523" s="22" t="s">
        <v>2204</v>
      </c>
      <c r="C1523" s="24" t="s">
        <v>8730</v>
      </c>
      <c r="D1523" s="33" t="s">
        <v>2204</v>
      </c>
      <c r="E1523" s="22" t="s">
        <v>2203</v>
      </c>
      <c r="F1523" s="19" t="str">
        <f t="shared" si="1"/>
        <v>XRPL2</v>
      </c>
      <c r="G1523" s="19" t="s">
        <v>5408</v>
      </c>
      <c r="H1523" s="20" t="s">
        <v>1212</v>
      </c>
      <c r="I1523" s="19" t="s">
        <v>5409</v>
      </c>
      <c r="J1523" s="19" t="s">
        <v>5410</v>
      </c>
      <c r="K1523" s="25" t="s">
        <v>7500</v>
      </c>
      <c r="L1523" s="20" t="s">
        <v>8723</v>
      </c>
      <c r="M1523" s="23" t="s">
        <v>2202</v>
      </c>
      <c r="N1523" s="18"/>
      <c r="O1523" s="18"/>
      <c r="P1523" s="18">
        <f>VLOOKUP($A1523,MasterData!$C$1:$I$3001,1,FALSE)</f>
        <v>9381</v>
      </c>
      <c r="Q1523" s="18" t="str">
        <f t="shared" si="2"/>
        <v>XRPL2</v>
      </c>
    </row>
    <row r="1524" ht="15.75" customHeight="1">
      <c r="A1524" s="31">
        <v>9397.0</v>
      </c>
      <c r="B1524" s="22" t="s">
        <v>2207</v>
      </c>
      <c r="C1524" s="24" t="s">
        <v>8731</v>
      </c>
      <c r="D1524" s="33" t="s">
        <v>2207</v>
      </c>
      <c r="E1524" s="22" t="s">
        <v>2206</v>
      </c>
      <c r="F1524" s="19" t="str">
        <f t="shared" si="1"/>
        <v>XRPL2</v>
      </c>
      <c r="G1524" s="19" t="s">
        <v>5408</v>
      </c>
      <c r="H1524" s="20" t="s">
        <v>1212</v>
      </c>
      <c r="I1524" s="19" t="s">
        <v>5409</v>
      </c>
      <c r="J1524" s="19" t="s">
        <v>5410</v>
      </c>
      <c r="K1524" s="25" t="s">
        <v>7500</v>
      </c>
      <c r="L1524" s="20" t="s">
        <v>8723</v>
      </c>
      <c r="M1524" s="23" t="s">
        <v>2205</v>
      </c>
      <c r="N1524" s="18"/>
      <c r="O1524" s="18"/>
      <c r="P1524" s="18">
        <f>VLOOKUP($A1524,MasterData!$C$1:$I$3001,1,FALSE)</f>
        <v>9397</v>
      </c>
      <c r="Q1524" s="18" t="str">
        <f t="shared" si="2"/>
        <v>XRPL2</v>
      </c>
    </row>
    <row r="1525" ht="15.75" customHeight="1">
      <c r="A1525" s="31">
        <v>9418.0</v>
      </c>
      <c r="B1525" s="22" t="s">
        <v>2210</v>
      </c>
      <c r="C1525" s="24" t="s">
        <v>8732</v>
      </c>
      <c r="D1525" s="33" t="s">
        <v>2210</v>
      </c>
      <c r="E1525" s="22" t="s">
        <v>2209</v>
      </c>
      <c r="F1525" s="19" t="str">
        <f t="shared" si="1"/>
        <v>XRPL2</v>
      </c>
      <c r="G1525" s="19" t="s">
        <v>5408</v>
      </c>
      <c r="H1525" s="20" t="s">
        <v>1212</v>
      </c>
      <c r="I1525" s="19" t="s">
        <v>5409</v>
      </c>
      <c r="J1525" s="19" t="s">
        <v>5410</v>
      </c>
      <c r="K1525" s="25" t="s">
        <v>7500</v>
      </c>
      <c r="L1525" s="20" t="s">
        <v>8723</v>
      </c>
      <c r="M1525" s="23" t="s">
        <v>2208</v>
      </c>
      <c r="N1525" s="18"/>
      <c r="O1525" s="18"/>
      <c r="P1525" s="18">
        <f>VLOOKUP($A1525,MasterData!$C$1:$I$3001,1,FALSE)</f>
        <v>9418</v>
      </c>
      <c r="Q1525" s="18" t="str">
        <f t="shared" si="2"/>
        <v>XRPL2</v>
      </c>
    </row>
    <row r="1526" ht="15.75" customHeight="1">
      <c r="A1526" s="31">
        <v>9453.0</v>
      </c>
      <c r="B1526" s="22" t="s">
        <v>2213</v>
      </c>
      <c r="C1526" s="24" t="s">
        <v>8733</v>
      </c>
      <c r="D1526" s="33" t="s">
        <v>2213</v>
      </c>
      <c r="E1526" s="22" t="s">
        <v>2212</v>
      </c>
      <c r="F1526" s="19" t="str">
        <f t="shared" si="1"/>
        <v>XRPL2</v>
      </c>
      <c r="G1526" s="19" t="s">
        <v>5408</v>
      </c>
      <c r="H1526" s="20" t="s">
        <v>1212</v>
      </c>
      <c r="I1526" s="19" t="s">
        <v>5409</v>
      </c>
      <c r="J1526" s="19" t="s">
        <v>5410</v>
      </c>
      <c r="K1526" s="25" t="s">
        <v>7500</v>
      </c>
      <c r="L1526" s="20" t="s">
        <v>8723</v>
      </c>
      <c r="M1526" s="23" t="s">
        <v>2211</v>
      </c>
      <c r="N1526" s="18"/>
      <c r="O1526" s="18"/>
      <c r="P1526" s="18">
        <f>VLOOKUP($A1526,MasterData!$C$1:$I$3001,1,FALSE)</f>
        <v>9453</v>
      </c>
      <c r="Q1526" s="18" t="str">
        <f t="shared" si="2"/>
        <v>XRPL2</v>
      </c>
    </row>
    <row r="1527" ht="15.75" customHeight="1">
      <c r="A1527" s="31">
        <v>9473.0</v>
      </c>
      <c r="B1527" s="22" t="s">
        <v>2216</v>
      </c>
      <c r="C1527" s="24" t="s">
        <v>8734</v>
      </c>
      <c r="D1527" s="33" t="s">
        <v>2216</v>
      </c>
      <c r="E1527" s="22" t="s">
        <v>2215</v>
      </c>
      <c r="F1527" s="19" t="str">
        <f t="shared" si="1"/>
        <v>XRPL2</v>
      </c>
      <c r="G1527" s="19" t="s">
        <v>5408</v>
      </c>
      <c r="H1527" s="20" t="s">
        <v>1212</v>
      </c>
      <c r="I1527" s="19" t="s">
        <v>5409</v>
      </c>
      <c r="J1527" s="19" t="s">
        <v>5410</v>
      </c>
      <c r="K1527" s="25" t="s">
        <v>7500</v>
      </c>
      <c r="L1527" s="20" t="s">
        <v>8723</v>
      </c>
      <c r="M1527" s="23" t="s">
        <v>2214</v>
      </c>
      <c r="N1527" s="18"/>
      <c r="O1527" s="18"/>
      <c r="P1527" s="18">
        <f>VLOOKUP($A1527,MasterData!$C$1:$I$3001,1,FALSE)</f>
        <v>9473</v>
      </c>
      <c r="Q1527" s="18" t="str">
        <f t="shared" si="2"/>
        <v>XRPL2</v>
      </c>
    </row>
    <row r="1528" ht="15.75" customHeight="1">
      <c r="A1528" s="31">
        <v>9505.0</v>
      </c>
      <c r="B1528" s="22" t="s">
        <v>2219</v>
      </c>
      <c r="C1528" s="24" t="s">
        <v>8735</v>
      </c>
      <c r="D1528" s="33" t="s">
        <v>2219</v>
      </c>
      <c r="E1528" s="22" t="s">
        <v>2218</v>
      </c>
      <c r="F1528" s="19" t="str">
        <f t="shared" si="1"/>
        <v>XRPL2</v>
      </c>
      <c r="G1528" s="19" t="s">
        <v>5408</v>
      </c>
      <c r="H1528" s="20" t="s">
        <v>1212</v>
      </c>
      <c r="I1528" s="19" t="s">
        <v>5409</v>
      </c>
      <c r="J1528" s="19" t="s">
        <v>5410</v>
      </c>
      <c r="K1528" s="25" t="s">
        <v>7500</v>
      </c>
      <c r="L1528" s="20" t="s">
        <v>8723</v>
      </c>
      <c r="M1528" s="23" t="s">
        <v>2217</v>
      </c>
      <c r="N1528" s="18"/>
      <c r="O1528" s="18"/>
      <c r="P1528" s="18">
        <f>VLOOKUP($A1528,MasterData!$C$1:$I$3001,1,FALSE)</f>
        <v>9505</v>
      </c>
      <c r="Q1528" s="18" t="str">
        <f t="shared" si="2"/>
        <v>XRPL2</v>
      </c>
    </row>
    <row r="1529" ht="15.75" customHeight="1">
      <c r="A1529" s="31">
        <v>9509.0</v>
      </c>
      <c r="B1529" s="22" t="s">
        <v>2222</v>
      </c>
      <c r="C1529" s="24" t="s">
        <v>8736</v>
      </c>
      <c r="D1529" s="33" t="s">
        <v>2222</v>
      </c>
      <c r="E1529" s="22" t="s">
        <v>2221</v>
      </c>
      <c r="F1529" s="19" t="str">
        <f t="shared" si="1"/>
        <v>XRPL2</v>
      </c>
      <c r="G1529" s="19" t="s">
        <v>5408</v>
      </c>
      <c r="H1529" s="20" t="s">
        <v>1212</v>
      </c>
      <c r="I1529" s="19" t="s">
        <v>5409</v>
      </c>
      <c r="J1529" s="19" t="s">
        <v>5410</v>
      </c>
      <c r="K1529" s="25" t="s">
        <v>7500</v>
      </c>
      <c r="L1529" s="20" t="s">
        <v>8723</v>
      </c>
      <c r="M1529" s="23" t="s">
        <v>2220</v>
      </c>
      <c r="N1529" s="18"/>
      <c r="O1529" s="18"/>
      <c r="P1529" s="18">
        <f>VLOOKUP($A1529,MasterData!$C$1:$I$3001,1,FALSE)</f>
        <v>9509</v>
      </c>
      <c r="Q1529" s="18" t="str">
        <f t="shared" si="2"/>
        <v>XRPL2</v>
      </c>
    </row>
    <row r="1530" ht="15.75" customHeight="1">
      <c r="A1530" s="31">
        <v>9522.0</v>
      </c>
      <c r="B1530" s="22" t="s">
        <v>2225</v>
      </c>
      <c r="C1530" s="24" t="s">
        <v>8737</v>
      </c>
      <c r="D1530" s="33" t="s">
        <v>2225</v>
      </c>
      <c r="E1530" s="22" t="s">
        <v>2224</v>
      </c>
      <c r="F1530" s="19" t="str">
        <f t="shared" si="1"/>
        <v>XRPL2</v>
      </c>
      <c r="G1530" s="19" t="s">
        <v>5408</v>
      </c>
      <c r="H1530" s="20" t="s">
        <v>1212</v>
      </c>
      <c r="I1530" s="19" t="s">
        <v>5409</v>
      </c>
      <c r="J1530" s="19" t="s">
        <v>5410</v>
      </c>
      <c r="K1530" s="25" t="s">
        <v>7500</v>
      </c>
      <c r="L1530" s="20" t="s">
        <v>8723</v>
      </c>
      <c r="M1530" s="23" t="s">
        <v>2223</v>
      </c>
      <c r="N1530" s="18"/>
      <c r="O1530" s="18"/>
      <c r="P1530" s="18">
        <f>VLOOKUP($A1530,MasterData!$C$1:$I$3001,1,FALSE)</f>
        <v>9522</v>
      </c>
      <c r="Q1530" s="18" t="str">
        <f t="shared" si="2"/>
        <v>XRPL2</v>
      </c>
    </row>
    <row r="1531" ht="15.75" customHeight="1">
      <c r="A1531" s="31">
        <v>9545.0</v>
      </c>
      <c r="B1531" s="22" t="s">
        <v>2228</v>
      </c>
      <c r="C1531" s="24" t="s">
        <v>8738</v>
      </c>
      <c r="D1531" s="33" t="s">
        <v>2228</v>
      </c>
      <c r="E1531" s="22" t="s">
        <v>2227</v>
      </c>
      <c r="F1531" s="19" t="str">
        <f t="shared" si="1"/>
        <v>XRPL2</v>
      </c>
      <c r="G1531" s="19" t="s">
        <v>5408</v>
      </c>
      <c r="H1531" s="20" t="s">
        <v>1212</v>
      </c>
      <c r="I1531" s="19" t="s">
        <v>5409</v>
      </c>
      <c r="J1531" s="19" t="s">
        <v>5410</v>
      </c>
      <c r="K1531" s="25" t="s">
        <v>7500</v>
      </c>
      <c r="L1531" s="20" t="s">
        <v>8723</v>
      </c>
      <c r="M1531" s="23" t="s">
        <v>2226</v>
      </c>
      <c r="N1531" s="18"/>
      <c r="O1531" s="18"/>
      <c r="P1531" s="18">
        <f>VLOOKUP($A1531,MasterData!$C$1:$I$3001,1,FALSE)</f>
        <v>9545</v>
      </c>
      <c r="Q1531" s="18" t="str">
        <f t="shared" si="2"/>
        <v>XRPL2</v>
      </c>
    </row>
    <row r="1532" ht="15.75" customHeight="1">
      <c r="A1532" s="31">
        <v>9554.0</v>
      </c>
      <c r="B1532" s="22" t="s">
        <v>2231</v>
      </c>
      <c r="C1532" s="24" t="s">
        <v>8739</v>
      </c>
      <c r="D1532" s="33" t="s">
        <v>2231</v>
      </c>
      <c r="E1532" s="22" t="s">
        <v>2230</v>
      </c>
      <c r="F1532" s="19" t="str">
        <f t="shared" si="1"/>
        <v>XRPL2</v>
      </c>
      <c r="G1532" s="19" t="s">
        <v>5408</v>
      </c>
      <c r="H1532" s="20" t="s">
        <v>1212</v>
      </c>
      <c r="I1532" s="19" t="s">
        <v>5409</v>
      </c>
      <c r="J1532" s="19" t="s">
        <v>5410</v>
      </c>
      <c r="K1532" s="25" t="s">
        <v>7500</v>
      </c>
      <c r="L1532" s="20" t="s">
        <v>8723</v>
      </c>
      <c r="M1532" s="23" t="s">
        <v>2229</v>
      </c>
      <c r="N1532" s="18"/>
      <c r="O1532" s="18"/>
      <c r="P1532" s="18">
        <f>VLOOKUP($A1532,MasterData!$C$1:$I$3001,1,FALSE)</f>
        <v>9554</v>
      </c>
      <c r="Q1532" s="18" t="str">
        <f t="shared" si="2"/>
        <v>XRPL2</v>
      </c>
    </row>
    <row r="1533" ht="15.75" customHeight="1">
      <c r="A1533" s="31">
        <v>9571.0</v>
      </c>
      <c r="B1533" s="22" t="s">
        <v>2234</v>
      </c>
      <c r="C1533" s="24" t="s">
        <v>8740</v>
      </c>
      <c r="D1533" s="33" t="s">
        <v>2234</v>
      </c>
      <c r="E1533" s="22" t="s">
        <v>2233</v>
      </c>
      <c r="F1533" s="19" t="str">
        <f t="shared" si="1"/>
        <v>XRPL2</v>
      </c>
      <c r="G1533" s="19" t="s">
        <v>5408</v>
      </c>
      <c r="H1533" s="20" t="s">
        <v>1212</v>
      </c>
      <c r="I1533" s="19" t="s">
        <v>5409</v>
      </c>
      <c r="J1533" s="19" t="s">
        <v>5410</v>
      </c>
      <c r="K1533" s="25" t="s">
        <v>7500</v>
      </c>
      <c r="L1533" s="20" t="s">
        <v>8723</v>
      </c>
      <c r="M1533" s="23" t="s">
        <v>2232</v>
      </c>
      <c r="N1533" s="18"/>
      <c r="O1533" s="18"/>
      <c r="P1533" s="18">
        <f>VLOOKUP($A1533,MasterData!$C$1:$I$3001,1,FALSE)</f>
        <v>9571</v>
      </c>
      <c r="Q1533" s="18" t="str">
        <f t="shared" si="2"/>
        <v>XRPL2</v>
      </c>
    </row>
    <row r="1534" ht="15.75" customHeight="1">
      <c r="A1534" s="31">
        <v>9591.0</v>
      </c>
      <c r="B1534" s="22" t="s">
        <v>2237</v>
      </c>
      <c r="C1534" s="24" t="s">
        <v>8741</v>
      </c>
      <c r="D1534" s="33" t="s">
        <v>2237</v>
      </c>
      <c r="E1534" s="22" t="s">
        <v>2236</v>
      </c>
      <c r="F1534" s="19" t="str">
        <f t="shared" si="1"/>
        <v>XRPL2</v>
      </c>
      <c r="G1534" s="19" t="s">
        <v>5408</v>
      </c>
      <c r="H1534" s="20" t="s">
        <v>1212</v>
      </c>
      <c r="I1534" s="19" t="s">
        <v>5409</v>
      </c>
      <c r="J1534" s="19" t="s">
        <v>5410</v>
      </c>
      <c r="K1534" s="25" t="s">
        <v>7500</v>
      </c>
      <c r="L1534" s="20" t="s">
        <v>8723</v>
      </c>
      <c r="M1534" s="23" t="s">
        <v>2235</v>
      </c>
      <c r="N1534" s="18"/>
      <c r="O1534" s="18"/>
      <c r="P1534" s="18">
        <f>VLOOKUP($A1534,MasterData!$C$1:$I$3001,1,FALSE)</f>
        <v>9591</v>
      </c>
      <c r="Q1534" s="18" t="str">
        <f t="shared" si="2"/>
        <v>XRPL2</v>
      </c>
    </row>
    <row r="1535" ht="15.75" customHeight="1">
      <c r="A1535" s="31">
        <v>9604.0</v>
      </c>
      <c r="B1535" s="22" t="s">
        <v>2240</v>
      </c>
      <c r="C1535" s="24" t="s">
        <v>8742</v>
      </c>
      <c r="D1535" s="33" t="s">
        <v>2240</v>
      </c>
      <c r="E1535" s="22" t="s">
        <v>2239</v>
      </c>
      <c r="F1535" s="19" t="str">
        <f t="shared" si="1"/>
        <v>XRPL2</v>
      </c>
      <c r="G1535" s="19" t="s">
        <v>5408</v>
      </c>
      <c r="H1535" s="20" t="s">
        <v>1212</v>
      </c>
      <c r="I1535" s="19" t="s">
        <v>5409</v>
      </c>
      <c r="J1535" s="19" t="s">
        <v>5410</v>
      </c>
      <c r="K1535" s="25" t="s">
        <v>7500</v>
      </c>
      <c r="L1535" s="20" t="s">
        <v>8723</v>
      </c>
      <c r="M1535" s="23" t="s">
        <v>2238</v>
      </c>
      <c r="N1535" s="18"/>
      <c r="O1535" s="18"/>
      <c r="P1535" s="18">
        <f>VLOOKUP($A1535,MasterData!$C$1:$I$3001,1,FALSE)</f>
        <v>9604</v>
      </c>
      <c r="Q1535" s="18" t="str">
        <f t="shared" si="2"/>
        <v>XRPL2</v>
      </c>
    </row>
    <row r="1536" ht="15.75" customHeight="1">
      <c r="A1536" s="31">
        <v>9609.0</v>
      </c>
      <c r="B1536" s="22" t="s">
        <v>2243</v>
      </c>
      <c r="C1536" s="24" t="s">
        <v>8743</v>
      </c>
      <c r="D1536" s="33" t="s">
        <v>2243</v>
      </c>
      <c r="E1536" s="22" t="s">
        <v>2242</v>
      </c>
      <c r="F1536" s="19" t="str">
        <f t="shared" si="1"/>
        <v>XRPL2</v>
      </c>
      <c r="G1536" s="19" t="s">
        <v>5408</v>
      </c>
      <c r="H1536" s="20" t="s">
        <v>1212</v>
      </c>
      <c r="I1536" s="19" t="s">
        <v>5409</v>
      </c>
      <c r="J1536" s="19" t="s">
        <v>5410</v>
      </c>
      <c r="K1536" s="25" t="s">
        <v>7500</v>
      </c>
      <c r="L1536" s="20" t="s">
        <v>8723</v>
      </c>
      <c r="M1536" s="23" t="s">
        <v>2241</v>
      </c>
      <c r="N1536" s="18"/>
      <c r="O1536" s="18"/>
      <c r="P1536" s="18">
        <f>VLOOKUP($A1536,MasterData!$C$1:$I$3001,1,FALSE)</f>
        <v>9609</v>
      </c>
      <c r="Q1536" s="18" t="str">
        <f t="shared" si="2"/>
        <v>XRPL2</v>
      </c>
    </row>
    <row r="1537" ht="15.75" customHeight="1">
      <c r="A1537" s="31">
        <v>9631.0</v>
      </c>
      <c r="B1537" s="22" t="s">
        <v>2246</v>
      </c>
      <c r="C1537" s="24" t="s">
        <v>8744</v>
      </c>
      <c r="D1537" s="33" t="s">
        <v>2246</v>
      </c>
      <c r="E1537" s="22" t="s">
        <v>2245</v>
      </c>
      <c r="F1537" s="19" t="str">
        <f t="shared" si="1"/>
        <v>XRPL2</v>
      </c>
      <c r="G1537" s="19" t="s">
        <v>5408</v>
      </c>
      <c r="H1537" s="20" t="s">
        <v>1212</v>
      </c>
      <c r="I1537" s="19" t="s">
        <v>5409</v>
      </c>
      <c r="J1537" s="19" t="s">
        <v>5410</v>
      </c>
      <c r="K1537" s="25" t="s">
        <v>7500</v>
      </c>
      <c r="L1537" s="20" t="s">
        <v>8723</v>
      </c>
      <c r="M1537" s="23" t="s">
        <v>2244</v>
      </c>
      <c r="N1537" s="18"/>
      <c r="O1537" s="18"/>
      <c r="P1537" s="18">
        <f>VLOOKUP($A1537,MasterData!$C$1:$I$3001,1,FALSE)</f>
        <v>9631</v>
      </c>
      <c r="Q1537" s="18" t="str">
        <f t="shared" si="2"/>
        <v>XRPL2</v>
      </c>
    </row>
    <row r="1538" ht="15.75" customHeight="1">
      <c r="A1538" s="31">
        <v>9639.0</v>
      </c>
      <c r="B1538" s="22" t="s">
        <v>2249</v>
      </c>
      <c r="C1538" s="24" t="s">
        <v>8745</v>
      </c>
      <c r="D1538" s="33" t="s">
        <v>2249</v>
      </c>
      <c r="E1538" s="22" t="s">
        <v>2248</v>
      </c>
      <c r="F1538" s="19" t="str">
        <f t="shared" si="1"/>
        <v>XRPL2</v>
      </c>
      <c r="G1538" s="19" t="s">
        <v>5408</v>
      </c>
      <c r="H1538" s="20" t="s">
        <v>1212</v>
      </c>
      <c r="I1538" s="19" t="s">
        <v>5409</v>
      </c>
      <c r="J1538" s="19" t="s">
        <v>5410</v>
      </c>
      <c r="K1538" s="25" t="s">
        <v>7500</v>
      </c>
      <c r="L1538" s="20" t="s">
        <v>8723</v>
      </c>
      <c r="M1538" s="23" t="s">
        <v>2247</v>
      </c>
      <c r="N1538" s="18"/>
      <c r="O1538" s="18"/>
      <c r="P1538" s="18">
        <f>VLOOKUP($A1538,MasterData!$C$1:$I$3001,1,FALSE)</f>
        <v>9639</v>
      </c>
      <c r="Q1538" s="18" t="str">
        <f t="shared" si="2"/>
        <v>XRPL2</v>
      </c>
    </row>
    <row r="1539" ht="15.75" customHeight="1">
      <c r="A1539" s="31">
        <v>9666.0</v>
      </c>
      <c r="B1539" s="22" t="s">
        <v>2252</v>
      </c>
      <c r="C1539" s="24" t="s">
        <v>8746</v>
      </c>
      <c r="D1539" s="33" t="s">
        <v>2252</v>
      </c>
      <c r="E1539" s="22" t="s">
        <v>2251</v>
      </c>
      <c r="F1539" s="19" t="str">
        <f t="shared" si="1"/>
        <v>XRPL2</v>
      </c>
      <c r="G1539" s="19" t="s">
        <v>5408</v>
      </c>
      <c r="H1539" s="20" t="s">
        <v>1212</v>
      </c>
      <c r="I1539" s="19" t="s">
        <v>5409</v>
      </c>
      <c r="J1539" s="19" t="s">
        <v>5410</v>
      </c>
      <c r="K1539" s="25" t="s">
        <v>7500</v>
      </c>
      <c r="L1539" s="20" t="s">
        <v>8723</v>
      </c>
      <c r="M1539" s="23" t="s">
        <v>2250</v>
      </c>
      <c r="N1539" s="18"/>
      <c r="O1539" s="18"/>
      <c r="P1539" s="18">
        <f>VLOOKUP($A1539,MasterData!$C$1:$I$3001,1,FALSE)</f>
        <v>9666</v>
      </c>
      <c r="Q1539" s="18" t="str">
        <f t="shared" si="2"/>
        <v>XRPL2</v>
      </c>
    </row>
    <row r="1540" ht="15.75" customHeight="1">
      <c r="A1540" s="31">
        <v>9669.0</v>
      </c>
      <c r="B1540" s="22" t="s">
        <v>2255</v>
      </c>
      <c r="C1540" s="24" t="s">
        <v>8747</v>
      </c>
      <c r="D1540" s="33" t="s">
        <v>2255</v>
      </c>
      <c r="E1540" s="22" t="s">
        <v>2254</v>
      </c>
      <c r="F1540" s="19" t="str">
        <f t="shared" si="1"/>
        <v>XRPL2</v>
      </c>
      <c r="G1540" s="19" t="s">
        <v>5408</v>
      </c>
      <c r="H1540" s="20" t="s">
        <v>1212</v>
      </c>
      <c r="I1540" s="19" t="s">
        <v>5409</v>
      </c>
      <c r="J1540" s="19" t="s">
        <v>5410</v>
      </c>
      <c r="K1540" s="25" t="s">
        <v>7500</v>
      </c>
      <c r="L1540" s="20" t="s">
        <v>8723</v>
      </c>
      <c r="M1540" s="23" t="s">
        <v>2253</v>
      </c>
      <c r="N1540" s="18"/>
      <c r="O1540" s="18"/>
      <c r="P1540" s="18">
        <f>VLOOKUP($A1540,MasterData!$C$1:$I$3001,1,FALSE)</f>
        <v>9669</v>
      </c>
      <c r="Q1540" s="18" t="str">
        <f t="shared" si="2"/>
        <v>XRPL2</v>
      </c>
    </row>
    <row r="1541" ht="15.75" customHeight="1">
      <c r="A1541" s="31">
        <v>9674.0</v>
      </c>
      <c r="B1541" s="22" t="s">
        <v>2258</v>
      </c>
      <c r="C1541" s="24" t="s">
        <v>8748</v>
      </c>
      <c r="D1541" s="33" t="s">
        <v>2258</v>
      </c>
      <c r="E1541" s="22" t="s">
        <v>2257</v>
      </c>
      <c r="F1541" s="19" t="str">
        <f t="shared" si="1"/>
        <v>XRPL2</v>
      </c>
      <c r="G1541" s="19" t="s">
        <v>5408</v>
      </c>
      <c r="H1541" s="20" t="s">
        <v>1212</v>
      </c>
      <c r="I1541" s="19" t="s">
        <v>5409</v>
      </c>
      <c r="J1541" s="19" t="s">
        <v>5410</v>
      </c>
      <c r="K1541" s="25" t="s">
        <v>7500</v>
      </c>
      <c r="L1541" s="20" t="s">
        <v>8723</v>
      </c>
      <c r="M1541" s="23" t="s">
        <v>2256</v>
      </c>
      <c r="N1541" s="18"/>
      <c r="O1541" s="18"/>
      <c r="P1541" s="18">
        <f>VLOOKUP($A1541,MasterData!$C$1:$I$3001,1,FALSE)</f>
        <v>9674</v>
      </c>
      <c r="Q1541" s="18" t="str">
        <f t="shared" si="2"/>
        <v>XRPL2</v>
      </c>
    </row>
    <row r="1542" ht="15.75" customHeight="1">
      <c r="A1542" s="31">
        <v>9679.0</v>
      </c>
      <c r="B1542" s="22" t="s">
        <v>2261</v>
      </c>
      <c r="C1542" s="24" t="s">
        <v>8749</v>
      </c>
      <c r="D1542" s="33" t="s">
        <v>2261</v>
      </c>
      <c r="E1542" s="22" t="s">
        <v>2260</v>
      </c>
      <c r="F1542" s="19" t="str">
        <f t="shared" si="1"/>
        <v>XRPL2</v>
      </c>
      <c r="G1542" s="19" t="s">
        <v>5408</v>
      </c>
      <c r="H1542" s="20" t="s">
        <v>1212</v>
      </c>
      <c r="I1542" s="19" t="s">
        <v>5409</v>
      </c>
      <c r="J1542" s="19" t="s">
        <v>5410</v>
      </c>
      <c r="K1542" s="25" t="s">
        <v>7500</v>
      </c>
      <c r="L1542" s="20" t="s">
        <v>8723</v>
      </c>
      <c r="M1542" s="23" t="s">
        <v>2259</v>
      </c>
      <c r="N1542" s="18"/>
      <c r="O1542" s="18"/>
      <c r="P1542" s="18">
        <f>VLOOKUP($A1542,MasterData!$C$1:$I$3001,1,FALSE)</f>
        <v>9679</v>
      </c>
      <c r="Q1542" s="18" t="str">
        <f t="shared" si="2"/>
        <v>XRPL2</v>
      </c>
    </row>
    <row r="1543" ht="15.75" customHeight="1">
      <c r="A1543" s="31">
        <v>9703.0</v>
      </c>
      <c r="B1543" s="22" t="s">
        <v>2264</v>
      </c>
      <c r="C1543" s="24" t="s">
        <v>8750</v>
      </c>
      <c r="D1543" s="33" t="s">
        <v>2264</v>
      </c>
      <c r="E1543" s="22" t="s">
        <v>2263</v>
      </c>
      <c r="F1543" s="19" t="str">
        <f t="shared" si="1"/>
        <v>XRPL2</v>
      </c>
      <c r="G1543" s="19" t="s">
        <v>5408</v>
      </c>
      <c r="H1543" s="20" t="s">
        <v>1212</v>
      </c>
      <c r="I1543" s="19" t="s">
        <v>5409</v>
      </c>
      <c r="J1543" s="19" t="s">
        <v>5410</v>
      </c>
      <c r="K1543" s="25" t="s">
        <v>7500</v>
      </c>
      <c r="L1543" s="20" t="s">
        <v>8723</v>
      </c>
      <c r="M1543" s="23" t="s">
        <v>2262</v>
      </c>
      <c r="N1543" s="18"/>
      <c r="O1543" s="18"/>
      <c r="P1543" s="18">
        <f>VLOOKUP($A1543,MasterData!$C$1:$I$3001,1,FALSE)</f>
        <v>9703</v>
      </c>
      <c r="Q1543" s="18" t="str">
        <f t="shared" si="2"/>
        <v>XRPL2</v>
      </c>
    </row>
    <row r="1544" ht="15.75" customHeight="1">
      <c r="A1544" s="31">
        <v>9717.0</v>
      </c>
      <c r="B1544" s="22" t="s">
        <v>2267</v>
      </c>
      <c r="C1544" s="24" t="s">
        <v>8751</v>
      </c>
      <c r="D1544" s="33" t="s">
        <v>2267</v>
      </c>
      <c r="E1544" s="22" t="s">
        <v>2266</v>
      </c>
      <c r="F1544" s="19" t="str">
        <f t="shared" si="1"/>
        <v>XRPL2</v>
      </c>
      <c r="G1544" s="19" t="s">
        <v>5408</v>
      </c>
      <c r="H1544" s="20" t="s">
        <v>1212</v>
      </c>
      <c r="I1544" s="19" t="s">
        <v>5409</v>
      </c>
      <c r="J1544" s="19" t="s">
        <v>5410</v>
      </c>
      <c r="K1544" s="25" t="s">
        <v>7500</v>
      </c>
      <c r="L1544" s="20" t="s">
        <v>8723</v>
      </c>
      <c r="M1544" s="23" t="s">
        <v>2265</v>
      </c>
      <c r="N1544" s="18"/>
      <c r="O1544" s="18"/>
      <c r="P1544" s="18">
        <f>VLOOKUP($A1544,MasterData!$C$1:$I$3001,1,FALSE)</f>
        <v>9717</v>
      </c>
      <c r="Q1544" s="18" t="str">
        <f t="shared" si="2"/>
        <v>XRPL2</v>
      </c>
    </row>
    <row r="1545" ht="15.75" customHeight="1">
      <c r="A1545" s="31">
        <v>9730.0</v>
      </c>
      <c r="B1545" s="22" t="s">
        <v>2270</v>
      </c>
      <c r="C1545" s="24" t="s">
        <v>8752</v>
      </c>
      <c r="D1545" s="33" t="s">
        <v>2270</v>
      </c>
      <c r="E1545" s="22" t="s">
        <v>2269</v>
      </c>
      <c r="F1545" s="19" t="str">
        <f t="shared" si="1"/>
        <v>XRPL2</v>
      </c>
      <c r="G1545" s="19" t="s">
        <v>5408</v>
      </c>
      <c r="H1545" s="20" t="s">
        <v>1212</v>
      </c>
      <c r="I1545" s="19" t="s">
        <v>5409</v>
      </c>
      <c r="J1545" s="19" t="s">
        <v>5410</v>
      </c>
      <c r="K1545" s="25" t="s">
        <v>7500</v>
      </c>
      <c r="L1545" s="20" t="s">
        <v>8723</v>
      </c>
      <c r="M1545" s="23" t="s">
        <v>2268</v>
      </c>
      <c r="N1545" s="18"/>
      <c r="O1545" s="18"/>
      <c r="P1545" s="18">
        <f>VLOOKUP($A1545,MasterData!$C$1:$I$3001,1,FALSE)</f>
        <v>9730</v>
      </c>
      <c r="Q1545" s="18" t="str">
        <f t="shared" si="2"/>
        <v>XRPL2</v>
      </c>
    </row>
    <row r="1546" ht="15.75" customHeight="1">
      <c r="A1546" s="31">
        <v>9734.0</v>
      </c>
      <c r="B1546" s="22" t="s">
        <v>2273</v>
      </c>
      <c r="C1546" s="24" t="s">
        <v>8753</v>
      </c>
      <c r="D1546" s="33" t="s">
        <v>2273</v>
      </c>
      <c r="E1546" s="22" t="s">
        <v>2272</v>
      </c>
      <c r="F1546" s="19" t="str">
        <f t="shared" si="1"/>
        <v>XRPL2</v>
      </c>
      <c r="G1546" s="19" t="s">
        <v>5408</v>
      </c>
      <c r="H1546" s="20" t="s">
        <v>1212</v>
      </c>
      <c r="I1546" s="19" t="s">
        <v>5409</v>
      </c>
      <c r="J1546" s="19" t="s">
        <v>5410</v>
      </c>
      <c r="K1546" s="25" t="s">
        <v>7500</v>
      </c>
      <c r="L1546" s="20" t="s">
        <v>8723</v>
      </c>
      <c r="M1546" s="23" t="s">
        <v>2271</v>
      </c>
      <c r="N1546" s="18"/>
      <c r="O1546" s="18"/>
      <c r="P1546" s="18">
        <f>VLOOKUP($A1546,MasterData!$C$1:$I$3001,1,FALSE)</f>
        <v>9734</v>
      </c>
      <c r="Q1546" s="18" t="str">
        <f t="shared" si="2"/>
        <v>XRPL2</v>
      </c>
    </row>
    <row r="1547" ht="15.75" customHeight="1">
      <c r="A1547" s="31">
        <v>9753.0</v>
      </c>
      <c r="B1547" s="22" t="s">
        <v>2276</v>
      </c>
      <c r="C1547" s="24" t="s">
        <v>8754</v>
      </c>
      <c r="D1547" s="33" t="s">
        <v>2276</v>
      </c>
      <c r="E1547" s="22" t="s">
        <v>2275</v>
      </c>
      <c r="F1547" s="19" t="str">
        <f t="shared" si="1"/>
        <v>XRPL2</v>
      </c>
      <c r="G1547" s="19" t="s">
        <v>5408</v>
      </c>
      <c r="H1547" s="20" t="s">
        <v>1212</v>
      </c>
      <c r="I1547" s="19" t="s">
        <v>5409</v>
      </c>
      <c r="J1547" s="19" t="s">
        <v>5410</v>
      </c>
      <c r="K1547" s="25" t="s">
        <v>7500</v>
      </c>
      <c r="L1547" s="20" t="s">
        <v>8723</v>
      </c>
      <c r="M1547" s="23" t="s">
        <v>2274</v>
      </c>
      <c r="N1547" s="18"/>
      <c r="O1547" s="18"/>
      <c r="P1547" s="18">
        <f>VLOOKUP($A1547,MasterData!$C$1:$I$3001,1,FALSE)</f>
        <v>9753</v>
      </c>
      <c r="Q1547" s="18" t="str">
        <f t="shared" si="2"/>
        <v>XRPL2</v>
      </c>
    </row>
    <row r="1548" ht="15.75" customHeight="1">
      <c r="A1548" s="31">
        <v>9789.0</v>
      </c>
      <c r="B1548" s="22" t="s">
        <v>2279</v>
      </c>
      <c r="C1548" s="24" t="s">
        <v>8755</v>
      </c>
      <c r="D1548" s="33" t="s">
        <v>2279</v>
      </c>
      <c r="E1548" s="22" t="s">
        <v>2278</v>
      </c>
      <c r="F1548" s="19" t="str">
        <f t="shared" si="1"/>
        <v>XRPL2</v>
      </c>
      <c r="G1548" s="19" t="s">
        <v>5408</v>
      </c>
      <c r="H1548" s="20" t="s">
        <v>1212</v>
      </c>
      <c r="I1548" s="19" t="s">
        <v>5409</v>
      </c>
      <c r="J1548" s="19" t="s">
        <v>5410</v>
      </c>
      <c r="K1548" s="25" t="s">
        <v>7500</v>
      </c>
      <c r="L1548" s="20" t="s">
        <v>8723</v>
      </c>
      <c r="M1548" s="23" t="s">
        <v>2277</v>
      </c>
      <c r="N1548" s="18"/>
      <c r="O1548" s="18"/>
      <c r="P1548" s="18">
        <f>VLOOKUP($A1548,MasterData!$C$1:$I$3001,1,FALSE)</f>
        <v>9789</v>
      </c>
      <c r="Q1548" s="18" t="str">
        <f t="shared" si="2"/>
        <v>XRPL2</v>
      </c>
    </row>
    <row r="1549" ht="15.75" customHeight="1">
      <c r="A1549" s="31">
        <v>9818.0</v>
      </c>
      <c r="B1549" s="22" t="s">
        <v>2282</v>
      </c>
      <c r="C1549" s="24" t="s">
        <v>8756</v>
      </c>
      <c r="D1549" s="33" t="s">
        <v>2282</v>
      </c>
      <c r="E1549" s="22" t="s">
        <v>2281</v>
      </c>
      <c r="F1549" s="19" t="str">
        <f t="shared" si="1"/>
        <v>XRPL2</v>
      </c>
      <c r="G1549" s="19" t="s">
        <v>5408</v>
      </c>
      <c r="H1549" s="20" t="s">
        <v>1212</v>
      </c>
      <c r="I1549" s="19" t="s">
        <v>5409</v>
      </c>
      <c r="J1549" s="19" t="s">
        <v>5410</v>
      </c>
      <c r="K1549" s="25" t="s">
        <v>7500</v>
      </c>
      <c r="L1549" s="20" t="s">
        <v>8723</v>
      </c>
      <c r="M1549" s="23" t="s">
        <v>2280</v>
      </c>
      <c r="N1549" s="18"/>
      <c r="O1549" s="18"/>
      <c r="P1549" s="18">
        <f>VLOOKUP($A1549,MasterData!$C$1:$I$3001,1,FALSE)</f>
        <v>9818</v>
      </c>
      <c r="Q1549" s="18" t="str">
        <f t="shared" si="2"/>
        <v>XRPL2</v>
      </c>
    </row>
    <row r="1550" ht="15.75" customHeight="1">
      <c r="A1550" s="31">
        <v>9834.0</v>
      </c>
      <c r="B1550" s="22" t="s">
        <v>2285</v>
      </c>
      <c r="C1550" s="24" t="s">
        <v>8757</v>
      </c>
      <c r="D1550" s="33" t="s">
        <v>2285</v>
      </c>
      <c r="E1550" s="22" t="s">
        <v>2284</v>
      </c>
      <c r="F1550" s="19" t="str">
        <f t="shared" si="1"/>
        <v>XRPL2</v>
      </c>
      <c r="G1550" s="19" t="s">
        <v>5408</v>
      </c>
      <c r="H1550" s="20" t="s">
        <v>1212</v>
      </c>
      <c r="I1550" s="19" t="s">
        <v>5409</v>
      </c>
      <c r="J1550" s="19" t="s">
        <v>5410</v>
      </c>
      <c r="K1550" s="25" t="s">
        <v>7500</v>
      </c>
      <c r="L1550" s="20" t="s">
        <v>8723</v>
      </c>
      <c r="M1550" s="23" t="s">
        <v>2283</v>
      </c>
      <c r="N1550" s="18"/>
      <c r="O1550" s="18"/>
      <c r="P1550" s="18">
        <f>VLOOKUP($A1550,MasterData!$C$1:$I$3001,1,FALSE)</f>
        <v>9834</v>
      </c>
      <c r="Q1550" s="18" t="str">
        <f t="shared" si="2"/>
        <v>XRPL2</v>
      </c>
    </row>
    <row r="1551" ht="15.75" customHeight="1">
      <c r="A1551" s="31">
        <v>9851.0</v>
      </c>
      <c r="B1551" s="22" t="s">
        <v>2288</v>
      </c>
      <c r="C1551" s="24" t="s">
        <v>8758</v>
      </c>
      <c r="D1551" s="33" t="s">
        <v>2288</v>
      </c>
      <c r="E1551" s="22" t="s">
        <v>2287</v>
      </c>
      <c r="F1551" s="19" t="str">
        <f t="shared" si="1"/>
        <v>XRPL2</v>
      </c>
      <c r="G1551" s="19" t="s">
        <v>5408</v>
      </c>
      <c r="H1551" s="20" t="s">
        <v>1212</v>
      </c>
      <c r="I1551" s="19" t="s">
        <v>5409</v>
      </c>
      <c r="J1551" s="19" t="s">
        <v>5410</v>
      </c>
      <c r="K1551" s="25" t="s">
        <v>7500</v>
      </c>
      <c r="L1551" s="20" t="s">
        <v>8723</v>
      </c>
      <c r="M1551" s="23" t="s">
        <v>2286</v>
      </c>
      <c r="N1551" s="18"/>
      <c r="O1551" s="18"/>
      <c r="P1551" s="18">
        <f>VLOOKUP($A1551,MasterData!$C$1:$I$3001,1,FALSE)</f>
        <v>9851</v>
      </c>
      <c r="Q1551" s="18" t="str">
        <f t="shared" si="2"/>
        <v>XRPL2</v>
      </c>
    </row>
    <row r="1552" ht="15.75" customHeight="1">
      <c r="A1552" s="31">
        <v>9247.0</v>
      </c>
      <c r="B1552" s="22" t="s">
        <v>2291</v>
      </c>
      <c r="C1552" s="24" t="s">
        <v>8759</v>
      </c>
      <c r="D1552" s="33" t="s">
        <v>2291</v>
      </c>
      <c r="E1552" s="22" t="s">
        <v>2290</v>
      </c>
      <c r="F1552" s="19" t="str">
        <f t="shared" si="1"/>
        <v>XTKJ1</v>
      </c>
      <c r="G1552" s="19" t="s">
        <v>5408</v>
      </c>
      <c r="H1552" s="20" t="s">
        <v>1212</v>
      </c>
      <c r="I1552" s="19" t="s">
        <v>5409</v>
      </c>
      <c r="J1552" s="19" t="s">
        <v>5410</v>
      </c>
      <c r="K1552" s="25" t="s">
        <v>7500</v>
      </c>
      <c r="L1552" s="20" t="s">
        <v>8760</v>
      </c>
      <c r="M1552" s="23" t="s">
        <v>2289</v>
      </c>
      <c r="N1552" s="18"/>
      <c r="O1552" s="18"/>
      <c r="P1552" s="18">
        <f>VLOOKUP($A1552,MasterData!$C$1:$I$3001,1,FALSE)</f>
        <v>9247</v>
      </c>
      <c r="Q1552" s="18" t="str">
        <f t="shared" si="2"/>
        <v>XTKJ1</v>
      </c>
    </row>
    <row r="1553" ht="15.75" customHeight="1">
      <c r="A1553" s="31">
        <v>9283.0</v>
      </c>
      <c r="B1553" s="22" t="s">
        <v>2294</v>
      </c>
      <c r="C1553" s="24" t="s">
        <v>8761</v>
      </c>
      <c r="D1553" s="33" t="s">
        <v>2294</v>
      </c>
      <c r="E1553" s="22" t="s">
        <v>2293</v>
      </c>
      <c r="F1553" s="19" t="str">
        <f t="shared" si="1"/>
        <v>XTKJ1</v>
      </c>
      <c r="G1553" s="19" t="s">
        <v>5408</v>
      </c>
      <c r="H1553" s="20" t="s">
        <v>1212</v>
      </c>
      <c r="I1553" s="19" t="s">
        <v>5409</v>
      </c>
      <c r="J1553" s="19" t="s">
        <v>5410</v>
      </c>
      <c r="K1553" s="25" t="s">
        <v>7500</v>
      </c>
      <c r="L1553" s="20" t="s">
        <v>8760</v>
      </c>
      <c r="M1553" s="23" t="s">
        <v>2292</v>
      </c>
      <c r="N1553" s="18"/>
      <c r="O1553" s="18"/>
      <c r="P1553" s="18">
        <f>VLOOKUP($A1553,MasterData!$C$1:$I$3001,1,FALSE)</f>
        <v>9283</v>
      </c>
      <c r="Q1553" s="18" t="str">
        <f t="shared" si="2"/>
        <v>XTKJ1</v>
      </c>
    </row>
    <row r="1554" ht="15.75" customHeight="1">
      <c r="A1554" s="31">
        <v>9304.0</v>
      </c>
      <c r="B1554" s="22" t="s">
        <v>2297</v>
      </c>
      <c r="C1554" s="24" t="s">
        <v>8762</v>
      </c>
      <c r="D1554" s="33" t="s">
        <v>2297</v>
      </c>
      <c r="E1554" s="22" t="s">
        <v>2296</v>
      </c>
      <c r="F1554" s="19" t="str">
        <f t="shared" si="1"/>
        <v>XTKJ1</v>
      </c>
      <c r="G1554" s="19" t="s">
        <v>5408</v>
      </c>
      <c r="H1554" s="20" t="s">
        <v>1212</v>
      </c>
      <c r="I1554" s="19" t="s">
        <v>5409</v>
      </c>
      <c r="J1554" s="19" t="s">
        <v>5410</v>
      </c>
      <c r="K1554" s="25" t="s">
        <v>7500</v>
      </c>
      <c r="L1554" s="20" t="s">
        <v>8760</v>
      </c>
      <c r="M1554" s="23" t="s">
        <v>2295</v>
      </c>
      <c r="N1554" s="18"/>
      <c r="O1554" s="18"/>
      <c r="P1554" s="18">
        <f>VLOOKUP($A1554,MasterData!$C$1:$I$3001,1,FALSE)</f>
        <v>9304</v>
      </c>
      <c r="Q1554" s="18" t="str">
        <f t="shared" si="2"/>
        <v>XTKJ1</v>
      </c>
    </row>
    <row r="1555" ht="15.75" customHeight="1">
      <c r="A1555" s="31">
        <v>9332.0</v>
      </c>
      <c r="B1555" s="22" t="s">
        <v>2300</v>
      </c>
      <c r="C1555" s="24" t="s">
        <v>8763</v>
      </c>
      <c r="D1555" s="33" t="s">
        <v>2300</v>
      </c>
      <c r="E1555" s="22" t="s">
        <v>2299</v>
      </c>
      <c r="F1555" s="19" t="str">
        <f t="shared" si="1"/>
        <v>XTKJ1</v>
      </c>
      <c r="G1555" s="19" t="s">
        <v>5408</v>
      </c>
      <c r="H1555" s="20" t="s">
        <v>1212</v>
      </c>
      <c r="I1555" s="19" t="s">
        <v>5409</v>
      </c>
      <c r="J1555" s="19" t="s">
        <v>5410</v>
      </c>
      <c r="K1555" s="25" t="s">
        <v>7500</v>
      </c>
      <c r="L1555" s="20" t="s">
        <v>8760</v>
      </c>
      <c r="M1555" s="23" t="s">
        <v>2298</v>
      </c>
      <c r="N1555" s="18"/>
      <c r="O1555" s="18"/>
      <c r="P1555" s="18">
        <f>VLOOKUP($A1555,MasterData!$C$1:$I$3001,1,FALSE)</f>
        <v>9332</v>
      </c>
      <c r="Q1555" s="18" t="str">
        <f t="shared" si="2"/>
        <v>XTKJ1</v>
      </c>
    </row>
    <row r="1556" ht="15.75" customHeight="1">
      <c r="A1556" s="31">
        <v>9340.0</v>
      </c>
      <c r="B1556" s="22" t="s">
        <v>2303</v>
      </c>
      <c r="C1556" s="24" t="s">
        <v>8764</v>
      </c>
      <c r="D1556" s="33" t="s">
        <v>2303</v>
      </c>
      <c r="E1556" s="22" t="s">
        <v>2302</v>
      </c>
      <c r="F1556" s="19" t="str">
        <f t="shared" si="1"/>
        <v>XTKJ1</v>
      </c>
      <c r="G1556" s="19" t="s">
        <v>5408</v>
      </c>
      <c r="H1556" s="20" t="s">
        <v>1212</v>
      </c>
      <c r="I1556" s="19" t="s">
        <v>5409</v>
      </c>
      <c r="J1556" s="19" t="s">
        <v>5410</v>
      </c>
      <c r="K1556" s="25" t="s">
        <v>7500</v>
      </c>
      <c r="L1556" s="20" t="s">
        <v>8760</v>
      </c>
      <c r="M1556" s="23" t="s">
        <v>2301</v>
      </c>
      <c r="N1556" s="18"/>
      <c r="O1556" s="18"/>
      <c r="P1556" s="18">
        <f>VLOOKUP($A1556,MasterData!$C$1:$I$3001,1,FALSE)</f>
        <v>9340</v>
      </c>
      <c r="Q1556" s="18" t="str">
        <f t="shared" si="2"/>
        <v>XTKJ1</v>
      </c>
    </row>
    <row r="1557" ht="15.75" customHeight="1">
      <c r="A1557" s="31">
        <v>9349.0</v>
      </c>
      <c r="B1557" s="22" t="s">
        <v>2306</v>
      </c>
      <c r="C1557" s="24" t="s">
        <v>8765</v>
      </c>
      <c r="D1557" s="33" t="s">
        <v>2306</v>
      </c>
      <c r="E1557" s="22" t="s">
        <v>2305</v>
      </c>
      <c r="F1557" s="19" t="str">
        <f t="shared" si="1"/>
        <v>XTKJ1</v>
      </c>
      <c r="G1557" s="19" t="s">
        <v>5408</v>
      </c>
      <c r="H1557" s="20" t="s">
        <v>1212</v>
      </c>
      <c r="I1557" s="19" t="s">
        <v>5409</v>
      </c>
      <c r="J1557" s="19" t="s">
        <v>5410</v>
      </c>
      <c r="K1557" s="25" t="s">
        <v>7500</v>
      </c>
      <c r="L1557" s="20" t="s">
        <v>8760</v>
      </c>
      <c r="M1557" s="23" t="s">
        <v>2304</v>
      </c>
      <c r="N1557" s="18"/>
      <c r="O1557" s="18"/>
      <c r="P1557" s="18">
        <f>VLOOKUP($A1557,MasterData!$C$1:$I$3001,1,FALSE)</f>
        <v>9349</v>
      </c>
      <c r="Q1557" s="18" t="str">
        <f t="shared" si="2"/>
        <v>XTKJ1</v>
      </c>
    </row>
    <row r="1558" ht="15.75" customHeight="1">
      <c r="A1558" s="31">
        <v>9365.0</v>
      </c>
      <c r="B1558" s="22" t="s">
        <v>2309</v>
      </c>
      <c r="C1558" s="24" t="s">
        <v>8766</v>
      </c>
      <c r="D1558" s="33" t="s">
        <v>2309</v>
      </c>
      <c r="E1558" s="22" t="s">
        <v>2308</v>
      </c>
      <c r="F1558" s="19" t="str">
        <f t="shared" si="1"/>
        <v>XTKJ1</v>
      </c>
      <c r="G1558" s="19" t="s">
        <v>5408</v>
      </c>
      <c r="H1558" s="20" t="s">
        <v>1212</v>
      </c>
      <c r="I1558" s="19" t="s">
        <v>5409</v>
      </c>
      <c r="J1558" s="19" t="s">
        <v>5410</v>
      </c>
      <c r="K1558" s="25" t="s">
        <v>7500</v>
      </c>
      <c r="L1558" s="20" t="s">
        <v>8760</v>
      </c>
      <c r="M1558" s="23" t="s">
        <v>2307</v>
      </c>
      <c r="N1558" s="18"/>
      <c r="O1558" s="18"/>
      <c r="P1558" s="18">
        <f>VLOOKUP($A1558,MasterData!$C$1:$I$3001,1,FALSE)</f>
        <v>9365</v>
      </c>
      <c r="Q1558" s="18" t="str">
        <f t="shared" si="2"/>
        <v>XTKJ1</v>
      </c>
    </row>
    <row r="1559" ht="15.75" customHeight="1">
      <c r="A1559" s="31">
        <v>9388.0</v>
      </c>
      <c r="B1559" s="22" t="s">
        <v>2312</v>
      </c>
      <c r="C1559" s="24" t="s">
        <v>8767</v>
      </c>
      <c r="D1559" s="33" t="s">
        <v>2312</v>
      </c>
      <c r="E1559" s="22" t="s">
        <v>2311</v>
      </c>
      <c r="F1559" s="19" t="str">
        <f t="shared" si="1"/>
        <v>XTKJ1</v>
      </c>
      <c r="G1559" s="19" t="s">
        <v>5408</v>
      </c>
      <c r="H1559" s="20" t="s">
        <v>1212</v>
      </c>
      <c r="I1559" s="19" t="s">
        <v>5409</v>
      </c>
      <c r="J1559" s="19" t="s">
        <v>5410</v>
      </c>
      <c r="K1559" s="25" t="s">
        <v>7500</v>
      </c>
      <c r="L1559" s="20" t="s">
        <v>8760</v>
      </c>
      <c r="M1559" s="23" t="s">
        <v>2310</v>
      </c>
      <c r="N1559" s="18"/>
      <c r="O1559" s="18"/>
      <c r="P1559" s="18">
        <f>VLOOKUP($A1559,MasterData!$C$1:$I$3001,1,FALSE)</f>
        <v>9388</v>
      </c>
      <c r="Q1559" s="18" t="str">
        <f t="shared" si="2"/>
        <v>XTKJ1</v>
      </c>
    </row>
    <row r="1560" ht="15.75" customHeight="1">
      <c r="A1560" s="31">
        <v>9395.0</v>
      </c>
      <c r="B1560" s="22" t="s">
        <v>2315</v>
      </c>
      <c r="C1560" s="24" t="s">
        <v>8768</v>
      </c>
      <c r="D1560" s="33" t="s">
        <v>2315</v>
      </c>
      <c r="E1560" s="22" t="s">
        <v>2314</v>
      </c>
      <c r="F1560" s="19" t="str">
        <f t="shared" si="1"/>
        <v>XTKJ1</v>
      </c>
      <c r="G1560" s="19" t="s">
        <v>5408</v>
      </c>
      <c r="H1560" s="20" t="s">
        <v>1212</v>
      </c>
      <c r="I1560" s="19" t="s">
        <v>5409</v>
      </c>
      <c r="J1560" s="19" t="s">
        <v>5410</v>
      </c>
      <c r="K1560" s="25" t="s">
        <v>7500</v>
      </c>
      <c r="L1560" s="20" t="s">
        <v>8760</v>
      </c>
      <c r="M1560" s="23" t="s">
        <v>2313</v>
      </c>
      <c r="N1560" s="18"/>
      <c r="O1560" s="18"/>
      <c r="P1560" s="18">
        <f>VLOOKUP($A1560,MasterData!$C$1:$I$3001,1,FALSE)</f>
        <v>9395</v>
      </c>
      <c r="Q1560" s="18" t="str">
        <f t="shared" si="2"/>
        <v>XTKJ1</v>
      </c>
    </row>
    <row r="1561" ht="15.75" customHeight="1">
      <c r="A1561" s="31">
        <v>9415.0</v>
      </c>
      <c r="B1561" s="22" t="s">
        <v>2318</v>
      </c>
      <c r="C1561" s="24" t="s">
        <v>8769</v>
      </c>
      <c r="D1561" s="33" t="s">
        <v>2318</v>
      </c>
      <c r="E1561" s="22" t="s">
        <v>2317</v>
      </c>
      <c r="F1561" s="19" t="str">
        <f t="shared" si="1"/>
        <v>XTKJ1</v>
      </c>
      <c r="G1561" s="19" t="s">
        <v>5408</v>
      </c>
      <c r="H1561" s="20" t="s">
        <v>1212</v>
      </c>
      <c r="I1561" s="19" t="s">
        <v>5409</v>
      </c>
      <c r="J1561" s="19" t="s">
        <v>5410</v>
      </c>
      <c r="K1561" s="25" t="s">
        <v>7500</v>
      </c>
      <c r="L1561" s="20" t="s">
        <v>8760</v>
      </c>
      <c r="M1561" s="23" t="s">
        <v>2316</v>
      </c>
      <c r="N1561" s="18"/>
      <c r="O1561" s="18"/>
      <c r="P1561" s="18">
        <f>VLOOKUP($A1561,MasterData!$C$1:$I$3001,1,FALSE)</f>
        <v>9415</v>
      </c>
      <c r="Q1561" s="18" t="str">
        <f t="shared" si="2"/>
        <v>XTKJ1</v>
      </c>
    </row>
    <row r="1562" ht="15.75" customHeight="1">
      <c r="A1562" s="31">
        <v>9422.0</v>
      </c>
      <c r="B1562" s="22" t="s">
        <v>2321</v>
      </c>
      <c r="C1562" s="24" t="s">
        <v>8770</v>
      </c>
      <c r="D1562" s="33" t="s">
        <v>2321</v>
      </c>
      <c r="E1562" s="22" t="s">
        <v>2320</v>
      </c>
      <c r="F1562" s="19" t="str">
        <f t="shared" si="1"/>
        <v>XTKJ1</v>
      </c>
      <c r="G1562" s="19" t="s">
        <v>5408</v>
      </c>
      <c r="H1562" s="20" t="s">
        <v>1212</v>
      </c>
      <c r="I1562" s="19" t="s">
        <v>5409</v>
      </c>
      <c r="J1562" s="19" t="s">
        <v>5410</v>
      </c>
      <c r="K1562" s="25" t="s">
        <v>7500</v>
      </c>
      <c r="L1562" s="20" t="s">
        <v>8760</v>
      </c>
      <c r="M1562" s="23" t="s">
        <v>2319</v>
      </c>
      <c r="N1562" s="18"/>
      <c r="O1562" s="18"/>
      <c r="P1562" s="18">
        <f>VLOOKUP($A1562,MasterData!$C$1:$I$3001,1,FALSE)</f>
        <v>9422</v>
      </c>
      <c r="Q1562" s="18" t="str">
        <f t="shared" si="2"/>
        <v>XTKJ1</v>
      </c>
    </row>
    <row r="1563" ht="15.75" customHeight="1">
      <c r="A1563" s="31">
        <v>9485.0</v>
      </c>
      <c r="B1563" s="22" t="s">
        <v>2324</v>
      </c>
      <c r="C1563" s="24" t="s">
        <v>8771</v>
      </c>
      <c r="D1563" s="33" t="s">
        <v>2324</v>
      </c>
      <c r="E1563" s="22" t="s">
        <v>2323</v>
      </c>
      <c r="F1563" s="19" t="str">
        <f t="shared" si="1"/>
        <v>XTKJ1</v>
      </c>
      <c r="G1563" s="19" t="s">
        <v>5408</v>
      </c>
      <c r="H1563" s="20" t="s">
        <v>1212</v>
      </c>
      <c r="I1563" s="19" t="s">
        <v>5409</v>
      </c>
      <c r="J1563" s="19" t="s">
        <v>5410</v>
      </c>
      <c r="K1563" s="25" t="s">
        <v>7500</v>
      </c>
      <c r="L1563" s="20" t="s">
        <v>8760</v>
      </c>
      <c r="M1563" s="23" t="s">
        <v>2322</v>
      </c>
      <c r="N1563" s="18"/>
      <c r="O1563" s="18"/>
      <c r="P1563" s="18">
        <f>VLOOKUP($A1563,MasterData!$C$1:$I$3001,1,FALSE)</f>
        <v>9485</v>
      </c>
      <c r="Q1563" s="18" t="str">
        <f t="shared" si="2"/>
        <v>XTKJ1</v>
      </c>
    </row>
    <row r="1564" ht="15.75" customHeight="1">
      <c r="A1564" s="31">
        <v>9493.0</v>
      </c>
      <c r="B1564" s="22" t="s">
        <v>2327</v>
      </c>
      <c r="C1564" s="24" t="s">
        <v>8772</v>
      </c>
      <c r="D1564" s="33" t="s">
        <v>2327</v>
      </c>
      <c r="E1564" s="22" t="s">
        <v>2326</v>
      </c>
      <c r="F1564" s="19" t="str">
        <f t="shared" si="1"/>
        <v>XTKJ1</v>
      </c>
      <c r="G1564" s="19" t="s">
        <v>5408</v>
      </c>
      <c r="H1564" s="20" t="s">
        <v>1212</v>
      </c>
      <c r="I1564" s="19" t="s">
        <v>5409</v>
      </c>
      <c r="J1564" s="19" t="s">
        <v>5410</v>
      </c>
      <c r="K1564" s="25" t="s">
        <v>7500</v>
      </c>
      <c r="L1564" s="20" t="s">
        <v>8760</v>
      </c>
      <c r="M1564" s="23" t="s">
        <v>2325</v>
      </c>
      <c r="N1564" s="18"/>
      <c r="O1564" s="18"/>
      <c r="P1564" s="18">
        <f>VLOOKUP($A1564,MasterData!$C$1:$I$3001,1,FALSE)</f>
        <v>9493</v>
      </c>
      <c r="Q1564" s="18" t="str">
        <f t="shared" si="2"/>
        <v>XTKJ1</v>
      </c>
    </row>
    <row r="1565" ht="15.75" customHeight="1">
      <c r="A1565" s="31">
        <v>9511.0</v>
      </c>
      <c r="B1565" s="22" t="s">
        <v>2330</v>
      </c>
      <c r="C1565" s="24" t="s">
        <v>8773</v>
      </c>
      <c r="D1565" s="33" t="s">
        <v>2330</v>
      </c>
      <c r="E1565" s="22" t="s">
        <v>2329</v>
      </c>
      <c r="F1565" s="19" t="str">
        <f t="shared" si="1"/>
        <v>XTKJ1</v>
      </c>
      <c r="G1565" s="19" t="s">
        <v>5408</v>
      </c>
      <c r="H1565" s="20" t="s">
        <v>1212</v>
      </c>
      <c r="I1565" s="19" t="s">
        <v>5409</v>
      </c>
      <c r="J1565" s="19" t="s">
        <v>5410</v>
      </c>
      <c r="K1565" s="25" t="s">
        <v>7500</v>
      </c>
      <c r="L1565" s="20" t="s">
        <v>8760</v>
      </c>
      <c r="M1565" s="23" t="s">
        <v>2328</v>
      </c>
      <c r="N1565" s="18"/>
      <c r="O1565" s="18"/>
      <c r="P1565" s="18">
        <f>VLOOKUP($A1565,MasterData!$C$1:$I$3001,1,FALSE)</f>
        <v>9511</v>
      </c>
      <c r="Q1565" s="18" t="str">
        <f t="shared" si="2"/>
        <v>XTKJ1</v>
      </c>
    </row>
    <row r="1566" ht="15.75" customHeight="1">
      <c r="A1566" s="31">
        <v>9532.0</v>
      </c>
      <c r="B1566" s="22" t="s">
        <v>2333</v>
      </c>
      <c r="C1566" s="24" t="s">
        <v>8774</v>
      </c>
      <c r="D1566" s="33" t="s">
        <v>2333</v>
      </c>
      <c r="E1566" s="22" t="s">
        <v>2332</v>
      </c>
      <c r="F1566" s="19" t="str">
        <f t="shared" si="1"/>
        <v>XTKJ1</v>
      </c>
      <c r="G1566" s="19" t="s">
        <v>5408</v>
      </c>
      <c r="H1566" s="20" t="s">
        <v>1212</v>
      </c>
      <c r="I1566" s="19" t="s">
        <v>5409</v>
      </c>
      <c r="J1566" s="19" t="s">
        <v>5410</v>
      </c>
      <c r="K1566" s="25" t="s">
        <v>7500</v>
      </c>
      <c r="L1566" s="20" t="s">
        <v>8760</v>
      </c>
      <c r="M1566" s="23" t="s">
        <v>2331</v>
      </c>
      <c r="N1566" s="18"/>
      <c r="O1566" s="18"/>
      <c r="P1566" s="18">
        <f>VLOOKUP($A1566,MasterData!$C$1:$I$3001,1,FALSE)</f>
        <v>9532</v>
      </c>
      <c r="Q1566" s="18" t="str">
        <f t="shared" si="2"/>
        <v>XTKJ1</v>
      </c>
    </row>
    <row r="1567" ht="15.75" customHeight="1">
      <c r="A1567" s="31">
        <v>9556.0</v>
      </c>
      <c r="B1567" s="22" t="s">
        <v>2336</v>
      </c>
      <c r="C1567" s="24" t="s">
        <v>8775</v>
      </c>
      <c r="D1567" s="33" t="s">
        <v>2336</v>
      </c>
      <c r="E1567" s="22" t="s">
        <v>2335</v>
      </c>
      <c r="F1567" s="19" t="str">
        <f t="shared" si="1"/>
        <v>XTKJ1</v>
      </c>
      <c r="G1567" s="19" t="s">
        <v>5408</v>
      </c>
      <c r="H1567" s="20" t="s">
        <v>1212</v>
      </c>
      <c r="I1567" s="19" t="s">
        <v>5409</v>
      </c>
      <c r="J1567" s="19" t="s">
        <v>5410</v>
      </c>
      <c r="K1567" s="25" t="s">
        <v>7500</v>
      </c>
      <c r="L1567" s="20" t="s">
        <v>8760</v>
      </c>
      <c r="M1567" s="23" t="s">
        <v>2334</v>
      </c>
      <c r="N1567" s="18"/>
      <c r="O1567" s="18"/>
      <c r="P1567" s="18">
        <f>VLOOKUP($A1567,MasterData!$C$1:$I$3001,1,FALSE)</f>
        <v>9556</v>
      </c>
      <c r="Q1567" s="18" t="str">
        <f t="shared" si="2"/>
        <v>XTKJ1</v>
      </c>
    </row>
    <row r="1568" ht="15.75" customHeight="1">
      <c r="A1568" s="31">
        <v>9575.0</v>
      </c>
      <c r="B1568" s="22" t="s">
        <v>2339</v>
      </c>
      <c r="C1568" s="24" t="s">
        <v>8776</v>
      </c>
      <c r="D1568" s="33" t="s">
        <v>2339</v>
      </c>
      <c r="E1568" s="22" t="s">
        <v>2338</v>
      </c>
      <c r="F1568" s="19" t="str">
        <f t="shared" si="1"/>
        <v>XTKJ1</v>
      </c>
      <c r="G1568" s="19" t="s">
        <v>5408</v>
      </c>
      <c r="H1568" s="20" t="s">
        <v>1212</v>
      </c>
      <c r="I1568" s="19" t="s">
        <v>5409</v>
      </c>
      <c r="J1568" s="19" t="s">
        <v>5410</v>
      </c>
      <c r="K1568" s="25" t="s">
        <v>7500</v>
      </c>
      <c r="L1568" s="20" t="s">
        <v>8760</v>
      </c>
      <c r="M1568" s="23" t="s">
        <v>2337</v>
      </c>
      <c r="N1568" s="18"/>
      <c r="O1568" s="18"/>
      <c r="P1568" s="18">
        <f>VLOOKUP($A1568,MasterData!$C$1:$I$3001,1,FALSE)</f>
        <v>9575</v>
      </c>
      <c r="Q1568" s="18" t="str">
        <f t="shared" si="2"/>
        <v>XTKJ1</v>
      </c>
    </row>
    <row r="1569" ht="15.75" customHeight="1">
      <c r="A1569" s="31">
        <v>9582.0</v>
      </c>
      <c r="B1569" s="22" t="s">
        <v>2342</v>
      </c>
      <c r="C1569" s="24" t="s">
        <v>8777</v>
      </c>
      <c r="D1569" s="33" t="s">
        <v>2342</v>
      </c>
      <c r="E1569" s="22" t="s">
        <v>2341</v>
      </c>
      <c r="F1569" s="19" t="str">
        <f t="shared" si="1"/>
        <v>XTKJ1</v>
      </c>
      <c r="G1569" s="19" t="s">
        <v>5408</v>
      </c>
      <c r="H1569" s="20" t="s">
        <v>1212</v>
      </c>
      <c r="I1569" s="19" t="s">
        <v>5409</v>
      </c>
      <c r="J1569" s="19" t="s">
        <v>5410</v>
      </c>
      <c r="K1569" s="25" t="s">
        <v>7500</v>
      </c>
      <c r="L1569" s="20" t="s">
        <v>8760</v>
      </c>
      <c r="M1569" s="23" t="s">
        <v>2340</v>
      </c>
      <c r="N1569" s="18"/>
      <c r="O1569" s="18"/>
      <c r="P1569" s="18">
        <f>VLOOKUP($A1569,MasterData!$C$1:$I$3001,1,FALSE)</f>
        <v>9582</v>
      </c>
      <c r="Q1569" s="18" t="str">
        <f t="shared" si="2"/>
        <v>XTKJ1</v>
      </c>
    </row>
    <row r="1570" ht="15.75" customHeight="1">
      <c r="A1570" s="31">
        <v>9596.0</v>
      </c>
      <c r="B1570" s="22" t="s">
        <v>2345</v>
      </c>
      <c r="C1570" s="24" t="s">
        <v>8778</v>
      </c>
      <c r="D1570" s="33" t="s">
        <v>2345</v>
      </c>
      <c r="E1570" s="22" t="s">
        <v>2344</v>
      </c>
      <c r="F1570" s="19" t="str">
        <f t="shared" si="1"/>
        <v>XTKJ1</v>
      </c>
      <c r="G1570" s="19" t="s">
        <v>5408</v>
      </c>
      <c r="H1570" s="20" t="s">
        <v>1212</v>
      </c>
      <c r="I1570" s="19" t="s">
        <v>5409</v>
      </c>
      <c r="J1570" s="19" t="s">
        <v>5410</v>
      </c>
      <c r="K1570" s="25" t="s">
        <v>7500</v>
      </c>
      <c r="L1570" s="20" t="s">
        <v>8760</v>
      </c>
      <c r="M1570" s="23" t="s">
        <v>2343</v>
      </c>
      <c r="N1570" s="18"/>
      <c r="O1570" s="18"/>
      <c r="P1570" s="18">
        <f>VLOOKUP($A1570,MasterData!$C$1:$I$3001,1,FALSE)</f>
        <v>9596</v>
      </c>
      <c r="Q1570" s="18" t="str">
        <f t="shared" si="2"/>
        <v>XTKJ1</v>
      </c>
    </row>
    <row r="1571" ht="15.75" customHeight="1">
      <c r="A1571" s="31">
        <v>9610.0</v>
      </c>
      <c r="B1571" s="22" t="s">
        <v>2348</v>
      </c>
      <c r="C1571" s="24" t="s">
        <v>8779</v>
      </c>
      <c r="D1571" s="33" t="s">
        <v>2348</v>
      </c>
      <c r="E1571" s="22" t="s">
        <v>2347</v>
      </c>
      <c r="F1571" s="19" t="str">
        <f t="shared" si="1"/>
        <v>XTKJ1</v>
      </c>
      <c r="G1571" s="19" t="s">
        <v>5408</v>
      </c>
      <c r="H1571" s="20" t="s">
        <v>1212</v>
      </c>
      <c r="I1571" s="19" t="s">
        <v>5409</v>
      </c>
      <c r="J1571" s="19" t="s">
        <v>5410</v>
      </c>
      <c r="K1571" s="25" t="s">
        <v>7500</v>
      </c>
      <c r="L1571" s="20" t="s">
        <v>8760</v>
      </c>
      <c r="M1571" s="23" t="s">
        <v>2346</v>
      </c>
      <c r="N1571" s="18"/>
      <c r="O1571" s="18"/>
      <c r="P1571" s="18">
        <f>VLOOKUP($A1571,MasterData!$C$1:$I$3001,1,FALSE)</f>
        <v>9610</v>
      </c>
      <c r="Q1571" s="18" t="str">
        <f t="shared" si="2"/>
        <v>XTKJ1</v>
      </c>
    </row>
    <row r="1572" ht="15.75" customHeight="1">
      <c r="A1572" s="31">
        <v>9615.0</v>
      </c>
      <c r="B1572" s="22" t="s">
        <v>2351</v>
      </c>
      <c r="C1572" s="24" t="s">
        <v>8780</v>
      </c>
      <c r="D1572" s="33" t="s">
        <v>2351</v>
      </c>
      <c r="E1572" s="22" t="s">
        <v>2350</v>
      </c>
      <c r="F1572" s="19" t="str">
        <f t="shared" si="1"/>
        <v>XTKJ1</v>
      </c>
      <c r="G1572" s="19" t="s">
        <v>5408</v>
      </c>
      <c r="H1572" s="20" t="s">
        <v>1212</v>
      </c>
      <c r="I1572" s="19" t="s">
        <v>5409</v>
      </c>
      <c r="J1572" s="19" t="s">
        <v>5410</v>
      </c>
      <c r="K1572" s="25" t="s">
        <v>7500</v>
      </c>
      <c r="L1572" s="20" t="s">
        <v>8760</v>
      </c>
      <c r="M1572" s="23" t="s">
        <v>2349</v>
      </c>
      <c r="N1572" s="18"/>
      <c r="O1572" s="18"/>
      <c r="P1572" s="18">
        <f>VLOOKUP($A1572,MasterData!$C$1:$I$3001,1,FALSE)</f>
        <v>9615</v>
      </c>
      <c r="Q1572" s="18" t="str">
        <f t="shared" si="2"/>
        <v>XTKJ1</v>
      </c>
    </row>
    <row r="1573" ht="15.75" customHeight="1">
      <c r="A1573" s="31">
        <v>9627.0</v>
      </c>
      <c r="B1573" s="22" t="s">
        <v>2354</v>
      </c>
      <c r="C1573" s="24" t="s">
        <v>8781</v>
      </c>
      <c r="D1573" s="33" t="s">
        <v>2354</v>
      </c>
      <c r="E1573" s="22" t="s">
        <v>2353</v>
      </c>
      <c r="F1573" s="19" t="str">
        <f t="shared" si="1"/>
        <v>XTKJ1</v>
      </c>
      <c r="G1573" s="19" t="s">
        <v>5408</v>
      </c>
      <c r="H1573" s="20" t="s">
        <v>1212</v>
      </c>
      <c r="I1573" s="19" t="s">
        <v>5409</v>
      </c>
      <c r="J1573" s="19" t="s">
        <v>5410</v>
      </c>
      <c r="K1573" s="25" t="s">
        <v>7500</v>
      </c>
      <c r="L1573" s="20" t="s">
        <v>8760</v>
      </c>
      <c r="M1573" s="23" t="s">
        <v>2352</v>
      </c>
      <c r="N1573" s="18"/>
      <c r="O1573" s="18"/>
      <c r="P1573" s="18">
        <f>VLOOKUP($A1573,MasterData!$C$1:$I$3001,1,FALSE)</f>
        <v>9627</v>
      </c>
      <c r="Q1573" s="18" t="str">
        <f t="shared" si="2"/>
        <v>XTKJ1</v>
      </c>
    </row>
    <row r="1574" ht="15.75" customHeight="1">
      <c r="A1574" s="31">
        <v>9651.0</v>
      </c>
      <c r="B1574" s="22" t="s">
        <v>2357</v>
      </c>
      <c r="C1574" s="24" t="s">
        <v>8782</v>
      </c>
      <c r="D1574" s="33" t="s">
        <v>2357</v>
      </c>
      <c r="E1574" s="22" t="s">
        <v>2356</v>
      </c>
      <c r="F1574" s="19" t="str">
        <f t="shared" si="1"/>
        <v>XTKJ1</v>
      </c>
      <c r="G1574" s="19" t="s">
        <v>5408</v>
      </c>
      <c r="H1574" s="20" t="s">
        <v>1212</v>
      </c>
      <c r="I1574" s="19" t="s">
        <v>5409</v>
      </c>
      <c r="J1574" s="19" t="s">
        <v>5410</v>
      </c>
      <c r="K1574" s="25" t="s">
        <v>7500</v>
      </c>
      <c r="L1574" s="20" t="s">
        <v>8760</v>
      </c>
      <c r="M1574" s="23" t="s">
        <v>2355</v>
      </c>
      <c r="N1574" s="18"/>
      <c r="O1574" s="18"/>
      <c r="P1574" s="18">
        <f>VLOOKUP($A1574,MasterData!$C$1:$I$3001,1,FALSE)</f>
        <v>9651</v>
      </c>
      <c r="Q1574" s="18" t="str">
        <f t="shared" si="2"/>
        <v>XTKJ1</v>
      </c>
    </row>
    <row r="1575" ht="15.75" customHeight="1">
      <c r="A1575" s="31">
        <v>9661.0</v>
      </c>
      <c r="B1575" s="22" t="s">
        <v>2360</v>
      </c>
      <c r="C1575" s="24" t="s">
        <v>8783</v>
      </c>
      <c r="D1575" s="33" t="s">
        <v>2360</v>
      </c>
      <c r="E1575" s="22" t="s">
        <v>2359</v>
      </c>
      <c r="F1575" s="19" t="str">
        <f t="shared" si="1"/>
        <v>XTKJ1</v>
      </c>
      <c r="G1575" s="19" t="s">
        <v>5408</v>
      </c>
      <c r="H1575" s="20" t="s">
        <v>1212</v>
      </c>
      <c r="I1575" s="19" t="s">
        <v>5409</v>
      </c>
      <c r="J1575" s="19" t="s">
        <v>5410</v>
      </c>
      <c r="K1575" s="25" t="s">
        <v>7500</v>
      </c>
      <c r="L1575" s="20" t="s">
        <v>8760</v>
      </c>
      <c r="M1575" s="23" t="s">
        <v>2358</v>
      </c>
      <c r="N1575" s="18"/>
      <c r="O1575" s="18"/>
      <c r="P1575" s="18">
        <f>VLOOKUP($A1575,MasterData!$C$1:$I$3001,1,FALSE)</f>
        <v>9661</v>
      </c>
      <c r="Q1575" s="18" t="str">
        <f t="shared" si="2"/>
        <v>XTKJ1</v>
      </c>
    </row>
    <row r="1576" ht="15.75" customHeight="1">
      <c r="A1576" s="31">
        <v>9673.0</v>
      </c>
      <c r="B1576" s="22" t="s">
        <v>2363</v>
      </c>
      <c r="C1576" s="24" t="s">
        <v>8784</v>
      </c>
      <c r="D1576" s="33" t="s">
        <v>2363</v>
      </c>
      <c r="E1576" s="22" t="s">
        <v>2362</v>
      </c>
      <c r="F1576" s="19" t="str">
        <f t="shared" si="1"/>
        <v>XTKJ1</v>
      </c>
      <c r="G1576" s="19" t="s">
        <v>5408</v>
      </c>
      <c r="H1576" s="20" t="s">
        <v>1212</v>
      </c>
      <c r="I1576" s="19" t="s">
        <v>5409</v>
      </c>
      <c r="J1576" s="19" t="s">
        <v>5410</v>
      </c>
      <c r="K1576" s="25" t="s">
        <v>7500</v>
      </c>
      <c r="L1576" s="20" t="s">
        <v>8760</v>
      </c>
      <c r="M1576" s="23" t="s">
        <v>2361</v>
      </c>
      <c r="N1576" s="18"/>
      <c r="O1576" s="18"/>
      <c r="P1576" s="18">
        <f>VLOOKUP($A1576,MasterData!$C$1:$I$3001,1,FALSE)</f>
        <v>9673</v>
      </c>
      <c r="Q1576" s="18" t="str">
        <f t="shared" si="2"/>
        <v>XTKJ1</v>
      </c>
    </row>
    <row r="1577" ht="15.75" customHeight="1">
      <c r="A1577" s="31">
        <v>9695.0</v>
      </c>
      <c r="B1577" s="22" t="s">
        <v>2366</v>
      </c>
      <c r="C1577" s="24" t="s">
        <v>8785</v>
      </c>
      <c r="D1577" s="33" t="s">
        <v>2366</v>
      </c>
      <c r="E1577" s="22" t="s">
        <v>2365</v>
      </c>
      <c r="F1577" s="19" t="str">
        <f t="shared" si="1"/>
        <v>XTKJ1</v>
      </c>
      <c r="G1577" s="19" t="s">
        <v>5408</v>
      </c>
      <c r="H1577" s="20" t="s">
        <v>1212</v>
      </c>
      <c r="I1577" s="19" t="s">
        <v>5409</v>
      </c>
      <c r="J1577" s="19" t="s">
        <v>5410</v>
      </c>
      <c r="K1577" s="25" t="s">
        <v>7500</v>
      </c>
      <c r="L1577" s="20" t="s">
        <v>8760</v>
      </c>
      <c r="M1577" s="23" t="s">
        <v>2364</v>
      </c>
      <c r="N1577" s="18"/>
      <c r="O1577" s="18"/>
      <c r="P1577" s="18">
        <f>VLOOKUP($A1577,MasterData!$C$1:$I$3001,1,FALSE)</f>
        <v>9695</v>
      </c>
      <c r="Q1577" s="18" t="str">
        <f t="shared" si="2"/>
        <v>XTKJ1</v>
      </c>
    </row>
    <row r="1578" ht="15.75" customHeight="1">
      <c r="A1578" s="31">
        <v>9724.0</v>
      </c>
      <c r="B1578" s="22" t="s">
        <v>2369</v>
      </c>
      <c r="C1578" s="24" t="s">
        <v>8786</v>
      </c>
      <c r="D1578" s="33" t="s">
        <v>2369</v>
      </c>
      <c r="E1578" s="22" t="s">
        <v>2368</v>
      </c>
      <c r="F1578" s="19" t="str">
        <f t="shared" si="1"/>
        <v>XTKJ1</v>
      </c>
      <c r="G1578" s="19" t="s">
        <v>5408</v>
      </c>
      <c r="H1578" s="20" t="s">
        <v>1212</v>
      </c>
      <c r="I1578" s="19" t="s">
        <v>5409</v>
      </c>
      <c r="J1578" s="19" t="s">
        <v>5410</v>
      </c>
      <c r="K1578" s="25" t="s">
        <v>7500</v>
      </c>
      <c r="L1578" s="20" t="s">
        <v>8760</v>
      </c>
      <c r="M1578" s="23" t="s">
        <v>2367</v>
      </c>
      <c r="N1578" s="18"/>
      <c r="O1578" s="18"/>
      <c r="P1578" s="18">
        <f>VLOOKUP($A1578,MasterData!$C$1:$I$3001,1,FALSE)</f>
        <v>9724</v>
      </c>
      <c r="Q1578" s="18" t="str">
        <f t="shared" si="2"/>
        <v>XTKJ1</v>
      </c>
    </row>
    <row r="1579" ht="15.75" customHeight="1">
      <c r="A1579" s="31">
        <v>9743.0</v>
      </c>
      <c r="B1579" s="22" t="s">
        <v>2372</v>
      </c>
      <c r="C1579" s="24" t="s">
        <v>8787</v>
      </c>
      <c r="D1579" s="33" t="s">
        <v>2372</v>
      </c>
      <c r="E1579" s="22" t="s">
        <v>2371</v>
      </c>
      <c r="F1579" s="19" t="str">
        <f t="shared" si="1"/>
        <v>XTKJ1</v>
      </c>
      <c r="G1579" s="19" t="s">
        <v>5408</v>
      </c>
      <c r="H1579" s="20" t="s">
        <v>1212</v>
      </c>
      <c r="I1579" s="19" t="s">
        <v>5409</v>
      </c>
      <c r="J1579" s="19" t="s">
        <v>5410</v>
      </c>
      <c r="K1579" s="25" t="s">
        <v>7500</v>
      </c>
      <c r="L1579" s="20" t="s">
        <v>8760</v>
      </c>
      <c r="M1579" s="23" t="s">
        <v>2370</v>
      </c>
      <c r="N1579" s="18"/>
      <c r="O1579" s="18"/>
      <c r="P1579" s="18">
        <f>VLOOKUP($A1579,MasterData!$C$1:$I$3001,1,FALSE)</f>
        <v>9743</v>
      </c>
      <c r="Q1579" s="18" t="str">
        <f t="shared" si="2"/>
        <v>XTKJ1</v>
      </c>
    </row>
    <row r="1580" ht="15.75" customHeight="1">
      <c r="A1580" s="31">
        <v>9751.0</v>
      </c>
      <c r="B1580" s="22" t="s">
        <v>2375</v>
      </c>
      <c r="C1580" s="24" t="s">
        <v>8788</v>
      </c>
      <c r="D1580" s="33" t="s">
        <v>2375</v>
      </c>
      <c r="E1580" s="22" t="s">
        <v>2374</v>
      </c>
      <c r="F1580" s="19" t="str">
        <f t="shared" si="1"/>
        <v>XTKJ1</v>
      </c>
      <c r="G1580" s="19" t="s">
        <v>5408</v>
      </c>
      <c r="H1580" s="20" t="s">
        <v>1212</v>
      </c>
      <c r="I1580" s="19" t="s">
        <v>5409</v>
      </c>
      <c r="J1580" s="19" t="s">
        <v>5410</v>
      </c>
      <c r="K1580" s="25" t="s">
        <v>7500</v>
      </c>
      <c r="L1580" s="20" t="s">
        <v>8760</v>
      </c>
      <c r="M1580" s="23" t="s">
        <v>2373</v>
      </c>
      <c r="N1580" s="18"/>
      <c r="O1580" s="18"/>
      <c r="P1580" s="18">
        <f>VLOOKUP($A1580,MasterData!$C$1:$I$3001,1,FALSE)</f>
        <v>9751</v>
      </c>
      <c r="Q1580" s="18" t="str">
        <f t="shared" si="2"/>
        <v>XTKJ1</v>
      </c>
    </row>
    <row r="1581" ht="15.75" customHeight="1">
      <c r="A1581" s="31">
        <v>9779.0</v>
      </c>
      <c r="B1581" s="22" t="s">
        <v>2378</v>
      </c>
      <c r="C1581" s="24" t="s">
        <v>8789</v>
      </c>
      <c r="D1581" s="33" t="s">
        <v>2378</v>
      </c>
      <c r="E1581" s="22" t="s">
        <v>2377</v>
      </c>
      <c r="F1581" s="19" t="str">
        <f t="shared" si="1"/>
        <v>XTKJ1</v>
      </c>
      <c r="G1581" s="19" t="s">
        <v>5408</v>
      </c>
      <c r="H1581" s="20" t="s">
        <v>1212</v>
      </c>
      <c r="I1581" s="19" t="s">
        <v>5409</v>
      </c>
      <c r="J1581" s="19" t="s">
        <v>5410</v>
      </c>
      <c r="K1581" s="25" t="s">
        <v>7500</v>
      </c>
      <c r="L1581" s="20" t="s">
        <v>8760</v>
      </c>
      <c r="M1581" s="23" t="s">
        <v>2376</v>
      </c>
      <c r="N1581" s="18"/>
      <c r="O1581" s="18"/>
      <c r="P1581" s="18">
        <f>VLOOKUP($A1581,MasterData!$C$1:$I$3001,1,FALSE)</f>
        <v>9779</v>
      </c>
      <c r="Q1581" s="18" t="str">
        <f t="shared" si="2"/>
        <v>XTKJ1</v>
      </c>
    </row>
    <row r="1582" ht="15.75" customHeight="1">
      <c r="A1582" s="31">
        <v>9783.0</v>
      </c>
      <c r="B1582" s="22" t="s">
        <v>2381</v>
      </c>
      <c r="C1582" s="24" t="s">
        <v>8790</v>
      </c>
      <c r="D1582" s="33" t="s">
        <v>2381</v>
      </c>
      <c r="E1582" s="22" t="s">
        <v>2380</v>
      </c>
      <c r="F1582" s="19" t="str">
        <f t="shared" si="1"/>
        <v>XTKJ1</v>
      </c>
      <c r="G1582" s="19" t="s">
        <v>5408</v>
      </c>
      <c r="H1582" s="20" t="s">
        <v>1212</v>
      </c>
      <c r="I1582" s="19" t="s">
        <v>5409</v>
      </c>
      <c r="J1582" s="19" t="s">
        <v>5410</v>
      </c>
      <c r="K1582" s="25" t="s">
        <v>7500</v>
      </c>
      <c r="L1582" s="20" t="s">
        <v>8760</v>
      </c>
      <c r="M1582" s="23" t="s">
        <v>2379</v>
      </c>
      <c r="N1582" s="18"/>
      <c r="O1582" s="18"/>
      <c r="P1582" s="18">
        <f>VLOOKUP($A1582,MasterData!$C$1:$I$3001,1,FALSE)</f>
        <v>9783</v>
      </c>
      <c r="Q1582" s="18" t="str">
        <f t="shared" si="2"/>
        <v>XTKJ1</v>
      </c>
    </row>
    <row r="1583" ht="15.75" customHeight="1">
      <c r="A1583" s="31">
        <v>9793.0</v>
      </c>
      <c r="B1583" s="22" t="s">
        <v>2384</v>
      </c>
      <c r="C1583" s="24" t="s">
        <v>8791</v>
      </c>
      <c r="D1583" s="33" t="s">
        <v>2384</v>
      </c>
      <c r="E1583" s="22" t="s">
        <v>2383</v>
      </c>
      <c r="F1583" s="19" t="str">
        <f t="shared" si="1"/>
        <v>XTKJ1</v>
      </c>
      <c r="G1583" s="19" t="s">
        <v>5408</v>
      </c>
      <c r="H1583" s="20" t="s">
        <v>1212</v>
      </c>
      <c r="I1583" s="19" t="s">
        <v>5409</v>
      </c>
      <c r="J1583" s="19" t="s">
        <v>5410</v>
      </c>
      <c r="K1583" s="25" t="s">
        <v>7500</v>
      </c>
      <c r="L1583" s="20" t="s">
        <v>8760</v>
      </c>
      <c r="M1583" s="23" t="s">
        <v>2382</v>
      </c>
      <c r="N1583" s="18"/>
      <c r="O1583" s="18"/>
      <c r="P1583" s="18">
        <f>VLOOKUP($A1583,MasterData!$C$1:$I$3001,1,FALSE)</f>
        <v>9793</v>
      </c>
      <c r="Q1583" s="18" t="str">
        <f t="shared" si="2"/>
        <v>XTKJ1</v>
      </c>
    </row>
    <row r="1584" ht="15.75" customHeight="1">
      <c r="A1584" s="31">
        <v>9801.0</v>
      </c>
      <c r="B1584" s="22" t="s">
        <v>2387</v>
      </c>
      <c r="C1584" s="24" t="s">
        <v>8792</v>
      </c>
      <c r="D1584" s="33" t="s">
        <v>2387</v>
      </c>
      <c r="E1584" s="22" t="s">
        <v>2386</v>
      </c>
      <c r="F1584" s="19" t="str">
        <f t="shared" si="1"/>
        <v>XTKJ1</v>
      </c>
      <c r="G1584" s="19" t="s">
        <v>5408</v>
      </c>
      <c r="H1584" s="20" t="s">
        <v>1212</v>
      </c>
      <c r="I1584" s="19" t="s">
        <v>5409</v>
      </c>
      <c r="J1584" s="19" t="s">
        <v>5410</v>
      </c>
      <c r="K1584" s="25" t="s">
        <v>7500</v>
      </c>
      <c r="L1584" s="20" t="s">
        <v>8760</v>
      </c>
      <c r="M1584" s="23" t="s">
        <v>2385</v>
      </c>
      <c r="N1584" s="18"/>
      <c r="O1584" s="18"/>
      <c r="P1584" s="18">
        <f>VLOOKUP($A1584,MasterData!$C$1:$I$3001,1,FALSE)</f>
        <v>9801</v>
      </c>
      <c r="Q1584" s="18" t="str">
        <f t="shared" si="2"/>
        <v>XTKJ1</v>
      </c>
    </row>
    <row r="1585" ht="15.75" customHeight="1">
      <c r="A1585" s="31">
        <v>9805.0</v>
      </c>
      <c r="B1585" s="22" t="s">
        <v>2390</v>
      </c>
      <c r="C1585" s="24" t="s">
        <v>8793</v>
      </c>
      <c r="D1585" s="33" t="s">
        <v>2390</v>
      </c>
      <c r="E1585" s="22" t="s">
        <v>2389</v>
      </c>
      <c r="F1585" s="19" t="str">
        <f t="shared" si="1"/>
        <v>XTKJ1</v>
      </c>
      <c r="G1585" s="19" t="s">
        <v>5408</v>
      </c>
      <c r="H1585" s="20" t="s">
        <v>1212</v>
      </c>
      <c r="I1585" s="19" t="s">
        <v>5409</v>
      </c>
      <c r="J1585" s="19" t="s">
        <v>5410</v>
      </c>
      <c r="K1585" s="25" t="s">
        <v>7500</v>
      </c>
      <c r="L1585" s="20" t="s">
        <v>8760</v>
      </c>
      <c r="M1585" s="23" t="s">
        <v>2388</v>
      </c>
      <c r="N1585" s="18"/>
      <c r="O1585" s="18"/>
      <c r="P1585" s="18">
        <f>VLOOKUP($A1585,MasterData!$C$1:$I$3001,1,FALSE)</f>
        <v>9805</v>
      </c>
      <c r="Q1585" s="18" t="str">
        <f t="shared" si="2"/>
        <v>XTKJ1</v>
      </c>
    </row>
    <row r="1586" ht="15.75" customHeight="1">
      <c r="A1586" s="31">
        <v>9812.0</v>
      </c>
      <c r="B1586" s="22" t="s">
        <v>2393</v>
      </c>
      <c r="C1586" s="24" t="s">
        <v>8794</v>
      </c>
      <c r="D1586" s="33" t="s">
        <v>2393</v>
      </c>
      <c r="E1586" s="22" t="s">
        <v>2392</v>
      </c>
      <c r="F1586" s="19" t="str">
        <f t="shared" si="1"/>
        <v>XTKJ1</v>
      </c>
      <c r="G1586" s="19" t="s">
        <v>5408</v>
      </c>
      <c r="H1586" s="20" t="s">
        <v>1212</v>
      </c>
      <c r="I1586" s="19" t="s">
        <v>5409</v>
      </c>
      <c r="J1586" s="19" t="s">
        <v>5410</v>
      </c>
      <c r="K1586" s="25" t="s">
        <v>7500</v>
      </c>
      <c r="L1586" s="20" t="s">
        <v>8760</v>
      </c>
      <c r="M1586" s="23" t="s">
        <v>2391</v>
      </c>
      <c r="N1586" s="18"/>
      <c r="O1586" s="18"/>
      <c r="P1586" s="18">
        <f>VLOOKUP($A1586,MasterData!$C$1:$I$3001,1,FALSE)</f>
        <v>9812</v>
      </c>
      <c r="Q1586" s="18" t="str">
        <f t="shared" si="2"/>
        <v>XTKJ1</v>
      </c>
    </row>
    <row r="1587" ht="15.75" customHeight="1">
      <c r="A1587" s="31">
        <v>9847.0</v>
      </c>
      <c r="B1587" s="22" t="s">
        <v>2396</v>
      </c>
      <c r="C1587" s="24" t="s">
        <v>8795</v>
      </c>
      <c r="D1587" s="33" t="s">
        <v>2396</v>
      </c>
      <c r="E1587" s="22" t="s">
        <v>2395</v>
      </c>
      <c r="F1587" s="19" t="str">
        <f t="shared" si="1"/>
        <v>XTKJ1</v>
      </c>
      <c r="G1587" s="19" t="s">
        <v>5408</v>
      </c>
      <c r="H1587" s="20" t="s">
        <v>1212</v>
      </c>
      <c r="I1587" s="19" t="s">
        <v>5409</v>
      </c>
      <c r="J1587" s="19" t="s">
        <v>5410</v>
      </c>
      <c r="K1587" s="25" t="s">
        <v>7500</v>
      </c>
      <c r="L1587" s="20" t="s">
        <v>8760</v>
      </c>
      <c r="M1587" s="23" t="s">
        <v>2394</v>
      </c>
      <c r="N1587" s="18"/>
      <c r="O1587" s="18"/>
      <c r="P1587" s="18">
        <f>VLOOKUP($A1587,MasterData!$C$1:$I$3001,1,FALSE)</f>
        <v>9847</v>
      </c>
      <c r="Q1587" s="18" t="str">
        <f t="shared" si="2"/>
        <v>XTKJ1</v>
      </c>
    </row>
    <row r="1588" ht="15.75" customHeight="1">
      <c r="A1588" s="31">
        <v>9252.0</v>
      </c>
      <c r="B1588" s="22" t="s">
        <v>2399</v>
      </c>
      <c r="C1588" s="24" t="s">
        <v>8796</v>
      </c>
      <c r="D1588" s="33" t="s">
        <v>2399</v>
      </c>
      <c r="E1588" s="22" t="s">
        <v>2398</v>
      </c>
      <c r="F1588" s="19" t="str">
        <f t="shared" si="1"/>
        <v>XTKJ2</v>
      </c>
      <c r="G1588" s="19" t="s">
        <v>5408</v>
      </c>
      <c r="H1588" s="20" t="s">
        <v>1212</v>
      </c>
      <c r="I1588" s="19" t="s">
        <v>5409</v>
      </c>
      <c r="J1588" s="19" t="s">
        <v>5410</v>
      </c>
      <c r="K1588" s="25" t="s">
        <v>7500</v>
      </c>
      <c r="L1588" s="20" t="s">
        <v>8797</v>
      </c>
      <c r="M1588" s="23" t="s">
        <v>2397</v>
      </c>
      <c r="N1588" s="18"/>
      <c r="O1588" s="18"/>
      <c r="P1588" s="18">
        <f>VLOOKUP($A1588,MasterData!$C$1:$I$3001,1,FALSE)</f>
        <v>9252</v>
      </c>
      <c r="Q1588" s="18" t="str">
        <f t="shared" si="2"/>
        <v>XTKJ2</v>
      </c>
    </row>
    <row r="1589" ht="15.75" customHeight="1">
      <c r="A1589" s="31">
        <v>9285.0</v>
      </c>
      <c r="B1589" s="22" t="s">
        <v>2402</v>
      </c>
      <c r="C1589" s="24" t="s">
        <v>8798</v>
      </c>
      <c r="D1589" s="33" t="s">
        <v>2402</v>
      </c>
      <c r="E1589" s="22" t="s">
        <v>2401</v>
      </c>
      <c r="F1589" s="19" t="str">
        <f t="shared" si="1"/>
        <v>XTKJ2</v>
      </c>
      <c r="G1589" s="19" t="s">
        <v>5408</v>
      </c>
      <c r="H1589" s="20" t="s">
        <v>1212</v>
      </c>
      <c r="I1589" s="19" t="s">
        <v>5409</v>
      </c>
      <c r="J1589" s="19" t="s">
        <v>5410</v>
      </c>
      <c r="K1589" s="25" t="s">
        <v>7500</v>
      </c>
      <c r="L1589" s="20" t="s">
        <v>8797</v>
      </c>
      <c r="M1589" s="23" t="s">
        <v>2400</v>
      </c>
      <c r="N1589" s="18"/>
      <c r="O1589" s="18"/>
      <c r="P1589" s="18">
        <f>VLOOKUP($A1589,MasterData!$C$1:$I$3001,1,FALSE)</f>
        <v>9285</v>
      </c>
      <c r="Q1589" s="18" t="str">
        <f t="shared" si="2"/>
        <v>XTKJ2</v>
      </c>
    </row>
    <row r="1590" ht="15.75" customHeight="1">
      <c r="A1590" s="31">
        <v>9329.0</v>
      </c>
      <c r="B1590" s="22" t="s">
        <v>2405</v>
      </c>
      <c r="C1590" s="24" t="s">
        <v>8799</v>
      </c>
      <c r="D1590" s="33" t="s">
        <v>2405</v>
      </c>
      <c r="E1590" s="22" t="s">
        <v>2404</v>
      </c>
      <c r="F1590" s="19" t="str">
        <f t="shared" si="1"/>
        <v>XTKJ2</v>
      </c>
      <c r="G1590" s="19" t="s">
        <v>5408</v>
      </c>
      <c r="H1590" s="20" t="s">
        <v>1212</v>
      </c>
      <c r="I1590" s="19" t="s">
        <v>5409</v>
      </c>
      <c r="J1590" s="19" t="s">
        <v>5410</v>
      </c>
      <c r="K1590" s="25" t="s">
        <v>7500</v>
      </c>
      <c r="L1590" s="20" t="s">
        <v>8797</v>
      </c>
      <c r="M1590" s="23" t="s">
        <v>2403</v>
      </c>
      <c r="N1590" s="18"/>
      <c r="O1590" s="18"/>
      <c r="P1590" s="18">
        <f>VLOOKUP($A1590,MasterData!$C$1:$I$3001,1,FALSE)</f>
        <v>9329</v>
      </c>
      <c r="Q1590" s="18" t="str">
        <f t="shared" si="2"/>
        <v>XTKJ2</v>
      </c>
    </row>
    <row r="1591" ht="15.75" customHeight="1">
      <c r="A1591" s="31">
        <v>9339.0</v>
      </c>
      <c r="B1591" s="22" t="s">
        <v>2408</v>
      </c>
      <c r="C1591" s="24" t="s">
        <v>8800</v>
      </c>
      <c r="D1591" s="33" t="s">
        <v>2408</v>
      </c>
      <c r="E1591" s="22" t="s">
        <v>2407</v>
      </c>
      <c r="F1591" s="19" t="str">
        <f t="shared" si="1"/>
        <v>XTKJ2</v>
      </c>
      <c r="G1591" s="19" t="s">
        <v>5408</v>
      </c>
      <c r="H1591" s="20" t="s">
        <v>1212</v>
      </c>
      <c r="I1591" s="19" t="s">
        <v>5409</v>
      </c>
      <c r="J1591" s="19" t="s">
        <v>5410</v>
      </c>
      <c r="K1591" s="25" t="s">
        <v>7500</v>
      </c>
      <c r="L1591" s="20" t="s">
        <v>8797</v>
      </c>
      <c r="M1591" s="23" t="s">
        <v>2406</v>
      </c>
      <c r="N1591" s="18"/>
      <c r="O1591" s="18"/>
      <c r="P1591" s="18">
        <f>VLOOKUP($A1591,MasterData!$C$1:$I$3001,1,FALSE)</f>
        <v>9339</v>
      </c>
      <c r="Q1591" s="18" t="str">
        <f t="shared" si="2"/>
        <v>XTKJ2</v>
      </c>
    </row>
    <row r="1592" ht="15.75" customHeight="1">
      <c r="A1592" s="31">
        <v>9344.0</v>
      </c>
      <c r="B1592" s="22" t="s">
        <v>2411</v>
      </c>
      <c r="C1592" s="24" t="s">
        <v>8801</v>
      </c>
      <c r="D1592" s="33" t="s">
        <v>2411</v>
      </c>
      <c r="E1592" s="22" t="s">
        <v>2410</v>
      </c>
      <c r="F1592" s="19" t="str">
        <f t="shared" si="1"/>
        <v>XTKJ2</v>
      </c>
      <c r="G1592" s="19" t="s">
        <v>5408</v>
      </c>
      <c r="H1592" s="20" t="s">
        <v>1212</v>
      </c>
      <c r="I1592" s="19" t="s">
        <v>5409</v>
      </c>
      <c r="J1592" s="19" t="s">
        <v>5410</v>
      </c>
      <c r="K1592" s="25" t="s">
        <v>7500</v>
      </c>
      <c r="L1592" s="20" t="s">
        <v>8797</v>
      </c>
      <c r="M1592" s="23" t="s">
        <v>2409</v>
      </c>
      <c r="N1592" s="18"/>
      <c r="O1592" s="18"/>
      <c r="P1592" s="18">
        <f>VLOOKUP($A1592,MasterData!$C$1:$I$3001,1,FALSE)</f>
        <v>9344</v>
      </c>
      <c r="Q1592" s="18" t="str">
        <f t="shared" si="2"/>
        <v>XTKJ2</v>
      </c>
    </row>
    <row r="1593" ht="15.75" customHeight="1">
      <c r="A1593" s="31">
        <v>9354.0</v>
      </c>
      <c r="B1593" s="22" t="s">
        <v>2414</v>
      </c>
      <c r="C1593" s="24" t="s">
        <v>8802</v>
      </c>
      <c r="D1593" s="33" t="s">
        <v>2414</v>
      </c>
      <c r="E1593" s="22" t="s">
        <v>2413</v>
      </c>
      <c r="F1593" s="19" t="str">
        <f t="shared" si="1"/>
        <v>XTKJ2</v>
      </c>
      <c r="G1593" s="19" t="s">
        <v>5408</v>
      </c>
      <c r="H1593" s="20" t="s">
        <v>1212</v>
      </c>
      <c r="I1593" s="19" t="s">
        <v>5409</v>
      </c>
      <c r="J1593" s="19" t="s">
        <v>5410</v>
      </c>
      <c r="K1593" s="25" t="s">
        <v>7500</v>
      </c>
      <c r="L1593" s="20" t="s">
        <v>8797</v>
      </c>
      <c r="M1593" s="23" t="s">
        <v>2412</v>
      </c>
      <c r="N1593" s="18"/>
      <c r="O1593" s="18"/>
      <c r="P1593" s="18">
        <f>VLOOKUP($A1593,MasterData!$C$1:$I$3001,1,FALSE)</f>
        <v>9354</v>
      </c>
      <c r="Q1593" s="18" t="str">
        <f t="shared" si="2"/>
        <v>XTKJ2</v>
      </c>
    </row>
    <row r="1594" ht="15.75" customHeight="1">
      <c r="A1594" s="31">
        <v>9385.0</v>
      </c>
      <c r="B1594" s="22" t="s">
        <v>2417</v>
      </c>
      <c r="C1594" s="24" t="s">
        <v>8803</v>
      </c>
      <c r="D1594" s="33" t="s">
        <v>2417</v>
      </c>
      <c r="E1594" s="22" t="s">
        <v>2416</v>
      </c>
      <c r="F1594" s="19" t="str">
        <f t="shared" si="1"/>
        <v>XTKJ2</v>
      </c>
      <c r="G1594" s="19" t="s">
        <v>5408</v>
      </c>
      <c r="H1594" s="20" t="s">
        <v>1212</v>
      </c>
      <c r="I1594" s="19" t="s">
        <v>5409</v>
      </c>
      <c r="J1594" s="19" t="s">
        <v>5410</v>
      </c>
      <c r="K1594" s="25" t="s">
        <v>7500</v>
      </c>
      <c r="L1594" s="20" t="s">
        <v>8797</v>
      </c>
      <c r="M1594" s="23" t="s">
        <v>2415</v>
      </c>
      <c r="N1594" s="18"/>
      <c r="O1594" s="18"/>
      <c r="P1594" s="18">
        <f>VLOOKUP($A1594,MasterData!$C$1:$I$3001,1,FALSE)</f>
        <v>9385</v>
      </c>
      <c r="Q1594" s="18" t="str">
        <f t="shared" si="2"/>
        <v>XTKJ2</v>
      </c>
    </row>
    <row r="1595" ht="15.75" customHeight="1">
      <c r="A1595" s="31">
        <v>9389.0</v>
      </c>
      <c r="B1595" s="22" t="s">
        <v>2420</v>
      </c>
      <c r="C1595" s="24" t="s">
        <v>8804</v>
      </c>
      <c r="D1595" s="33" t="s">
        <v>2420</v>
      </c>
      <c r="E1595" s="22" t="s">
        <v>2419</v>
      </c>
      <c r="F1595" s="19" t="str">
        <f t="shared" si="1"/>
        <v>XTKJ2</v>
      </c>
      <c r="G1595" s="19" t="s">
        <v>5408</v>
      </c>
      <c r="H1595" s="20" t="s">
        <v>1212</v>
      </c>
      <c r="I1595" s="19" t="s">
        <v>5409</v>
      </c>
      <c r="J1595" s="19" t="s">
        <v>5410</v>
      </c>
      <c r="K1595" s="25" t="s">
        <v>7500</v>
      </c>
      <c r="L1595" s="20" t="s">
        <v>8797</v>
      </c>
      <c r="M1595" s="23" t="s">
        <v>2418</v>
      </c>
      <c r="N1595" s="18"/>
      <c r="O1595" s="18"/>
      <c r="P1595" s="18">
        <f>VLOOKUP($A1595,MasterData!$C$1:$I$3001,1,FALSE)</f>
        <v>9389</v>
      </c>
      <c r="Q1595" s="18" t="str">
        <f t="shared" si="2"/>
        <v>XTKJ2</v>
      </c>
    </row>
    <row r="1596" ht="15.75" customHeight="1">
      <c r="A1596" s="31">
        <v>9396.0</v>
      </c>
      <c r="B1596" s="22" t="s">
        <v>2423</v>
      </c>
      <c r="C1596" s="24" t="s">
        <v>8805</v>
      </c>
      <c r="D1596" s="33" t="s">
        <v>2423</v>
      </c>
      <c r="E1596" s="22" t="s">
        <v>2422</v>
      </c>
      <c r="F1596" s="19" t="str">
        <f t="shared" si="1"/>
        <v>XTKJ2</v>
      </c>
      <c r="G1596" s="19" t="s">
        <v>5408</v>
      </c>
      <c r="H1596" s="20" t="s">
        <v>1212</v>
      </c>
      <c r="I1596" s="19" t="s">
        <v>5409</v>
      </c>
      <c r="J1596" s="19" t="s">
        <v>5410</v>
      </c>
      <c r="K1596" s="25" t="s">
        <v>7500</v>
      </c>
      <c r="L1596" s="20" t="s">
        <v>8797</v>
      </c>
      <c r="M1596" s="23" t="s">
        <v>2421</v>
      </c>
      <c r="N1596" s="18"/>
      <c r="O1596" s="18"/>
      <c r="P1596" s="18">
        <f>VLOOKUP($A1596,MasterData!$C$1:$I$3001,1,FALSE)</f>
        <v>9396</v>
      </c>
      <c r="Q1596" s="18" t="str">
        <f t="shared" si="2"/>
        <v>XTKJ2</v>
      </c>
    </row>
    <row r="1597" ht="15.75" customHeight="1">
      <c r="A1597" s="31">
        <v>9417.0</v>
      </c>
      <c r="B1597" s="22" t="s">
        <v>2426</v>
      </c>
      <c r="C1597" s="24" t="s">
        <v>8806</v>
      </c>
      <c r="D1597" s="33" t="s">
        <v>2426</v>
      </c>
      <c r="E1597" s="22" t="s">
        <v>2425</v>
      </c>
      <c r="F1597" s="19" t="str">
        <f t="shared" si="1"/>
        <v>XTKJ2</v>
      </c>
      <c r="G1597" s="19" t="s">
        <v>5408</v>
      </c>
      <c r="H1597" s="20" t="s">
        <v>1212</v>
      </c>
      <c r="I1597" s="19" t="s">
        <v>5409</v>
      </c>
      <c r="J1597" s="19" t="s">
        <v>5410</v>
      </c>
      <c r="K1597" s="25" t="s">
        <v>7500</v>
      </c>
      <c r="L1597" s="20" t="s">
        <v>8797</v>
      </c>
      <c r="M1597" s="23" t="s">
        <v>2424</v>
      </c>
      <c r="N1597" s="18"/>
      <c r="O1597" s="18"/>
      <c r="P1597" s="18">
        <f>VLOOKUP($A1597,MasterData!$C$1:$I$3001,1,FALSE)</f>
        <v>9417</v>
      </c>
      <c r="Q1597" s="18" t="str">
        <f t="shared" si="2"/>
        <v>XTKJ2</v>
      </c>
    </row>
    <row r="1598" ht="15.75" customHeight="1">
      <c r="A1598" s="31">
        <v>9462.0</v>
      </c>
      <c r="B1598" s="22" t="s">
        <v>2429</v>
      </c>
      <c r="C1598" s="24" t="s">
        <v>8807</v>
      </c>
      <c r="D1598" s="33" t="s">
        <v>2429</v>
      </c>
      <c r="E1598" s="22" t="s">
        <v>2428</v>
      </c>
      <c r="F1598" s="19" t="str">
        <f t="shared" si="1"/>
        <v>XTKJ2</v>
      </c>
      <c r="G1598" s="19" t="s">
        <v>5408</v>
      </c>
      <c r="H1598" s="20" t="s">
        <v>1212</v>
      </c>
      <c r="I1598" s="19" t="s">
        <v>5409</v>
      </c>
      <c r="J1598" s="19" t="s">
        <v>5410</v>
      </c>
      <c r="K1598" s="25" t="s">
        <v>7500</v>
      </c>
      <c r="L1598" s="20" t="s">
        <v>8797</v>
      </c>
      <c r="M1598" s="23" t="s">
        <v>2427</v>
      </c>
      <c r="N1598" s="18"/>
      <c r="O1598" s="18"/>
      <c r="P1598" s="18">
        <f>VLOOKUP($A1598,MasterData!$C$1:$I$3001,1,FALSE)</f>
        <v>9462</v>
      </c>
      <c r="Q1598" s="18" t="str">
        <f t="shared" si="2"/>
        <v>XTKJ2</v>
      </c>
    </row>
    <row r="1599" ht="15.75" customHeight="1">
      <c r="A1599" s="31">
        <v>9489.0</v>
      </c>
      <c r="B1599" s="22" t="s">
        <v>2432</v>
      </c>
      <c r="C1599" s="24" t="s">
        <v>8808</v>
      </c>
      <c r="D1599" s="33" t="s">
        <v>2432</v>
      </c>
      <c r="E1599" s="22" t="s">
        <v>2431</v>
      </c>
      <c r="F1599" s="19" t="str">
        <f t="shared" si="1"/>
        <v>XTKJ2</v>
      </c>
      <c r="G1599" s="19" t="s">
        <v>5408</v>
      </c>
      <c r="H1599" s="20" t="s">
        <v>1212</v>
      </c>
      <c r="I1599" s="19" t="s">
        <v>5409</v>
      </c>
      <c r="J1599" s="19" t="s">
        <v>5410</v>
      </c>
      <c r="K1599" s="25" t="s">
        <v>7500</v>
      </c>
      <c r="L1599" s="20" t="s">
        <v>8797</v>
      </c>
      <c r="M1599" s="23" t="s">
        <v>2430</v>
      </c>
      <c r="N1599" s="18"/>
      <c r="O1599" s="18"/>
      <c r="P1599" s="18">
        <f>VLOOKUP($A1599,MasterData!$C$1:$I$3001,1,FALSE)</f>
        <v>9489</v>
      </c>
      <c r="Q1599" s="18" t="str">
        <f t="shared" si="2"/>
        <v>XTKJ2</v>
      </c>
    </row>
    <row r="1600" ht="15.75" customHeight="1">
      <c r="A1600" s="31">
        <v>9510.0</v>
      </c>
      <c r="B1600" s="22" t="s">
        <v>2435</v>
      </c>
      <c r="C1600" s="24" t="s">
        <v>8809</v>
      </c>
      <c r="D1600" s="33" t="s">
        <v>2435</v>
      </c>
      <c r="E1600" s="22" t="s">
        <v>2434</v>
      </c>
      <c r="F1600" s="19" t="str">
        <f t="shared" si="1"/>
        <v>XTKJ2</v>
      </c>
      <c r="G1600" s="19" t="s">
        <v>5408</v>
      </c>
      <c r="H1600" s="20" t="s">
        <v>1212</v>
      </c>
      <c r="I1600" s="19" t="s">
        <v>5409</v>
      </c>
      <c r="J1600" s="19" t="s">
        <v>5410</v>
      </c>
      <c r="K1600" s="25" t="s">
        <v>7500</v>
      </c>
      <c r="L1600" s="20" t="s">
        <v>8797</v>
      </c>
      <c r="M1600" s="23" t="s">
        <v>2433</v>
      </c>
      <c r="N1600" s="18"/>
      <c r="O1600" s="18"/>
      <c r="P1600" s="18">
        <f>VLOOKUP($A1600,MasterData!$C$1:$I$3001,1,FALSE)</f>
        <v>9510</v>
      </c>
      <c r="Q1600" s="18" t="str">
        <f t="shared" si="2"/>
        <v>XTKJ2</v>
      </c>
    </row>
    <row r="1601" ht="15.75" customHeight="1">
      <c r="A1601" s="31">
        <v>9513.0</v>
      </c>
      <c r="B1601" s="22" t="s">
        <v>2438</v>
      </c>
      <c r="C1601" s="24" t="s">
        <v>8810</v>
      </c>
      <c r="D1601" s="33" t="s">
        <v>2438</v>
      </c>
      <c r="E1601" s="22" t="s">
        <v>2437</v>
      </c>
      <c r="F1601" s="19" t="str">
        <f t="shared" si="1"/>
        <v>XTKJ2</v>
      </c>
      <c r="G1601" s="19" t="s">
        <v>5408</v>
      </c>
      <c r="H1601" s="20" t="s">
        <v>1212</v>
      </c>
      <c r="I1601" s="19" t="s">
        <v>5409</v>
      </c>
      <c r="J1601" s="19" t="s">
        <v>5410</v>
      </c>
      <c r="K1601" s="25" t="s">
        <v>7500</v>
      </c>
      <c r="L1601" s="20" t="s">
        <v>8797</v>
      </c>
      <c r="M1601" s="23" t="s">
        <v>2436</v>
      </c>
      <c r="N1601" s="18"/>
      <c r="O1601" s="18"/>
      <c r="P1601" s="18">
        <f>VLOOKUP($A1601,MasterData!$C$1:$I$3001,1,FALSE)</f>
        <v>9513</v>
      </c>
      <c r="Q1601" s="18" t="str">
        <f t="shared" si="2"/>
        <v>XTKJ2</v>
      </c>
    </row>
    <row r="1602" ht="15.75" customHeight="1">
      <c r="A1602" s="31">
        <v>9548.0</v>
      </c>
      <c r="B1602" s="22" t="s">
        <v>2441</v>
      </c>
      <c r="C1602" s="24" t="s">
        <v>8811</v>
      </c>
      <c r="D1602" s="33" t="s">
        <v>2441</v>
      </c>
      <c r="E1602" s="22" t="s">
        <v>2440</v>
      </c>
      <c r="F1602" s="19" t="str">
        <f t="shared" si="1"/>
        <v>XTKJ2</v>
      </c>
      <c r="G1602" s="19" t="s">
        <v>5408</v>
      </c>
      <c r="H1602" s="20" t="s">
        <v>1212</v>
      </c>
      <c r="I1602" s="19" t="s">
        <v>5409</v>
      </c>
      <c r="J1602" s="19" t="s">
        <v>5410</v>
      </c>
      <c r="K1602" s="25" t="s">
        <v>7500</v>
      </c>
      <c r="L1602" s="20" t="s">
        <v>8797</v>
      </c>
      <c r="M1602" s="23" t="s">
        <v>2439</v>
      </c>
      <c r="N1602" s="18"/>
      <c r="O1602" s="18"/>
      <c r="P1602" s="18">
        <f>VLOOKUP($A1602,MasterData!$C$1:$I$3001,1,FALSE)</f>
        <v>9548</v>
      </c>
      <c r="Q1602" s="18" t="str">
        <f t="shared" si="2"/>
        <v>XTKJ2</v>
      </c>
    </row>
    <row r="1603" ht="15.75" customHeight="1">
      <c r="A1603" s="31">
        <v>9572.0</v>
      </c>
      <c r="B1603" s="22" t="s">
        <v>2444</v>
      </c>
      <c r="C1603" s="24" t="s">
        <v>8812</v>
      </c>
      <c r="D1603" s="33" t="s">
        <v>2444</v>
      </c>
      <c r="E1603" s="22" t="s">
        <v>2443</v>
      </c>
      <c r="F1603" s="19" t="str">
        <f t="shared" si="1"/>
        <v>XTKJ2</v>
      </c>
      <c r="G1603" s="19" t="s">
        <v>5408</v>
      </c>
      <c r="H1603" s="20" t="s">
        <v>1212</v>
      </c>
      <c r="I1603" s="19" t="s">
        <v>5409</v>
      </c>
      <c r="J1603" s="19" t="s">
        <v>5410</v>
      </c>
      <c r="K1603" s="25" t="s">
        <v>7500</v>
      </c>
      <c r="L1603" s="20" t="s">
        <v>8797</v>
      </c>
      <c r="M1603" s="23" t="s">
        <v>2442</v>
      </c>
      <c r="N1603" s="18"/>
      <c r="O1603" s="18"/>
      <c r="P1603" s="18">
        <f>VLOOKUP($A1603,MasterData!$C$1:$I$3001,1,FALSE)</f>
        <v>9572</v>
      </c>
      <c r="Q1603" s="18" t="str">
        <f t="shared" si="2"/>
        <v>XTKJ2</v>
      </c>
    </row>
    <row r="1604" ht="15.75" customHeight="1">
      <c r="A1604" s="31">
        <v>9576.0</v>
      </c>
      <c r="B1604" s="22" t="s">
        <v>2447</v>
      </c>
      <c r="C1604" s="24" t="s">
        <v>8813</v>
      </c>
      <c r="D1604" s="33" t="s">
        <v>2447</v>
      </c>
      <c r="E1604" s="22" t="s">
        <v>2446</v>
      </c>
      <c r="F1604" s="19" t="str">
        <f t="shared" si="1"/>
        <v>XTKJ2</v>
      </c>
      <c r="G1604" s="19" t="s">
        <v>5408</v>
      </c>
      <c r="H1604" s="20" t="s">
        <v>1212</v>
      </c>
      <c r="I1604" s="19" t="s">
        <v>5409</v>
      </c>
      <c r="J1604" s="19" t="s">
        <v>5410</v>
      </c>
      <c r="K1604" s="25" t="s">
        <v>7500</v>
      </c>
      <c r="L1604" s="20" t="s">
        <v>8797</v>
      </c>
      <c r="M1604" s="23" t="s">
        <v>2445</v>
      </c>
      <c r="N1604" s="18"/>
      <c r="O1604" s="18"/>
      <c r="P1604" s="18">
        <f>VLOOKUP($A1604,MasterData!$C$1:$I$3001,1,FALSE)</f>
        <v>9576</v>
      </c>
      <c r="Q1604" s="18" t="str">
        <f t="shared" si="2"/>
        <v>XTKJ2</v>
      </c>
    </row>
    <row r="1605" ht="15.75" customHeight="1">
      <c r="A1605" s="31">
        <v>9592.0</v>
      </c>
      <c r="B1605" s="22" t="s">
        <v>2450</v>
      </c>
      <c r="C1605" s="24" t="s">
        <v>8814</v>
      </c>
      <c r="D1605" s="33" t="s">
        <v>2450</v>
      </c>
      <c r="E1605" s="22" t="s">
        <v>2449</v>
      </c>
      <c r="F1605" s="19" t="str">
        <f t="shared" si="1"/>
        <v>XTKJ2</v>
      </c>
      <c r="G1605" s="19" t="s">
        <v>5408</v>
      </c>
      <c r="H1605" s="20" t="s">
        <v>1212</v>
      </c>
      <c r="I1605" s="19" t="s">
        <v>5409</v>
      </c>
      <c r="J1605" s="19" t="s">
        <v>5410</v>
      </c>
      <c r="K1605" s="25" t="s">
        <v>7500</v>
      </c>
      <c r="L1605" s="20" t="s">
        <v>8797</v>
      </c>
      <c r="M1605" s="23" t="s">
        <v>2448</v>
      </c>
      <c r="N1605" s="18"/>
      <c r="O1605" s="18"/>
      <c r="P1605" s="18">
        <f>VLOOKUP($A1605,MasterData!$C$1:$I$3001,1,FALSE)</f>
        <v>9592</v>
      </c>
      <c r="Q1605" s="18" t="str">
        <f t="shared" si="2"/>
        <v>XTKJ2</v>
      </c>
    </row>
    <row r="1606" ht="15.75" customHeight="1">
      <c r="A1606" s="31">
        <v>9602.0</v>
      </c>
      <c r="B1606" s="22" t="s">
        <v>2453</v>
      </c>
      <c r="C1606" s="24" t="s">
        <v>8815</v>
      </c>
      <c r="D1606" s="33" t="s">
        <v>2453</v>
      </c>
      <c r="E1606" s="22" t="s">
        <v>2452</v>
      </c>
      <c r="F1606" s="19" t="str">
        <f t="shared" si="1"/>
        <v>XTKJ2</v>
      </c>
      <c r="G1606" s="19" t="s">
        <v>5408</v>
      </c>
      <c r="H1606" s="20" t="s">
        <v>1212</v>
      </c>
      <c r="I1606" s="19" t="s">
        <v>5409</v>
      </c>
      <c r="J1606" s="19" t="s">
        <v>5410</v>
      </c>
      <c r="K1606" s="25" t="s">
        <v>7500</v>
      </c>
      <c r="L1606" s="20" t="s">
        <v>8797</v>
      </c>
      <c r="M1606" s="23" t="s">
        <v>2451</v>
      </c>
      <c r="N1606" s="18"/>
      <c r="O1606" s="18"/>
      <c r="P1606" s="18">
        <f>VLOOKUP($A1606,MasterData!$C$1:$I$3001,1,FALSE)</f>
        <v>9602</v>
      </c>
      <c r="Q1606" s="18" t="str">
        <f t="shared" si="2"/>
        <v>XTKJ2</v>
      </c>
    </row>
    <row r="1607" ht="15.75" customHeight="1">
      <c r="A1607" s="31">
        <v>9613.0</v>
      </c>
      <c r="B1607" s="22" t="s">
        <v>2456</v>
      </c>
      <c r="C1607" s="24" t="s">
        <v>8816</v>
      </c>
      <c r="D1607" s="33" t="s">
        <v>2456</v>
      </c>
      <c r="E1607" s="22" t="s">
        <v>2455</v>
      </c>
      <c r="F1607" s="19" t="str">
        <f t="shared" si="1"/>
        <v>XTKJ2</v>
      </c>
      <c r="G1607" s="19" t="s">
        <v>5408</v>
      </c>
      <c r="H1607" s="20" t="s">
        <v>1212</v>
      </c>
      <c r="I1607" s="19" t="s">
        <v>5409</v>
      </c>
      <c r="J1607" s="19" t="s">
        <v>5410</v>
      </c>
      <c r="K1607" s="25" t="s">
        <v>7500</v>
      </c>
      <c r="L1607" s="20" t="s">
        <v>8797</v>
      </c>
      <c r="M1607" s="23" t="s">
        <v>2454</v>
      </c>
      <c r="N1607" s="18"/>
      <c r="O1607" s="18"/>
      <c r="P1607" s="18">
        <f>VLOOKUP($A1607,MasterData!$C$1:$I$3001,1,FALSE)</f>
        <v>9613</v>
      </c>
      <c r="Q1607" s="18" t="str">
        <f t="shared" si="2"/>
        <v>XTKJ2</v>
      </c>
    </row>
    <row r="1608" ht="15.75" customHeight="1">
      <c r="A1608" s="31">
        <v>9619.0</v>
      </c>
      <c r="B1608" s="22" t="s">
        <v>2459</v>
      </c>
      <c r="C1608" s="24" t="s">
        <v>8817</v>
      </c>
      <c r="D1608" s="33" t="s">
        <v>2459</v>
      </c>
      <c r="E1608" s="22" t="s">
        <v>2458</v>
      </c>
      <c r="F1608" s="19" t="str">
        <f t="shared" si="1"/>
        <v>XTKJ2</v>
      </c>
      <c r="G1608" s="19" t="s">
        <v>5408</v>
      </c>
      <c r="H1608" s="20" t="s">
        <v>1212</v>
      </c>
      <c r="I1608" s="19" t="s">
        <v>5409</v>
      </c>
      <c r="J1608" s="19" t="s">
        <v>5410</v>
      </c>
      <c r="K1608" s="25" t="s">
        <v>7500</v>
      </c>
      <c r="L1608" s="20" t="s">
        <v>8797</v>
      </c>
      <c r="M1608" s="23" t="s">
        <v>2457</v>
      </c>
      <c r="N1608" s="18"/>
      <c r="O1608" s="18"/>
      <c r="P1608" s="18">
        <f>VLOOKUP($A1608,MasterData!$C$1:$I$3001,1,FALSE)</f>
        <v>9619</v>
      </c>
      <c r="Q1608" s="18" t="str">
        <f t="shared" si="2"/>
        <v>XTKJ2</v>
      </c>
    </row>
    <row r="1609" ht="15.75" customHeight="1">
      <c r="A1609" s="31">
        <v>9645.0</v>
      </c>
      <c r="B1609" s="22" t="s">
        <v>2462</v>
      </c>
      <c r="C1609" s="24" t="s">
        <v>8818</v>
      </c>
      <c r="D1609" s="33" t="s">
        <v>2462</v>
      </c>
      <c r="E1609" s="22" t="s">
        <v>2461</v>
      </c>
      <c r="F1609" s="19" t="str">
        <f t="shared" si="1"/>
        <v>XTKJ2</v>
      </c>
      <c r="G1609" s="19" t="s">
        <v>5408</v>
      </c>
      <c r="H1609" s="20" t="s">
        <v>1212</v>
      </c>
      <c r="I1609" s="19" t="s">
        <v>5409</v>
      </c>
      <c r="J1609" s="19" t="s">
        <v>5410</v>
      </c>
      <c r="K1609" s="25" t="s">
        <v>7500</v>
      </c>
      <c r="L1609" s="20" t="s">
        <v>8797</v>
      </c>
      <c r="M1609" s="23" t="s">
        <v>2460</v>
      </c>
      <c r="N1609" s="18"/>
      <c r="O1609" s="18"/>
      <c r="P1609" s="18">
        <f>VLOOKUP($A1609,MasterData!$C$1:$I$3001,1,FALSE)</f>
        <v>9645</v>
      </c>
      <c r="Q1609" s="18" t="str">
        <f t="shared" si="2"/>
        <v>XTKJ2</v>
      </c>
    </row>
    <row r="1610" ht="15.75" customHeight="1">
      <c r="A1610" s="31">
        <v>9659.0</v>
      </c>
      <c r="B1610" s="22" t="s">
        <v>2465</v>
      </c>
      <c r="C1610" s="24" t="s">
        <v>8819</v>
      </c>
      <c r="D1610" s="33" t="s">
        <v>2465</v>
      </c>
      <c r="E1610" s="22" t="s">
        <v>2464</v>
      </c>
      <c r="F1610" s="19" t="str">
        <f t="shared" si="1"/>
        <v>XTKJ2</v>
      </c>
      <c r="G1610" s="19" t="s">
        <v>5408</v>
      </c>
      <c r="H1610" s="20" t="s">
        <v>1212</v>
      </c>
      <c r="I1610" s="19" t="s">
        <v>5409</v>
      </c>
      <c r="J1610" s="19" t="s">
        <v>5410</v>
      </c>
      <c r="K1610" s="25" t="s">
        <v>7500</v>
      </c>
      <c r="L1610" s="20" t="s">
        <v>8797</v>
      </c>
      <c r="M1610" s="23" t="s">
        <v>2463</v>
      </c>
      <c r="N1610" s="18"/>
      <c r="O1610" s="18"/>
      <c r="P1610" s="18">
        <f>VLOOKUP($A1610,MasterData!$C$1:$I$3001,1,FALSE)</f>
        <v>9659</v>
      </c>
      <c r="Q1610" s="18" t="str">
        <f t="shared" si="2"/>
        <v>XTKJ2</v>
      </c>
    </row>
    <row r="1611" ht="15.75" customHeight="1">
      <c r="A1611" s="31">
        <v>9672.0</v>
      </c>
      <c r="B1611" s="22" t="s">
        <v>2468</v>
      </c>
      <c r="C1611" s="24" t="s">
        <v>8820</v>
      </c>
      <c r="D1611" s="33" t="s">
        <v>2468</v>
      </c>
      <c r="E1611" s="22" t="s">
        <v>2467</v>
      </c>
      <c r="F1611" s="19" t="str">
        <f t="shared" si="1"/>
        <v>XTKJ2</v>
      </c>
      <c r="G1611" s="19" t="s">
        <v>5408</v>
      </c>
      <c r="H1611" s="20" t="s">
        <v>1212</v>
      </c>
      <c r="I1611" s="19" t="s">
        <v>5409</v>
      </c>
      <c r="J1611" s="19" t="s">
        <v>5410</v>
      </c>
      <c r="K1611" s="25" t="s">
        <v>7500</v>
      </c>
      <c r="L1611" s="20" t="s">
        <v>8797</v>
      </c>
      <c r="M1611" s="23" t="s">
        <v>2466</v>
      </c>
      <c r="N1611" s="18"/>
      <c r="O1611" s="18"/>
      <c r="P1611" s="18">
        <f>VLOOKUP($A1611,MasterData!$C$1:$I$3001,1,FALSE)</f>
        <v>9672</v>
      </c>
      <c r="Q1611" s="18" t="str">
        <f t="shared" si="2"/>
        <v>XTKJ2</v>
      </c>
    </row>
    <row r="1612" ht="15.75" customHeight="1">
      <c r="A1612" s="31">
        <v>9675.0</v>
      </c>
      <c r="B1612" s="22" t="s">
        <v>2471</v>
      </c>
      <c r="C1612" s="24" t="s">
        <v>8821</v>
      </c>
      <c r="D1612" s="33" t="s">
        <v>2471</v>
      </c>
      <c r="E1612" s="22" t="s">
        <v>2470</v>
      </c>
      <c r="F1612" s="19" t="str">
        <f t="shared" si="1"/>
        <v>XTKJ2</v>
      </c>
      <c r="G1612" s="19" t="s">
        <v>5408</v>
      </c>
      <c r="H1612" s="20" t="s">
        <v>1212</v>
      </c>
      <c r="I1612" s="19" t="s">
        <v>5409</v>
      </c>
      <c r="J1612" s="19" t="s">
        <v>5410</v>
      </c>
      <c r="K1612" s="25" t="s">
        <v>7500</v>
      </c>
      <c r="L1612" s="20" t="s">
        <v>8797</v>
      </c>
      <c r="M1612" s="23" t="s">
        <v>2469</v>
      </c>
      <c r="N1612" s="18"/>
      <c r="O1612" s="18"/>
      <c r="P1612" s="18">
        <f>VLOOKUP($A1612,MasterData!$C$1:$I$3001,1,FALSE)</f>
        <v>9675</v>
      </c>
      <c r="Q1612" s="18" t="str">
        <f t="shared" si="2"/>
        <v>XTKJ2</v>
      </c>
    </row>
    <row r="1613" ht="15.75" customHeight="1">
      <c r="A1613" s="31">
        <v>9709.0</v>
      </c>
      <c r="B1613" s="22" t="s">
        <v>2474</v>
      </c>
      <c r="C1613" s="24" t="s">
        <v>8822</v>
      </c>
      <c r="D1613" s="33" t="s">
        <v>2474</v>
      </c>
      <c r="E1613" s="22" t="s">
        <v>2473</v>
      </c>
      <c r="F1613" s="19" t="str">
        <f t="shared" si="1"/>
        <v>XTKJ2</v>
      </c>
      <c r="G1613" s="19" t="s">
        <v>5408</v>
      </c>
      <c r="H1613" s="20" t="s">
        <v>1212</v>
      </c>
      <c r="I1613" s="19" t="s">
        <v>5409</v>
      </c>
      <c r="J1613" s="19" t="s">
        <v>5410</v>
      </c>
      <c r="K1613" s="25" t="s">
        <v>7500</v>
      </c>
      <c r="L1613" s="20" t="s">
        <v>8797</v>
      </c>
      <c r="M1613" s="23" t="s">
        <v>2472</v>
      </c>
      <c r="N1613" s="18"/>
      <c r="O1613" s="18"/>
      <c r="P1613" s="18">
        <f>VLOOKUP($A1613,MasterData!$C$1:$I$3001,1,FALSE)</f>
        <v>9709</v>
      </c>
      <c r="Q1613" s="18" t="str">
        <f t="shared" si="2"/>
        <v>XTKJ2</v>
      </c>
    </row>
    <row r="1614" ht="15.75" customHeight="1">
      <c r="A1614" s="31">
        <v>9735.0</v>
      </c>
      <c r="B1614" s="22" t="s">
        <v>2477</v>
      </c>
      <c r="C1614" s="24" t="s">
        <v>8823</v>
      </c>
      <c r="D1614" s="33" t="s">
        <v>2477</v>
      </c>
      <c r="E1614" s="22" t="s">
        <v>2476</v>
      </c>
      <c r="F1614" s="19" t="str">
        <f t="shared" si="1"/>
        <v>XTKJ2</v>
      </c>
      <c r="G1614" s="19" t="s">
        <v>5408</v>
      </c>
      <c r="H1614" s="20" t="s">
        <v>1212</v>
      </c>
      <c r="I1614" s="19" t="s">
        <v>5409</v>
      </c>
      <c r="J1614" s="19" t="s">
        <v>5410</v>
      </c>
      <c r="K1614" s="25" t="s">
        <v>7500</v>
      </c>
      <c r="L1614" s="20" t="s">
        <v>8797</v>
      </c>
      <c r="M1614" s="23" t="s">
        <v>2475</v>
      </c>
      <c r="N1614" s="18"/>
      <c r="O1614" s="18"/>
      <c r="P1614" s="18">
        <f>VLOOKUP($A1614,MasterData!$C$1:$I$3001,1,FALSE)</f>
        <v>9735</v>
      </c>
      <c r="Q1614" s="18" t="str">
        <f t="shared" si="2"/>
        <v>XTKJ2</v>
      </c>
    </row>
    <row r="1615" ht="15.75" customHeight="1">
      <c r="A1615" s="31">
        <v>9744.0</v>
      </c>
      <c r="B1615" s="22" t="s">
        <v>2480</v>
      </c>
      <c r="C1615" s="24" t="s">
        <v>8824</v>
      </c>
      <c r="D1615" s="33" t="s">
        <v>2480</v>
      </c>
      <c r="E1615" s="22" t="s">
        <v>2479</v>
      </c>
      <c r="F1615" s="19" t="str">
        <f t="shared" si="1"/>
        <v>XTKJ2</v>
      </c>
      <c r="G1615" s="19" t="s">
        <v>5408</v>
      </c>
      <c r="H1615" s="20" t="s">
        <v>1212</v>
      </c>
      <c r="I1615" s="19" t="s">
        <v>5409</v>
      </c>
      <c r="J1615" s="19" t="s">
        <v>5410</v>
      </c>
      <c r="K1615" s="25" t="s">
        <v>7500</v>
      </c>
      <c r="L1615" s="20" t="s">
        <v>8797</v>
      </c>
      <c r="M1615" s="23" t="s">
        <v>2478</v>
      </c>
      <c r="N1615" s="18"/>
      <c r="O1615" s="18"/>
      <c r="P1615" s="18">
        <f>VLOOKUP($A1615,MasterData!$C$1:$I$3001,1,FALSE)</f>
        <v>9744</v>
      </c>
      <c r="Q1615" s="18" t="str">
        <f t="shared" si="2"/>
        <v>XTKJ2</v>
      </c>
    </row>
    <row r="1616" ht="15.75" customHeight="1">
      <c r="A1616" s="31">
        <v>9765.0</v>
      </c>
      <c r="B1616" s="22" t="s">
        <v>2483</v>
      </c>
      <c r="C1616" s="24" t="s">
        <v>8825</v>
      </c>
      <c r="D1616" s="33" t="s">
        <v>2483</v>
      </c>
      <c r="E1616" s="22" t="s">
        <v>2482</v>
      </c>
      <c r="F1616" s="19" t="str">
        <f t="shared" si="1"/>
        <v>XTKJ2</v>
      </c>
      <c r="G1616" s="19" t="s">
        <v>5408</v>
      </c>
      <c r="H1616" s="20" t="s">
        <v>1212</v>
      </c>
      <c r="I1616" s="19" t="s">
        <v>5409</v>
      </c>
      <c r="J1616" s="19" t="s">
        <v>5410</v>
      </c>
      <c r="K1616" s="25" t="s">
        <v>7500</v>
      </c>
      <c r="L1616" s="20" t="s">
        <v>8797</v>
      </c>
      <c r="M1616" s="23" t="s">
        <v>2481</v>
      </c>
      <c r="N1616" s="18"/>
      <c r="O1616" s="18"/>
      <c r="P1616" s="18">
        <f>VLOOKUP($A1616,MasterData!$C$1:$I$3001,1,FALSE)</f>
        <v>9765</v>
      </c>
      <c r="Q1616" s="18" t="str">
        <f t="shared" si="2"/>
        <v>XTKJ2</v>
      </c>
    </row>
    <row r="1617" ht="15.75" customHeight="1">
      <c r="A1617" s="31">
        <v>9780.0</v>
      </c>
      <c r="B1617" s="22" t="s">
        <v>2486</v>
      </c>
      <c r="C1617" s="24" t="s">
        <v>8826</v>
      </c>
      <c r="D1617" s="33" t="s">
        <v>2486</v>
      </c>
      <c r="E1617" s="22" t="s">
        <v>2485</v>
      </c>
      <c r="F1617" s="19" t="str">
        <f t="shared" si="1"/>
        <v>XTKJ2</v>
      </c>
      <c r="G1617" s="19" t="s">
        <v>5408</v>
      </c>
      <c r="H1617" s="20" t="s">
        <v>1212</v>
      </c>
      <c r="I1617" s="19" t="s">
        <v>5409</v>
      </c>
      <c r="J1617" s="19" t="s">
        <v>5410</v>
      </c>
      <c r="K1617" s="25" t="s">
        <v>7500</v>
      </c>
      <c r="L1617" s="20" t="s">
        <v>8797</v>
      </c>
      <c r="M1617" s="23" t="s">
        <v>2484</v>
      </c>
      <c r="N1617" s="18"/>
      <c r="O1617" s="18"/>
      <c r="P1617" s="18">
        <f>VLOOKUP($A1617,MasterData!$C$1:$I$3001,1,FALSE)</f>
        <v>9780</v>
      </c>
      <c r="Q1617" s="18" t="str">
        <f t="shared" si="2"/>
        <v>XTKJ2</v>
      </c>
    </row>
    <row r="1618" ht="15.75" customHeight="1">
      <c r="A1618" s="31">
        <v>9788.0</v>
      </c>
      <c r="B1618" s="22" t="s">
        <v>2489</v>
      </c>
      <c r="C1618" s="24" t="s">
        <v>8827</v>
      </c>
      <c r="D1618" s="33" t="s">
        <v>2489</v>
      </c>
      <c r="E1618" s="22" t="s">
        <v>2488</v>
      </c>
      <c r="F1618" s="19" t="str">
        <f t="shared" si="1"/>
        <v>XTKJ2</v>
      </c>
      <c r="G1618" s="19" t="s">
        <v>5408</v>
      </c>
      <c r="H1618" s="20" t="s">
        <v>1212</v>
      </c>
      <c r="I1618" s="19" t="s">
        <v>5409</v>
      </c>
      <c r="J1618" s="19" t="s">
        <v>5410</v>
      </c>
      <c r="K1618" s="25" t="s">
        <v>7500</v>
      </c>
      <c r="L1618" s="20" t="s">
        <v>8797</v>
      </c>
      <c r="M1618" s="23" t="s">
        <v>2487</v>
      </c>
      <c r="N1618" s="18"/>
      <c r="O1618" s="18"/>
      <c r="P1618" s="18">
        <f>VLOOKUP($A1618,MasterData!$C$1:$I$3001,1,FALSE)</f>
        <v>9788</v>
      </c>
      <c r="Q1618" s="18" t="str">
        <f t="shared" si="2"/>
        <v>XTKJ2</v>
      </c>
    </row>
    <row r="1619" ht="15.75" customHeight="1">
      <c r="A1619" s="31">
        <v>9796.0</v>
      </c>
      <c r="B1619" s="22" t="s">
        <v>2492</v>
      </c>
      <c r="C1619" s="24" t="s">
        <v>8828</v>
      </c>
      <c r="D1619" s="33" t="s">
        <v>2492</v>
      </c>
      <c r="E1619" s="22" t="s">
        <v>2491</v>
      </c>
      <c r="F1619" s="19" t="str">
        <f t="shared" si="1"/>
        <v>XTKJ2</v>
      </c>
      <c r="G1619" s="19" t="s">
        <v>5408</v>
      </c>
      <c r="H1619" s="20" t="s">
        <v>1212</v>
      </c>
      <c r="I1619" s="19" t="s">
        <v>5409</v>
      </c>
      <c r="J1619" s="19" t="s">
        <v>5410</v>
      </c>
      <c r="K1619" s="25" t="s">
        <v>7500</v>
      </c>
      <c r="L1619" s="20" t="s">
        <v>8797</v>
      </c>
      <c r="M1619" s="23" t="s">
        <v>2490</v>
      </c>
      <c r="N1619" s="18"/>
      <c r="O1619" s="18"/>
      <c r="P1619" s="18">
        <f>VLOOKUP($A1619,MasterData!$C$1:$I$3001,1,FALSE)</f>
        <v>9796</v>
      </c>
      <c r="Q1619" s="18" t="str">
        <f t="shared" si="2"/>
        <v>XTKJ2</v>
      </c>
    </row>
    <row r="1620" ht="15.75" customHeight="1">
      <c r="A1620" s="31">
        <v>9803.0</v>
      </c>
      <c r="B1620" s="22" t="s">
        <v>2495</v>
      </c>
      <c r="C1620" s="24" t="s">
        <v>8829</v>
      </c>
      <c r="D1620" s="33" t="s">
        <v>2495</v>
      </c>
      <c r="E1620" s="22" t="s">
        <v>2494</v>
      </c>
      <c r="F1620" s="19" t="str">
        <f t="shared" si="1"/>
        <v>XTKJ2</v>
      </c>
      <c r="G1620" s="19" t="s">
        <v>5408</v>
      </c>
      <c r="H1620" s="20" t="s">
        <v>1212</v>
      </c>
      <c r="I1620" s="19" t="s">
        <v>5409</v>
      </c>
      <c r="J1620" s="19" t="s">
        <v>5410</v>
      </c>
      <c r="K1620" s="25" t="s">
        <v>7500</v>
      </c>
      <c r="L1620" s="20" t="s">
        <v>8797</v>
      </c>
      <c r="M1620" s="23" t="s">
        <v>2493</v>
      </c>
      <c r="N1620" s="18"/>
      <c r="O1620" s="18"/>
      <c r="P1620" s="18">
        <f>VLOOKUP($A1620,MasterData!$C$1:$I$3001,1,FALSE)</f>
        <v>9803</v>
      </c>
      <c r="Q1620" s="18" t="str">
        <f t="shared" si="2"/>
        <v>XTKJ2</v>
      </c>
    </row>
    <row r="1621" ht="15.75" customHeight="1">
      <c r="A1621" s="31">
        <v>9807.0</v>
      </c>
      <c r="B1621" s="22" t="s">
        <v>2498</v>
      </c>
      <c r="C1621" s="24" t="s">
        <v>8830</v>
      </c>
      <c r="D1621" s="33" t="s">
        <v>2498</v>
      </c>
      <c r="E1621" s="22" t="s">
        <v>2497</v>
      </c>
      <c r="F1621" s="19" t="str">
        <f t="shared" si="1"/>
        <v>XTKJ2</v>
      </c>
      <c r="G1621" s="19" t="s">
        <v>5408</v>
      </c>
      <c r="H1621" s="20" t="s">
        <v>1212</v>
      </c>
      <c r="I1621" s="19" t="s">
        <v>5409</v>
      </c>
      <c r="J1621" s="19" t="s">
        <v>5410</v>
      </c>
      <c r="K1621" s="25" t="s">
        <v>7500</v>
      </c>
      <c r="L1621" s="20" t="s">
        <v>8797</v>
      </c>
      <c r="M1621" s="23" t="s">
        <v>2496</v>
      </c>
      <c r="N1621" s="18"/>
      <c r="O1621" s="18"/>
      <c r="P1621" s="18">
        <f>VLOOKUP($A1621,MasterData!$C$1:$I$3001,1,FALSE)</f>
        <v>9807</v>
      </c>
      <c r="Q1621" s="18" t="str">
        <f t="shared" si="2"/>
        <v>XTKJ2</v>
      </c>
    </row>
    <row r="1622" ht="15.75" customHeight="1">
      <c r="A1622" s="31">
        <v>9822.0</v>
      </c>
      <c r="B1622" s="22" t="s">
        <v>2501</v>
      </c>
      <c r="C1622" s="24" t="s">
        <v>8831</v>
      </c>
      <c r="D1622" s="33" t="s">
        <v>2501</v>
      </c>
      <c r="E1622" s="22" t="s">
        <v>2500</v>
      </c>
      <c r="F1622" s="19" t="str">
        <f t="shared" si="1"/>
        <v>XTKJ2</v>
      </c>
      <c r="G1622" s="19" t="s">
        <v>5408</v>
      </c>
      <c r="H1622" s="20" t="s">
        <v>1212</v>
      </c>
      <c r="I1622" s="19" t="s">
        <v>5409</v>
      </c>
      <c r="J1622" s="19" t="s">
        <v>5410</v>
      </c>
      <c r="K1622" s="25" t="s">
        <v>7500</v>
      </c>
      <c r="L1622" s="20" t="s">
        <v>8797</v>
      </c>
      <c r="M1622" s="23" t="s">
        <v>2499</v>
      </c>
      <c r="N1622" s="18"/>
      <c r="O1622" s="18"/>
      <c r="P1622" s="18">
        <f>VLOOKUP($A1622,MasterData!$C$1:$I$3001,1,FALSE)</f>
        <v>9822</v>
      </c>
      <c r="Q1622" s="18" t="str">
        <f t="shared" si="2"/>
        <v>XTKJ2</v>
      </c>
    </row>
    <row r="1623" ht="15.75" customHeight="1">
      <c r="A1623" s="31">
        <v>9849.0</v>
      </c>
      <c r="B1623" s="22" t="s">
        <v>2504</v>
      </c>
      <c r="C1623" s="24" t="s">
        <v>8832</v>
      </c>
      <c r="D1623" s="33" t="s">
        <v>2504</v>
      </c>
      <c r="E1623" s="22" t="s">
        <v>2503</v>
      </c>
      <c r="F1623" s="19" t="str">
        <f t="shared" si="1"/>
        <v>XTKJ2</v>
      </c>
      <c r="G1623" s="19" t="s">
        <v>5408</v>
      </c>
      <c r="H1623" s="20" t="s">
        <v>1212</v>
      </c>
      <c r="I1623" s="19" t="s">
        <v>5409</v>
      </c>
      <c r="J1623" s="19" t="s">
        <v>5410</v>
      </c>
      <c r="K1623" s="25" t="s">
        <v>7500</v>
      </c>
      <c r="L1623" s="20" t="s">
        <v>8797</v>
      </c>
      <c r="M1623" s="23" t="s">
        <v>2502</v>
      </c>
      <c r="N1623" s="18"/>
      <c r="O1623" s="18"/>
      <c r="P1623" s="18">
        <f>VLOOKUP($A1623,MasterData!$C$1:$I$3001,1,FALSE)</f>
        <v>9849</v>
      </c>
      <c r="Q1623" s="18" t="str">
        <f t="shared" si="2"/>
        <v>XTKJ2</v>
      </c>
    </row>
    <row r="1624" ht="15.75" customHeight="1">
      <c r="A1624" s="31">
        <v>9246.0</v>
      </c>
      <c r="B1624" s="22" t="s">
        <v>2507</v>
      </c>
      <c r="C1624" s="24" t="s">
        <v>8833</v>
      </c>
      <c r="D1624" s="33" t="s">
        <v>2507</v>
      </c>
      <c r="E1624" s="22" t="s">
        <v>2506</v>
      </c>
      <c r="F1624" s="19" t="str">
        <f t="shared" si="1"/>
        <v>XTKR1</v>
      </c>
      <c r="G1624" s="19" t="s">
        <v>5408</v>
      </c>
      <c r="H1624" s="20" t="s">
        <v>1212</v>
      </c>
      <c r="I1624" s="19" t="s">
        <v>5409</v>
      </c>
      <c r="J1624" s="19" t="s">
        <v>5410</v>
      </c>
      <c r="K1624" s="25" t="s">
        <v>7500</v>
      </c>
      <c r="L1624" s="20" t="s">
        <v>8834</v>
      </c>
      <c r="M1624" s="23" t="s">
        <v>2505</v>
      </c>
      <c r="N1624" s="18"/>
      <c r="O1624" s="18"/>
      <c r="P1624" s="18">
        <f>VLOOKUP($A1624,MasterData!$C$1:$I$3001,1,FALSE)</f>
        <v>9246</v>
      </c>
      <c r="Q1624" s="18" t="str">
        <f t="shared" si="2"/>
        <v>XTKR1</v>
      </c>
    </row>
    <row r="1625" ht="15.75" customHeight="1">
      <c r="A1625" s="31">
        <v>9259.0</v>
      </c>
      <c r="B1625" s="22" t="s">
        <v>2510</v>
      </c>
      <c r="C1625" s="24" t="s">
        <v>8835</v>
      </c>
      <c r="D1625" s="33" t="s">
        <v>2510</v>
      </c>
      <c r="E1625" s="22" t="s">
        <v>2509</v>
      </c>
      <c r="F1625" s="19" t="str">
        <f t="shared" si="1"/>
        <v>XTKR1</v>
      </c>
      <c r="G1625" s="19" t="s">
        <v>5408</v>
      </c>
      <c r="H1625" s="20" t="s">
        <v>1212</v>
      </c>
      <c r="I1625" s="19" t="s">
        <v>5409</v>
      </c>
      <c r="J1625" s="19" t="s">
        <v>5410</v>
      </c>
      <c r="K1625" s="25" t="s">
        <v>7500</v>
      </c>
      <c r="L1625" s="20" t="s">
        <v>8834</v>
      </c>
      <c r="M1625" s="23" t="s">
        <v>2508</v>
      </c>
      <c r="N1625" s="18"/>
      <c r="O1625" s="18"/>
      <c r="P1625" s="18">
        <f>VLOOKUP($A1625,MasterData!$C$1:$I$3001,1,FALSE)</f>
        <v>9259</v>
      </c>
      <c r="Q1625" s="18" t="str">
        <f t="shared" si="2"/>
        <v>XTKR1</v>
      </c>
    </row>
    <row r="1626" ht="15.75" customHeight="1">
      <c r="A1626" s="31">
        <v>9277.0</v>
      </c>
      <c r="B1626" s="22" t="s">
        <v>2513</v>
      </c>
      <c r="C1626" s="24" t="s">
        <v>8836</v>
      </c>
      <c r="D1626" s="33" t="s">
        <v>2513</v>
      </c>
      <c r="E1626" s="22" t="s">
        <v>2512</v>
      </c>
      <c r="F1626" s="19" t="str">
        <f t="shared" si="1"/>
        <v>XTKR1</v>
      </c>
      <c r="G1626" s="19" t="s">
        <v>5408</v>
      </c>
      <c r="H1626" s="20" t="s">
        <v>1212</v>
      </c>
      <c r="I1626" s="19" t="s">
        <v>5409</v>
      </c>
      <c r="J1626" s="19" t="s">
        <v>5410</v>
      </c>
      <c r="K1626" s="25" t="s">
        <v>7500</v>
      </c>
      <c r="L1626" s="20" t="s">
        <v>8834</v>
      </c>
      <c r="M1626" s="23" t="s">
        <v>2511</v>
      </c>
      <c r="N1626" s="18"/>
      <c r="O1626" s="18"/>
      <c r="P1626" s="18">
        <f>VLOOKUP($A1626,MasterData!$C$1:$I$3001,1,FALSE)</f>
        <v>9277</v>
      </c>
      <c r="Q1626" s="18" t="str">
        <f t="shared" si="2"/>
        <v>XTKR1</v>
      </c>
    </row>
    <row r="1627" ht="15.75" customHeight="1">
      <c r="A1627" s="31">
        <v>9295.0</v>
      </c>
      <c r="B1627" s="22" t="s">
        <v>2516</v>
      </c>
      <c r="C1627" s="24" t="s">
        <v>8837</v>
      </c>
      <c r="D1627" s="33" t="s">
        <v>2516</v>
      </c>
      <c r="E1627" s="22" t="s">
        <v>2515</v>
      </c>
      <c r="F1627" s="19" t="str">
        <f t="shared" si="1"/>
        <v>XTKR1</v>
      </c>
      <c r="G1627" s="19" t="s">
        <v>5408</v>
      </c>
      <c r="H1627" s="20" t="s">
        <v>1212</v>
      </c>
      <c r="I1627" s="19" t="s">
        <v>5409</v>
      </c>
      <c r="J1627" s="19" t="s">
        <v>5410</v>
      </c>
      <c r="K1627" s="25" t="s">
        <v>7500</v>
      </c>
      <c r="L1627" s="20" t="s">
        <v>8834</v>
      </c>
      <c r="M1627" s="23" t="s">
        <v>2514</v>
      </c>
      <c r="N1627" s="18"/>
      <c r="O1627" s="18"/>
      <c r="P1627" s="18">
        <f>VLOOKUP($A1627,MasterData!$C$1:$I$3001,1,FALSE)</f>
        <v>9295</v>
      </c>
      <c r="Q1627" s="18" t="str">
        <f t="shared" si="2"/>
        <v>XTKR1</v>
      </c>
    </row>
    <row r="1628" ht="15.75" customHeight="1">
      <c r="A1628" s="31">
        <v>9301.0</v>
      </c>
      <c r="B1628" s="22" t="s">
        <v>2519</v>
      </c>
      <c r="C1628" s="24" t="s">
        <v>8838</v>
      </c>
      <c r="D1628" s="33" t="s">
        <v>2519</v>
      </c>
      <c r="E1628" s="22" t="s">
        <v>2518</v>
      </c>
      <c r="F1628" s="19" t="str">
        <f t="shared" si="1"/>
        <v>XTKR1</v>
      </c>
      <c r="G1628" s="19" t="s">
        <v>5408</v>
      </c>
      <c r="H1628" s="20" t="s">
        <v>1212</v>
      </c>
      <c r="I1628" s="19" t="s">
        <v>5409</v>
      </c>
      <c r="J1628" s="19" t="s">
        <v>5410</v>
      </c>
      <c r="K1628" s="25" t="s">
        <v>7500</v>
      </c>
      <c r="L1628" s="20" t="s">
        <v>8834</v>
      </c>
      <c r="M1628" s="23" t="s">
        <v>2517</v>
      </c>
      <c r="N1628" s="18"/>
      <c r="O1628" s="18"/>
      <c r="P1628" s="18">
        <f>VLOOKUP($A1628,MasterData!$C$1:$I$3001,1,FALSE)</f>
        <v>9301</v>
      </c>
      <c r="Q1628" s="18" t="str">
        <f t="shared" si="2"/>
        <v>XTKR1</v>
      </c>
    </row>
    <row r="1629" ht="15.75" customHeight="1">
      <c r="A1629" s="31">
        <v>9311.0</v>
      </c>
      <c r="B1629" s="22" t="s">
        <v>2522</v>
      </c>
      <c r="C1629" s="24" t="s">
        <v>8839</v>
      </c>
      <c r="D1629" s="33" t="s">
        <v>2522</v>
      </c>
      <c r="E1629" s="22" t="s">
        <v>2521</v>
      </c>
      <c r="F1629" s="19" t="str">
        <f t="shared" si="1"/>
        <v>XTKR1</v>
      </c>
      <c r="G1629" s="19" t="s">
        <v>5408</v>
      </c>
      <c r="H1629" s="20" t="s">
        <v>1212</v>
      </c>
      <c r="I1629" s="19" t="s">
        <v>5409</v>
      </c>
      <c r="J1629" s="19" t="s">
        <v>5410</v>
      </c>
      <c r="K1629" s="25" t="s">
        <v>7500</v>
      </c>
      <c r="L1629" s="20" t="s">
        <v>8834</v>
      </c>
      <c r="M1629" s="23" t="s">
        <v>2520</v>
      </c>
      <c r="N1629" s="18"/>
      <c r="O1629" s="18"/>
      <c r="P1629" s="18">
        <f>VLOOKUP($A1629,MasterData!$C$1:$I$3001,1,FALSE)</f>
        <v>9311</v>
      </c>
      <c r="Q1629" s="18" t="str">
        <f t="shared" si="2"/>
        <v>XTKR1</v>
      </c>
    </row>
    <row r="1630" ht="15.75" customHeight="1">
      <c r="A1630" s="31">
        <v>9328.0</v>
      </c>
      <c r="B1630" s="22" t="s">
        <v>2525</v>
      </c>
      <c r="C1630" s="24" t="s">
        <v>8840</v>
      </c>
      <c r="D1630" s="33" t="s">
        <v>2525</v>
      </c>
      <c r="E1630" s="22" t="s">
        <v>2524</v>
      </c>
      <c r="F1630" s="19" t="str">
        <f t="shared" si="1"/>
        <v>XTKR1</v>
      </c>
      <c r="G1630" s="19" t="s">
        <v>5408</v>
      </c>
      <c r="H1630" s="20" t="s">
        <v>1212</v>
      </c>
      <c r="I1630" s="19" t="s">
        <v>5409</v>
      </c>
      <c r="J1630" s="19" t="s">
        <v>5410</v>
      </c>
      <c r="K1630" s="25" t="s">
        <v>7500</v>
      </c>
      <c r="L1630" s="20" t="s">
        <v>8834</v>
      </c>
      <c r="M1630" s="23" t="s">
        <v>2523</v>
      </c>
      <c r="N1630" s="18"/>
      <c r="O1630" s="18"/>
      <c r="P1630" s="18">
        <f>VLOOKUP($A1630,MasterData!$C$1:$I$3001,1,FALSE)</f>
        <v>9328</v>
      </c>
      <c r="Q1630" s="18" t="str">
        <f t="shared" si="2"/>
        <v>XTKR1</v>
      </c>
    </row>
    <row r="1631" ht="15.75" customHeight="1">
      <c r="A1631" s="31">
        <v>9343.0</v>
      </c>
      <c r="B1631" s="22" t="s">
        <v>2528</v>
      </c>
      <c r="C1631" s="24" t="s">
        <v>8841</v>
      </c>
      <c r="D1631" s="33" t="s">
        <v>2528</v>
      </c>
      <c r="E1631" s="22" t="s">
        <v>2527</v>
      </c>
      <c r="F1631" s="19" t="str">
        <f t="shared" si="1"/>
        <v>XTKR1</v>
      </c>
      <c r="G1631" s="19" t="s">
        <v>5408</v>
      </c>
      <c r="H1631" s="20" t="s">
        <v>1212</v>
      </c>
      <c r="I1631" s="19" t="s">
        <v>5409</v>
      </c>
      <c r="J1631" s="19" t="s">
        <v>5410</v>
      </c>
      <c r="K1631" s="25" t="s">
        <v>7500</v>
      </c>
      <c r="L1631" s="20" t="s">
        <v>8834</v>
      </c>
      <c r="M1631" s="23" t="s">
        <v>2526</v>
      </c>
      <c r="N1631" s="18"/>
      <c r="O1631" s="18"/>
      <c r="P1631" s="18">
        <f>VLOOKUP($A1631,MasterData!$C$1:$I$3001,1,FALSE)</f>
        <v>9343</v>
      </c>
      <c r="Q1631" s="18" t="str">
        <f t="shared" si="2"/>
        <v>XTKR1</v>
      </c>
    </row>
    <row r="1632" ht="15.75" customHeight="1">
      <c r="A1632" s="31">
        <v>9363.0</v>
      </c>
      <c r="B1632" s="22" t="s">
        <v>2531</v>
      </c>
      <c r="C1632" s="24" t="s">
        <v>8842</v>
      </c>
      <c r="D1632" s="33" t="s">
        <v>2531</v>
      </c>
      <c r="E1632" s="22" t="s">
        <v>2530</v>
      </c>
      <c r="F1632" s="19" t="str">
        <f t="shared" si="1"/>
        <v>XTKR1</v>
      </c>
      <c r="G1632" s="19" t="s">
        <v>5408</v>
      </c>
      <c r="H1632" s="20" t="s">
        <v>1212</v>
      </c>
      <c r="I1632" s="19" t="s">
        <v>5409</v>
      </c>
      <c r="J1632" s="19" t="s">
        <v>5410</v>
      </c>
      <c r="K1632" s="25" t="s">
        <v>7500</v>
      </c>
      <c r="L1632" s="20" t="s">
        <v>8834</v>
      </c>
      <c r="M1632" s="23" t="s">
        <v>2529</v>
      </c>
      <c r="N1632" s="18"/>
      <c r="O1632" s="18"/>
      <c r="P1632" s="18">
        <f>VLOOKUP($A1632,MasterData!$C$1:$I$3001,1,FALSE)</f>
        <v>9363</v>
      </c>
      <c r="Q1632" s="18" t="str">
        <f t="shared" si="2"/>
        <v>XTKR1</v>
      </c>
    </row>
    <row r="1633" ht="15.75" customHeight="1">
      <c r="A1633" s="31">
        <v>9377.0</v>
      </c>
      <c r="B1633" s="22" t="s">
        <v>2534</v>
      </c>
      <c r="C1633" s="24" t="s">
        <v>8843</v>
      </c>
      <c r="D1633" s="33" t="s">
        <v>2534</v>
      </c>
      <c r="E1633" s="22" t="s">
        <v>2533</v>
      </c>
      <c r="F1633" s="19" t="str">
        <f t="shared" si="1"/>
        <v>XTKR1</v>
      </c>
      <c r="G1633" s="19" t="s">
        <v>5408</v>
      </c>
      <c r="H1633" s="20" t="s">
        <v>1212</v>
      </c>
      <c r="I1633" s="19" t="s">
        <v>5409</v>
      </c>
      <c r="J1633" s="19" t="s">
        <v>5410</v>
      </c>
      <c r="K1633" s="25" t="s">
        <v>7500</v>
      </c>
      <c r="L1633" s="20" t="s">
        <v>8834</v>
      </c>
      <c r="M1633" s="23" t="s">
        <v>2532</v>
      </c>
      <c r="N1633" s="18"/>
      <c r="O1633" s="18"/>
      <c r="P1633" s="18">
        <f>VLOOKUP($A1633,MasterData!$C$1:$I$3001,1,FALSE)</f>
        <v>9377</v>
      </c>
      <c r="Q1633" s="18" t="str">
        <f t="shared" si="2"/>
        <v>XTKR1</v>
      </c>
    </row>
    <row r="1634" ht="15.75" customHeight="1">
      <c r="A1634" s="31">
        <v>9403.0</v>
      </c>
      <c r="B1634" s="22" t="s">
        <v>2537</v>
      </c>
      <c r="C1634" s="24" t="s">
        <v>8844</v>
      </c>
      <c r="D1634" s="33" t="s">
        <v>2537</v>
      </c>
      <c r="E1634" s="22" t="s">
        <v>2536</v>
      </c>
      <c r="F1634" s="19" t="str">
        <f t="shared" si="1"/>
        <v>XTKR1</v>
      </c>
      <c r="G1634" s="19" t="s">
        <v>5408</v>
      </c>
      <c r="H1634" s="20" t="s">
        <v>1212</v>
      </c>
      <c r="I1634" s="19" t="s">
        <v>5409</v>
      </c>
      <c r="J1634" s="19" t="s">
        <v>5410</v>
      </c>
      <c r="K1634" s="25" t="s">
        <v>7500</v>
      </c>
      <c r="L1634" s="20" t="s">
        <v>8834</v>
      </c>
      <c r="M1634" s="23" t="s">
        <v>2535</v>
      </c>
      <c r="N1634" s="18"/>
      <c r="O1634" s="18"/>
      <c r="P1634" s="18">
        <f>VLOOKUP($A1634,MasterData!$C$1:$I$3001,1,FALSE)</f>
        <v>9403</v>
      </c>
      <c r="Q1634" s="18" t="str">
        <f t="shared" si="2"/>
        <v>XTKR1</v>
      </c>
    </row>
    <row r="1635" ht="15.75" customHeight="1">
      <c r="A1635" s="31">
        <v>9411.0</v>
      </c>
      <c r="B1635" s="22" t="s">
        <v>2540</v>
      </c>
      <c r="C1635" s="24" t="s">
        <v>8845</v>
      </c>
      <c r="D1635" s="33" t="s">
        <v>2540</v>
      </c>
      <c r="E1635" s="22" t="s">
        <v>2539</v>
      </c>
      <c r="F1635" s="19" t="str">
        <f t="shared" si="1"/>
        <v>XTKR1</v>
      </c>
      <c r="G1635" s="19" t="s">
        <v>5408</v>
      </c>
      <c r="H1635" s="20" t="s">
        <v>1212</v>
      </c>
      <c r="I1635" s="19" t="s">
        <v>5409</v>
      </c>
      <c r="J1635" s="19" t="s">
        <v>5410</v>
      </c>
      <c r="K1635" s="25" t="s">
        <v>7500</v>
      </c>
      <c r="L1635" s="20" t="s">
        <v>8834</v>
      </c>
      <c r="M1635" s="23" t="s">
        <v>2538</v>
      </c>
      <c r="N1635" s="18"/>
      <c r="O1635" s="18"/>
      <c r="P1635" s="18">
        <f>VLOOKUP($A1635,MasterData!$C$1:$I$3001,1,FALSE)</f>
        <v>9411</v>
      </c>
      <c r="Q1635" s="18" t="str">
        <f t="shared" si="2"/>
        <v>XTKR1</v>
      </c>
    </row>
    <row r="1636" ht="15.75" customHeight="1">
      <c r="A1636" s="31">
        <v>9432.0</v>
      </c>
      <c r="B1636" s="22" t="s">
        <v>2543</v>
      </c>
      <c r="C1636" s="24" t="s">
        <v>8846</v>
      </c>
      <c r="D1636" s="33" t="s">
        <v>2543</v>
      </c>
      <c r="E1636" s="22" t="s">
        <v>2542</v>
      </c>
      <c r="F1636" s="19" t="str">
        <f t="shared" si="1"/>
        <v>XTKR1</v>
      </c>
      <c r="G1636" s="19" t="s">
        <v>5408</v>
      </c>
      <c r="H1636" s="20" t="s">
        <v>1212</v>
      </c>
      <c r="I1636" s="19" t="s">
        <v>5409</v>
      </c>
      <c r="J1636" s="19" t="s">
        <v>5410</v>
      </c>
      <c r="K1636" s="25" t="s">
        <v>7500</v>
      </c>
      <c r="L1636" s="20" t="s">
        <v>8834</v>
      </c>
      <c r="M1636" s="23" t="s">
        <v>2541</v>
      </c>
      <c r="N1636" s="18"/>
      <c r="O1636" s="18"/>
      <c r="P1636" s="18">
        <f>VLOOKUP($A1636,MasterData!$C$1:$I$3001,1,FALSE)</f>
        <v>9432</v>
      </c>
      <c r="Q1636" s="18" t="str">
        <f t="shared" si="2"/>
        <v>XTKR1</v>
      </c>
    </row>
    <row r="1637" ht="15.75" customHeight="1">
      <c r="A1637" s="31">
        <v>9447.0</v>
      </c>
      <c r="B1637" s="22" t="s">
        <v>2546</v>
      </c>
      <c r="C1637" s="24" t="s">
        <v>8847</v>
      </c>
      <c r="D1637" s="33" t="s">
        <v>2546</v>
      </c>
      <c r="E1637" s="22" t="s">
        <v>2545</v>
      </c>
      <c r="F1637" s="19" t="str">
        <f t="shared" si="1"/>
        <v>XTKR1</v>
      </c>
      <c r="G1637" s="19" t="s">
        <v>5408</v>
      </c>
      <c r="H1637" s="20" t="s">
        <v>1212</v>
      </c>
      <c r="I1637" s="19" t="s">
        <v>5409</v>
      </c>
      <c r="J1637" s="19" t="s">
        <v>5410</v>
      </c>
      <c r="K1637" s="25" t="s">
        <v>7500</v>
      </c>
      <c r="L1637" s="20" t="s">
        <v>8834</v>
      </c>
      <c r="M1637" s="23" t="s">
        <v>2544</v>
      </c>
      <c r="N1637" s="18"/>
      <c r="O1637" s="18"/>
      <c r="P1637" s="18">
        <f>VLOOKUP($A1637,MasterData!$C$1:$I$3001,1,FALSE)</f>
        <v>9447</v>
      </c>
      <c r="Q1637" s="18" t="str">
        <f t="shared" si="2"/>
        <v>XTKR1</v>
      </c>
    </row>
    <row r="1638" ht="15.75" customHeight="1">
      <c r="A1638" s="31">
        <v>9458.0</v>
      </c>
      <c r="B1638" s="22" t="s">
        <v>2549</v>
      </c>
      <c r="C1638" s="24" t="s">
        <v>8848</v>
      </c>
      <c r="D1638" s="33" t="s">
        <v>2549</v>
      </c>
      <c r="E1638" s="22" t="s">
        <v>2548</v>
      </c>
      <c r="F1638" s="19" t="str">
        <f t="shared" si="1"/>
        <v>XTKR1</v>
      </c>
      <c r="G1638" s="19" t="s">
        <v>5408</v>
      </c>
      <c r="H1638" s="20" t="s">
        <v>1212</v>
      </c>
      <c r="I1638" s="19" t="s">
        <v>5409</v>
      </c>
      <c r="J1638" s="19" t="s">
        <v>5410</v>
      </c>
      <c r="K1638" s="25" t="s">
        <v>7500</v>
      </c>
      <c r="L1638" s="20" t="s">
        <v>8834</v>
      </c>
      <c r="M1638" s="23" t="s">
        <v>2547</v>
      </c>
      <c r="N1638" s="18"/>
      <c r="O1638" s="18"/>
      <c r="P1638" s="18">
        <f>VLOOKUP($A1638,MasterData!$C$1:$I$3001,1,FALSE)</f>
        <v>9458</v>
      </c>
      <c r="Q1638" s="18" t="str">
        <f t="shared" si="2"/>
        <v>XTKR1</v>
      </c>
    </row>
    <row r="1639" ht="15.75" customHeight="1">
      <c r="A1639" s="31">
        <v>9467.0</v>
      </c>
      <c r="B1639" s="22" t="s">
        <v>2552</v>
      </c>
      <c r="C1639" s="24" t="s">
        <v>8849</v>
      </c>
      <c r="D1639" s="33" t="s">
        <v>2552</v>
      </c>
      <c r="E1639" s="22" t="s">
        <v>2551</v>
      </c>
      <c r="F1639" s="19" t="str">
        <f t="shared" si="1"/>
        <v>XTKR1</v>
      </c>
      <c r="G1639" s="19" t="s">
        <v>5408</v>
      </c>
      <c r="H1639" s="20" t="s">
        <v>1212</v>
      </c>
      <c r="I1639" s="19" t="s">
        <v>5409</v>
      </c>
      <c r="J1639" s="19" t="s">
        <v>5410</v>
      </c>
      <c r="K1639" s="25" t="s">
        <v>7500</v>
      </c>
      <c r="L1639" s="20" t="s">
        <v>8834</v>
      </c>
      <c r="M1639" s="23" t="s">
        <v>2550</v>
      </c>
      <c r="N1639" s="18"/>
      <c r="O1639" s="18"/>
      <c r="P1639" s="18">
        <f>VLOOKUP($A1639,MasterData!$C$1:$I$3001,1,FALSE)</f>
        <v>9467</v>
      </c>
      <c r="Q1639" s="18" t="str">
        <f t="shared" si="2"/>
        <v>XTKR1</v>
      </c>
    </row>
    <row r="1640" ht="15.75" customHeight="1">
      <c r="A1640" s="31">
        <v>9479.0</v>
      </c>
      <c r="B1640" s="22" t="s">
        <v>2555</v>
      </c>
      <c r="C1640" s="24" t="s">
        <v>8850</v>
      </c>
      <c r="D1640" s="33" t="s">
        <v>2555</v>
      </c>
      <c r="E1640" s="22" t="s">
        <v>2554</v>
      </c>
      <c r="F1640" s="19" t="str">
        <f t="shared" si="1"/>
        <v>XTKR1</v>
      </c>
      <c r="G1640" s="19" t="s">
        <v>5408</v>
      </c>
      <c r="H1640" s="20" t="s">
        <v>1212</v>
      </c>
      <c r="I1640" s="19" t="s">
        <v>5409</v>
      </c>
      <c r="J1640" s="19" t="s">
        <v>5410</v>
      </c>
      <c r="K1640" s="25" t="s">
        <v>7500</v>
      </c>
      <c r="L1640" s="20" t="s">
        <v>8834</v>
      </c>
      <c r="M1640" s="23" t="s">
        <v>2553</v>
      </c>
      <c r="N1640" s="18"/>
      <c r="O1640" s="18"/>
      <c r="P1640" s="18">
        <f>VLOOKUP($A1640,MasterData!$C$1:$I$3001,1,FALSE)</f>
        <v>9479</v>
      </c>
      <c r="Q1640" s="18" t="str">
        <f t="shared" si="2"/>
        <v>XTKR1</v>
      </c>
    </row>
    <row r="1641" ht="15.75" customHeight="1">
      <c r="A1641" s="31">
        <v>9492.0</v>
      </c>
      <c r="B1641" s="22" t="s">
        <v>2558</v>
      </c>
      <c r="C1641" s="24" t="s">
        <v>8851</v>
      </c>
      <c r="D1641" s="33" t="s">
        <v>2558</v>
      </c>
      <c r="E1641" s="22" t="s">
        <v>2557</v>
      </c>
      <c r="F1641" s="19" t="str">
        <f t="shared" si="1"/>
        <v>XTKR1</v>
      </c>
      <c r="G1641" s="19" t="s">
        <v>5408</v>
      </c>
      <c r="H1641" s="20" t="s">
        <v>1212</v>
      </c>
      <c r="I1641" s="19" t="s">
        <v>5409</v>
      </c>
      <c r="J1641" s="19" t="s">
        <v>5410</v>
      </c>
      <c r="K1641" s="25" t="s">
        <v>7500</v>
      </c>
      <c r="L1641" s="20" t="s">
        <v>8834</v>
      </c>
      <c r="M1641" s="23" t="s">
        <v>2556</v>
      </c>
      <c r="N1641" s="18"/>
      <c r="O1641" s="18"/>
      <c r="P1641" s="18">
        <f>VLOOKUP($A1641,MasterData!$C$1:$I$3001,1,FALSE)</f>
        <v>9492</v>
      </c>
      <c r="Q1641" s="18" t="str">
        <f t="shared" si="2"/>
        <v>XTKR1</v>
      </c>
    </row>
    <row r="1642" ht="15.75" customHeight="1">
      <c r="A1642" s="31">
        <v>9543.0</v>
      </c>
      <c r="B1642" s="22" t="s">
        <v>2561</v>
      </c>
      <c r="C1642" s="24" t="s">
        <v>8852</v>
      </c>
      <c r="D1642" s="33" t="s">
        <v>2561</v>
      </c>
      <c r="E1642" s="22" t="s">
        <v>2560</v>
      </c>
      <c r="F1642" s="19" t="str">
        <f t="shared" si="1"/>
        <v>XTKR1</v>
      </c>
      <c r="G1642" s="19" t="s">
        <v>5408</v>
      </c>
      <c r="H1642" s="20" t="s">
        <v>1212</v>
      </c>
      <c r="I1642" s="19" t="s">
        <v>5409</v>
      </c>
      <c r="J1642" s="19" t="s">
        <v>5410</v>
      </c>
      <c r="K1642" s="25" t="s">
        <v>7500</v>
      </c>
      <c r="L1642" s="20" t="s">
        <v>8834</v>
      </c>
      <c r="M1642" s="23" t="s">
        <v>2559</v>
      </c>
      <c r="N1642" s="18"/>
      <c r="O1642" s="18"/>
      <c r="P1642" s="18">
        <f>VLOOKUP($A1642,MasterData!$C$1:$I$3001,1,FALSE)</f>
        <v>9543</v>
      </c>
      <c r="Q1642" s="18" t="str">
        <f t="shared" si="2"/>
        <v>XTKR1</v>
      </c>
    </row>
    <row r="1643" ht="15.75" customHeight="1">
      <c r="A1643" s="31">
        <v>9565.0</v>
      </c>
      <c r="B1643" s="22" t="s">
        <v>2564</v>
      </c>
      <c r="C1643" s="24" t="s">
        <v>8853</v>
      </c>
      <c r="D1643" s="33" t="s">
        <v>2564</v>
      </c>
      <c r="E1643" s="22" t="s">
        <v>2563</v>
      </c>
      <c r="F1643" s="19" t="str">
        <f t="shared" si="1"/>
        <v>XTKR1</v>
      </c>
      <c r="G1643" s="19" t="s">
        <v>5408</v>
      </c>
      <c r="H1643" s="20" t="s">
        <v>1212</v>
      </c>
      <c r="I1643" s="19" t="s">
        <v>5409</v>
      </c>
      <c r="J1643" s="19" t="s">
        <v>5410</v>
      </c>
      <c r="K1643" s="25" t="s">
        <v>7500</v>
      </c>
      <c r="L1643" s="20" t="s">
        <v>8834</v>
      </c>
      <c r="M1643" s="23" t="s">
        <v>2562</v>
      </c>
      <c r="N1643" s="18"/>
      <c r="O1643" s="18"/>
      <c r="P1643" s="18">
        <f>VLOOKUP($A1643,MasterData!$C$1:$I$3001,1,FALSE)</f>
        <v>9565</v>
      </c>
      <c r="Q1643" s="18" t="str">
        <f t="shared" si="2"/>
        <v>XTKR1</v>
      </c>
    </row>
    <row r="1644" ht="15.75" customHeight="1">
      <c r="A1644" s="31">
        <v>9574.0</v>
      </c>
      <c r="B1644" s="22" t="s">
        <v>2567</v>
      </c>
      <c r="C1644" s="24" t="s">
        <v>8854</v>
      </c>
      <c r="D1644" s="33" t="s">
        <v>2567</v>
      </c>
      <c r="E1644" s="22" t="s">
        <v>2566</v>
      </c>
      <c r="F1644" s="19" t="str">
        <f t="shared" si="1"/>
        <v>XTKR1</v>
      </c>
      <c r="G1644" s="19" t="s">
        <v>5408</v>
      </c>
      <c r="H1644" s="20" t="s">
        <v>1212</v>
      </c>
      <c r="I1644" s="19" t="s">
        <v>5409</v>
      </c>
      <c r="J1644" s="19" t="s">
        <v>5410</v>
      </c>
      <c r="K1644" s="25" t="s">
        <v>7500</v>
      </c>
      <c r="L1644" s="20" t="s">
        <v>8834</v>
      </c>
      <c r="M1644" s="23" t="s">
        <v>2565</v>
      </c>
      <c r="N1644" s="18"/>
      <c r="O1644" s="18"/>
      <c r="P1644" s="18">
        <f>VLOOKUP($A1644,MasterData!$C$1:$I$3001,1,FALSE)</f>
        <v>9574</v>
      </c>
      <c r="Q1644" s="18" t="str">
        <f t="shared" si="2"/>
        <v>XTKR1</v>
      </c>
    </row>
    <row r="1645" ht="15.75" customHeight="1">
      <c r="A1645" s="31">
        <v>9583.0</v>
      </c>
      <c r="B1645" s="22" t="s">
        <v>2570</v>
      </c>
      <c r="C1645" s="24" t="s">
        <v>8855</v>
      </c>
      <c r="D1645" s="33" t="s">
        <v>2570</v>
      </c>
      <c r="E1645" s="22" t="s">
        <v>2569</v>
      </c>
      <c r="F1645" s="19" t="str">
        <f t="shared" si="1"/>
        <v>XTKR1</v>
      </c>
      <c r="G1645" s="19" t="s">
        <v>5408</v>
      </c>
      <c r="H1645" s="20" t="s">
        <v>1212</v>
      </c>
      <c r="I1645" s="19" t="s">
        <v>5409</v>
      </c>
      <c r="J1645" s="19" t="s">
        <v>5410</v>
      </c>
      <c r="K1645" s="25" t="s">
        <v>7500</v>
      </c>
      <c r="L1645" s="20" t="s">
        <v>8834</v>
      </c>
      <c r="M1645" s="23" t="s">
        <v>2568</v>
      </c>
      <c r="N1645" s="18"/>
      <c r="O1645" s="18"/>
      <c r="P1645" s="18">
        <f>VLOOKUP($A1645,MasterData!$C$1:$I$3001,1,FALSE)</f>
        <v>9583</v>
      </c>
      <c r="Q1645" s="18" t="str">
        <f t="shared" si="2"/>
        <v>XTKR1</v>
      </c>
    </row>
    <row r="1646" ht="15.75" customHeight="1">
      <c r="A1646" s="31">
        <v>9589.0</v>
      </c>
      <c r="B1646" s="22" t="s">
        <v>2573</v>
      </c>
      <c r="C1646" s="24" t="s">
        <v>8856</v>
      </c>
      <c r="D1646" s="33" t="s">
        <v>2573</v>
      </c>
      <c r="E1646" s="22" t="s">
        <v>2572</v>
      </c>
      <c r="F1646" s="19" t="str">
        <f t="shared" si="1"/>
        <v>XTKR1</v>
      </c>
      <c r="G1646" s="19" t="s">
        <v>5408</v>
      </c>
      <c r="H1646" s="20" t="s">
        <v>1212</v>
      </c>
      <c r="I1646" s="19" t="s">
        <v>5409</v>
      </c>
      <c r="J1646" s="19" t="s">
        <v>5410</v>
      </c>
      <c r="K1646" s="25" t="s">
        <v>7500</v>
      </c>
      <c r="L1646" s="20" t="s">
        <v>8834</v>
      </c>
      <c r="M1646" s="23" t="s">
        <v>2571</v>
      </c>
      <c r="N1646" s="18"/>
      <c r="O1646" s="18"/>
      <c r="P1646" s="18">
        <f>VLOOKUP($A1646,MasterData!$C$1:$I$3001,1,FALSE)</f>
        <v>9589</v>
      </c>
      <c r="Q1646" s="18" t="str">
        <f t="shared" si="2"/>
        <v>XTKR1</v>
      </c>
    </row>
    <row r="1647" ht="15.75" customHeight="1">
      <c r="A1647" s="31">
        <v>9603.0</v>
      </c>
      <c r="B1647" s="22" t="s">
        <v>2576</v>
      </c>
      <c r="C1647" s="24" t="s">
        <v>8857</v>
      </c>
      <c r="D1647" s="33" t="s">
        <v>2576</v>
      </c>
      <c r="E1647" s="22" t="s">
        <v>2575</v>
      </c>
      <c r="F1647" s="19" t="str">
        <f t="shared" si="1"/>
        <v>XTKR1</v>
      </c>
      <c r="G1647" s="19" t="s">
        <v>5408</v>
      </c>
      <c r="H1647" s="20" t="s">
        <v>1212</v>
      </c>
      <c r="I1647" s="19" t="s">
        <v>5409</v>
      </c>
      <c r="J1647" s="19" t="s">
        <v>5410</v>
      </c>
      <c r="K1647" s="25" t="s">
        <v>7500</v>
      </c>
      <c r="L1647" s="20" t="s">
        <v>8834</v>
      </c>
      <c r="M1647" s="23" t="s">
        <v>2574</v>
      </c>
      <c r="N1647" s="18"/>
      <c r="O1647" s="18"/>
      <c r="P1647" s="18">
        <f>VLOOKUP($A1647,MasterData!$C$1:$I$3001,1,FALSE)</f>
        <v>9603</v>
      </c>
      <c r="Q1647" s="18" t="str">
        <f t="shared" si="2"/>
        <v>XTKR1</v>
      </c>
    </row>
    <row r="1648" ht="15.75" customHeight="1">
      <c r="A1648" s="31">
        <v>9621.0</v>
      </c>
      <c r="B1648" s="22" t="s">
        <v>2579</v>
      </c>
      <c r="C1648" s="24" t="s">
        <v>8858</v>
      </c>
      <c r="D1648" s="33" t="s">
        <v>2579</v>
      </c>
      <c r="E1648" s="22" t="s">
        <v>2578</v>
      </c>
      <c r="F1648" s="19" t="str">
        <f t="shared" si="1"/>
        <v>XTKR1</v>
      </c>
      <c r="G1648" s="19" t="s">
        <v>5408</v>
      </c>
      <c r="H1648" s="20" t="s">
        <v>1212</v>
      </c>
      <c r="I1648" s="19" t="s">
        <v>5409</v>
      </c>
      <c r="J1648" s="19" t="s">
        <v>5410</v>
      </c>
      <c r="K1648" s="25" t="s">
        <v>7500</v>
      </c>
      <c r="L1648" s="20" t="s">
        <v>8834</v>
      </c>
      <c r="M1648" s="23" t="s">
        <v>2577</v>
      </c>
      <c r="N1648" s="18"/>
      <c r="O1648" s="18"/>
      <c r="P1648" s="18">
        <f>VLOOKUP($A1648,MasterData!$C$1:$I$3001,1,FALSE)</f>
        <v>9621</v>
      </c>
      <c r="Q1648" s="18" t="str">
        <f t="shared" si="2"/>
        <v>XTKR1</v>
      </c>
    </row>
    <row r="1649" ht="15.75" customHeight="1">
      <c r="A1649" s="31">
        <v>9630.0</v>
      </c>
      <c r="B1649" s="22" t="s">
        <v>2582</v>
      </c>
      <c r="C1649" s="24" t="s">
        <v>8859</v>
      </c>
      <c r="D1649" s="33" t="s">
        <v>2582</v>
      </c>
      <c r="E1649" s="22" t="s">
        <v>2581</v>
      </c>
      <c r="F1649" s="19" t="str">
        <f t="shared" si="1"/>
        <v>XTKR1</v>
      </c>
      <c r="G1649" s="19" t="s">
        <v>5408</v>
      </c>
      <c r="H1649" s="20" t="s">
        <v>1212</v>
      </c>
      <c r="I1649" s="19" t="s">
        <v>5409</v>
      </c>
      <c r="J1649" s="19" t="s">
        <v>5410</v>
      </c>
      <c r="K1649" s="25" t="s">
        <v>7500</v>
      </c>
      <c r="L1649" s="20" t="s">
        <v>8834</v>
      </c>
      <c r="M1649" s="23" t="s">
        <v>2580</v>
      </c>
      <c r="N1649" s="18"/>
      <c r="O1649" s="18"/>
      <c r="P1649" s="18">
        <f>VLOOKUP($A1649,MasterData!$C$1:$I$3001,1,FALSE)</f>
        <v>9630</v>
      </c>
      <c r="Q1649" s="18" t="str">
        <f t="shared" si="2"/>
        <v>XTKR1</v>
      </c>
    </row>
    <row r="1650" ht="15.75" customHeight="1">
      <c r="A1650" s="31">
        <v>9636.0</v>
      </c>
      <c r="B1650" s="22" t="s">
        <v>2585</v>
      </c>
      <c r="C1650" s="24" t="s">
        <v>8860</v>
      </c>
      <c r="D1650" s="33" t="s">
        <v>2585</v>
      </c>
      <c r="E1650" s="22" t="s">
        <v>2584</v>
      </c>
      <c r="F1650" s="19" t="str">
        <f t="shared" si="1"/>
        <v>XTKR1</v>
      </c>
      <c r="G1650" s="19" t="s">
        <v>5408</v>
      </c>
      <c r="H1650" s="20" t="s">
        <v>1212</v>
      </c>
      <c r="I1650" s="19" t="s">
        <v>5409</v>
      </c>
      <c r="J1650" s="19" t="s">
        <v>5410</v>
      </c>
      <c r="K1650" s="25" t="s">
        <v>7500</v>
      </c>
      <c r="L1650" s="20" t="s">
        <v>8834</v>
      </c>
      <c r="M1650" s="23" t="s">
        <v>2583</v>
      </c>
      <c r="N1650" s="18"/>
      <c r="O1650" s="18"/>
      <c r="P1650" s="18">
        <f>VLOOKUP($A1650,MasterData!$C$1:$I$3001,1,FALSE)</f>
        <v>9636</v>
      </c>
      <c r="Q1650" s="18" t="str">
        <f t="shared" si="2"/>
        <v>XTKR1</v>
      </c>
    </row>
    <row r="1651" ht="15.75" customHeight="1">
      <c r="A1651" s="31">
        <v>9642.0</v>
      </c>
      <c r="B1651" s="22" t="s">
        <v>2588</v>
      </c>
      <c r="C1651" s="24" t="s">
        <v>8861</v>
      </c>
      <c r="D1651" s="33" t="s">
        <v>2588</v>
      </c>
      <c r="E1651" s="22" t="s">
        <v>2587</v>
      </c>
      <c r="F1651" s="19" t="str">
        <f t="shared" si="1"/>
        <v>XTKR1</v>
      </c>
      <c r="G1651" s="19" t="s">
        <v>5408</v>
      </c>
      <c r="H1651" s="20" t="s">
        <v>1212</v>
      </c>
      <c r="I1651" s="19" t="s">
        <v>5409</v>
      </c>
      <c r="J1651" s="19" t="s">
        <v>5410</v>
      </c>
      <c r="K1651" s="25" t="s">
        <v>7500</v>
      </c>
      <c r="L1651" s="20" t="s">
        <v>8834</v>
      </c>
      <c r="M1651" s="23" t="s">
        <v>2586</v>
      </c>
      <c r="N1651" s="18"/>
      <c r="O1651" s="18"/>
      <c r="P1651" s="18">
        <f>VLOOKUP($A1651,MasterData!$C$1:$I$3001,1,FALSE)</f>
        <v>9642</v>
      </c>
      <c r="Q1651" s="18" t="str">
        <f t="shared" si="2"/>
        <v>XTKR1</v>
      </c>
    </row>
    <row r="1652" ht="15.75" customHeight="1">
      <c r="A1652" s="31">
        <v>9660.0</v>
      </c>
      <c r="B1652" s="22" t="s">
        <v>2591</v>
      </c>
      <c r="C1652" s="24" t="s">
        <v>8862</v>
      </c>
      <c r="D1652" s="33" t="s">
        <v>2591</v>
      </c>
      <c r="E1652" s="22" t="s">
        <v>2590</v>
      </c>
      <c r="F1652" s="19" t="str">
        <f t="shared" si="1"/>
        <v>XTKR1</v>
      </c>
      <c r="G1652" s="19" t="s">
        <v>5408</v>
      </c>
      <c r="H1652" s="20" t="s">
        <v>1212</v>
      </c>
      <c r="I1652" s="19" t="s">
        <v>5409</v>
      </c>
      <c r="J1652" s="19" t="s">
        <v>5410</v>
      </c>
      <c r="K1652" s="25" t="s">
        <v>7500</v>
      </c>
      <c r="L1652" s="20" t="s">
        <v>8834</v>
      </c>
      <c r="M1652" s="23" t="s">
        <v>2589</v>
      </c>
      <c r="N1652" s="18"/>
      <c r="O1652" s="18"/>
      <c r="P1652" s="18">
        <f>VLOOKUP($A1652,MasterData!$C$1:$I$3001,1,FALSE)</f>
        <v>9660</v>
      </c>
      <c r="Q1652" s="18" t="str">
        <f t="shared" si="2"/>
        <v>XTKR1</v>
      </c>
    </row>
    <row r="1653" ht="15.75" customHeight="1">
      <c r="A1653" s="31">
        <v>9704.0</v>
      </c>
      <c r="B1653" s="22" t="s">
        <v>2594</v>
      </c>
      <c r="C1653" s="24" t="s">
        <v>8863</v>
      </c>
      <c r="D1653" s="33" t="s">
        <v>2594</v>
      </c>
      <c r="E1653" s="22" t="s">
        <v>2593</v>
      </c>
      <c r="F1653" s="19" t="str">
        <f t="shared" si="1"/>
        <v>XTKR1</v>
      </c>
      <c r="G1653" s="19" t="s">
        <v>5408</v>
      </c>
      <c r="H1653" s="20" t="s">
        <v>1212</v>
      </c>
      <c r="I1653" s="19" t="s">
        <v>5409</v>
      </c>
      <c r="J1653" s="19" t="s">
        <v>5410</v>
      </c>
      <c r="K1653" s="25" t="s">
        <v>7500</v>
      </c>
      <c r="L1653" s="20" t="s">
        <v>8834</v>
      </c>
      <c r="M1653" s="23" t="s">
        <v>2592</v>
      </c>
      <c r="N1653" s="18"/>
      <c r="O1653" s="18"/>
      <c r="P1653" s="18">
        <f>VLOOKUP($A1653,MasterData!$C$1:$I$3001,1,FALSE)</f>
        <v>9704</v>
      </c>
      <c r="Q1653" s="18" t="str">
        <f t="shared" si="2"/>
        <v>XTKR1</v>
      </c>
    </row>
    <row r="1654" ht="15.75" customHeight="1">
      <c r="A1654" s="31">
        <v>9716.0</v>
      </c>
      <c r="B1654" s="22" t="s">
        <v>2597</v>
      </c>
      <c r="C1654" s="24" t="s">
        <v>8864</v>
      </c>
      <c r="D1654" s="33" t="s">
        <v>2597</v>
      </c>
      <c r="E1654" s="22" t="s">
        <v>2596</v>
      </c>
      <c r="F1654" s="19" t="str">
        <f t="shared" si="1"/>
        <v>XTKR1</v>
      </c>
      <c r="G1654" s="19" t="s">
        <v>5408</v>
      </c>
      <c r="H1654" s="20" t="s">
        <v>1212</v>
      </c>
      <c r="I1654" s="19" t="s">
        <v>5409</v>
      </c>
      <c r="J1654" s="19" t="s">
        <v>5410</v>
      </c>
      <c r="K1654" s="25" t="s">
        <v>7500</v>
      </c>
      <c r="L1654" s="20" t="s">
        <v>8834</v>
      </c>
      <c r="M1654" s="23" t="s">
        <v>2595</v>
      </c>
      <c r="N1654" s="18"/>
      <c r="O1654" s="18"/>
      <c r="P1654" s="18">
        <f>VLOOKUP($A1654,MasterData!$C$1:$I$3001,1,FALSE)</f>
        <v>9716</v>
      </c>
      <c r="Q1654" s="18" t="str">
        <f t="shared" si="2"/>
        <v>XTKR1</v>
      </c>
    </row>
    <row r="1655" ht="15.75" customHeight="1">
      <c r="A1655" s="31">
        <v>9740.0</v>
      </c>
      <c r="B1655" s="22" t="s">
        <v>2600</v>
      </c>
      <c r="C1655" s="24" t="s">
        <v>8865</v>
      </c>
      <c r="D1655" s="33" t="s">
        <v>2600</v>
      </c>
      <c r="E1655" s="22" t="s">
        <v>2599</v>
      </c>
      <c r="F1655" s="19" t="str">
        <f t="shared" si="1"/>
        <v>XTKR1</v>
      </c>
      <c r="G1655" s="19" t="s">
        <v>5408</v>
      </c>
      <c r="H1655" s="20" t="s">
        <v>1212</v>
      </c>
      <c r="I1655" s="19" t="s">
        <v>5409</v>
      </c>
      <c r="J1655" s="19" t="s">
        <v>5410</v>
      </c>
      <c r="K1655" s="25" t="s">
        <v>7500</v>
      </c>
      <c r="L1655" s="20" t="s">
        <v>8834</v>
      </c>
      <c r="M1655" s="23" t="s">
        <v>2598</v>
      </c>
      <c r="N1655" s="18"/>
      <c r="O1655" s="18"/>
      <c r="P1655" s="18">
        <f>VLOOKUP($A1655,MasterData!$C$1:$I$3001,1,FALSE)</f>
        <v>9740</v>
      </c>
      <c r="Q1655" s="18" t="str">
        <f t="shared" si="2"/>
        <v>XTKR1</v>
      </c>
    </row>
    <row r="1656" ht="15.75" customHeight="1">
      <c r="A1656" s="31">
        <v>9752.0</v>
      </c>
      <c r="B1656" s="22" t="s">
        <v>2603</v>
      </c>
      <c r="C1656" s="24" t="s">
        <v>8866</v>
      </c>
      <c r="D1656" s="33" t="s">
        <v>2603</v>
      </c>
      <c r="E1656" s="22" t="s">
        <v>2602</v>
      </c>
      <c r="F1656" s="19" t="str">
        <f t="shared" si="1"/>
        <v>XTKR1</v>
      </c>
      <c r="G1656" s="19" t="s">
        <v>5408</v>
      </c>
      <c r="H1656" s="20" t="s">
        <v>1212</v>
      </c>
      <c r="I1656" s="19" t="s">
        <v>5409</v>
      </c>
      <c r="J1656" s="19" t="s">
        <v>5410</v>
      </c>
      <c r="K1656" s="25" t="s">
        <v>7500</v>
      </c>
      <c r="L1656" s="20" t="s">
        <v>8834</v>
      </c>
      <c r="M1656" s="23" t="s">
        <v>2601</v>
      </c>
      <c r="N1656" s="18"/>
      <c r="O1656" s="18"/>
      <c r="P1656" s="18">
        <f>VLOOKUP($A1656,MasterData!$C$1:$I$3001,1,FALSE)</f>
        <v>9752</v>
      </c>
      <c r="Q1656" s="18" t="str">
        <f t="shared" si="2"/>
        <v>XTKR1</v>
      </c>
    </row>
    <row r="1657" ht="15.75" customHeight="1">
      <c r="A1657" s="31">
        <v>9772.0</v>
      </c>
      <c r="B1657" s="22" t="s">
        <v>2606</v>
      </c>
      <c r="C1657" s="24" t="s">
        <v>8867</v>
      </c>
      <c r="D1657" s="33" t="s">
        <v>2606</v>
      </c>
      <c r="E1657" s="22" t="s">
        <v>2605</v>
      </c>
      <c r="F1657" s="19" t="str">
        <f t="shared" si="1"/>
        <v>XTKR1</v>
      </c>
      <c r="G1657" s="19" t="s">
        <v>5408</v>
      </c>
      <c r="H1657" s="20" t="s">
        <v>1212</v>
      </c>
      <c r="I1657" s="19" t="s">
        <v>5409</v>
      </c>
      <c r="J1657" s="19" t="s">
        <v>5410</v>
      </c>
      <c r="K1657" s="25" t="s">
        <v>7500</v>
      </c>
      <c r="L1657" s="20" t="s">
        <v>8834</v>
      </c>
      <c r="M1657" s="23" t="s">
        <v>2604</v>
      </c>
      <c r="N1657" s="18"/>
      <c r="O1657" s="18"/>
      <c r="P1657" s="18">
        <f>VLOOKUP($A1657,MasterData!$C$1:$I$3001,1,FALSE)</f>
        <v>9772</v>
      </c>
      <c r="Q1657" s="18" t="str">
        <f t="shared" si="2"/>
        <v>XTKR1</v>
      </c>
    </row>
    <row r="1658" ht="15.75" customHeight="1">
      <c r="A1658" s="31">
        <v>9817.0</v>
      </c>
      <c r="B1658" s="22" t="s">
        <v>2609</v>
      </c>
      <c r="C1658" s="24" t="s">
        <v>8868</v>
      </c>
      <c r="D1658" s="33" t="s">
        <v>2609</v>
      </c>
      <c r="E1658" s="22" t="s">
        <v>2608</v>
      </c>
      <c r="F1658" s="19" t="str">
        <f t="shared" si="1"/>
        <v>XTKR1</v>
      </c>
      <c r="G1658" s="19" t="s">
        <v>5408</v>
      </c>
      <c r="H1658" s="20" t="s">
        <v>1212</v>
      </c>
      <c r="I1658" s="19" t="s">
        <v>5409</v>
      </c>
      <c r="J1658" s="19" t="s">
        <v>5410</v>
      </c>
      <c r="K1658" s="25" t="s">
        <v>7500</v>
      </c>
      <c r="L1658" s="20" t="s">
        <v>8834</v>
      </c>
      <c r="M1658" s="23" t="s">
        <v>2607</v>
      </c>
      <c r="N1658" s="18"/>
      <c r="O1658" s="18"/>
      <c r="P1658" s="18">
        <f>VLOOKUP($A1658,MasterData!$C$1:$I$3001,1,FALSE)</f>
        <v>9817</v>
      </c>
      <c r="Q1658" s="18" t="str">
        <f t="shared" si="2"/>
        <v>XTKR1</v>
      </c>
    </row>
    <row r="1659" ht="15.75" customHeight="1">
      <c r="A1659" s="31">
        <v>9852.0</v>
      </c>
      <c r="B1659" s="22" t="s">
        <v>2611</v>
      </c>
      <c r="C1659" s="24" t="s">
        <v>8869</v>
      </c>
      <c r="D1659" s="33" t="s">
        <v>2611</v>
      </c>
      <c r="E1659" s="22" t="s">
        <v>2610</v>
      </c>
      <c r="F1659" s="19" t="str">
        <f t="shared" si="1"/>
        <v>XTKR1</v>
      </c>
      <c r="G1659" s="19" t="s">
        <v>5408</v>
      </c>
      <c r="H1659" s="20" t="s">
        <v>1212</v>
      </c>
      <c r="I1659" s="19" t="s">
        <v>5409</v>
      </c>
      <c r="J1659" s="19" t="s">
        <v>5410</v>
      </c>
      <c r="K1659" s="25" t="s">
        <v>7500</v>
      </c>
      <c r="L1659" s="20" t="s">
        <v>8834</v>
      </c>
      <c r="M1659" s="16"/>
      <c r="N1659" s="18"/>
      <c r="O1659" s="18"/>
      <c r="P1659" s="18">
        <f>VLOOKUP($A1659,MasterData!$C$1:$I$3001,1,FALSE)</f>
        <v>9852</v>
      </c>
      <c r="Q1659" s="18" t="str">
        <f t="shared" si="2"/>
        <v>XTKR1</v>
      </c>
    </row>
    <row r="1660" ht="15.75" customHeight="1">
      <c r="A1660" s="31">
        <v>9255.0</v>
      </c>
      <c r="B1660" s="22" t="s">
        <v>2614</v>
      </c>
      <c r="C1660" s="24" t="s">
        <v>8870</v>
      </c>
      <c r="D1660" s="33" t="s">
        <v>2614</v>
      </c>
      <c r="E1660" s="22" t="s">
        <v>2613</v>
      </c>
      <c r="F1660" s="19" t="str">
        <f t="shared" si="1"/>
        <v>XTKR2</v>
      </c>
      <c r="G1660" s="19" t="s">
        <v>5408</v>
      </c>
      <c r="H1660" s="20" t="s">
        <v>1212</v>
      </c>
      <c r="I1660" s="19" t="s">
        <v>5409</v>
      </c>
      <c r="J1660" s="19" t="s">
        <v>5410</v>
      </c>
      <c r="K1660" s="25" t="s">
        <v>7500</v>
      </c>
      <c r="L1660" s="20" t="s">
        <v>8871</v>
      </c>
      <c r="M1660" s="23" t="s">
        <v>2612</v>
      </c>
      <c r="N1660" s="18"/>
      <c r="O1660" s="18"/>
      <c r="P1660" s="18">
        <f>VLOOKUP($A1660,MasterData!$C$1:$I$3001,1,FALSE)</f>
        <v>9255</v>
      </c>
      <c r="Q1660" s="18" t="str">
        <f t="shared" si="2"/>
        <v>XTKR2</v>
      </c>
    </row>
    <row r="1661" ht="15.75" customHeight="1">
      <c r="A1661" s="31">
        <v>9260.0</v>
      </c>
      <c r="B1661" s="22" t="s">
        <v>2617</v>
      </c>
      <c r="C1661" s="24" t="s">
        <v>8872</v>
      </c>
      <c r="D1661" s="33" t="s">
        <v>2617</v>
      </c>
      <c r="E1661" s="22" t="s">
        <v>2616</v>
      </c>
      <c r="F1661" s="19" t="str">
        <f t="shared" si="1"/>
        <v>XTKR2</v>
      </c>
      <c r="G1661" s="19" t="s">
        <v>5408</v>
      </c>
      <c r="H1661" s="20" t="s">
        <v>1212</v>
      </c>
      <c r="I1661" s="19" t="s">
        <v>5409</v>
      </c>
      <c r="J1661" s="19" t="s">
        <v>5410</v>
      </c>
      <c r="K1661" s="25" t="s">
        <v>7500</v>
      </c>
      <c r="L1661" s="20" t="s">
        <v>8871</v>
      </c>
      <c r="M1661" s="23" t="s">
        <v>2615</v>
      </c>
      <c r="N1661" s="18"/>
      <c r="O1661" s="18"/>
      <c r="P1661" s="18">
        <f>VLOOKUP($A1661,MasterData!$C$1:$I$3001,1,FALSE)</f>
        <v>9260</v>
      </c>
      <c r="Q1661" s="18" t="str">
        <f t="shared" si="2"/>
        <v>XTKR2</v>
      </c>
    </row>
    <row r="1662" ht="15.75" customHeight="1">
      <c r="A1662" s="31">
        <v>9284.0</v>
      </c>
      <c r="B1662" s="22" t="s">
        <v>2620</v>
      </c>
      <c r="C1662" s="24" t="s">
        <v>8873</v>
      </c>
      <c r="D1662" s="33" t="s">
        <v>2620</v>
      </c>
      <c r="E1662" s="22" t="s">
        <v>2619</v>
      </c>
      <c r="F1662" s="19" t="str">
        <f t="shared" si="1"/>
        <v>XTKR2</v>
      </c>
      <c r="G1662" s="19" t="s">
        <v>5408</v>
      </c>
      <c r="H1662" s="20" t="s">
        <v>1212</v>
      </c>
      <c r="I1662" s="19" t="s">
        <v>5409</v>
      </c>
      <c r="J1662" s="19" t="s">
        <v>5410</v>
      </c>
      <c r="K1662" s="25" t="s">
        <v>7500</v>
      </c>
      <c r="L1662" s="20" t="s">
        <v>8871</v>
      </c>
      <c r="M1662" s="23" t="s">
        <v>2618</v>
      </c>
      <c r="N1662" s="18"/>
      <c r="O1662" s="18"/>
      <c r="P1662" s="18">
        <f>VLOOKUP($A1662,MasterData!$C$1:$I$3001,1,FALSE)</f>
        <v>9284</v>
      </c>
      <c r="Q1662" s="18" t="str">
        <f t="shared" si="2"/>
        <v>XTKR2</v>
      </c>
    </row>
    <row r="1663" ht="15.75" customHeight="1">
      <c r="A1663" s="31">
        <v>9296.0</v>
      </c>
      <c r="B1663" s="22" t="s">
        <v>2623</v>
      </c>
      <c r="C1663" s="24" t="s">
        <v>8874</v>
      </c>
      <c r="D1663" s="33" t="s">
        <v>2623</v>
      </c>
      <c r="E1663" s="22" t="s">
        <v>2622</v>
      </c>
      <c r="F1663" s="19" t="str">
        <f t="shared" si="1"/>
        <v>XTKR2</v>
      </c>
      <c r="G1663" s="19" t="s">
        <v>5408</v>
      </c>
      <c r="H1663" s="20" t="s">
        <v>1212</v>
      </c>
      <c r="I1663" s="19" t="s">
        <v>5409</v>
      </c>
      <c r="J1663" s="19" t="s">
        <v>5410</v>
      </c>
      <c r="K1663" s="25" t="s">
        <v>7500</v>
      </c>
      <c r="L1663" s="20" t="s">
        <v>8871</v>
      </c>
      <c r="M1663" s="23" t="s">
        <v>2621</v>
      </c>
      <c r="N1663" s="18"/>
      <c r="O1663" s="18"/>
      <c r="P1663" s="18">
        <f>VLOOKUP($A1663,MasterData!$C$1:$I$3001,1,FALSE)</f>
        <v>9296</v>
      </c>
      <c r="Q1663" s="18" t="str">
        <f t="shared" si="2"/>
        <v>XTKR2</v>
      </c>
    </row>
    <row r="1664" ht="15.75" customHeight="1">
      <c r="A1664" s="31">
        <v>9307.0</v>
      </c>
      <c r="B1664" s="22" t="s">
        <v>2626</v>
      </c>
      <c r="C1664" s="24" t="s">
        <v>8875</v>
      </c>
      <c r="D1664" s="33" t="s">
        <v>2626</v>
      </c>
      <c r="E1664" s="22" t="s">
        <v>2625</v>
      </c>
      <c r="F1664" s="19" t="str">
        <f t="shared" si="1"/>
        <v>XTKR2</v>
      </c>
      <c r="G1664" s="19" t="s">
        <v>5408</v>
      </c>
      <c r="H1664" s="20" t="s">
        <v>1212</v>
      </c>
      <c r="I1664" s="19" t="s">
        <v>5409</v>
      </c>
      <c r="J1664" s="19" t="s">
        <v>5410</v>
      </c>
      <c r="K1664" s="25" t="s">
        <v>7500</v>
      </c>
      <c r="L1664" s="20" t="s">
        <v>8871</v>
      </c>
      <c r="M1664" s="23" t="s">
        <v>2624</v>
      </c>
      <c r="N1664" s="18"/>
      <c r="O1664" s="18"/>
      <c r="P1664" s="18">
        <f>VLOOKUP($A1664,MasterData!$C$1:$I$3001,1,FALSE)</f>
        <v>9307</v>
      </c>
      <c r="Q1664" s="18" t="str">
        <f t="shared" si="2"/>
        <v>XTKR2</v>
      </c>
    </row>
    <row r="1665" ht="15.75" customHeight="1">
      <c r="A1665" s="31">
        <v>9319.0</v>
      </c>
      <c r="B1665" s="22" t="s">
        <v>2629</v>
      </c>
      <c r="C1665" s="24" t="s">
        <v>8876</v>
      </c>
      <c r="D1665" s="33" t="s">
        <v>2629</v>
      </c>
      <c r="E1665" s="22" t="s">
        <v>2628</v>
      </c>
      <c r="F1665" s="19" t="str">
        <f t="shared" si="1"/>
        <v>XTKR2</v>
      </c>
      <c r="G1665" s="19" t="s">
        <v>5408</v>
      </c>
      <c r="H1665" s="20" t="s">
        <v>1212</v>
      </c>
      <c r="I1665" s="19" t="s">
        <v>5409</v>
      </c>
      <c r="J1665" s="19" t="s">
        <v>5410</v>
      </c>
      <c r="K1665" s="25" t="s">
        <v>7500</v>
      </c>
      <c r="L1665" s="20" t="s">
        <v>8871</v>
      </c>
      <c r="M1665" s="23" t="s">
        <v>2627</v>
      </c>
      <c r="N1665" s="18"/>
      <c r="O1665" s="18"/>
      <c r="P1665" s="18">
        <f>VLOOKUP($A1665,MasterData!$C$1:$I$3001,1,FALSE)</f>
        <v>9319</v>
      </c>
      <c r="Q1665" s="18" t="str">
        <f t="shared" si="2"/>
        <v>XTKR2</v>
      </c>
    </row>
    <row r="1666" ht="15.75" customHeight="1">
      <c r="A1666" s="15">
        <v>8720.0</v>
      </c>
      <c r="B1666" s="16" t="s">
        <v>2632</v>
      </c>
      <c r="C1666" s="17" t="s">
        <v>8877</v>
      </c>
      <c r="D1666" s="16" t="s">
        <v>2632</v>
      </c>
      <c r="E1666" s="18" t="s">
        <v>2631</v>
      </c>
      <c r="F1666" s="19" t="str">
        <f t="shared" si="1"/>
        <v>XTKR2</v>
      </c>
      <c r="G1666" s="19" t="s">
        <v>5408</v>
      </c>
      <c r="H1666" s="20" t="s">
        <v>1212</v>
      </c>
      <c r="I1666" s="19" t="s">
        <v>5409</v>
      </c>
      <c r="J1666" s="19" t="s">
        <v>5410</v>
      </c>
      <c r="K1666" s="21" t="s">
        <v>5411</v>
      </c>
      <c r="L1666" s="20" t="s">
        <v>8871</v>
      </c>
      <c r="M1666" s="16" t="s">
        <v>2630</v>
      </c>
      <c r="N1666" s="18"/>
      <c r="O1666" s="18"/>
      <c r="P1666" s="18">
        <f>VLOOKUP($A1666,MasterData!$C$1:$I$3001,1,FALSE)</f>
        <v>8720</v>
      </c>
      <c r="Q1666" s="18" t="str">
        <f t="shared" si="2"/>
        <v>XTKR2</v>
      </c>
    </row>
    <row r="1667" ht="15.75" customHeight="1">
      <c r="A1667" s="31">
        <v>9350.0</v>
      </c>
      <c r="B1667" s="22" t="s">
        <v>2635</v>
      </c>
      <c r="C1667" s="24" t="s">
        <v>8878</v>
      </c>
      <c r="D1667" s="33" t="s">
        <v>2635</v>
      </c>
      <c r="E1667" s="22" t="s">
        <v>2634</v>
      </c>
      <c r="F1667" s="19" t="str">
        <f t="shared" si="1"/>
        <v>XTKR2</v>
      </c>
      <c r="G1667" s="19" t="s">
        <v>5408</v>
      </c>
      <c r="H1667" s="20" t="s">
        <v>1212</v>
      </c>
      <c r="I1667" s="19" t="s">
        <v>5409</v>
      </c>
      <c r="J1667" s="19" t="s">
        <v>5410</v>
      </c>
      <c r="K1667" s="25" t="s">
        <v>7500</v>
      </c>
      <c r="L1667" s="20" t="s">
        <v>8871</v>
      </c>
      <c r="M1667" s="23" t="s">
        <v>2633</v>
      </c>
      <c r="N1667" s="18"/>
      <c r="O1667" s="18"/>
      <c r="P1667" s="18">
        <f>VLOOKUP($A1667,MasterData!$C$1:$I$3001,1,FALSE)</f>
        <v>9350</v>
      </c>
      <c r="Q1667" s="18" t="str">
        <f t="shared" si="2"/>
        <v>XTKR2</v>
      </c>
    </row>
    <row r="1668" ht="15.75" customHeight="1">
      <c r="A1668" s="15">
        <v>8752.0</v>
      </c>
      <c r="B1668" s="16" t="s">
        <v>2638</v>
      </c>
      <c r="C1668" s="17" t="s">
        <v>8879</v>
      </c>
      <c r="D1668" s="16" t="s">
        <v>2638</v>
      </c>
      <c r="E1668" s="18" t="s">
        <v>2637</v>
      </c>
      <c r="F1668" s="19" t="str">
        <f t="shared" si="1"/>
        <v>XTKR2</v>
      </c>
      <c r="G1668" s="19" t="s">
        <v>5408</v>
      </c>
      <c r="H1668" s="20" t="s">
        <v>1212</v>
      </c>
      <c r="I1668" s="19" t="s">
        <v>5409</v>
      </c>
      <c r="J1668" s="19" t="s">
        <v>5410</v>
      </c>
      <c r="K1668" s="21" t="s">
        <v>5411</v>
      </c>
      <c r="L1668" s="20" t="s">
        <v>8871</v>
      </c>
      <c r="M1668" s="16" t="s">
        <v>2636</v>
      </c>
      <c r="N1668" s="18"/>
      <c r="O1668" s="18"/>
      <c r="P1668" s="18">
        <f>VLOOKUP($A1668,MasterData!$C$1:$I$3001,1,FALSE)</f>
        <v>8752</v>
      </c>
      <c r="Q1668" s="18" t="str">
        <f t="shared" si="2"/>
        <v>XTKR2</v>
      </c>
    </row>
    <row r="1669" ht="15.75" customHeight="1">
      <c r="A1669" s="31">
        <v>9378.0</v>
      </c>
      <c r="B1669" s="22" t="s">
        <v>2641</v>
      </c>
      <c r="C1669" s="24" t="s">
        <v>8880</v>
      </c>
      <c r="D1669" s="33" t="s">
        <v>2641</v>
      </c>
      <c r="E1669" s="22" t="s">
        <v>2640</v>
      </c>
      <c r="F1669" s="19" t="str">
        <f t="shared" si="1"/>
        <v>XTKR2</v>
      </c>
      <c r="G1669" s="19" t="s">
        <v>5408</v>
      </c>
      <c r="H1669" s="20" t="s">
        <v>1212</v>
      </c>
      <c r="I1669" s="19" t="s">
        <v>5409</v>
      </c>
      <c r="J1669" s="19" t="s">
        <v>5410</v>
      </c>
      <c r="K1669" s="25" t="s">
        <v>7500</v>
      </c>
      <c r="L1669" s="20" t="s">
        <v>8871</v>
      </c>
      <c r="M1669" s="23" t="s">
        <v>2639</v>
      </c>
      <c r="N1669" s="18"/>
      <c r="O1669" s="18"/>
      <c r="P1669" s="18">
        <f>VLOOKUP($A1669,MasterData!$C$1:$I$3001,1,FALSE)</f>
        <v>9378</v>
      </c>
      <c r="Q1669" s="18" t="str">
        <f t="shared" si="2"/>
        <v>XTKR2</v>
      </c>
    </row>
    <row r="1670" ht="15.75" customHeight="1">
      <c r="A1670" s="31">
        <v>9383.0</v>
      </c>
      <c r="B1670" s="22" t="s">
        <v>2644</v>
      </c>
      <c r="C1670" s="24" t="s">
        <v>8881</v>
      </c>
      <c r="D1670" s="33" t="s">
        <v>2644</v>
      </c>
      <c r="E1670" s="22" t="s">
        <v>2643</v>
      </c>
      <c r="F1670" s="19" t="str">
        <f t="shared" si="1"/>
        <v>XTKR2</v>
      </c>
      <c r="G1670" s="19" t="s">
        <v>5408</v>
      </c>
      <c r="H1670" s="20" t="s">
        <v>1212</v>
      </c>
      <c r="I1670" s="19" t="s">
        <v>5409</v>
      </c>
      <c r="J1670" s="19" t="s">
        <v>5410</v>
      </c>
      <c r="K1670" s="25" t="s">
        <v>7500</v>
      </c>
      <c r="L1670" s="20" t="s">
        <v>8871</v>
      </c>
      <c r="M1670" s="23" t="s">
        <v>2642</v>
      </c>
      <c r="N1670" s="18"/>
      <c r="O1670" s="18"/>
      <c r="P1670" s="18">
        <f>VLOOKUP($A1670,MasterData!$C$1:$I$3001,1,FALSE)</f>
        <v>9383</v>
      </c>
      <c r="Q1670" s="18" t="str">
        <f t="shared" si="2"/>
        <v>XTKR2</v>
      </c>
    </row>
    <row r="1671" ht="15.75" customHeight="1">
      <c r="A1671" s="31">
        <v>9408.0</v>
      </c>
      <c r="B1671" s="22" t="s">
        <v>2647</v>
      </c>
      <c r="C1671" s="24" t="s">
        <v>8882</v>
      </c>
      <c r="D1671" s="33" t="s">
        <v>2647</v>
      </c>
      <c r="E1671" s="22" t="s">
        <v>2646</v>
      </c>
      <c r="F1671" s="19" t="str">
        <f t="shared" si="1"/>
        <v>XTKR2</v>
      </c>
      <c r="G1671" s="19" t="s">
        <v>5408</v>
      </c>
      <c r="H1671" s="20" t="s">
        <v>1212</v>
      </c>
      <c r="I1671" s="19" t="s">
        <v>5409</v>
      </c>
      <c r="J1671" s="19" t="s">
        <v>5410</v>
      </c>
      <c r="K1671" s="25" t="s">
        <v>7500</v>
      </c>
      <c r="L1671" s="20" t="s">
        <v>8871</v>
      </c>
      <c r="M1671" s="23" t="s">
        <v>2645</v>
      </c>
      <c r="N1671" s="18"/>
      <c r="O1671" s="18"/>
      <c r="P1671" s="18">
        <f>VLOOKUP($A1671,MasterData!$C$1:$I$3001,1,FALSE)</f>
        <v>9408</v>
      </c>
      <c r="Q1671" s="18" t="str">
        <f t="shared" si="2"/>
        <v>XTKR2</v>
      </c>
    </row>
    <row r="1672" ht="15.75" customHeight="1">
      <c r="A1672" s="31">
        <v>9420.0</v>
      </c>
      <c r="B1672" s="22" t="s">
        <v>2650</v>
      </c>
      <c r="C1672" s="24" t="s">
        <v>8883</v>
      </c>
      <c r="D1672" s="33" t="s">
        <v>2650</v>
      </c>
      <c r="E1672" s="22" t="s">
        <v>2649</v>
      </c>
      <c r="F1672" s="19" t="str">
        <f t="shared" si="1"/>
        <v>XTKR2</v>
      </c>
      <c r="G1672" s="19" t="s">
        <v>5408</v>
      </c>
      <c r="H1672" s="20" t="s">
        <v>1212</v>
      </c>
      <c r="I1672" s="19" t="s">
        <v>5409</v>
      </c>
      <c r="J1672" s="19" t="s">
        <v>5410</v>
      </c>
      <c r="K1672" s="25" t="s">
        <v>7500</v>
      </c>
      <c r="L1672" s="20" t="s">
        <v>8871</v>
      </c>
      <c r="M1672" s="23" t="s">
        <v>2648</v>
      </c>
      <c r="N1672" s="18"/>
      <c r="O1672" s="18"/>
      <c r="P1672" s="18">
        <f>VLOOKUP($A1672,MasterData!$C$1:$I$3001,1,FALSE)</f>
        <v>9420</v>
      </c>
      <c r="Q1672" s="18" t="str">
        <f t="shared" si="2"/>
        <v>XTKR2</v>
      </c>
    </row>
    <row r="1673" ht="15.75" customHeight="1">
      <c r="A1673" s="31">
        <v>9444.0</v>
      </c>
      <c r="B1673" s="22" t="s">
        <v>2653</v>
      </c>
      <c r="C1673" s="24" t="s">
        <v>8884</v>
      </c>
      <c r="D1673" s="33" t="s">
        <v>2653</v>
      </c>
      <c r="E1673" s="22" t="s">
        <v>2652</v>
      </c>
      <c r="F1673" s="19" t="str">
        <f t="shared" si="1"/>
        <v>XTKR2</v>
      </c>
      <c r="G1673" s="19" t="s">
        <v>5408</v>
      </c>
      <c r="H1673" s="20" t="s">
        <v>1212</v>
      </c>
      <c r="I1673" s="19" t="s">
        <v>5409</v>
      </c>
      <c r="J1673" s="19" t="s">
        <v>5410</v>
      </c>
      <c r="K1673" s="25" t="s">
        <v>7500</v>
      </c>
      <c r="L1673" s="20" t="s">
        <v>8871</v>
      </c>
      <c r="M1673" s="23" t="s">
        <v>2651</v>
      </c>
      <c r="N1673" s="18"/>
      <c r="O1673" s="18"/>
      <c r="P1673" s="18">
        <f>VLOOKUP($A1673,MasterData!$C$1:$I$3001,1,FALSE)</f>
        <v>9444</v>
      </c>
      <c r="Q1673" s="18" t="str">
        <f t="shared" si="2"/>
        <v>XTKR2</v>
      </c>
    </row>
    <row r="1674" ht="15.75" customHeight="1">
      <c r="A1674" s="31">
        <v>9452.0</v>
      </c>
      <c r="B1674" s="22" t="s">
        <v>2656</v>
      </c>
      <c r="C1674" s="24" t="s">
        <v>8885</v>
      </c>
      <c r="D1674" s="33" t="s">
        <v>2656</v>
      </c>
      <c r="E1674" s="22" t="s">
        <v>2655</v>
      </c>
      <c r="F1674" s="19" t="str">
        <f t="shared" si="1"/>
        <v>XTKR2</v>
      </c>
      <c r="G1674" s="19" t="s">
        <v>5408</v>
      </c>
      <c r="H1674" s="20" t="s">
        <v>1212</v>
      </c>
      <c r="I1674" s="19" t="s">
        <v>5409</v>
      </c>
      <c r="J1674" s="19" t="s">
        <v>5410</v>
      </c>
      <c r="K1674" s="25" t="s">
        <v>7500</v>
      </c>
      <c r="L1674" s="20" t="s">
        <v>8871</v>
      </c>
      <c r="M1674" s="23" t="s">
        <v>2654</v>
      </c>
      <c r="N1674" s="18"/>
      <c r="O1674" s="18"/>
      <c r="P1674" s="18">
        <f>VLOOKUP($A1674,MasterData!$C$1:$I$3001,1,FALSE)</f>
        <v>9452</v>
      </c>
      <c r="Q1674" s="18" t="str">
        <f t="shared" si="2"/>
        <v>XTKR2</v>
      </c>
    </row>
    <row r="1675" ht="15.75" customHeight="1">
      <c r="A1675" s="31">
        <v>9461.0</v>
      </c>
      <c r="B1675" s="22" t="s">
        <v>2659</v>
      </c>
      <c r="C1675" s="24" t="s">
        <v>8886</v>
      </c>
      <c r="D1675" s="33" t="s">
        <v>2659</v>
      </c>
      <c r="E1675" s="22" t="s">
        <v>2658</v>
      </c>
      <c r="F1675" s="19" t="str">
        <f t="shared" si="1"/>
        <v>XTKR2</v>
      </c>
      <c r="G1675" s="19" t="s">
        <v>5408</v>
      </c>
      <c r="H1675" s="20" t="s">
        <v>1212</v>
      </c>
      <c r="I1675" s="19" t="s">
        <v>5409</v>
      </c>
      <c r="J1675" s="19" t="s">
        <v>5410</v>
      </c>
      <c r="K1675" s="25" t="s">
        <v>7500</v>
      </c>
      <c r="L1675" s="20" t="s">
        <v>8871</v>
      </c>
      <c r="M1675" s="23" t="s">
        <v>2657</v>
      </c>
      <c r="N1675" s="18"/>
      <c r="O1675" s="18"/>
      <c r="P1675" s="18">
        <f>VLOOKUP($A1675,MasterData!$C$1:$I$3001,1,FALSE)</f>
        <v>9461</v>
      </c>
      <c r="Q1675" s="18" t="str">
        <f t="shared" si="2"/>
        <v>XTKR2</v>
      </c>
    </row>
    <row r="1676" ht="15.75" customHeight="1">
      <c r="A1676" s="31">
        <v>9469.0</v>
      </c>
      <c r="B1676" s="22" t="s">
        <v>2662</v>
      </c>
      <c r="C1676" s="24" t="s">
        <v>8887</v>
      </c>
      <c r="D1676" s="33" t="s">
        <v>2662</v>
      </c>
      <c r="E1676" s="22" t="s">
        <v>2661</v>
      </c>
      <c r="F1676" s="19" t="str">
        <f t="shared" si="1"/>
        <v>XTKR2</v>
      </c>
      <c r="G1676" s="19" t="s">
        <v>5408</v>
      </c>
      <c r="H1676" s="20" t="s">
        <v>1212</v>
      </c>
      <c r="I1676" s="19" t="s">
        <v>5409</v>
      </c>
      <c r="J1676" s="19" t="s">
        <v>5410</v>
      </c>
      <c r="K1676" s="25" t="s">
        <v>7500</v>
      </c>
      <c r="L1676" s="20" t="s">
        <v>8871</v>
      </c>
      <c r="M1676" s="23" t="s">
        <v>2660</v>
      </c>
      <c r="N1676" s="18"/>
      <c r="O1676" s="18"/>
      <c r="P1676" s="18">
        <f>VLOOKUP($A1676,MasterData!$C$1:$I$3001,1,FALSE)</f>
        <v>9469</v>
      </c>
      <c r="Q1676" s="18" t="str">
        <f t="shared" si="2"/>
        <v>XTKR2</v>
      </c>
    </row>
    <row r="1677" ht="15.75" customHeight="1">
      <c r="A1677" s="31">
        <v>9480.0</v>
      </c>
      <c r="B1677" s="22" t="s">
        <v>2665</v>
      </c>
      <c r="C1677" s="24" t="s">
        <v>8888</v>
      </c>
      <c r="D1677" s="33" t="s">
        <v>2665</v>
      </c>
      <c r="E1677" s="22" t="s">
        <v>2664</v>
      </c>
      <c r="F1677" s="19" t="str">
        <f t="shared" si="1"/>
        <v>XTKR2</v>
      </c>
      <c r="G1677" s="19" t="s">
        <v>5408</v>
      </c>
      <c r="H1677" s="20" t="s">
        <v>1212</v>
      </c>
      <c r="I1677" s="19" t="s">
        <v>5409</v>
      </c>
      <c r="J1677" s="19" t="s">
        <v>5410</v>
      </c>
      <c r="K1677" s="25" t="s">
        <v>7500</v>
      </c>
      <c r="L1677" s="20" t="s">
        <v>8871</v>
      </c>
      <c r="M1677" s="23" t="s">
        <v>2663</v>
      </c>
      <c r="N1677" s="18"/>
      <c r="O1677" s="18"/>
      <c r="P1677" s="18">
        <f>VLOOKUP($A1677,MasterData!$C$1:$I$3001,1,FALSE)</f>
        <v>9480</v>
      </c>
      <c r="Q1677" s="18" t="str">
        <f t="shared" si="2"/>
        <v>XTKR2</v>
      </c>
    </row>
    <row r="1678" ht="15.75" customHeight="1">
      <c r="A1678" s="31">
        <v>9495.0</v>
      </c>
      <c r="B1678" s="22" t="s">
        <v>2668</v>
      </c>
      <c r="C1678" s="24" t="s">
        <v>8889</v>
      </c>
      <c r="D1678" s="33" t="s">
        <v>2668</v>
      </c>
      <c r="E1678" s="22" t="s">
        <v>2667</v>
      </c>
      <c r="F1678" s="19" t="str">
        <f t="shared" si="1"/>
        <v>XTKR2</v>
      </c>
      <c r="G1678" s="19" t="s">
        <v>5408</v>
      </c>
      <c r="H1678" s="20" t="s">
        <v>1212</v>
      </c>
      <c r="I1678" s="19" t="s">
        <v>5409</v>
      </c>
      <c r="J1678" s="19" t="s">
        <v>5410</v>
      </c>
      <c r="K1678" s="25" t="s">
        <v>7500</v>
      </c>
      <c r="L1678" s="20" t="s">
        <v>8871</v>
      </c>
      <c r="M1678" s="23" t="s">
        <v>2666</v>
      </c>
      <c r="N1678" s="18"/>
      <c r="O1678" s="18"/>
      <c r="P1678" s="18">
        <f>VLOOKUP($A1678,MasterData!$C$1:$I$3001,1,FALSE)</f>
        <v>9495</v>
      </c>
      <c r="Q1678" s="18" t="str">
        <f t="shared" si="2"/>
        <v>XTKR2</v>
      </c>
    </row>
    <row r="1679" ht="15.75" customHeight="1">
      <c r="A1679" s="31">
        <v>9544.0</v>
      </c>
      <c r="B1679" s="22" t="s">
        <v>2671</v>
      </c>
      <c r="C1679" s="24" t="s">
        <v>8890</v>
      </c>
      <c r="D1679" s="33" t="s">
        <v>2671</v>
      </c>
      <c r="E1679" s="22" t="s">
        <v>2670</v>
      </c>
      <c r="F1679" s="19" t="str">
        <f t="shared" si="1"/>
        <v>XTKR2</v>
      </c>
      <c r="G1679" s="19" t="s">
        <v>5408</v>
      </c>
      <c r="H1679" s="20" t="s">
        <v>1212</v>
      </c>
      <c r="I1679" s="19" t="s">
        <v>5409</v>
      </c>
      <c r="J1679" s="19" t="s">
        <v>5410</v>
      </c>
      <c r="K1679" s="25" t="s">
        <v>7500</v>
      </c>
      <c r="L1679" s="20" t="s">
        <v>8871</v>
      </c>
      <c r="M1679" s="23" t="s">
        <v>2669</v>
      </c>
      <c r="N1679" s="18"/>
      <c r="O1679" s="18"/>
      <c r="P1679" s="18">
        <f>VLOOKUP($A1679,MasterData!$C$1:$I$3001,1,FALSE)</f>
        <v>9544</v>
      </c>
      <c r="Q1679" s="18" t="str">
        <f t="shared" si="2"/>
        <v>XTKR2</v>
      </c>
    </row>
    <row r="1680" ht="15.75" customHeight="1">
      <c r="A1680" s="31">
        <v>9570.0</v>
      </c>
      <c r="B1680" s="22" t="s">
        <v>2674</v>
      </c>
      <c r="C1680" s="24" t="s">
        <v>8891</v>
      </c>
      <c r="D1680" s="33" t="s">
        <v>2674</v>
      </c>
      <c r="E1680" s="22" t="s">
        <v>2673</v>
      </c>
      <c r="F1680" s="19" t="str">
        <f t="shared" si="1"/>
        <v>XTKR2</v>
      </c>
      <c r="G1680" s="19" t="s">
        <v>5408</v>
      </c>
      <c r="H1680" s="20" t="s">
        <v>1212</v>
      </c>
      <c r="I1680" s="19" t="s">
        <v>5409</v>
      </c>
      <c r="J1680" s="19" t="s">
        <v>5410</v>
      </c>
      <c r="K1680" s="25" t="s">
        <v>7500</v>
      </c>
      <c r="L1680" s="20" t="s">
        <v>8871</v>
      </c>
      <c r="M1680" s="23" t="s">
        <v>2672</v>
      </c>
      <c r="N1680" s="18"/>
      <c r="O1680" s="18"/>
      <c r="P1680" s="18">
        <f>VLOOKUP($A1680,MasterData!$C$1:$I$3001,1,FALSE)</f>
        <v>9570</v>
      </c>
      <c r="Q1680" s="18" t="str">
        <f t="shared" si="2"/>
        <v>XTKR2</v>
      </c>
    </row>
    <row r="1681" ht="15.75" customHeight="1">
      <c r="A1681" s="31">
        <v>9579.0</v>
      </c>
      <c r="B1681" s="22" t="s">
        <v>2677</v>
      </c>
      <c r="C1681" s="24" t="s">
        <v>8892</v>
      </c>
      <c r="D1681" s="33" t="s">
        <v>2677</v>
      </c>
      <c r="E1681" s="22" t="s">
        <v>2676</v>
      </c>
      <c r="F1681" s="19" t="str">
        <f t="shared" si="1"/>
        <v>XTKR2</v>
      </c>
      <c r="G1681" s="19" t="s">
        <v>5408</v>
      </c>
      <c r="H1681" s="20" t="s">
        <v>1212</v>
      </c>
      <c r="I1681" s="19" t="s">
        <v>5409</v>
      </c>
      <c r="J1681" s="19" t="s">
        <v>5410</v>
      </c>
      <c r="K1681" s="25" t="s">
        <v>7500</v>
      </c>
      <c r="L1681" s="20" t="s">
        <v>8871</v>
      </c>
      <c r="M1681" s="23" t="s">
        <v>2675</v>
      </c>
      <c r="N1681" s="18"/>
      <c r="O1681" s="18"/>
      <c r="P1681" s="18">
        <f>VLOOKUP($A1681,MasterData!$C$1:$I$3001,1,FALSE)</f>
        <v>9579</v>
      </c>
      <c r="Q1681" s="18" t="str">
        <f t="shared" si="2"/>
        <v>XTKR2</v>
      </c>
    </row>
    <row r="1682" ht="15.75" customHeight="1">
      <c r="A1682" s="31">
        <v>9584.0</v>
      </c>
      <c r="B1682" s="22" t="s">
        <v>2680</v>
      </c>
      <c r="C1682" s="24" t="s">
        <v>8893</v>
      </c>
      <c r="D1682" s="33" t="s">
        <v>2680</v>
      </c>
      <c r="E1682" s="22" t="s">
        <v>2679</v>
      </c>
      <c r="F1682" s="19" t="str">
        <f t="shared" si="1"/>
        <v>XTKR2</v>
      </c>
      <c r="G1682" s="19" t="s">
        <v>5408</v>
      </c>
      <c r="H1682" s="20" t="s">
        <v>1212</v>
      </c>
      <c r="I1682" s="19" t="s">
        <v>5409</v>
      </c>
      <c r="J1682" s="19" t="s">
        <v>5410</v>
      </c>
      <c r="K1682" s="25" t="s">
        <v>7500</v>
      </c>
      <c r="L1682" s="20" t="s">
        <v>8871</v>
      </c>
      <c r="M1682" s="23" t="s">
        <v>2678</v>
      </c>
      <c r="N1682" s="18"/>
      <c r="O1682" s="18"/>
      <c r="P1682" s="18">
        <f>VLOOKUP($A1682,MasterData!$C$1:$I$3001,1,FALSE)</f>
        <v>9584</v>
      </c>
      <c r="Q1682" s="18" t="str">
        <f t="shared" si="2"/>
        <v>XTKR2</v>
      </c>
    </row>
    <row r="1683" ht="15.75" customHeight="1">
      <c r="A1683" s="31">
        <v>9593.0</v>
      </c>
      <c r="B1683" s="22" t="s">
        <v>2683</v>
      </c>
      <c r="C1683" s="24" t="s">
        <v>8894</v>
      </c>
      <c r="D1683" s="33" t="s">
        <v>2683</v>
      </c>
      <c r="E1683" s="22" t="s">
        <v>2682</v>
      </c>
      <c r="F1683" s="19" t="str">
        <f t="shared" si="1"/>
        <v>XTKR2</v>
      </c>
      <c r="G1683" s="19" t="s">
        <v>5408</v>
      </c>
      <c r="H1683" s="20" t="s">
        <v>1212</v>
      </c>
      <c r="I1683" s="19" t="s">
        <v>5409</v>
      </c>
      <c r="J1683" s="19" t="s">
        <v>5410</v>
      </c>
      <c r="K1683" s="25" t="s">
        <v>7500</v>
      </c>
      <c r="L1683" s="20" t="s">
        <v>8871</v>
      </c>
      <c r="M1683" s="23" t="s">
        <v>2681</v>
      </c>
      <c r="N1683" s="18"/>
      <c r="O1683" s="18"/>
      <c r="P1683" s="18">
        <f>VLOOKUP($A1683,MasterData!$C$1:$I$3001,1,FALSE)</f>
        <v>9593</v>
      </c>
      <c r="Q1683" s="18" t="str">
        <f t="shared" si="2"/>
        <v>XTKR2</v>
      </c>
    </row>
    <row r="1684" ht="15.75" customHeight="1">
      <c r="A1684" s="31">
        <v>9606.0</v>
      </c>
      <c r="B1684" s="22" t="s">
        <v>2686</v>
      </c>
      <c r="C1684" s="24" t="s">
        <v>8895</v>
      </c>
      <c r="D1684" s="33" t="s">
        <v>2686</v>
      </c>
      <c r="E1684" s="22" t="s">
        <v>2685</v>
      </c>
      <c r="F1684" s="19" t="str">
        <f t="shared" si="1"/>
        <v>XTKR2</v>
      </c>
      <c r="G1684" s="19" t="s">
        <v>5408</v>
      </c>
      <c r="H1684" s="20" t="s">
        <v>1212</v>
      </c>
      <c r="I1684" s="19" t="s">
        <v>5409</v>
      </c>
      <c r="J1684" s="19" t="s">
        <v>5410</v>
      </c>
      <c r="K1684" s="25" t="s">
        <v>7500</v>
      </c>
      <c r="L1684" s="20" t="s">
        <v>8871</v>
      </c>
      <c r="M1684" s="23" t="s">
        <v>2684</v>
      </c>
      <c r="N1684" s="18"/>
      <c r="O1684" s="18"/>
      <c r="P1684" s="18">
        <f>VLOOKUP($A1684,MasterData!$C$1:$I$3001,1,FALSE)</f>
        <v>9606</v>
      </c>
      <c r="Q1684" s="18" t="str">
        <f t="shared" si="2"/>
        <v>XTKR2</v>
      </c>
    </row>
    <row r="1685" ht="15.75" customHeight="1">
      <c r="A1685" s="31">
        <v>9622.0</v>
      </c>
      <c r="B1685" s="22" t="s">
        <v>2689</v>
      </c>
      <c r="C1685" s="24" t="s">
        <v>8896</v>
      </c>
      <c r="D1685" s="33" t="s">
        <v>2689</v>
      </c>
      <c r="E1685" s="22" t="s">
        <v>2688</v>
      </c>
      <c r="F1685" s="19" t="str">
        <f t="shared" si="1"/>
        <v>XTKR2</v>
      </c>
      <c r="G1685" s="19" t="s">
        <v>5408</v>
      </c>
      <c r="H1685" s="20" t="s">
        <v>1212</v>
      </c>
      <c r="I1685" s="19" t="s">
        <v>5409</v>
      </c>
      <c r="J1685" s="19" t="s">
        <v>5410</v>
      </c>
      <c r="K1685" s="25" t="s">
        <v>7500</v>
      </c>
      <c r="L1685" s="20" t="s">
        <v>8871</v>
      </c>
      <c r="M1685" s="23" t="s">
        <v>2687</v>
      </c>
      <c r="N1685" s="18"/>
      <c r="O1685" s="18"/>
      <c r="P1685" s="18">
        <f>VLOOKUP($A1685,MasterData!$C$1:$I$3001,1,FALSE)</f>
        <v>9622</v>
      </c>
      <c r="Q1685" s="18" t="str">
        <f t="shared" si="2"/>
        <v>XTKR2</v>
      </c>
    </row>
    <row r="1686" ht="15.75" customHeight="1">
      <c r="A1686" s="31">
        <v>9633.0</v>
      </c>
      <c r="B1686" s="22" t="s">
        <v>2692</v>
      </c>
      <c r="C1686" s="24" t="s">
        <v>8897</v>
      </c>
      <c r="D1686" s="33" t="s">
        <v>2692</v>
      </c>
      <c r="E1686" s="22" t="s">
        <v>2691</v>
      </c>
      <c r="F1686" s="19" t="str">
        <f t="shared" si="1"/>
        <v>XTKR2</v>
      </c>
      <c r="G1686" s="19" t="s">
        <v>5408</v>
      </c>
      <c r="H1686" s="20" t="s">
        <v>1212</v>
      </c>
      <c r="I1686" s="19" t="s">
        <v>5409</v>
      </c>
      <c r="J1686" s="19" t="s">
        <v>5410</v>
      </c>
      <c r="K1686" s="25" t="s">
        <v>7500</v>
      </c>
      <c r="L1686" s="20" t="s">
        <v>8871</v>
      </c>
      <c r="M1686" s="23" t="s">
        <v>2690</v>
      </c>
      <c r="N1686" s="18"/>
      <c r="O1686" s="18"/>
      <c r="P1686" s="18">
        <f>VLOOKUP($A1686,MasterData!$C$1:$I$3001,1,FALSE)</f>
        <v>9633</v>
      </c>
      <c r="Q1686" s="18" t="str">
        <f t="shared" si="2"/>
        <v>XTKR2</v>
      </c>
    </row>
    <row r="1687" ht="15.75" customHeight="1">
      <c r="A1687" s="31">
        <v>9638.0</v>
      </c>
      <c r="B1687" s="22" t="s">
        <v>2695</v>
      </c>
      <c r="C1687" s="24" t="s">
        <v>8898</v>
      </c>
      <c r="D1687" s="33" t="s">
        <v>2695</v>
      </c>
      <c r="E1687" s="22" t="s">
        <v>2694</v>
      </c>
      <c r="F1687" s="19" t="str">
        <f t="shared" si="1"/>
        <v>XTKR2</v>
      </c>
      <c r="G1687" s="19" t="s">
        <v>5408</v>
      </c>
      <c r="H1687" s="20" t="s">
        <v>1212</v>
      </c>
      <c r="I1687" s="19" t="s">
        <v>5409</v>
      </c>
      <c r="J1687" s="19" t="s">
        <v>5410</v>
      </c>
      <c r="K1687" s="25" t="s">
        <v>7500</v>
      </c>
      <c r="L1687" s="20" t="s">
        <v>8871</v>
      </c>
      <c r="M1687" s="23" t="s">
        <v>2693</v>
      </c>
      <c r="N1687" s="18"/>
      <c r="O1687" s="18"/>
      <c r="P1687" s="18">
        <f>VLOOKUP($A1687,MasterData!$C$1:$I$3001,1,FALSE)</f>
        <v>9638</v>
      </c>
      <c r="Q1687" s="18" t="str">
        <f t="shared" si="2"/>
        <v>XTKR2</v>
      </c>
    </row>
    <row r="1688" ht="15.75" customHeight="1">
      <c r="A1688" s="31">
        <v>9643.0</v>
      </c>
      <c r="B1688" s="22" t="s">
        <v>2698</v>
      </c>
      <c r="C1688" s="24" t="s">
        <v>8899</v>
      </c>
      <c r="D1688" s="33" t="s">
        <v>2698</v>
      </c>
      <c r="E1688" s="22" t="s">
        <v>2697</v>
      </c>
      <c r="F1688" s="19" t="str">
        <f t="shared" si="1"/>
        <v>XTKR2</v>
      </c>
      <c r="G1688" s="19" t="s">
        <v>5408</v>
      </c>
      <c r="H1688" s="20" t="s">
        <v>1212</v>
      </c>
      <c r="I1688" s="19" t="s">
        <v>5409</v>
      </c>
      <c r="J1688" s="19" t="s">
        <v>5410</v>
      </c>
      <c r="K1688" s="25" t="s">
        <v>7500</v>
      </c>
      <c r="L1688" s="20" t="s">
        <v>8871</v>
      </c>
      <c r="M1688" s="23" t="s">
        <v>2696</v>
      </c>
      <c r="N1688" s="18"/>
      <c r="O1688" s="18"/>
      <c r="P1688" s="18">
        <f>VLOOKUP($A1688,MasterData!$C$1:$I$3001,1,FALSE)</f>
        <v>9643</v>
      </c>
      <c r="Q1688" s="18" t="str">
        <f t="shared" si="2"/>
        <v>XTKR2</v>
      </c>
    </row>
    <row r="1689" ht="15.75" customHeight="1">
      <c r="A1689" s="31">
        <v>9699.0</v>
      </c>
      <c r="B1689" s="22" t="s">
        <v>2701</v>
      </c>
      <c r="C1689" s="24" t="s">
        <v>8900</v>
      </c>
      <c r="D1689" s="33" t="s">
        <v>2701</v>
      </c>
      <c r="E1689" s="22" t="s">
        <v>2700</v>
      </c>
      <c r="F1689" s="19" t="str">
        <f t="shared" si="1"/>
        <v>XTKR2</v>
      </c>
      <c r="G1689" s="19" t="s">
        <v>5408</v>
      </c>
      <c r="H1689" s="20" t="s">
        <v>1212</v>
      </c>
      <c r="I1689" s="19" t="s">
        <v>5409</v>
      </c>
      <c r="J1689" s="19" t="s">
        <v>5410</v>
      </c>
      <c r="K1689" s="25" t="s">
        <v>7500</v>
      </c>
      <c r="L1689" s="20" t="s">
        <v>8871</v>
      </c>
      <c r="M1689" s="23" t="s">
        <v>2699</v>
      </c>
      <c r="N1689" s="18"/>
      <c r="O1689" s="18"/>
      <c r="P1689" s="18">
        <f>VLOOKUP($A1689,MasterData!$C$1:$I$3001,1,FALSE)</f>
        <v>9699</v>
      </c>
      <c r="Q1689" s="18" t="str">
        <f t="shared" si="2"/>
        <v>XTKR2</v>
      </c>
    </row>
    <row r="1690" ht="15.75" customHeight="1">
      <c r="A1690" s="31">
        <v>9712.0</v>
      </c>
      <c r="B1690" s="22" t="s">
        <v>2704</v>
      </c>
      <c r="C1690" s="24" t="s">
        <v>8901</v>
      </c>
      <c r="D1690" s="33" t="s">
        <v>2704</v>
      </c>
      <c r="E1690" s="22" t="s">
        <v>2703</v>
      </c>
      <c r="F1690" s="19" t="str">
        <f t="shared" si="1"/>
        <v>XTKR2</v>
      </c>
      <c r="G1690" s="19" t="s">
        <v>5408</v>
      </c>
      <c r="H1690" s="20" t="s">
        <v>1212</v>
      </c>
      <c r="I1690" s="19" t="s">
        <v>5409</v>
      </c>
      <c r="J1690" s="19" t="s">
        <v>5410</v>
      </c>
      <c r="K1690" s="25" t="s">
        <v>7500</v>
      </c>
      <c r="L1690" s="20" t="s">
        <v>8871</v>
      </c>
      <c r="M1690" s="23" t="s">
        <v>2702</v>
      </c>
      <c r="N1690" s="18"/>
      <c r="O1690" s="18"/>
      <c r="P1690" s="18">
        <f>VLOOKUP($A1690,MasterData!$C$1:$I$3001,1,FALSE)</f>
        <v>9712</v>
      </c>
      <c r="Q1690" s="18" t="str">
        <f t="shared" si="2"/>
        <v>XTKR2</v>
      </c>
    </row>
    <row r="1691" ht="15.75" customHeight="1">
      <c r="A1691" s="31">
        <v>9726.0</v>
      </c>
      <c r="B1691" s="22" t="s">
        <v>2707</v>
      </c>
      <c r="C1691" s="24" t="s">
        <v>8902</v>
      </c>
      <c r="D1691" s="33" t="s">
        <v>2707</v>
      </c>
      <c r="E1691" s="22" t="s">
        <v>2706</v>
      </c>
      <c r="F1691" s="19" t="str">
        <f t="shared" si="1"/>
        <v>XTKR2</v>
      </c>
      <c r="G1691" s="19" t="s">
        <v>5408</v>
      </c>
      <c r="H1691" s="20" t="s">
        <v>1212</v>
      </c>
      <c r="I1691" s="19" t="s">
        <v>5409</v>
      </c>
      <c r="J1691" s="19" t="s">
        <v>5410</v>
      </c>
      <c r="K1691" s="25" t="s">
        <v>7500</v>
      </c>
      <c r="L1691" s="20" t="s">
        <v>8871</v>
      </c>
      <c r="M1691" s="23" t="s">
        <v>2705</v>
      </c>
      <c r="N1691" s="18"/>
      <c r="O1691" s="18"/>
      <c r="P1691" s="18">
        <f>VLOOKUP($A1691,MasterData!$C$1:$I$3001,1,FALSE)</f>
        <v>9726</v>
      </c>
      <c r="Q1691" s="18" t="str">
        <f t="shared" si="2"/>
        <v>XTKR2</v>
      </c>
    </row>
    <row r="1692" ht="15.75" customHeight="1">
      <c r="A1692" s="31">
        <v>9742.0</v>
      </c>
      <c r="B1692" s="22" t="s">
        <v>2710</v>
      </c>
      <c r="C1692" s="24" t="s">
        <v>8903</v>
      </c>
      <c r="D1692" s="33" t="s">
        <v>2710</v>
      </c>
      <c r="E1692" s="22" t="s">
        <v>2709</v>
      </c>
      <c r="F1692" s="19" t="str">
        <f t="shared" si="1"/>
        <v>XTKR2</v>
      </c>
      <c r="G1692" s="19" t="s">
        <v>5408</v>
      </c>
      <c r="H1692" s="20" t="s">
        <v>1212</v>
      </c>
      <c r="I1692" s="19" t="s">
        <v>5409</v>
      </c>
      <c r="J1692" s="19" t="s">
        <v>5410</v>
      </c>
      <c r="K1692" s="25" t="s">
        <v>7500</v>
      </c>
      <c r="L1692" s="20" t="s">
        <v>8871</v>
      </c>
      <c r="M1692" s="23" t="s">
        <v>2708</v>
      </c>
      <c r="N1692" s="18"/>
      <c r="O1692" s="18"/>
      <c r="P1692" s="18">
        <f>VLOOKUP($A1692,MasterData!$C$1:$I$3001,1,FALSE)</f>
        <v>9742</v>
      </c>
      <c r="Q1692" s="18" t="str">
        <f t="shared" si="2"/>
        <v>XTKR2</v>
      </c>
    </row>
    <row r="1693" ht="15.75" customHeight="1">
      <c r="A1693" s="31">
        <v>9760.0</v>
      </c>
      <c r="B1693" s="22" t="s">
        <v>2713</v>
      </c>
      <c r="C1693" s="24" t="s">
        <v>8904</v>
      </c>
      <c r="D1693" s="33" t="s">
        <v>2713</v>
      </c>
      <c r="E1693" s="22" t="s">
        <v>2712</v>
      </c>
      <c r="F1693" s="19" t="str">
        <f t="shared" si="1"/>
        <v>XTKR2</v>
      </c>
      <c r="G1693" s="19" t="s">
        <v>5408</v>
      </c>
      <c r="H1693" s="20" t="s">
        <v>1212</v>
      </c>
      <c r="I1693" s="19" t="s">
        <v>5409</v>
      </c>
      <c r="J1693" s="19" t="s">
        <v>5410</v>
      </c>
      <c r="K1693" s="25" t="s">
        <v>7500</v>
      </c>
      <c r="L1693" s="20" t="s">
        <v>8871</v>
      </c>
      <c r="M1693" s="23" t="s">
        <v>2711</v>
      </c>
      <c r="N1693" s="18"/>
      <c r="O1693" s="18"/>
      <c r="P1693" s="18">
        <f>VLOOKUP($A1693,MasterData!$C$1:$I$3001,1,FALSE)</f>
        <v>9760</v>
      </c>
      <c r="Q1693" s="18" t="str">
        <f t="shared" si="2"/>
        <v>XTKR2</v>
      </c>
    </row>
    <row r="1694" ht="15.75" customHeight="1">
      <c r="A1694" s="31">
        <v>9790.0</v>
      </c>
      <c r="B1694" s="22" t="s">
        <v>2716</v>
      </c>
      <c r="C1694" s="24" t="s">
        <v>8905</v>
      </c>
      <c r="D1694" s="33" t="s">
        <v>2716</v>
      </c>
      <c r="E1694" s="22" t="s">
        <v>2715</v>
      </c>
      <c r="F1694" s="19" t="str">
        <f t="shared" si="1"/>
        <v>XTKR2</v>
      </c>
      <c r="G1694" s="19" t="s">
        <v>5408</v>
      </c>
      <c r="H1694" s="20" t="s">
        <v>1212</v>
      </c>
      <c r="I1694" s="19" t="s">
        <v>5409</v>
      </c>
      <c r="J1694" s="19" t="s">
        <v>5410</v>
      </c>
      <c r="K1694" s="25" t="s">
        <v>7500</v>
      </c>
      <c r="L1694" s="20" t="s">
        <v>8871</v>
      </c>
      <c r="M1694" s="23" t="s">
        <v>2714</v>
      </c>
      <c r="N1694" s="18"/>
      <c r="O1694" s="18"/>
      <c r="P1694" s="18">
        <f>VLOOKUP($A1694,MasterData!$C$1:$I$3001,1,FALSE)</f>
        <v>9790</v>
      </c>
      <c r="Q1694" s="18" t="str">
        <f t="shared" si="2"/>
        <v>XTKR2</v>
      </c>
    </row>
    <row r="1695" ht="15.75" customHeight="1">
      <c r="A1695" s="31">
        <v>9825.0</v>
      </c>
      <c r="B1695" s="22" t="s">
        <v>2719</v>
      </c>
      <c r="C1695" s="24" t="s">
        <v>8906</v>
      </c>
      <c r="D1695" s="33" t="s">
        <v>2719</v>
      </c>
      <c r="E1695" s="22" t="s">
        <v>2718</v>
      </c>
      <c r="F1695" s="19" t="str">
        <f t="shared" si="1"/>
        <v>XTKR2</v>
      </c>
      <c r="G1695" s="19" t="s">
        <v>5408</v>
      </c>
      <c r="H1695" s="20" t="s">
        <v>1212</v>
      </c>
      <c r="I1695" s="19" t="s">
        <v>5409</v>
      </c>
      <c r="J1695" s="19" t="s">
        <v>5410</v>
      </c>
      <c r="K1695" s="25" t="s">
        <v>7500</v>
      </c>
      <c r="L1695" s="20" t="s">
        <v>8871</v>
      </c>
      <c r="M1695" s="23" t="s">
        <v>2717</v>
      </c>
      <c r="N1695" s="18"/>
      <c r="O1695" s="18"/>
      <c r="P1695" s="18">
        <f>VLOOKUP($A1695,MasterData!$C$1:$I$3001,1,FALSE)</f>
        <v>9825</v>
      </c>
      <c r="Q1695" s="18" t="str">
        <f t="shared" si="2"/>
        <v>XTKR2</v>
      </c>
    </row>
    <row r="1696" ht="15.75" customHeight="1">
      <c r="A1696" s="31">
        <v>9257.0</v>
      </c>
      <c r="B1696" s="22" t="s">
        <v>2722</v>
      </c>
      <c r="C1696" s="24" t="s">
        <v>8907</v>
      </c>
      <c r="D1696" s="33" t="s">
        <v>2722</v>
      </c>
      <c r="E1696" s="22" t="s">
        <v>2721</v>
      </c>
      <c r="F1696" s="19" t="str">
        <f t="shared" si="1"/>
        <v>XTKR3</v>
      </c>
      <c r="G1696" s="19" t="s">
        <v>5408</v>
      </c>
      <c r="H1696" s="20" t="s">
        <v>1212</v>
      </c>
      <c r="I1696" s="19" t="s">
        <v>5409</v>
      </c>
      <c r="J1696" s="19" t="s">
        <v>5410</v>
      </c>
      <c r="K1696" s="25" t="s">
        <v>7500</v>
      </c>
      <c r="L1696" s="20" t="s">
        <v>8908</v>
      </c>
      <c r="M1696" s="23" t="s">
        <v>2720</v>
      </c>
      <c r="N1696" s="18"/>
      <c r="O1696" s="18"/>
      <c r="P1696" s="18">
        <f>VLOOKUP($A1696,MasterData!$C$1:$I$3001,1,FALSE)</f>
        <v>9257</v>
      </c>
      <c r="Q1696" s="18" t="str">
        <f t="shared" si="2"/>
        <v>XTKR3</v>
      </c>
    </row>
    <row r="1697" ht="15.75" customHeight="1">
      <c r="A1697" s="31">
        <v>9269.0</v>
      </c>
      <c r="B1697" s="22" t="s">
        <v>2725</v>
      </c>
      <c r="C1697" s="24" t="s">
        <v>8909</v>
      </c>
      <c r="D1697" s="33" t="s">
        <v>2725</v>
      </c>
      <c r="E1697" s="22" t="s">
        <v>2724</v>
      </c>
      <c r="F1697" s="19" t="str">
        <f t="shared" si="1"/>
        <v>XTKR3</v>
      </c>
      <c r="G1697" s="19" t="s">
        <v>5408</v>
      </c>
      <c r="H1697" s="20" t="s">
        <v>1212</v>
      </c>
      <c r="I1697" s="19" t="s">
        <v>5409</v>
      </c>
      <c r="J1697" s="19" t="s">
        <v>5410</v>
      </c>
      <c r="K1697" s="25" t="s">
        <v>7500</v>
      </c>
      <c r="L1697" s="20" t="s">
        <v>8908</v>
      </c>
      <c r="M1697" s="23" t="s">
        <v>2723</v>
      </c>
      <c r="N1697" s="18"/>
      <c r="O1697" s="18"/>
      <c r="P1697" s="18">
        <f>VLOOKUP($A1697,MasterData!$C$1:$I$3001,1,FALSE)</f>
        <v>9269</v>
      </c>
      <c r="Q1697" s="18" t="str">
        <f t="shared" si="2"/>
        <v>XTKR3</v>
      </c>
    </row>
    <row r="1698" ht="15.75" customHeight="1">
      <c r="A1698" s="31">
        <v>9293.0</v>
      </c>
      <c r="B1698" s="22" t="s">
        <v>2728</v>
      </c>
      <c r="C1698" s="24" t="s">
        <v>8910</v>
      </c>
      <c r="D1698" s="33" t="s">
        <v>2728</v>
      </c>
      <c r="E1698" s="22" t="s">
        <v>2727</v>
      </c>
      <c r="F1698" s="19" t="str">
        <f t="shared" si="1"/>
        <v>XTKR3</v>
      </c>
      <c r="G1698" s="19" t="s">
        <v>5408</v>
      </c>
      <c r="H1698" s="20" t="s">
        <v>1212</v>
      </c>
      <c r="I1698" s="19" t="s">
        <v>5409</v>
      </c>
      <c r="J1698" s="19" t="s">
        <v>5410</v>
      </c>
      <c r="K1698" s="25" t="s">
        <v>7500</v>
      </c>
      <c r="L1698" s="20" t="s">
        <v>8908</v>
      </c>
      <c r="M1698" s="23" t="s">
        <v>2726</v>
      </c>
      <c r="N1698" s="18"/>
      <c r="O1698" s="18"/>
      <c r="P1698" s="18">
        <f>VLOOKUP($A1698,MasterData!$C$1:$I$3001,1,FALSE)</f>
        <v>9293</v>
      </c>
      <c r="Q1698" s="18" t="str">
        <f t="shared" si="2"/>
        <v>XTKR3</v>
      </c>
    </row>
    <row r="1699" ht="15.75" customHeight="1">
      <c r="A1699" s="31">
        <v>9297.0</v>
      </c>
      <c r="B1699" s="22" t="s">
        <v>2730</v>
      </c>
      <c r="C1699" s="24" t="s">
        <v>8911</v>
      </c>
      <c r="D1699" s="33" t="s">
        <v>2730</v>
      </c>
      <c r="E1699" s="22" t="s">
        <v>2729</v>
      </c>
      <c r="F1699" s="19" t="str">
        <f t="shared" si="1"/>
        <v>XTKR3</v>
      </c>
      <c r="G1699" s="19" t="s">
        <v>5408</v>
      </c>
      <c r="H1699" s="20" t="s">
        <v>1212</v>
      </c>
      <c r="I1699" s="19" t="s">
        <v>5409</v>
      </c>
      <c r="J1699" s="19" t="s">
        <v>5410</v>
      </c>
      <c r="K1699" s="25" t="s">
        <v>7500</v>
      </c>
      <c r="L1699" s="20" t="s">
        <v>8908</v>
      </c>
      <c r="M1699" s="23" t="s">
        <v>2511</v>
      </c>
      <c r="N1699" s="18"/>
      <c r="O1699" s="18"/>
      <c r="P1699" s="18">
        <f>VLOOKUP($A1699,MasterData!$C$1:$I$3001,1,FALSE)</f>
        <v>9297</v>
      </c>
      <c r="Q1699" s="18" t="str">
        <f t="shared" si="2"/>
        <v>XTKR3</v>
      </c>
    </row>
    <row r="1700" ht="15.75" customHeight="1">
      <c r="A1700" s="31">
        <v>9309.0</v>
      </c>
      <c r="B1700" s="22" t="s">
        <v>2733</v>
      </c>
      <c r="C1700" s="24" t="s">
        <v>8912</v>
      </c>
      <c r="D1700" s="33" t="s">
        <v>2733</v>
      </c>
      <c r="E1700" s="22" t="s">
        <v>2732</v>
      </c>
      <c r="F1700" s="19" t="str">
        <f t="shared" si="1"/>
        <v>XTKR3</v>
      </c>
      <c r="G1700" s="19" t="s">
        <v>5408</v>
      </c>
      <c r="H1700" s="20" t="s">
        <v>1212</v>
      </c>
      <c r="I1700" s="19" t="s">
        <v>5409</v>
      </c>
      <c r="J1700" s="19" t="s">
        <v>5410</v>
      </c>
      <c r="K1700" s="25" t="s">
        <v>7500</v>
      </c>
      <c r="L1700" s="20" t="s">
        <v>8908</v>
      </c>
      <c r="M1700" s="23" t="s">
        <v>2731</v>
      </c>
      <c r="N1700" s="18"/>
      <c r="O1700" s="18"/>
      <c r="P1700" s="18">
        <f>VLOOKUP($A1700,MasterData!$C$1:$I$3001,1,FALSE)</f>
        <v>9309</v>
      </c>
      <c r="Q1700" s="18" t="str">
        <f t="shared" si="2"/>
        <v>XTKR3</v>
      </c>
    </row>
    <row r="1701" ht="15.75" customHeight="1">
      <c r="A1701" s="31">
        <v>9325.0</v>
      </c>
      <c r="B1701" s="22" t="s">
        <v>2736</v>
      </c>
      <c r="C1701" s="24" t="s">
        <v>8913</v>
      </c>
      <c r="D1701" s="33" t="s">
        <v>2736</v>
      </c>
      <c r="E1701" s="22" t="s">
        <v>2735</v>
      </c>
      <c r="F1701" s="19" t="str">
        <f t="shared" si="1"/>
        <v>XTKR3</v>
      </c>
      <c r="G1701" s="19" t="s">
        <v>5408</v>
      </c>
      <c r="H1701" s="20" t="s">
        <v>1212</v>
      </c>
      <c r="I1701" s="19" t="s">
        <v>5409</v>
      </c>
      <c r="J1701" s="19" t="s">
        <v>5410</v>
      </c>
      <c r="K1701" s="25" t="s">
        <v>7500</v>
      </c>
      <c r="L1701" s="20" t="s">
        <v>8908</v>
      </c>
      <c r="M1701" s="23" t="s">
        <v>2734</v>
      </c>
      <c r="N1701" s="18"/>
      <c r="O1701" s="18"/>
      <c r="P1701" s="18">
        <f>VLOOKUP($A1701,MasterData!$C$1:$I$3001,1,FALSE)</f>
        <v>9325</v>
      </c>
      <c r="Q1701" s="18" t="str">
        <f t="shared" si="2"/>
        <v>XTKR3</v>
      </c>
    </row>
    <row r="1702" ht="15.75" customHeight="1">
      <c r="A1702" s="31">
        <v>9337.0</v>
      </c>
      <c r="B1702" s="22" t="s">
        <v>2739</v>
      </c>
      <c r="C1702" s="24" t="s">
        <v>8914</v>
      </c>
      <c r="D1702" s="33" t="s">
        <v>2739</v>
      </c>
      <c r="E1702" s="22" t="s">
        <v>2738</v>
      </c>
      <c r="F1702" s="19" t="str">
        <f t="shared" si="1"/>
        <v>XTKR3</v>
      </c>
      <c r="G1702" s="19" t="s">
        <v>5408</v>
      </c>
      <c r="H1702" s="20" t="s">
        <v>1212</v>
      </c>
      <c r="I1702" s="19" t="s">
        <v>5409</v>
      </c>
      <c r="J1702" s="19" t="s">
        <v>5410</v>
      </c>
      <c r="K1702" s="25" t="s">
        <v>7500</v>
      </c>
      <c r="L1702" s="20" t="s">
        <v>8908</v>
      </c>
      <c r="M1702" s="23" t="s">
        <v>2737</v>
      </c>
      <c r="N1702" s="18"/>
      <c r="O1702" s="18"/>
      <c r="P1702" s="18">
        <f>VLOOKUP($A1702,MasterData!$C$1:$I$3001,1,FALSE)</f>
        <v>9337</v>
      </c>
      <c r="Q1702" s="18" t="str">
        <f t="shared" si="2"/>
        <v>XTKR3</v>
      </c>
    </row>
    <row r="1703" ht="15.75" customHeight="1">
      <c r="A1703" s="31">
        <v>9355.0</v>
      </c>
      <c r="B1703" s="22" t="s">
        <v>2742</v>
      </c>
      <c r="C1703" s="24" t="s">
        <v>8915</v>
      </c>
      <c r="D1703" s="33" t="s">
        <v>2742</v>
      </c>
      <c r="E1703" s="22" t="s">
        <v>2741</v>
      </c>
      <c r="F1703" s="19" t="str">
        <f t="shared" si="1"/>
        <v>XTKR3</v>
      </c>
      <c r="G1703" s="19" t="s">
        <v>5408</v>
      </c>
      <c r="H1703" s="20" t="s">
        <v>1212</v>
      </c>
      <c r="I1703" s="19" t="s">
        <v>5409</v>
      </c>
      <c r="J1703" s="19" t="s">
        <v>5410</v>
      </c>
      <c r="K1703" s="25" t="s">
        <v>7500</v>
      </c>
      <c r="L1703" s="20" t="s">
        <v>8908</v>
      </c>
      <c r="M1703" s="23" t="s">
        <v>2740</v>
      </c>
      <c r="N1703" s="18"/>
      <c r="O1703" s="18"/>
      <c r="P1703" s="18">
        <f>VLOOKUP($A1703,MasterData!$C$1:$I$3001,1,FALSE)</f>
        <v>9355</v>
      </c>
      <c r="Q1703" s="18" t="str">
        <f t="shared" si="2"/>
        <v>XTKR3</v>
      </c>
    </row>
    <row r="1704" ht="15.75" customHeight="1">
      <c r="A1704" s="31">
        <v>9371.0</v>
      </c>
      <c r="B1704" s="22" t="s">
        <v>2745</v>
      </c>
      <c r="C1704" s="24" t="s">
        <v>8916</v>
      </c>
      <c r="D1704" s="33" t="s">
        <v>2745</v>
      </c>
      <c r="E1704" s="22" t="s">
        <v>2744</v>
      </c>
      <c r="F1704" s="19" t="str">
        <f t="shared" si="1"/>
        <v>XTKR3</v>
      </c>
      <c r="G1704" s="19" t="s">
        <v>5408</v>
      </c>
      <c r="H1704" s="20" t="s">
        <v>1212</v>
      </c>
      <c r="I1704" s="19" t="s">
        <v>5409</v>
      </c>
      <c r="J1704" s="19" t="s">
        <v>5410</v>
      </c>
      <c r="K1704" s="25" t="s">
        <v>7500</v>
      </c>
      <c r="L1704" s="20" t="s">
        <v>8908</v>
      </c>
      <c r="M1704" s="23" t="s">
        <v>2743</v>
      </c>
      <c r="N1704" s="18"/>
      <c r="O1704" s="18"/>
      <c r="P1704" s="18">
        <f>VLOOKUP($A1704,MasterData!$C$1:$I$3001,1,FALSE)</f>
        <v>9371</v>
      </c>
      <c r="Q1704" s="18" t="str">
        <f t="shared" si="2"/>
        <v>XTKR3</v>
      </c>
    </row>
    <row r="1705" ht="15.75" customHeight="1">
      <c r="A1705" s="31">
        <v>9379.0</v>
      </c>
      <c r="B1705" s="22" t="s">
        <v>2748</v>
      </c>
      <c r="C1705" s="24" t="s">
        <v>8917</v>
      </c>
      <c r="D1705" s="33" t="s">
        <v>2748</v>
      </c>
      <c r="E1705" s="22" t="s">
        <v>2747</v>
      </c>
      <c r="F1705" s="19" t="str">
        <f t="shared" si="1"/>
        <v>XTKR3</v>
      </c>
      <c r="G1705" s="19" t="s">
        <v>5408</v>
      </c>
      <c r="H1705" s="20" t="s">
        <v>1212</v>
      </c>
      <c r="I1705" s="19" t="s">
        <v>5409</v>
      </c>
      <c r="J1705" s="19" t="s">
        <v>5410</v>
      </c>
      <c r="K1705" s="25" t="s">
        <v>7500</v>
      </c>
      <c r="L1705" s="20" t="s">
        <v>8908</v>
      </c>
      <c r="M1705" s="23" t="s">
        <v>2746</v>
      </c>
      <c r="N1705" s="18"/>
      <c r="O1705" s="18"/>
      <c r="P1705" s="18">
        <f>VLOOKUP($A1705,MasterData!$C$1:$I$3001,1,FALSE)</f>
        <v>9379</v>
      </c>
      <c r="Q1705" s="18" t="str">
        <f t="shared" si="2"/>
        <v>XTKR3</v>
      </c>
    </row>
    <row r="1706" ht="15.75" customHeight="1">
      <c r="A1706" s="31">
        <v>9399.0</v>
      </c>
      <c r="B1706" s="22" t="s">
        <v>2751</v>
      </c>
      <c r="C1706" s="24" t="s">
        <v>8918</v>
      </c>
      <c r="D1706" s="33" t="s">
        <v>2751</v>
      </c>
      <c r="E1706" s="22" t="s">
        <v>2750</v>
      </c>
      <c r="F1706" s="19" t="str">
        <f t="shared" si="1"/>
        <v>XTKR3</v>
      </c>
      <c r="G1706" s="19" t="s">
        <v>5408</v>
      </c>
      <c r="H1706" s="20" t="s">
        <v>1212</v>
      </c>
      <c r="I1706" s="19" t="s">
        <v>5409</v>
      </c>
      <c r="J1706" s="19" t="s">
        <v>5410</v>
      </c>
      <c r="K1706" s="25" t="s">
        <v>7500</v>
      </c>
      <c r="L1706" s="20" t="s">
        <v>8908</v>
      </c>
      <c r="M1706" s="23" t="s">
        <v>2749</v>
      </c>
      <c r="N1706" s="18"/>
      <c r="O1706" s="18"/>
      <c r="P1706" s="18">
        <f>VLOOKUP($A1706,MasterData!$C$1:$I$3001,1,FALSE)</f>
        <v>9399</v>
      </c>
      <c r="Q1706" s="18" t="str">
        <f t="shared" si="2"/>
        <v>XTKR3</v>
      </c>
    </row>
    <row r="1707" ht="15.75" customHeight="1">
      <c r="A1707" s="31">
        <v>9409.0</v>
      </c>
      <c r="B1707" s="22" t="s">
        <v>2754</v>
      </c>
      <c r="C1707" s="24" t="s">
        <v>8919</v>
      </c>
      <c r="D1707" s="33" t="s">
        <v>2754</v>
      </c>
      <c r="E1707" s="22" t="s">
        <v>2753</v>
      </c>
      <c r="F1707" s="19" t="str">
        <f t="shared" si="1"/>
        <v>XTKR3</v>
      </c>
      <c r="G1707" s="19" t="s">
        <v>5408</v>
      </c>
      <c r="H1707" s="20" t="s">
        <v>1212</v>
      </c>
      <c r="I1707" s="19" t="s">
        <v>5409</v>
      </c>
      <c r="J1707" s="19" t="s">
        <v>5410</v>
      </c>
      <c r="K1707" s="25" t="s">
        <v>7500</v>
      </c>
      <c r="L1707" s="20" t="s">
        <v>8908</v>
      </c>
      <c r="M1707" s="23" t="s">
        <v>2752</v>
      </c>
      <c r="N1707" s="18"/>
      <c r="O1707" s="18"/>
      <c r="P1707" s="18">
        <f>VLOOKUP($A1707,MasterData!$C$1:$I$3001,1,FALSE)</f>
        <v>9409</v>
      </c>
      <c r="Q1707" s="18" t="str">
        <f t="shared" si="2"/>
        <v>XTKR3</v>
      </c>
    </row>
    <row r="1708" ht="15.75" customHeight="1">
      <c r="A1708" s="31">
        <v>9429.0</v>
      </c>
      <c r="B1708" s="22" t="s">
        <v>2757</v>
      </c>
      <c r="C1708" s="24" t="s">
        <v>8920</v>
      </c>
      <c r="D1708" s="33" t="s">
        <v>2757</v>
      </c>
      <c r="E1708" s="22" t="s">
        <v>2756</v>
      </c>
      <c r="F1708" s="19" t="str">
        <f t="shared" si="1"/>
        <v>XTKR3</v>
      </c>
      <c r="G1708" s="19" t="s">
        <v>5408</v>
      </c>
      <c r="H1708" s="20" t="s">
        <v>1212</v>
      </c>
      <c r="I1708" s="19" t="s">
        <v>5409</v>
      </c>
      <c r="J1708" s="19" t="s">
        <v>5410</v>
      </c>
      <c r="K1708" s="25" t="s">
        <v>7500</v>
      </c>
      <c r="L1708" s="20" t="s">
        <v>8908</v>
      </c>
      <c r="M1708" s="23" t="s">
        <v>2755</v>
      </c>
      <c r="N1708" s="18"/>
      <c r="O1708" s="18"/>
      <c r="P1708" s="18">
        <f>VLOOKUP($A1708,MasterData!$C$1:$I$3001,1,FALSE)</f>
        <v>9429</v>
      </c>
      <c r="Q1708" s="18" t="str">
        <f t="shared" si="2"/>
        <v>XTKR3</v>
      </c>
    </row>
    <row r="1709" ht="15.75" customHeight="1">
      <c r="A1709" s="31">
        <v>9445.0</v>
      </c>
      <c r="B1709" s="22" t="s">
        <v>2760</v>
      </c>
      <c r="C1709" s="24" t="s">
        <v>8921</v>
      </c>
      <c r="D1709" s="33" t="s">
        <v>2760</v>
      </c>
      <c r="E1709" s="22" t="s">
        <v>2759</v>
      </c>
      <c r="F1709" s="19" t="str">
        <f t="shared" si="1"/>
        <v>XTKR3</v>
      </c>
      <c r="G1709" s="19" t="s">
        <v>5408</v>
      </c>
      <c r="H1709" s="20" t="s">
        <v>1212</v>
      </c>
      <c r="I1709" s="19" t="s">
        <v>5409</v>
      </c>
      <c r="J1709" s="19" t="s">
        <v>5410</v>
      </c>
      <c r="K1709" s="25" t="s">
        <v>7500</v>
      </c>
      <c r="L1709" s="20" t="s">
        <v>8908</v>
      </c>
      <c r="M1709" s="23" t="s">
        <v>2758</v>
      </c>
      <c r="N1709" s="18"/>
      <c r="O1709" s="18"/>
      <c r="P1709" s="18">
        <f>VLOOKUP($A1709,MasterData!$C$1:$I$3001,1,FALSE)</f>
        <v>9445</v>
      </c>
      <c r="Q1709" s="18" t="str">
        <f t="shared" si="2"/>
        <v>XTKR3</v>
      </c>
    </row>
    <row r="1710" ht="15.75" customHeight="1">
      <c r="A1710" s="31">
        <v>9454.0</v>
      </c>
      <c r="B1710" s="22" t="s">
        <v>2763</v>
      </c>
      <c r="C1710" s="24" t="s">
        <v>8922</v>
      </c>
      <c r="D1710" s="33" t="s">
        <v>2763</v>
      </c>
      <c r="E1710" s="22" t="s">
        <v>2762</v>
      </c>
      <c r="F1710" s="19" t="str">
        <f t="shared" si="1"/>
        <v>XTKR3</v>
      </c>
      <c r="G1710" s="19" t="s">
        <v>5408</v>
      </c>
      <c r="H1710" s="20" t="s">
        <v>1212</v>
      </c>
      <c r="I1710" s="19" t="s">
        <v>5409</v>
      </c>
      <c r="J1710" s="19" t="s">
        <v>5410</v>
      </c>
      <c r="K1710" s="25" t="s">
        <v>7500</v>
      </c>
      <c r="L1710" s="20" t="s">
        <v>8908</v>
      </c>
      <c r="M1710" s="23" t="s">
        <v>2761</v>
      </c>
      <c r="N1710" s="18"/>
      <c r="O1710" s="18"/>
      <c r="P1710" s="18">
        <f>VLOOKUP($A1710,MasterData!$C$1:$I$3001,1,FALSE)</f>
        <v>9454</v>
      </c>
      <c r="Q1710" s="18" t="str">
        <f t="shared" si="2"/>
        <v>XTKR3</v>
      </c>
    </row>
    <row r="1711" ht="15.75" customHeight="1">
      <c r="A1711" s="31">
        <v>9464.0</v>
      </c>
      <c r="B1711" s="22" t="s">
        <v>2766</v>
      </c>
      <c r="C1711" s="24" t="s">
        <v>8923</v>
      </c>
      <c r="D1711" s="33" t="s">
        <v>2766</v>
      </c>
      <c r="E1711" s="22" t="s">
        <v>2765</v>
      </c>
      <c r="F1711" s="19" t="str">
        <f t="shared" si="1"/>
        <v>XTKR3</v>
      </c>
      <c r="G1711" s="19" t="s">
        <v>5408</v>
      </c>
      <c r="H1711" s="20" t="s">
        <v>1212</v>
      </c>
      <c r="I1711" s="19" t="s">
        <v>5409</v>
      </c>
      <c r="J1711" s="19" t="s">
        <v>5410</v>
      </c>
      <c r="K1711" s="25" t="s">
        <v>7500</v>
      </c>
      <c r="L1711" s="20" t="s">
        <v>8908</v>
      </c>
      <c r="M1711" s="23" t="s">
        <v>2764</v>
      </c>
      <c r="N1711" s="18"/>
      <c r="O1711" s="18"/>
      <c r="P1711" s="18">
        <f>VLOOKUP($A1711,MasterData!$C$1:$I$3001,1,FALSE)</f>
        <v>9464</v>
      </c>
      <c r="Q1711" s="18" t="str">
        <f t="shared" si="2"/>
        <v>XTKR3</v>
      </c>
    </row>
    <row r="1712" ht="15.75" customHeight="1">
      <c r="A1712" s="31">
        <v>9474.0</v>
      </c>
      <c r="B1712" s="22" t="s">
        <v>2769</v>
      </c>
      <c r="C1712" s="24" t="s">
        <v>8924</v>
      </c>
      <c r="D1712" s="33" t="s">
        <v>2769</v>
      </c>
      <c r="E1712" s="22" t="s">
        <v>2768</v>
      </c>
      <c r="F1712" s="19" t="str">
        <f t="shared" si="1"/>
        <v>XTKR3</v>
      </c>
      <c r="G1712" s="19" t="s">
        <v>5408</v>
      </c>
      <c r="H1712" s="20" t="s">
        <v>1212</v>
      </c>
      <c r="I1712" s="19" t="s">
        <v>5409</v>
      </c>
      <c r="J1712" s="19" t="s">
        <v>5410</v>
      </c>
      <c r="K1712" s="25" t="s">
        <v>7500</v>
      </c>
      <c r="L1712" s="20" t="s">
        <v>8908</v>
      </c>
      <c r="M1712" s="23" t="s">
        <v>2767</v>
      </c>
      <c r="N1712" s="18"/>
      <c r="O1712" s="18"/>
      <c r="P1712" s="18">
        <f>VLOOKUP($A1712,MasterData!$C$1:$I$3001,1,FALSE)</f>
        <v>9474</v>
      </c>
      <c r="Q1712" s="18" t="str">
        <f t="shared" si="2"/>
        <v>XTKR3</v>
      </c>
    </row>
    <row r="1713" ht="15.75" customHeight="1">
      <c r="A1713" s="31">
        <v>9486.0</v>
      </c>
      <c r="B1713" s="22" t="s">
        <v>2772</v>
      </c>
      <c r="C1713" s="24" t="s">
        <v>8925</v>
      </c>
      <c r="D1713" s="33" t="s">
        <v>2772</v>
      </c>
      <c r="E1713" s="22" t="s">
        <v>2771</v>
      </c>
      <c r="F1713" s="19" t="str">
        <f t="shared" si="1"/>
        <v>XTKR3</v>
      </c>
      <c r="G1713" s="19" t="s">
        <v>5408</v>
      </c>
      <c r="H1713" s="20" t="s">
        <v>1212</v>
      </c>
      <c r="I1713" s="19" t="s">
        <v>5409</v>
      </c>
      <c r="J1713" s="19" t="s">
        <v>5410</v>
      </c>
      <c r="K1713" s="25" t="s">
        <v>7500</v>
      </c>
      <c r="L1713" s="20" t="s">
        <v>8908</v>
      </c>
      <c r="M1713" s="23" t="s">
        <v>2770</v>
      </c>
      <c r="N1713" s="18"/>
      <c r="O1713" s="18"/>
      <c r="P1713" s="18">
        <f>VLOOKUP($A1713,MasterData!$C$1:$I$3001,1,FALSE)</f>
        <v>9486</v>
      </c>
      <c r="Q1713" s="18" t="str">
        <f t="shared" si="2"/>
        <v>XTKR3</v>
      </c>
    </row>
    <row r="1714" ht="15.75" customHeight="1">
      <c r="A1714" s="31">
        <v>9535.0</v>
      </c>
      <c r="B1714" s="22" t="s">
        <v>2775</v>
      </c>
      <c r="C1714" s="24" t="s">
        <v>8926</v>
      </c>
      <c r="D1714" s="33" t="s">
        <v>2775</v>
      </c>
      <c r="E1714" s="22" t="s">
        <v>2774</v>
      </c>
      <c r="F1714" s="19" t="str">
        <f t="shared" si="1"/>
        <v>XTKR3</v>
      </c>
      <c r="G1714" s="19" t="s">
        <v>5408</v>
      </c>
      <c r="H1714" s="20" t="s">
        <v>1212</v>
      </c>
      <c r="I1714" s="19" t="s">
        <v>5409</v>
      </c>
      <c r="J1714" s="19" t="s">
        <v>5410</v>
      </c>
      <c r="K1714" s="25" t="s">
        <v>7500</v>
      </c>
      <c r="L1714" s="20" t="s">
        <v>8908</v>
      </c>
      <c r="M1714" s="23" t="s">
        <v>2773</v>
      </c>
      <c r="N1714" s="18"/>
      <c r="O1714" s="18"/>
      <c r="P1714" s="18">
        <f>VLOOKUP($A1714,MasterData!$C$1:$I$3001,1,FALSE)</f>
        <v>9535</v>
      </c>
      <c r="Q1714" s="18" t="str">
        <f t="shared" si="2"/>
        <v>XTKR3</v>
      </c>
    </row>
    <row r="1715" ht="15.75" customHeight="1">
      <c r="A1715" s="31">
        <v>9550.0</v>
      </c>
      <c r="B1715" s="22" t="s">
        <v>2778</v>
      </c>
      <c r="C1715" s="24" t="s">
        <v>8927</v>
      </c>
      <c r="D1715" s="33" t="s">
        <v>2778</v>
      </c>
      <c r="E1715" s="22" t="s">
        <v>2777</v>
      </c>
      <c r="F1715" s="19" t="str">
        <f t="shared" si="1"/>
        <v>XTKR3</v>
      </c>
      <c r="G1715" s="19" t="s">
        <v>5408</v>
      </c>
      <c r="H1715" s="20" t="s">
        <v>1212</v>
      </c>
      <c r="I1715" s="19" t="s">
        <v>5409</v>
      </c>
      <c r="J1715" s="19" t="s">
        <v>5410</v>
      </c>
      <c r="K1715" s="25" t="s">
        <v>7500</v>
      </c>
      <c r="L1715" s="20" t="s">
        <v>8908</v>
      </c>
      <c r="M1715" s="23" t="s">
        <v>2776</v>
      </c>
      <c r="N1715" s="18"/>
      <c r="O1715" s="18"/>
      <c r="P1715" s="18">
        <f>VLOOKUP($A1715,MasterData!$C$1:$I$3001,1,FALSE)</f>
        <v>9550</v>
      </c>
      <c r="Q1715" s="18" t="str">
        <f t="shared" si="2"/>
        <v>XTKR3</v>
      </c>
    </row>
    <row r="1716" ht="15.75" customHeight="1">
      <c r="A1716" s="31">
        <v>9573.0</v>
      </c>
      <c r="B1716" s="22" t="s">
        <v>2781</v>
      </c>
      <c r="C1716" s="24" t="s">
        <v>8928</v>
      </c>
      <c r="D1716" s="33" t="s">
        <v>2781</v>
      </c>
      <c r="E1716" s="22" t="s">
        <v>2780</v>
      </c>
      <c r="F1716" s="19" t="str">
        <f t="shared" si="1"/>
        <v>XTKR3</v>
      </c>
      <c r="G1716" s="19" t="s">
        <v>5408</v>
      </c>
      <c r="H1716" s="20" t="s">
        <v>1212</v>
      </c>
      <c r="I1716" s="19" t="s">
        <v>5409</v>
      </c>
      <c r="J1716" s="19" t="s">
        <v>5410</v>
      </c>
      <c r="K1716" s="25" t="s">
        <v>7500</v>
      </c>
      <c r="L1716" s="20" t="s">
        <v>8908</v>
      </c>
      <c r="M1716" s="23" t="s">
        <v>2779</v>
      </c>
      <c r="N1716" s="18"/>
      <c r="O1716" s="18"/>
      <c r="P1716" s="18">
        <f>VLOOKUP($A1716,MasterData!$C$1:$I$3001,1,FALSE)</f>
        <v>9573</v>
      </c>
      <c r="Q1716" s="18" t="str">
        <f t="shared" si="2"/>
        <v>XTKR3</v>
      </c>
    </row>
    <row r="1717" ht="15.75" customHeight="1">
      <c r="A1717" s="31">
        <v>9581.0</v>
      </c>
      <c r="B1717" s="22" t="s">
        <v>2784</v>
      </c>
      <c r="C1717" s="24" t="s">
        <v>8929</v>
      </c>
      <c r="D1717" s="33" t="s">
        <v>2784</v>
      </c>
      <c r="E1717" s="22" t="s">
        <v>2783</v>
      </c>
      <c r="F1717" s="19" t="str">
        <f t="shared" si="1"/>
        <v>XTKR3</v>
      </c>
      <c r="G1717" s="19" t="s">
        <v>5408</v>
      </c>
      <c r="H1717" s="20" t="s">
        <v>1212</v>
      </c>
      <c r="I1717" s="19" t="s">
        <v>5409</v>
      </c>
      <c r="J1717" s="19" t="s">
        <v>5410</v>
      </c>
      <c r="K1717" s="25" t="s">
        <v>7500</v>
      </c>
      <c r="L1717" s="20" t="s">
        <v>8908</v>
      </c>
      <c r="M1717" s="23" t="s">
        <v>2782</v>
      </c>
      <c r="N1717" s="18"/>
      <c r="O1717" s="18"/>
      <c r="P1717" s="18">
        <f>VLOOKUP($A1717,MasterData!$C$1:$I$3001,1,FALSE)</f>
        <v>9581</v>
      </c>
      <c r="Q1717" s="18" t="str">
        <f t="shared" si="2"/>
        <v>XTKR3</v>
      </c>
    </row>
    <row r="1718" ht="15.75" customHeight="1">
      <c r="A1718" s="31">
        <v>9586.0</v>
      </c>
      <c r="B1718" s="22" t="s">
        <v>2787</v>
      </c>
      <c r="C1718" s="24" t="s">
        <v>8930</v>
      </c>
      <c r="D1718" s="33" t="s">
        <v>2787</v>
      </c>
      <c r="E1718" s="22" t="s">
        <v>2786</v>
      </c>
      <c r="F1718" s="19" t="str">
        <f t="shared" si="1"/>
        <v>XTKR3</v>
      </c>
      <c r="G1718" s="19" t="s">
        <v>5408</v>
      </c>
      <c r="H1718" s="20" t="s">
        <v>1212</v>
      </c>
      <c r="I1718" s="19" t="s">
        <v>5409</v>
      </c>
      <c r="J1718" s="19" t="s">
        <v>5410</v>
      </c>
      <c r="K1718" s="25" t="s">
        <v>7500</v>
      </c>
      <c r="L1718" s="20" t="s">
        <v>8908</v>
      </c>
      <c r="M1718" s="23" t="s">
        <v>2785</v>
      </c>
      <c r="N1718" s="18"/>
      <c r="O1718" s="18"/>
      <c r="P1718" s="18">
        <f>VLOOKUP($A1718,MasterData!$C$1:$I$3001,1,FALSE)</f>
        <v>9586</v>
      </c>
      <c r="Q1718" s="18" t="str">
        <f t="shared" si="2"/>
        <v>XTKR3</v>
      </c>
    </row>
    <row r="1719" ht="15.75" customHeight="1">
      <c r="A1719" s="31">
        <v>9599.0</v>
      </c>
      <c r="B1719" s="22" t="s">
        <v>2790</v>
      </c>
      <c r="C1719" s="24" t="s">
        <v>8931</v>
      </c>
      <c r="D1719" s="33" t="s">
        <v>2790</v>
      </c>
      <c r="E1719" s="22" t="s">
        <v>2789</v>
      </c>
      <c r="F1719" s="19" t="str">
        <f t="shared" si="1"/>
        <v>XTKR3</v>
      </c>
      <c r="G1719" s="19" t="s">
        <v>5408</v>
      </c>
      <c r="H1719" s="20" t="s">
        <v>1212</v>
      </c>
      <c r="I1719" s="19" t="s">
        <v>5409</v>
      </c>
      <c r="J1719" s="19" t="s">
        <v>5410</v>
      </c>
      <c r="K1719" s="25" t="s">
        <v>7500</v>
      </c>
      <c r="L1719" s="20" t="s">
        <v>8908</v>
      </c>
      <c r="M1719" s="23" t="s">
        <v>2788</v>
      </c>
      <c r="N1719" s="18"/>
      <c r="O1719" s="18"/>
      <c r="P1719" s="18">
        <f>VLOOKUP($A1719,MasterData!$C$1:$I$3001,1,FALSE)</f>
        <v>9599</v>
      </c>
      <c r="Q1719" s="18" t="str">
        <f t="shared" si="2"/>
        <v>XTKR3</v>
      </c>
    </row>
    <row r="1720" ht="15.75" customHeight="1">
      <c r="A1720" s="31">
        <v>9614.0</v>
      </c>
      <c r="B1720" s="22" t="s">
        <v>2793</v>
      </c>
      <c r="C1720" s="24" t="s">
        <v>8932</v>
      </c>
      <c r="D1720" s="33" t="s">
        <v>2793</v>
      </c>
      <c r="E1720" s="22" t="s">
        <v>2792</v>
      </c>
      <c r="F1720" s="19" t="str">
        <f t="shared" si="1"/>
        <v>XTKR3</v>
      </c>
      <c r="G1720" s="19" t="s">
        <v>5408</v>
      </c>
      <c r="H1720" s="20" t="s">
        <v>1212</v>
      </c>
      <c r="I1720" s="19" t="s">
        <v>5409</v>
      </c>
      <c r="J1720" s="19" t="s">
        <v>5410</v>
      </c>
      <c r="K1720" s="25" t="s">
        <v>7500</v>
      </c>
      <c r="L1720" s="20" t="s">
        <v>8908</v>
      </c>
      <c r="M1720" s="23" t="s">
        <v>2791</v>
      </c>
      <c r="N1720" s="18"/>
      <c r="O1720" s="18"/>
      <c r="P1720" s="18">
        <f>VLOOKUP($A1720,MasterData!$C$1:$I$3001,1,FALSE)</f>
        <v>9614</v>
      </c>
      <c r="Q1720" s="18" t="str">
        <f t="shared" si="2"/>
        <v>XTKR3</v>
      </c>
    </row>
    <row r="1721" ht="15.75" customHeight="1">
      <c r="A1721" s="31">
        <v>9624.0</v>
      </c>
      <c r="B1721" s="22" t="s">
        <v>2796</v>
      </c>
      <c r="C1721" s="24" t="s">
        <v>8933</v>
      </c>
      <c r="D1721" s="33" t="s">
        <v>2796</v>
      </c>
      <c r="E1721" s="22" t="s">
        <v>2795</v>
      </c>
      <c r="F1721" s="19" t="str">
        <f t="shared" si="1"/>
        <v>XTKR3</v>
      </c>
      <c r="G1721" s="19" t="s">
        <v>5408</v>
      </c>
      <c r="H1721" s="20" t="s">
        <v>1212</v>
      </c>
      <c r="I1721" s="19" t="s">
        <v>5409</v>
      </c>
      <c r="J1721" s="19" t="s">
        <v>5410</v>
      </c>
      <c r="K1721" s="25" t="s">
        <v>7500</v>
      </c>
      <c r="L1721" s="20" t="s">
        <v>8908</v>
      </c>
      <c r="M1721" s="23" t="s">
        <v>2794</v>
      </c>
      <c r="N1721" s="18"/>
      <c r="O1721" s="18"/>
      <c r="P1721" s="18">
        <f>VLOOKUP($A1721,MasterData!$C$1:$I$3001,1,FALSE)</f>
        <v>9624</v>
      </c>
      <c r="Q1721" s="18" t="str">
        <f t="shared" si="2"/>
        <v>XTKR3</v>
      </c>
    </row>
    <row r="1722" ht="15.75" customHeight="1">
      <c r="A1722" s="31">
        <v>9634.0</v>
      </c>
      <c r="B1722" s="22" t="s">
        <v>2799</v>
      </c>
      <c r="C1722" s="24" t="s">
        <v>8934</v>
      </c>
      <c r="D1722" s="33" t="s">
        <v>2799</v>
      </c>
      <c r="E1722" s="22" t="s">
        <v>2798</v>
      </c>
      <c r="F1722" s="19" t="str">
        <f t="shared" si="1"/>
        <v>XTKR3</v>
      </c>
      <c r="G1722" s="19" t="s">
        <v>5408</v>
      </c>
      <c r="H1722" s="20" t="s">
        <v>1212</v>
      </c>
      <c r="I1722" s="19" t="s">
        <v>5409</v>
      </c>
      <c r="J1722" s="19" t="s">
        <v>5410</v>
      </c>
      <c r="K1722" s="25" t="s">
        <v>7500</v>
      </c>
      <c r="L1722" s="20" t="s">
        <v>8908</v>
      </c>
      <c r="M1722" s="23" t="s">
        <v>2797</v>
      </c>
      <c r="N1722" s="18"/>
      <c r="O1722" s="18"/>
      <c r="P1722" s="18">
        <f>VLOOKUP($A1722,MasterData!$C$1:$I$3001,1,FALSE)</f>
        <v>9634</v>
      </c>
      <c r="Q1722" s="18" t="str">
        <f t="shared" si="2"/>
        <v>XTKR3</v>
      </c>
    </row>
    <row r="1723" ht="15.75" customHeight="1">
      <c r="A1723" s="31">
        <v>9640.0</v>
      </c>
      <c r="B1723" s="22" t="s">
        <v>2802</v>
      </c>
      <c r="C1723" s="24" t="s">
        <v>8935</v>
      </c>
      <c r="D1723" s="33" t="s">
        <v>2802</v>
      </c>
      <c r="E1723" s="22" t="s">
        <v>2801</v>
      </c>
      <c r="F1723" s="19" t="str">
        <f t="shared" si="1"/>
        <v>XTKR3</v>
      </c>
      <c r="G1723" s="19" t="s">
        <v>5408</v>
      </c>
      <c r="H1723" s="20" t="s">
        <v>1212</v>
      </c>
      <c r="I1723" s="19" t="s">
        <v>5409</v>
      </c>
      <c r="J1723" s="19" t="s">
        <v>5410</v>
      </c>
      <c r="K1723" s="25" t="s">
        <v>7500</v>
      </c>
      <c r="L1723" s="20" t="s">
        <v>8908</v>
      </c>
      <c r="M1723" s="23" t="s">
        <v>2800</v>
      </c>
      <c r="N1723" s="18"/>
      <c r="O1723" s="18"/>
      <c r="P1723" s="18">
        <f>VLOOKUP($A1723,MasterData!$C$1:$I$3001,1,FALSE)</f>
        <v>9640</v>
      </c>
      <c r="Q1723" s="18" t="str">
        <f t="shared" si="2"/>
        <v>XTKR3</v>
      </c>
    </row>
    <row r="1724" ht="15.75" customHeight="1">
      <c r="A1724" s="31">
        <v>9654.0</v>
      </c>
      <c r="B1724" s="22" t="s">
        <v>2805</v>
      </c>
      <c r="C1724" s="24" t="s">
        <v>8936</v>
      </c>
      <c r="D1724" s="33" t="s">
        <v>2805</v>
      </c>
      <c r="E1724" s="22" t="s">
        <v>2804</v>
      </c>
      <c r="F1724" s="19" t="str">
        <f t="shared" si="1"/>
        <v>XTKR3</v>
      </c>
      <c r="G1724" s="19" t="s">
        <v>5408</v>
      </c>
      <c r="H1724" s="20" t="s">
        <v>1212</v>
      </c>
      <c r="I1724" s="19" t="s">
        <v>5409</v>
      </c>
      <c r="J1724" s="19" t="s">
        <v>5410</v>
      </c>
      <c r="K1724" s="25" t="s">
        <v>7500</v>
      </c>
      <c r="L1724" s="20" t="s">
        <v>8908</v>
      </c>
      <c r="M1724" s="23" t="s">
        <v>2803</v>
      </c>
      <c r="N1724" s="18"/>
      <c r="O1724" s="18"/>
      <c r="P1724" s="18">
        <f>VLOOKUP($A1724,MasterData!$C$1:$I$3001,1,FALSE)</f>
        <v>9654</v>
      </c>
      <c r="Q1724" s="18" t="str">
        <f t="shared" si="2"/>
        <v>XTKR3</v>
      </c>
    </row>
    <row r="1725" ht="15.75" customHeight="1">
      <c r="A1725" s="31">
        <v>9701.0</v>
      </c>
      <c r="B1725" s="22" t="s">
        <v>2808</v>
      </c>
      <c r="C1725" s="24" t="s">
        <v>8937</v>
      </c>
      <c r="D1725" s="33" t="s">
        <v>2808</v>
      </c>
      <c r="E1725" s="22" t="s">
        <v>2807</v>
      </c>
      <c r="F1725" s="19" t="str">
        <f t="shared" si="1"/>
        <v>XTKR3</v>
      </c>
      <c r="G1725" s="19" t="s">
        <v>5408</v>
      </c>
      <c r="H1725" s="20" t="s">
        <v>1212</v>
      </c>
      <c r="I1725" s="19" t="s">
        <v>5409</v>
      </c>
      <c r="J1725" s="19" t="s">
        <v>5410</v>
      </c>
      <c r="K1725" s="25" t="s">
        <v>7500</v>
      </c>
      <c r="L1725" s="20" t="s">
        <v>8908</v>
      </c>
      <c r="M1725" s="23" t="s">
        <v>2806</v>
      </c>
      <c r="N1725" s="18"/>
      <c r="O1725" s="18"/>
      <c r="P1725" s="18">
        <f>VLOOKUP($A1725,MasterData!$C$1:$I$3001,1,FALSE)</f>
        <v>9701</v>
      </c>
      <c r="Q1725" s="18" t="str">
        <f t="shared" si="2"/>
        <v>XTKR3</v>
      </c>
    </row>
    <row r="1726" ht="15.75" customHeight="1">
      <c r="A1726" s="31">
        <v>9713.0</v>
      </c>
      <c r="B1726" s="22" t="s">
        <v>2811</v>
      </c>
      <c r="C1726" s="24" t="s">
        <v>8938</v>
      </c>
      <c r="D1726" s="33" t="s">
        <v>2811</v>
      </c>
      <c r="E1726" s="22" t="s">
        <v>2810</v>
      </c>
      <c r="F1726" s="19" t="str">
        <f t="shared" si="1"/>
        <v>XTKR3</v>
      </c>
      <c r="G1726" s="19" t="s">
        <v>5408</v>
      </c>
      <c r="H1726" s="20" t="s">
        <v>1212</v>
      </c>
      <c r="I1726" s="19" t="s">
        <v>5409</v>
      </c>
      <c r="J1726" s="19" t="s">
        <v>5410</v>
      </c>
      <c r="K1726" s="25" t="s">
        <v>7500</v>
      </c>
      <c r="L1726" s="20" t="s">
        <v>8908</v>
      </c>
      <c r="M1726" s="23" t="s">
        <v>2809</v>
      </c>
      <c r="N1726" s="18"/>
      <c r="O1726" s="18"/>
      <c r="P1726" s="18">
        <f>VLOOKUP($A1726,MasterData!$C$1:$I$3001,1,FALSE)</f>
        <v>9713</v>
      </c>
      <c r="Q1726" s="18" t="str">
        <f t="shared" si="2"/>
        <v>XTKR3</v>
      </c>
    </row>
    <row r="1727" ht="15.75" customHeight="1">
      <c r="A1727" s="31">
        <v>9729.0</v>
      </c>
      <c r="B1727" s="22" t="s">
        <v>2814</v>
      </c>
      <c r="C1727" s="24" t="s">
        <v>8939</v>
      </c>
      <c r="D1727" s="33" t="s">
        <v>2814</v>
      </c>
      <c r="E1727" s="22" t="s">
        <v>2813</v>
      </c>
      <c r="F1727" s="19" t="str">
        <f t="shared" si="1"/>
        <v>XTKR3</v>
      </c>
      <c r="G1727" s="19" t="s">
        <v>5408</v>
      </c>
      <c r="H1727" s="20" t="s">
        <v>1212</v>
      </c>
      <c r="I1727" s="19" t="s">
        <v>5409</v>
      </c>
      <c r="J1727" s="19" t="s">
        <v>5410</v>
      </c>
      <c r="K1727" s="25" t="s">
        <v>7500</v>
      </c>
      <c r="L1727" s="20" t="s">
        <v>8908</v>
      </c>
      <c r="M1727" s="23" t="s">
        <v>2812</v>
      </c>
      <c r="N1727" s="18"/>
      <c r="O1727" s="18"/>
      <c r="P1727" s="18">
        <f>VLOOKUP($A1727,MasterData!$C$1:$I$3001,1,FALSE)</f>
        <v>9729</v>
      </c>
      <c r="Q1727" s="18" t="str">
        <f t="shared" si="2"/>
        <v>XTKR3</v>
      </c>
    </row>
    <row r="1728" ht="15.75" customHeight="1">
      <c r="A1728" s="31">
        <v>9745.0</v>
      </c>
      <c r="B1728" s="22" t="s">
        <v>2817</v>
      </c>
      <c r="C1728" s="24" t="s">
        <v>8940</v>
      </c>
      <c r="D1728" s="33" t="s">
        <v>2817</v>
      </c>
      <c r="E1728" s="22" t="s">
        <v>2816</v>
      </c>
      <c r="F1728" s="19" t="str">
        <f t="shared" si="1"/>
        <v>XTKR3</v>
      </c>
      <c r="G1728" s="19" t="s">
        <v>5408</v>
      </c>
      <c r="H1728" s="20" t="s">
        <v>1212</v>
      </c>
      <c r="I1728" s="19" t="s">
        <v>5409</v>
      </c>
      <c r="J1728" s="19" t="s">
        <v>5410</v>
      </c>
      <c r="K1728" s="25" t="s">
        <v>7500</v>
      </c>
      <c r="L1728" s="20" t="s">
        <v>8908</v>
      </c>
      <c r="M1728" s="23" t="s">
        <v>2815</v>
      </c>
      <c r="N1728" s="18"/>
      <c r="O1728" s="18"/>
      <c r="P1728" s="18">
        <f>VLOOKUP($A1728,MasterData!$C$1:$I$3001,1,FALSE)</f>
        <v>9745</v>
      </c>
      <c r="Q1728" s="18" t="str">
        <f t="shared" si="2"/>
        <v>XTKR3</v>
      </c>
    </row>
    <row r="1729" ht="15.75" customHeight="1">
      <c r="A1729" s="31">
        <v>9761.0</v>
      </c>
      <c r="B1729" s="22" t="s">
        <v>2820</v>
      </c>
      <c r="C1729" s="24" t="s">
        <v>8941</v>
      </c>
      <c r="D1729" s="33" t="s">
        <v>2820</v>
      </c>
      <c r="E1729" s="22" t="s">
        <v>2819</v>
      </c>
      <c r="F1729" s="19" t="str">
        <f t="shared" si="1"/>
        <v>XTKR3</v>
      </c>
      <c r="G1729" s="19" t="s">
        <v>5408</v>
      </c>
      <c r="H1729" s="20" t="s">
        <v>1212</v>
      </c>
      <c r="I1729" s="19" t="s">
        <v>5409</v>
      </c>
      <c r="J1729" s="19" t="s">
        <v>5410</v>
      </c>
      <c r="K1729" s="25" t="s">
        <v>7500</v>
      </c>
      <c r="L1729" s="20" t="s">
        <v>8908</v>
      </c>
      <c r="M1729" s="23" t="s">
        <v>2818</v>
      </c>
      <c r="N1729" s="18"/>
      <c r="O1729" s="18"/>
      <c r="P1729" s="18">
        <f>VLOOKUP($A1729,MasterData!$C$1:$I$3001,1,FALSE)</f>
        <v>9761</v>
      </c>
      <c r="Q1729" s="18" t="str">
        <f t="shared" si="2"/>
        <v>XTKR3</v>
      </c>
    </row>
    <row r="1730" ht="15.75" customHeight="1">
      <c r="A1730" s="31">
        <v>9808.0</v>
      </c>
      <c r="B1730" s="22" t="s">
        <v>2823</v>
      </c>
      <c r="C1730" s="24" t="s">
        <v>8942</v>
      </c>
      <c r="D1730" s="33" t="s">
        <v>2823</v>
      </c>
      <c r="E1730" s="22" t="s">
        <v>2822</v>
      </c>
      <c r="F1730" s="19" t="str">
        <f t="shared" si="1"/>
        <v>XTKR3</v>
      </c>
      <c r="G1730" s="19" t="s">
        <v>5408</v>
      </c>
      <c r="H1730" s="20" t="s">
        <v>1212</v>
      </c>
      <c r="I1730" s="19" t="s">
        <v>5409</v>
      </c>
      <c r="J1730" s="19" t="s">
        <v>5410</v>
      </c>
      <c r="K1730" s="25" t="s">
        <v>7500</v>
      </c>
      <c r="L1730" s="20" t="s">
        <v>8908</v>
      </c>
      <c r="M1730" s="23" t="s">
        <v>2821</v>
      </c>
      <c r="N1730" s="18"/>
      <c r="O1730" s="18"/>
      <c r="P1730" s="18">
        <f>VLOOKUP($A1730,MasterData!$C$1:$I$3001,1,FALSE)</f>
        <v>9808</v>
      </c>
      <c r="Q1730" s="18" t="str">
        <f t="shared" si="2"/>
        <v>XTKR3</v>
      </c>
    </row>
    <row r="1731" ht="15.75" customHeight="1">
      <c r="A1731" s="31">
        <v>9850.0</v>
      </c>
      <c r="B1731" s="22" t="s">
        <v>2826</v>
      </c>
      <c r="C1731" s="24" t="s">
        <v>8943</v>
      </c>
      <c r="D1731" s="33" t="s">
        <v>2826</v>
      </c>
      <c r="E1731" s="22" t="s">
        <v>2825</v>
      </c>
      <c r="F1731" s="19" t="str">
        <f t="shared" si="1"/>
        <v>XTKR3</v>
      </c>
      <c r="G1731" s="19" t="s">
        <v>5408</v>
      </c>
      <c r="H1731" s="20" t="s">
        <v>1212</v>
      </c>
      <c r="I1731" s="19" t="s">
        <v>5409</v>
      </c>
      <c r="J1731" s="19" t="s">
        <v>5410</v>
      </c>
      <c r="K1731" s="25" t="s">
        <v>7500</v>
      </c>
      <c r="L1731" s="20" t="s">
        <v>8908</v>
      </c>
      <c r="M1731" s="23" t="s">
        <v>2824</v>
      </c>
      <c r="N1731" s="18"/>
      <c r="O1731" s="18"/>
      <c r="P1731" s="18">
        <f>VLOOKUP($A1731,MasterData!$C$1:$I$3001,1,FALSE)</f>
        <v>9850</v>
      </c>
      <c r="Q1731" s="18" t="str">
        <f t="shared" si="2"/>
        <v>XTKR3</v>
      </c>
    </row>
    <row r="1732" ht="15.75" customHeight="1">
      <c r="A1732" s="31">
        <v>9248.0</v>
      </c>
      <c r="B1732" s="22" t="s">
        <v>2829</v>
      </c>
      <c r="C1732" s="24" t="s">
        <v>8944</v>
      </c>
      <c r="D1732" s="33" t="s">
        <v>2829</v>
      </c>
      <c r="E1732" s="22" t="s">
        <v>2828</v>
      </c>
      <c r="F1732" s="19" t="str">
        <f t="shared" si="1"/>
        <v>XTSM1</v>
      </c>
      <c r="G1732" s="19" t="s">
        <v>5408</v>
      </c>
      <c r="H1732" s="20" t="s">
        <v>1212</v>
      </c>
      <c r="I1732" s="19" t="s">
        <v>5409</v>
      </c>
      <c r="J1732" s="19" t="s">
        <v>5410</v>
      </c>
      <c r="K1732" s="25" t="s">
        <v>7500</v>
      </c>
      <c r="L1732" s="20" t="s">
        <v>8945</v>
      </c>
      <c r="M1732" s="23" t="s">
        <v>2827</v>
      </c>
      <c r="N1732" s="18"/>
      <c r="O1732" s="18"/>
      <c r="P1732" s="18">
        <f>VLOOKUP($A1732,MasterData!$C$1:$I$3001,1,FALSE)</f>
        <v>9248</v>
      </c>
      <c r="Q1732" s="18" t="str">
        <f t="shared" si="2"/>
        <v>XTSM1</v>
      </c>
    </row>
    <row r="1733" ht="15.75" customHeight="1">
      <c r="A1733" s="31">
        <v>9254.0</v>
      </c>
      <c r="B1733" s="22" t="s">
        <v>2832</v>
      </c>
      <c r="C1733" s="24" t="s">
        <v>8946</v>
      </c>
      <c r="D1733" s="33" t="s">
        <v>2832</v>
      </c>
      <c r="E1733" s="22" t="s">
        <v>2831</v>
      </c>
      <c r="F1733" s="19" t="str">
        <f t="shared" si="1"/>
        <v>XTSM1</v>
      </c>
      <c r="G1733" s="19" t="s">
        <v>5408</v>
      </c>
      <c r="H1733" s="20" t="s">
        <v>1212</v>
      </c>
      <c r="I1733" s="19" t="s">
        <v>5409</v>
      </c>
      <c r="J1733" s="19" t="s">
        <v>5410</v>
      </c>
      <c r="K1733" s="25" t="s">
        <v>7500</v>
      </c>
      <c r="L1733" s="20" t="s">
        <v>8945</v>
      </c>
      <c r="M1733" s="23" t="s">
        <v>2830</v>
      </c>
      <c r="N1733" s="18"/>
      <c r="O1733" s="18"/>
      <c r="P1733" s="18">
        <f>VLOOKUP($A1733,MasterData!$C$1:$I$3001,1,FALSE)</f>
        <v>9254</v>
      </c>
      <c r="Q1733" s="18" t="str">
        <f t="shared" si="2"/>
        <v>XTSM1</v>
      </c>
    </row>
    <row r="1734" ht="15.75" customHeight="1">
      <c r="A1734" s="31">
        <v>9268.0</v>
      </c>
      <c r="B1734" s="22" t="s">
        <v>2835</v>
      </c>
      <c r="C1734" s="24" t="s">
        <v>8947</v>
      </c>
      <c r="D1734" s="33" t="s">
        <v>2835</v>
      </c>
      <c r="E1734" s="22" t="s">
        <v>2834</v>
      </c>
      <c r="F1734" s="19" t="str">
        <f t="shared" si="1"/>
        <v>XTSM1</v>
      </c>
      <c r="G1734" s="19" t="s">
        <v>5408</v>
      </c>
      <c r="H1734" s="20" t="s">
        <v>1212</v>
      </c>
      <c r="I1734" s="19" t="s">
        <v>5409</v>
      </c>
      <c r="J1734" s="19" t="s">
        <v>5410</v>
      </c>
      <c r="K1734" s="25" t="s">
        <v>7500</v>
      </c>
      <c r="L1734" s="20" t="s">
        <v>8945</v>
      </c>
      <c r="M1734" s="23" t="s">
        <v>2833</v>
      </c>
      <c r="N1734" s="18"/>
      <c r="O1734" s="18"/>
      <c r="P1734" s="18">
        <f>VLOOKUP($A1734,MasterData!$C$1:$I$3001,1,FALSE)</f>
        <v>9268</v>
      </c>
      <c r="Q1734" s="18" t="str">
        <f t="shared" si="2"/>
        <v>XTSM1</v>
      </c>
    </row>
    <row r="1735" ht="15.75" customHeight="1">
      <c r="A1735" s="31">
        <v>9273.0</v>
      </c>
      <c r="B1735" s="22" t="s">
        <v>2838</v>
      </c>
      <c r="C1735" s="24" t="s">
        <v>8948</v>
      </c>
      <c r="D1735" s="33" t="s">
        <v>2838</v>
      </c>
      <c r="E1735" s="22" t="s">
        <v>2837</v>
      </c>
      <c r="F1735" s="19" t="str">
        <f t="shared" si="1"/>
        <v>XTSM1</v>
      </c>
      <c r="G1735" s="19" t="s">
        <v>5408</v>
      </c>
      <c r="H1735" s="20" t="s">
        <v>1212</v>
      </c>
      <c r="I1735" s="19" t="s">
        <v>5409</v>
      </c>
      <c r="J1735" s="19" t="s">
        <v>5410</v>
      </c>
      <c r="K1735" s="25" t="s">
        <v>7500</v>
      </c>
      <c r="L1735" s="20" t="s">
        <v>8945</v>
      </c>
      <c r="M1735" s="23" t="s">
        <v>2836</v>
      </c>
      <c r="N1735" s="18"/>
      <c r="O1735" s="18"/>
      <c r="P1735" s="18">
        <f>VLOOKUP($A1735,MasterData!$C$1:$I$3001,1,FALSE)</f>
        <v>9273</v>
      </c>
      <c r="Q1735" s="18" t="str">
        <f t="shared" si="2"/>
        <v>XTSM1</v>
      </c>
    </row>
    <row r="1736" ht="15.75" customHeight="1">
      <c r="A1736" s="31">
        <v>9278.0</v>
      </c>
      <c r="B1736" s="22" t="s">
        <v>2841</v>
      </c>
      <c r="C1736" s="24" t="s">
        <v>8949</v>
      </c>
      <c r="D1736" s="33" t="s">
        <v>2841</v>
      </c>
      <c r="E1736" s="22" t="s">
        <v>2840</v>
      </c>
      <c r="F1736" s="19" t="str">
        <f t="shared" si="1"/>
        <v>XTSM1</v>
      </c>
      <c r="G1736" s="19" t="s">
        <v>5408</v>
      </c>
      <c r="H1736" s="20" t="s">
        <v>1212</v>
      </c>
      <c r="I1736" s="19" t="s">
        <v>5409</v>
      </c>
      <c r="J1736" s="19" t="s">
        <v>5410</v>
      </c>
      <c r="K1736" s="25" t="s">
        <v>7500</v>
      </c>
      <c r="L1736" s="20" t="s">
        <v>8945</v>
      </c>
      <c r="M1736" s="23" t="s">
        <v>2839</v>
      </c>
      <c r="N1736" s="18"/>
      <c r="O1736" s="18"/>
      <c r="P1736" s="18">
        <f>VLOOKUP($A1736,MasterData!$C$1:$I$3001,1,FALSE)</f>
        <v>9278</v>
      </c>
      <c r="Q1736" s="18" t="str">
        <f t="shared" si="2"/>
        <v>XTSM1</v>
      </c>
    </row>
    <row r="1737" ht="15.75" customHeight="1">
      <c r="A1737" s="31">
        <v>9300.0</v>
      </c>
      <c r="B1737" s="22" t="s">
        <v>2844</v>
      </c>
      <c r="C1737" s="24" t="s">
        <v>8950</v>
      </c>
      <c r="D1737" s="33" t="s">
        <v>2844</v>
      </c>
      <c r="E1737" s="22" t="s">
        <v>2843</v>
      </c>
      <c r="F1737" s="19" t="str">
        <f t="shared" si="1"/>
        <v>XTSM1</v>
      </c>
      <c r="G1737" s="19" t="s">
        <v>5408</v>
      </c>
      <c r="H1737" s="20" t="s">
        <v>1212</v>
      </c>
      <c r="I1737" s="19" t="s">
        <v>5409</v>
      </c>
      <c r="J1737" s="19" t="s">
        <v>5410</v>
      </c>
      <c r="K1737" s="25" t="s">
        <v>7500</v>
      </c>
      <c r="L1737" s="20" t="s">
        <v>8945</v>
      </c>
      <c r="M1737" s="23" t="s">
        <v>2842</v>
      </c>
      <c r="N1737" s="18"/>
      <c r="O1737" s="18"/>
      <c r="P1737" s="18">
        <f>VLOOKUP($A1737,MasterData!$C$1:$I$3001,1,FALSE)</f>
        <v>9300</v>
      </c>
      <c r="Q1737" s="18" t="str">
        <f t="shared" si="2"/>
        <v>XTSM1</v>
      </c>
    </row>
    <row r="1738" ht="15.75" customHeight="1">
      <c r="A1738" s="31">
        <v>9320.0</v>
      </c>
      <c r="B1738" s="22" t="s">
        <v>2847</v>
      </c>
      <c r="C1738" s="24" t="s">
        <v>8951</v>
      </c>
      <c r="D1738" s="33" t="s">
        <v>2847</v>
      </c>
      <c r="E1738" s="22" t="s">
        <v>2846</v>
      </c>
      <c r="F1738" s="19" t="str">
        <f t="shared" si="1"/>
        <v>XTSM1</v>
      </c>
      <c r="G1738" s="19" t="s">
        <v>5408</v>
      </c>
      <c r="H1738" s="20" t="s">
        <v>1212</v>
      </c>
      <c r="I1738" s="19" t="s">
        <v>5409</v>
      </c>
      <c r="J1738" s="19" t="s">
        <v>5410</v>
      </c>
      <c r="K1738" s="25" t="s">
        <v>7500</v>
      </c>
      <c r="L1738" s="20" t="s">
        <v>8945</v>
      </c>
      <c r="M1738" s="23" t="s">
        <v>2845</v>
      </c>
      <c r="N1738" s="18"/>
      <c r="O1738" s="18"/>
      <c r="P1738" s="18">
        <f>VLOOKUP($A1738,MasterData!$C$1:$I$3001,1,FALSE)</f>
        <v>9320</v>
      </c>
      <c r="Q1738" s="18" t="str">
        <f t="shared" si="2"/>
        <v>XTSM1</v>
      </c>
    </row>
    <row r="1739" ht="15.75" customHeight="1">
      <c r="A1739" s="31">
        <v>9338.0</v>
      </c>
      <c r="B1739" s="22" t="s">
        <v>2850</v>
      </c>
      <c r="C1739" s="24" t="s">
        <v>8952</v>
      </c>
      <c r="D1739" s="33" t="s">
        <v>2850</v>
      </c>
      <c r="E1739" s="22" t="s">
        <v>2849</v>
      </c>
      <c r="F1739" s="19" t="str">
        <f t="shared" si="1"/>
        <v>XTSM1</v>
      </c>
      <c r="G1739" s="19" t="s">
        <v>5408</v>
      </c>
      <c r="H1739" s="20" t="s">
        <v>1212</v>
      </c>
      <c r="I1739" s="19" t="s">
        <v>5409</v>
      </c>
      <c r="J1739" s="19" t="s">
        <v>5410</v>
      </c>
      <c r="K1739" s="25" t="s">
        <v>7500</v>
      </c>
      <c r="L1739" s="20" t="s">
        <v>8945</v>
      </c>
      <c r="M1739" s="23" t="s">
        <v>2848</v>
      </c>
      <c r="N1739" s="18"/>
      <c r="O1739" s="18"/>
      <c r="P1739" s="18">
        <f>VLOOKUP($A1739,MasterData!$C$1:$I$3001,1,FALSE)</f>
        <v>9338</v>
      </c>
      <c r="Q1739" s="18" t="str">
        <f t="shared" si="2"/>
        <v>XTSM1</v>
      </c>
    </row>
    <row r="1740" ht="15.75" customHeight="1">
      <c r="A1740" s="31">
        <v>9369.0</v>
      </c>
      <c r="B1740" s="22" t="s">
        <v>2853</v>
      </c>
      <c r="C1740" s="24" t="s">
        <v>8953</v>
      </c>
      <c r="D1740" s="33" t="s">
        <v>2853</v>
      </c>
      <c r="E1740" s="22" t="s">
        <v>2852</v>
      </c>
      <c r="F1740" s="19" t="str">
        <f t="shared" si="1"/>
        <v>XTSM1</v>
      </c>
      <c r="G1740" s="19" t="s">
        <v>5408</v>
      </c>
      <c r="H1740" s="20" t="s">
        <v>1212</v>
      </c>
      <c r="I1740" s="19" t="s">
        <v>5409</v>
      </c>
      <c r="J1740" s="19" t="s">
        <v>5410</v>
      </c>
      <c r="K1740" s="25" t="s">
        <v>7500</v>
      </c>
      <c r="L1740" s="20" t="s">
        <v>8945</v>
      </c>
      <c r="M1740" s="23" t="s">
        <v>2851</v>
      </c>
      <c r="N1740" s="18"/>
      <c r="O1740" s="18"/>
      <c r="P1740" s="18">
        <f>VLOOKUP($A1740,MasterData!$C$1:$I$3001,1,FALSE)</f>
        <v>9369</v>
      </c>
      <c r="Q1740" s="18" t="str">
        <f t="shared" si="2"/>
        <v>XTSM1</v>
      </c>
    </row>
    <row r="1741" ht="15.75" customHeight="1">
      <c r="A1741" s="31">
        <v>9390.0</v>
      </c>
      <c r="B1741" s="22" t="s">
        <v>2856</v>
      </c>
      <c r="C1741" s="24" t="s">
        <v>8954</v>
      </c>
      <c r="D1741" s="33" t="s">
        <v>2856</v>
      </c>
      <c r="E1741" s="22" t="s">
        <v>2855</v>
      </c>
      <c r="F1741" s="19" t="str">
        <f t="shared" si="1"/>
        <v>XTSM1</v>
      </c>
      <c r="G1741" s="19" t="s">
        <v>5408</v>
      </c>
      <c r="H1741" s="20" t="s">
        <v>1212</v>
      </c>
      <c r="I1741" s="19" t="s">
        <v>5409</v>
      </c>
      <c r="J1741" s="19" t="s">
        <v>5410</v>
      </c>
      <c r="K1741" s="25" t="s">
        <v>7500</v>
      </c>
      <c r="L1741" s="20" t="s">
        <v>8945</v>
      </c>
      <c r="M1741" s="23" t="s">
        <v>2854</v>
      </c>
      <c r="N1741" s="18"/>
      <c r="O1741" s="18"/>
      <c r="P1741" s="18">
        <f>VLOOKUP($A1741,MasterData!$C$1:$I$3001,1,FALSE)</f>
        <v>9390</v>
      </c>
      <c r="Q1741" s="18" t="str">
        <f t="shared" si="2"/>
        <v>XTSM1</v>
      </c>
    </row>
    <row r="1742" ht="15.75" customHeight="1">
      <c r="A1742" s="31">
        <v>9400.0</v>
      </c>
      <c r="B1742" s="22" t="s">
        <v>2859</v>
      </c>
      <c r="C1742" s="24" t="s">
        <v>8955</v>
      </c>
      <c r="D1742" s="33" t="s">
        <v>2859</v>
      </c>
      <c r="E1742" s="22" t="s">
        <v>2858</v>
      </c>
      <c r="F1742" s="19" t="str">
        <f t="shared" si="1"/>
        <v>XTSM1</v>
      </c>
      <c r="G1742" s="19" t="s">
        <v>5408</v>
      </c>
      <c r="H1742" s="20" t="s">
        <v>1212</v>
      </c>
      <c r="I1742" s="19" t="s">
        <v>5409</v>
      </c>
      <c r="J1742" s="19" t="s">
        <v>5410</v>
      </c>
      <c r="K1742" s="25" t="s">
        <v>7500</v>
      </c>
      <c r="L1742" s="20" t="s">
        <v>8945</v>
      </c>
      <c r="M1742" s="23" t="s">
        <v>2857</v>
      </c>
      <c r="N1742" s="18"/>
      <c r="O1742" s="18"/>
      <c r="P1742" s="18">
        <f>VLOOKUP($A1742,MasterData!$C$1:$I$3001,1,FALSE)</f>
        <v>9400</v>
      </c>
      <c r="Q1742" s="18" t="str">
        <f t="shared" si="2"/>
        <v>XTSM1</v>
      </c>
    </row>
    <row r="1743" ht="15.75" customHeight="1">
      <c r="A1743" s="31">
        <v>9427.0</v>
      </c>
      <c r="B1743" s="22" t="s">
        <v>2862</v>
      </c>
      <c r="C1743" s="24" t="s">
        <v>8956</v>
      </c>
      <c r="D1743" s="33" t="s">
        <v>2862</v>
      </c>
      <c r="E1743" s="22" t="s">
        <v>2861</v>
      </c>
      <c r="F1743" s="19" t="str">
        <f t="shared" si="1"/>
        <v>XTSM1</v>
      </c>
      <c r="G1743" s="19" t="s">
        <v>5408</v>
      </c>
      <c r="H1743" s="20" t="s">
        <v>1212</v>
      </c>
      <c r="I1743" s="19" t="s">
        <v>5409</v>
      </c>
      <c r="J1743" s="19" t="s">
        <v>5410</v>
      </c>
      <c r="K1743" s="25" t="s">
        <v>7500</v>
      </c>
      <c r="L1743" s="20" t="s">
        <v>8945</v>
      </c>
      <c r="M1743" s="23" t="s">
        <v>2860</v>
      </c>
      <c r="N1743" s="18"/>
      <c r="O1743" s="18"/>
      <c r="P1743" s="18">
        <f>VLOOKUP($A1743,MasterData!$C$1:$I$3001,1,FALSE)</f>
        <v>9427</v>
      </c>
      <c r="Q1743" s="18" t="str">
        <f t="shared" si="2"/>
        <v>XTSM1</v>
      </c>
    </row>
    <row r="1744" ht="15.75" customHeight="1">
      <c r="A1744" s="31">
        <v>9440.0</v>
      </c>
      <c r="B1744" s="22" t="s">
        <v>2865</v>
      </c>
      <c r="C1744" s="24" t="s">
        <v>8957</v>
      </c>
      <c r="D1744" s="33" t="s">
        <v>2865</v>
      </c>
      <c r="E1744" s="22" t="s">
        <v>2864</v>
      </c>
      <c r="F1744" s="19" t="str">
        <f t="shared" si="1"/>
        <v>XTSM1</v>
      </c>
      <c r="G1744" s="19" t="s">
        <v>5408</v>
      </c>
      <c r="H1744" s="20" t="s">
        <v>1212</v>
      </c>
      <c r="I1744" s="19" t="s">
        <v>5409</v>
      </c>
      <c r="J1744" s="19" t="s">
        <v>5410</v>
      </c>
      <c r="K1744" s="25" t="s">
        <v>7500</v>
      </c>
      <c r="L1744" s="20" t="s">
        <v>8945</v>
      </c>
      <c r="M1744" s="23" t="s">
        <v>2863</v>
      </c>
      <c r="N1744" s="18"/>
      <c r="O1744" s="18"/>
      <c r="P1744" s="18">
        <f>VLOOKUP($A1744,MasterData!$C$1:$I$3001,1,FALSE)</f>
        <v>9440</v>
      </c>
      <c r="Q1744" s="18" t="str">
        <f t="shared" si="2"/>
        <v>XTSM1</v>
      </c>
    </row>
    <row r="1745" ht="15.75" customHeight="1">
      <c r="A1745" s="31">
        <v>9442.0</v>
      </c>
      <c r="B1745" s="22" t="s">
        <v>2868</v>
      </c>
      <c r="C1745" s="24" t="s">
        <v>8958</v>
      </c>
      <c r="D1745" s="33" t="s">
        <v>2868</v>
      </c>
      <c r="E1745" s="22" t="s">
        <v>2867</v>
      </c>
      <c r="F1745" s="19" t="str">
        <f t="shared" si="1"/>
        <v>XTSM1</v>
      </c>
      <c r="G1745" s="19" t="s">
        <v>5408</v>
      </c>
      <c r="H1745" s="20" t="s">
        <v>1212</v>
      </c>
      <c r="I1745" s="19" t="s">
        <v>5409</v>
      </c>
      <c r="J1745" s="19" t="s">
        <v>5410</v>
      </c>
      <c r="K1745" s="25" t="s">
        <v>7500</v>
      </c>
      <c r="L1745" s="20" t="s">
        <v>8945</v>
      </c>
      <c r="M1745" s="23" t="s">
        <v>2866</v>
      </c>
      <c r="N1745" s="18"/>
      <c r="O1745" s="18"/>
      <c r="P1745" s="18">
        <f>VLOOKUP($A1745,MasterData!$C$1:$I$3001,1,FALSE)</f>
        <v>9442</v>
      </c>
      <c r="Q1745" s="18" t="str">
        <f t="shared" si="2"/>
        <v>XTSM1</v>
      </c>
    </row>
    <row r="1746" ht="15.75" customHeight="1">
      <c r="A1746" s="31">
        <v>9465.0</v>
      </c>
      <c r="B1746" s="22" t="s">
        <v>2871</v>
      </c>
      <c r="C1746" s="24" t="s">
        <v>8959</v>
      </c>
      <c r="D1746" s="33" t="s">
        <v>2871</v>
      </c>
      <c r="E1746" s="22" t="s">
        <v>2870</v>
      </c>
      <c r="F1746" s="19" t="str">
        <f t="shared" si="1"/>
        <v>XTSM1</v>
      </c>
      <c r="G1746" s="19" t="s">
        <v>5408</v>
      </c>
      <c r="H1746" s="20" t="s">
        <v>1212</v>
      </c>
      <c r="I1746" s="19" t="s">
        <v>5409</v>
      </c>
      <c r="J1746" s="19" t="s">
        <v>5410</v>
      </c>
      <c r="K1746" s="25" t="s">
        <v>7500</v>
      </c>
      <c r="L1746" s="20" t="s">
        <v>8945</v>
      </c>
      <c r="M1746" s="23" t="s">
        <v>2869</v>
      </c>
      <c r="N1746" s="18"/>
      <c r="O1746" s="18"/>
      <c r="P1746" s="18">
        <f>VLOOKUP($A1746,MasterData!$C$1:$I$3001,1,FALSE)</f>
        <v>9465</v>
      </c>
      <c r="Q1746" s="18" t="str">
        <f t="shared" si="2"/>
        <v>XTSM1</v>
      </c>
    </row>
    <row r="1747" ht="15.75" customHeight="1">
      <c r="A1747" s="31">
        <v>9490.0</v>
      </c>
      <c r="B1747" s="22" t="s">
        <v>2874</v>
      </c>
      <c r="C1747" s="24" t="s">
        <v>8960</v>
      </c>
      <c r="D1747" s="33" t="s">
        <v>2874</v>
      </c>
      <c r="E1747" s="22" t="s">
        <v>2873</v>
      </c>
      <c r="F1747" s="19" t="str">
        <f t="shared" si="1"/>
        <v>XTSM1</v>
      </c>
      <c r="G1747" s="19" t="s">
        <v>5408</v>
      </c>
      <c r="H1747" s="20" t="s">
        <v>1212</v>
      </c>
      <c r="I1747" s="19" t="s">
        <v>5409</v>
      </c>
      <c r="J1747" s="19" t="s">
        <v>5410</v>
      </c>
      <c r="K1747" s="25" t="s">
        <v>7500</v>
      </c>
      <c r="L1747" s="20" t="s">
        <v>8945</v>
      </c>
      <c r="M1747" s="23" t="s">
        <v>2872</v>
      </c>
      <c r="N1747" s="18"/>
      <c r="O1747" s="18"/>
      <c r="P1747" s="18">
        <f>VLOOKUP($A1747,MasterData!$C$1:$I$3001,1,FALSE)</f>
        <v>9490</v>
      </c>
      <c r="Q1747" s="18" t="str">
        <f t="shared" si="2"/>
        <v>XTSM1</v>
      </c>
    </row>
    <row r="1748" ht="15.75" customHeight="1">
      <c r="A1748" s="31">
        <v>9504.0</v>
      </c>
      <c r="B1748" s="22" t="s">
        <v>2877</v>
      </c>
      <c r="C1748" s="24" t="s">
        <v>8961</v>
      </c>
      <c r="D1748" s="33" t="s">
        <v>2877</v>
      </c>
      <c r="E1748" s="22" t="s">
        <v>2876</v>
      </c>
      <c r="F1748" s="19" t="str">
        <f t="shared" si="1"/>
        <v>XTSM1</v>
      </c>
      <c r="G1748" s="19" t="s">
        <v>5408</v>
      </c>
      <c r="H1748" s="20" t="s">
        <v>1212</v>
      </c>
      <c r="I1748" s="19" t="s">
        <v>5409</v>
      </c>
      <c r="J1748" s="19" t="s">
        <v>5410</v>
      </c>
      <c r="K1748" s="25" t="s">
        <v>7500</v>
      </c>
      <c r="L1748" s="20" t="s">
        <v>8945</v>
      </c>
      <c r="M1748" s="23" t="s">
        <v>2875</v>
      </c>
      <c r="N1748" s="18"/>
      <c r="O1748" s="18"/>
      <c r="P1748" s="18">
        <f>VLOOKUP($A1748,MasterData!$C$1:$I$3001,1,FALSE)</f>
        <v>9504</v>
      </c>
      <c r="Q1748" s="18" t="str">
        <f t="shared" si="2"/>
        <v>XTSM1</v>
      </c>
    </row>
    <row r="1749" ht="15.75" customHeight="1">
      <c r="A1749" s="31">
        <v>9512.0</v>
      </c>
      <c r="B1749" s="22" t="s">
        <v>2880</v>
      </c>
      <c r="C1749" s="24" t="s">
        <v>8962</v>
      </c>
      <c r="D1749" s="33" t="s">
        <v>2880</v>
      </c>
      <c r="E1749" s="22" t="s">
        <v>2879</v>
      </c>
      <c r="F1749" s="19" t="str">
        <f t="shared" si="1"/>
        <v>XTSM1</v>
      </c>
      <c r="G1749" s="19" t="s">
        <v>5408</v>
      </c>
      <c r="H1749" s="20" t="s">
        <v>1212</v>
      </c>
      <c r="I1749" s="19" t="s">
        <v>5409</v>
      </c>
      <c r="J1749" s="19" t="s">
        <v>5410</v>
      </c>
      <c r="K1749" s="25" t="s">
        <v>7500</v>
      </c>
      <c r="L1749" s="20" t="s">
        <v>8945</v>
      </c>
      <c r="M1749" s="23" t="s">
        <v>2878</v>
      </c>
      <c r="N1749" s="18"/>
      <c r="O1749" s="18"/>
      <c r="P1749" s="18">
        <f>VLOOKUP($A1749,MasterData!$C$1:$I$3001,1,FALSE)</f>
        <v>9512</v>
      </c>
      <c r="Q1749" s="18" t="str">
        <f t="shared" si="2"/>
        <v>XTSM1</v>
      </c>
    </row>
    <row r="1750" ht="15.75" customHeight="1">
      <c r="A1750" s="31">
        <v>9536.0</v>
      </c>
      <c r="B1750" s="22" t="s">
        <v>2883</v>
      </c>
      <c r="C1750" s="24" t="s">
        <v>8963</v>
      </c>
      <c r="D1750" s="33" t="s">
        <v>2883</v>
      </c>
      <c r="E1750" s="22" t="s">
        <v>2882</v>
      </c>
      <c r="F1750" s="19" t="str">
        <f t="shared" si="1"/>
        <v>XTSM1</v>
      </c>
      <c r="G1750" s="19" t="s">
        <v>5408</v>
      </c>
      <c r="H1750" s="20" t="s">
        <v>1212</v>
      </c>
      <c r="I1750" s="19" t="s">
        <v>5409</v>
      </c>
      <c r="J1750" s="19" t="s">
        <v>5410</v>
      </c>
      <c r="K1750" s="25" t="s">
        <v>7500</v>
      </c>
      <c r="L1750" s="20" t="s">
        <v>8945</v>
      </c>
      <c r="M1750" s="23" t="s">
        <v>2881</v>
      </c>
      <c r="N1750" s="18"/>
      <c r="O1750" s="18"/>
      <c r="P1750" s="18">
        <f>VLOOKUP($A1750,MasterData!$C$1:$I$3001,1,FALSE)</f>
        <v>9536</v>
      </c>
      <c r="Q1750" s="18" t="str">
        <f t="shared" si="2"/>
        <v>XTSM1</v>
      </c>
    </row>
    <row r="1751" ht="15.75" customHeight="1">
      <c r="A1751" s="31">
        <v>9564.0</v>
      </c>
      <c r="B1751" s="22" t="s">
        <v>2886</v>
      </c>
      <c r="C1751" s="24" t="s">
        <v>8964</v>
      </c>
      <c r="D1751" s="33" t="s">
        <v>2886</v>
      </c>
      <c r="E1751" s="22" t="s">
        <v>2885</v>
      </c>
      <c r="F1751" s="19" t="str">
        <f t="shared" si="1"/>
        <v>XTSM1</v>
      </c>
      <c r="G1751" s="19" t="s">
        <v>5408</v>
      </c>
      <c r="H1751" s="20" t="s">
        <v>1212</v>
      </c>
      <c r="I1751" s="19" t="s">
        <v>5409</v>
      </c>
      <c r="J1751" s="19" t="s">
        <v>5410</v>
      </c>
      <c r="K1751" s="25" t="s">
        <v>7500</v>
      </c>
      <c r="L1751" s="20" t="s">
        <v>8945</v>
      </c>
      <c r="M1751" s="23" t="s">
        <v>2884</v>
      </c>
      <c r="N1751" s="18"/>
      <c r="O1751" s="18"/>
      <c r="P1751" s="18">
        <f>VLOOKUP($A1751,MasterData!$C$1:$I$3001,1,FALSE)</f>
        <v>9564</v>
      </c>
      <c r="Q1751" s="18" t="str">
        <f t="shared" si="2"/>
        <v>XTSM1</v>
      </c>
    </row>
    <row r="1752" ht="15.75" customHeight="1">
      <c r="A1752" s="31">
        <v>9569.0</v>
      </c>
      <c r="B1752" s="22" t="s">
        <v>2889</v>
      </c>
      <c r="C1752" s="24" t="s">
        <v>8965</v>
      </c>
      <c r="D1752" s="33" t="s">
        <v>2889</v>
      </c>
      <c r="E1752" s="22" t="s">
        <v>2888</v>
      </c>
      <c r="F1752" s="19" t="str">
        <f t="shared" si="1"/>
        <v>XTSM1</v>
      </c>
      <c r="G1752" s="19" t="s">
        <v>5408</v>
      </c>
      <c r="H1752" s="20" t="s">
        <v>1212</v>
      </c>
      <c r="I1752" s="19" t="s">
        <v>5409</v>
      </c>
      <c r="J1752" s="19" t="s">
        <v>5410</v>
      </c>
      <c r="K1752" s="25" t="s">
        <v>7500</v>
      </c>
      <c r="L1752" s="20" t="s">
        <v>8945</v>
      </c>
      <c r="M1752" s="23" t="s">
        <v>2887</v>
      </c>
      <c r="N1752" s="18"/>
      <c r="O1752" s="18"/>
      <c r="P1752" s="18">
        <f>VLOOKUP($A1752,MasterData!$C$1:$I$3001,1,FALSE)</f>
        <v>9569</v>
      </c>
      <c r="Q1752" s="18" t="str">
        <f t="shared" si="2"/>
        <v>XTSM1</v>
      </c>
    </row>
    <row r="1753" ht="15.75" customHeight="1">
      <c r="A1753" s="31">
        <v>9580.0</v>
      </c>
      <c r="B1753" s="22" t="s">
        <v>2892</v>
      </c>
      <c r="C1753" s="24" t="s">
        <v>8966</v>
      </c>
      <c r="D1753" s="33" t="s">
        <v>2892</v>
      </c>
      <c r="E1753" s="22" t="s">
        <v>2891</v>
      </c>
      <c r="F1753" s="19" t="str">
        <f t="shared" si="1"/>
        <v>XTSM1</v>
      </c>
      <c r="G1753" s="19" t="s">
        <v>5408</v>
      </c>
      <c r="H1753" s="20" t="s">
        <v>1212</v>
      </c>
      <c r="I1753" s="19" t="s">
        <v>5409</v>
      </c>
      <c r="J1753" s="19" t="s">
        <v>5410</v>
      </c>
      <c r="K1753" s="25" t="s">
        <v>7500</v>
      </c>
      <c r="L1753" s="20" t="s">
        <v>8945</v>
      </c>
      <c r="M1753" s="23" t="s">
        <v>2890</v>
      </c>
      <c r="N1753" s="18"/>
      <c r="O1753" s="18"/>
      <c r="P1753" s="18">
        <f>VLOOKUP($A1753,MasterData!$C$1:$I$3001,1,FALSE)</f>
        <v>9580</v>
      </c>
      <c r="Q1753" s="18" t="str">
        <f t="shared" si="2"/>
        <v>XTSM1</v>
      </c>
    </row>
    <row r="1754" ht="15.75" customHeight="1">
      <c r="A1754" s="31">
        <v>9590.0</v>
      </c>
      <c r="B1754" s="22" t="s">
        <v>2895</v>
      </c>
      <c r="C1754" s="24" t="s">
        <v>8967</v>
      </c>
      <c r="D1754" s="33" t="s">
        <v>2895</v>
      </c>
      <c r="E1754" s="22" t="s">
        <v>2894</v>
      </c>
      <c r="F1754" s="19" t="str">
        <f t="shared" si="1"/>
        <v>XTSM1</v>
      </c>
      <c r="G1754" s="19" t="s">
        <v>5408</v>
      </c>
      <c r="H1754" s="20" t="s">
        <v>1212</v>
      </c>
      <c r="I1754" s="19" t="s">
        <v>5409</v>
      </c>
      <c r="J1754" s="19" t="s">
        <v>5410</v>
      </c>
      <c r="K1754" s="25" t="s">
        <v>7500</v>
      </c>
      <c r="L1754" s="20" t="s">
        <v>8945</v>
      </c>
      <c r="M1754" s="23" t="s">
        <v>2893</v>
      </c>
      <c r="N1754" s="18"/>
      <c r="O1754" s="18"/>
      <c r="P1754" s="18">
        <f>VLOOKUP($A1754,MasterData!$C$1:$I$3001,1,FALSE)</f>
        <v>9590</v>
      </c>
      <c r="Q1754" s="18" t="str">
        <f t="shared" si="2"/>
        <v>XTSM1</v>
      </c>
    </row>
    <row r="1755" ht="15.75" customHeight="1">
      <c r="A1755" s="31">
        <v>9595.0</v>
      </c>
      <c r="B1755" s="22" t="s">
        <v>2898</v>
      </c>
      <c r="C1755" s="24" t="s">
        <v>8968</v>
      </c>
      <c r="D1755" s="33" t="s">
        <v>2898</v>
      </c>
      <c r="E1755" s="22" t="s">
        <v>2897</v>
      </c>
      <c r="F1755" s="19" t="str">
        <f t="shared" si="1"/>
        <v>XTSM1</v>
      </c>
      <c r="G1755" s="19" t="s">
        <v>5408</v>
      </c>
      <c r="H1755" s="20" t="s">
        <v>1212</v>
      </c>
      <c r="I1755" s="19" t="s">
        <v>5409</v>
      </c>
      <c r="J1755" s="19" t="s">
        <v>5410</v>
      </c>
      <c r="K1755" s="25" t="s">
        <v>7500</v>
      </c>
      <c r="L1755" s="20" t="s">
        <v>8945</v>
      </c>
      <c r="M1755" s="23" t="s">
        <v>2896</v>
      </c>
      <c r="N1755" s="18"/>
      <c r="O1755" s="18"/>
      <c r="P1755" s="18">
        <f>VLOOKUP($A1755,MasterData!$C$1:$I$3001,1,FALSE)</f>
        <v>9595</v>
      </c>
      <c r="Q1755" s="18" t="str">
        <f t="shared" si="2"/>
        <v>XTSM1</v>
      </c>
    </row>
    <row r="1756" ht="15.75" customHeight="1">
      <c r="A1756" s="31">
        <v>9600.0</v>
      </c>
      <c r="B1756" s="22" t="s">
        <v>2901</v>
      </c>
      <c r="C1756" s="24" t="s">
        <v>8969</v>
      </c>
      <c r="D1756" s="33" t="s">
        <v>2901</v>
      </c>
      <c r="E1756" s="22" t="s">
        <v>2900</v>
      </c>
      <c r="F1756" s="19" t="str">
        <f t="shared" si="1"/>
        <v>XTSM1</v>
      </c>
      <c r="G1756" s="19" t="s">
        <v>5408</v>
      </c>
      <c r="H1756" s="20" t="s">
        <v>1212</v>
      </c>
      <c r="I1756" s="19" t="s">
        <v>5409</v>
      </c>
      <c r="J1756" s="19" t="s">
        <v>5410</v>
      </c>
      <c r="K1756" s="25" t="s">
        <v>7500</v>
      </c>
      <c r="L1756" s="20" t="s">
        <v>8945</v>
      </c>
      <c r="M1756" s="23" t="s">
        <v>2899</v>
      </c>
      <c r="N1756" s="18"/>
      <c r="O1756" s="18"/>
      <c r="P1756" s="18">
        <f>VLOOKUP($A1756,MasterData!$C$1:$I$3001,1,FALSE)</f>
        <v>9600</v>
      </c>
      <c r="Q1756" s="18" t="str">
        <f t="shared" si="2"/>
        <v>XTSM1</v>
      </c>
    </row>
    <row r="1757" ht="15.75" customHeight="1">
      <c r="A1757" s="31">
        <v>9612.0</v>
      </c>
      <c r="B1757" s="22" t="s">
        <v>2904</v>
      </c>
      <c r="C1757" s="24" t="s">
        <v>8970</v>
      </c>
      <c r="D1757" s="33" t="s">
        <v>2904</v>
      </c>
      <c r="E1757" s="22" t="s">
        <v>2903</v>
      </c>
      <c r="F1757" s="19" t="str">
        <f t="shared" si="1"/>
        <v>XTSM1</v>
      </c>
      <c r="G1757" s="19" t="s">
        <v>5408</v>
      </c>
      <c r="H1757" s="20" t="s">
        <v>1212</v>
      </c>
      <c r="I1757" s="19" t="s">
        <v>5409</v>
      </c>
      <c r="J1757" s="19" t="s">
        <v>5410</v>
      </c>
      <c r="K1757" s="25" t="s">
        <v>7500</v>
      </c>
      <c r="L1757" s="20" t="s">
        <v>8945</v>
      </c>
      <c r="M1757" s="23" t="s">
        <v>2902</v>
      </c>
      <c r="N1757" s="18"/>
      <c r="O1757" s="18"/>
      <c r="P1757" s="18">
        <f>VLOOKUP($A1757,MasterData!$C$1:$I$3001,1,FALSE)</f>
        <v>9612</v>
      </c>
      <c r="Q1757" s="18" t="str">
        <f t="shared" si="2"/>
        <v>XTSM1</v>
      </c>
    </row>
    <row r="1758" ht="15.75" customHeight="1">
      <c r="A1758" s="31">
        <v>9623.0</v>
      </c>
      <c r="B1758" s="22" t="s">
        <v>2907</v>
      </c>
      <c r="C1758" s="24" t="s">
        <v>8971</v>
      </c>
      <c r="D1758" s="33" t="s">
        <v>2907</v>
      </c>
      <c r="E1758" s="22" t="s">
        <v>2906</v>
      </c>
      <c r="F1758" s="19" t="str">
        <f t="shared" si="1"/>
        <v>XTSM1</v>
      </c>
      <c r="G1758" s="19" t="s">
        <v>5408</v>
      </c>
      <c r="H1758" s="20" t="s">
        <v>1212</v>
      </c>
      <c r="I1758" s="19" t="s">
        <v>5409</v>
      </c>
      <c r="J1758" s="19" t="s">
        <v>5410</v>
      </c>
      <c r="K1758" s="25" t="s">
        <v>7500</v>
      </c>
      <c r="L1758" s="20" t="s">
        <v>8945</v>
      </c>
      <c r="M1758" s="23" t="s">
        <v>2905</v>
      </c>
      <c r="N1758" s="18"/>
      <c r="O1758" s="18"/>
      <c r="P1758" s="18">
        <f>VLOOKUP($A1758,MasterData!$C$1:$I$3001,1,FALSE)</f>
        <v>9623</v>
      </c>
      <c r="Q1758" s="18" t="str">
        <f t="shared" si="2"/>
        <v>XTSM1</v>
      </c>
    </row>
    <row r="1759" ht="15.75" customHeight="1">
      <c r="A1759" s="31">
        <v>9626.0</v>
      </c>
      <c r="B1759" s="22" t="s">
        <v>2910</v>
      </c>
      <c r="C1759" s="24" t="s">
        <v>8972</v>
      </c>
      <c r="D1759" s="33" t="s">
        <v>2910</v>
      </c>
      <c r="E1759" s="22" t="s">
        <v>2909</v>
      </c>
      <c r="F1759" s="19" t="str">
        <f t="shared" si="1"/>
        <v>XTSM1</v>
      </c>
      <c r="G1759" s="19" t="s">
        <v>5408</v>
      </c>
      <c r="H1759" s="20" t="s">
        <v>1212</v>
      </c>
      <c r="I1759" s="19" t="s">
        <v>5409</v>
      </c>
      <c r="J1759" s="19" t="s">
        <v>5410</v>
      </c>
      <c r="K1759" s="25" t="s">
        <v>7500</v>
      </c>
      <c r="L1759" s="20" t="s">
        <v>8945</v>
      </c>
      <c r="M1759" s="23" t="s">
        <v>2908</v>
      </c>
      <c r="N1759" s="18"/>
      <c r="O1759" s="18"/>
      <c r="P1759" s="18">
        <f>VLOOKUP($A1759,MasterData!$C$1:$I$3001,1,FALSE)</f>
        <v>9626</v>
      </c>
      <c r="Q1759" s="18" t="str">
        <f t="shared" si="2"/>
        <v>XTSM1</v>
      </c>
    </row>
    <row r="1760" ht="15.75" customHeight="1">
      <c r="A1760" s="31">
        <v>9641.0</v>
      </c>
      <c r="B1760" s="22" t="s">
        <v>2913</v>
      </c>
      <c r="C1760" s="24" t="s">
        <v>8973</v>
      </c>
      <c r="D1760" s="33" t="s">
        <v>2913</v>
      </c>
      <c r="E1760" s="22" t="s">
        <v>2912</v>
      </c>
      <c r="F1760" s="19" t="str">
        <f t="shared" si="1"/>
        <v>XTSM1</v>
      </c>
      <c r="G1760" s="19" t="s">
        <v>5408</v>
      </c>
      <c r="H1760" s="20" t="s">
        <v>1212</v>
      </c>
      <c r="I1760" s="19" t="s">
        <v>5409</v>
      </c>
      <c r="J1760" s="19" t="s">
        <v>5410</v>
      </c>
      <c r="K1760" s="25" t="s">
        <v>7500</v>
      </c>
      <c r="L1760" s="20" t="s">
        <v>8945</v>
      </c>
      <c r="M1760" s="23" t="s">
        <v>2911</v>
      </c>
      <c r="N1760" s="18"/>
      <c r="O1760" s="18"/>
      <c r="P1760" s="18">
        <f>VLOOKUP($A1760,MasterData!$C$1:$I$3001,1,FALSE)</f>
        <v>9641</v>
      </c>
      <c r="Q1760" s="18" t="str">
        <f t="shared" si="2"/>
        <v>XTSM1</v>
      </c>
    </row>
    <row r="1761" ht="15.75" customHeight="1">
      <c r="A1761" s="31">
        <v>9686.0</v>
      </c>
      <c r="B1761" s="22" t="s">
        <v>2916</v>
      </c>
      <c r="C1761" s="24" t="s">
        <v>8974</v>
      </c>
      <c r="D1761" s="33" t="s">
        <v>2916</v>
      </c>
      <c r="E1761" s="22" t="s">
        <v>2915</v>
      </c>
      <c r="F1761" s="19" t="str">
        <f t="shared" si="1"/>
        <v>XTSM1</v>
      </c>
      <c r="G1761" s="19" t="s">
        <v>5408</v>
      </c>
      <c r="H1761" s="20" t="s">
        <v>1212</v>
      </c>
      <c r="I1761" s="19" t="s">
        <v>5409</v>
      </c>
      <c r="J1761" s="19" t="s">
        <v>5410</v>
      </c>
      <c r="K1761" s="25" t="s">
        <v>7500</v>
      </c>
      <c r="L1761" s="20" t="s">
        <v>8945</v>
      </c>
      <c r="M1761" s="23" t="s">
        <v>2914</v>
      </c>
      <c r="N1761" s="18"/>
      <c r="O1761" s="18"/>
      <c r="P1761" s="18">
        <f>VLOOKUP($A1761,MasterData!$C$1:$I$3001,1,FALSE)</f>
        <v>9686</v>
      </c>
      <c r="Q1761" s="18" t="str">
        <f t="shared" si="2"/>
        <v>XTSM1</v>
      </c>
    </row>
    <row r="1762" ht="15.75" customHeight="1">
      <c r="A1762" s="31">
        <v>9705.0</v>
      </c>
      <c r="B1762" s="22" t="s">
        <v>2919</v>
      </c>
      <c r="C1762" s="24" t="s">
        <v>8975</v>
      </c>
      <c r="D1762" s="33" t="s">
        <v>2919</v>
      </c>
      <c r="E1762" s="22" t="s">
        <v>2918</v>
      </c>
      <c r="F1762" s="19" t="str">
        <f t="shared" si="1"/>
        <v>XTSM1</v>
      </c>
      <c r="G1762" s="19" t="s">
        <v>5408</v>
      </c>
      <c r="H1762" s="20" t="s">
        <v>1212</v>
      </c>
      <c r="I1762" s="19" t="s">
        <v>5409</v>
      </c>
      <c r="J1762" s="19" t="s">
        <v>5410</v>
      </c>
      <c r="K1762" s="25" t="s">
        <v>7500</v>
      </c>
      <c r="L1762" s="20" t="s">
        <v>8945</v>
      </c>
      <c r="M1762" s="23" t="s">
        <v>2917</v>
      </c>
      <c r="N1762" s="18"/>
      <c r="O1762" s="18"/>
      <c r="P1762" s="18">
        <f>VLOOKUP($A1762,MasterData!$C$1:$I$3001,1,FALSE)</f>
        <v>9705</v>
      </c>
      <c r="Q1762" s="18" t="str">
        <f t="shared" si="2"/>
        <v>XTSM1</v>
      </c>
    </row>
    <row r="1763" ht="15.75" customHeight="1">
      <c r="A1763" s="31">
        <v>9728.0</v>
      </c>
      <c r="B1763" s="22" t="s">
        <v>2922</v>
      </c>
      <c r="C1763" s="24" t="s">
        <v>8976</v>
      </c>
      <c r="D1763" s="33" t="s">
        <v>2922</v>
      </c>
      <c r="E1763" s="22" t="s">
        <v>2921</v>
      </c>
      <c r="F1763" s="19" t="str">
        <f t="shared" si="1"/>
        <v>XTSM1</v>
      </c>
      <c r="G1763" s="19" t="s">
        <v>5408</v>
      </c>
      <c r="H1763" s="20" t="s">
        <v>1212</v>
      </c>
      <c r="I1763" s="19" t="s">
        <v>5409</v>
      </c>
      <c r="J1763" s="19" t="s">
        <v>5410</v>
      </c>
      <c r="K1763" s="25" t="s">
        <v>7500</v>
      </c>
      <c r="L1763" s="20" t="s">
        <v>8945</v>
      </c>
      <c r="M1763" s="23" t="s">
        <v>2920</v>
      </c>
      <c r="N1763" s="18"/>
      <c r="O1763" s="18"/>
      <c r="P1763" s="18">
        <f>VLOOKUP($A1763,MasterData!$C$1:$I$3001,1,FALSE)</f>
        <v>9728</v>
      </c>
      <c r="Q1763" s="18" t="str">
        <f t="shared" si="2"/>
        <v>XTSM1</v>
      </c>
    </row>
    <row r="1764" ht="15.75" customHeight="1">
      <c r="A1764" s="31">
        <v>9754.0</v>
      </c>
      <c r="B1764" s="22" t="s">
        <v>2925</v>
      </c>
      <c r="C1764" s="24" t="s">
        <v>8977</v>
      </c>
      <c r="D1764" s="33" t="s">
        <v>2925</v>
      </c>
      <c r="E1764" s="22" t="s">
        <v>2924</v>
      </c>
      <c r="F1764" s="19" t="str">
        <f t="shared" si="1"/>
        <v>XTSM1</v>
      </c>
      <c r="G1764" s="19" t="s">
        <v>5408</v>
      </c>
      <c r="H1764" s="20" t="s">
        <v>1212</v>
      </c>
      <c r="I1764" s="19" t="s">
        <v>5409</v>
      </c>
      <c r="J1764" s="19" t="s">
        <v>5410</v>
      </c>
      <c r="K1764" s="25" t="s">
        <v>7500</v>
      </c>
      <c r="L1764" s="20" t="s">
        <v>8945</v>
      </c>
      <c r="M1764" s="23" t="s">
        <v>2923</v>
      </c>
      <c r="N1764" s="18"/>
      <c r="O1764" s="18"/>
      <c r="P1764" s="18">
        <f>VLOOKUP($A1764,MasterData!$C$1:$I$3001,1,FALSE)</f>
        <v>9754</v>
      </c>
      <c r="Q1764" s="18" t="str">
        <f t="shared" si="2"/>
        <v>XTSM1</v>
      </c>
    </row>
    <row r="1765" ht="15.75" customHeight="1">
      <c r="A1765" s="31">
        <v>9768.0</v>
      </c>
      <c r="B1765" s="22" t="s">
        <v>2928</v>
      </c>
      <c r="C1765" s="24" t="s">
        <v>8978</v>
      </c>
      <c r="D1765" s="33" t="s">
        <v>2928</v>
      </c>
      <c r="E1765" s="22" t="s">
        <v>2927</v>
      </c>
      <c r="F1765" s="19" t="str">
        <f t="shared" si="1"/>
        <v>XTSM1</v>
      </c>
      <c r="G1765" s="19" t="s">
        <v>5408</v>
      </c>
      <c r="H1765" s="20" t="s">
        <v>1212</v>
      </c>
      <c r="I1765" s="19" t="s">
        <v>5409</v>
      </c>
      <c r="J1765" s="19" t="s">
        <v>5410</v>
      </c>
      <c r="K1765" s="25" t="s">
        <v>7500</v>
      </c>
      <c r="L1765" s="20" t="s">
        <v>8945</v>
      </c>
      <c r="M1765" s="23" t="s">
        <v>2926</v>
      </c>
      <c r="N1765" s="18"/>
      <c r="O1765" s="18"/>
      <c r="P1765" s="18">
        <f>VLOOKUP($A1765,MasterData!$C$1:$I$3001,1,FALSE)</f>
        <v>9768</v>
      </c>
      <c r="Q1765" s="18" t="str">
        <f t="shared" si="2"/>
        <v>XTSM1</v>
      </c>
    </row>
    <row r="1766" ht="15.75" customHeight="1">
      <c r="A1766" s="31">
        <v>9826.0</v>
      </c>
      <c r="B1766" s="22" t="s">
        <v>2931</v>
      </c>
      <c r="C1766" s="24" t="s">
        <v>8979</v>
      </c>
      <c r="D1766" s="33" t="s">
        <v>2931</v>
      </c>
      <c r="E1766" s="22" t="s">
        <v>2930</v>
      </c>
      <c r="F1766" s="19" t="str">
        <f t="shared" si="1"/>
        <v>XTSM1</v>
      </c>
      <c r="G1766" s="19" t="s">
        <v>5408</v>
      </c>
      <c r="H1766" s="20" t="s">
        <v>1212</v>
      </c>
      <c r="I1766" s="19" t="s">
        <v>5409</v>
      </c>
      <c r="J1766" s="19" t="s">
        <v>5410</v>
      </c>
      <c r="K1766" s="25" t="s">
        <v>7500</v>
      </c>
      <c r="L1766" s="20" t="s">
        <v>8945</v>
      </c>
      <c r="M1766" s="23" t="s">
        <v>2929</v>
      </c>
      <c r="N1766" s="18"/>
      <c r="O1766" s="18"/>
      <c r="P1766" s="18">
        <f>VLOOKUP($A1766,MasterData!$C$1:$I$3001,1,FALSE)</f>
        <v>9826</v>
      </c>
      <c r="Q1766" s="18" t="str">
        <f t="shared" si="2"/>
        <v>XTSM1</v>
      </c>
    </row>
    <row r="1767" ht="15.75" customHeight="1">
      <c r="A1767" s="31">
        <v>9830.0</v>
      </c>
      <c r="B1767" s="22" t="s">
        <v>2934</v>
      </c>
      <c r="C1767" s="24" t="s">
        <v>8980</v>
      </c>
      <c r="D1767" s="33" t="s">
        <v>2934</v>
      </c>
      <c r="E1767" s="22" t="s">
        <v>2933</v>
      </c>
      <c r="F1767" s="19" t="str">
        <f t="shared" si="1"/>
        <v>XTSM1</v>
      </c>
      <c r="G1767" s="19" t="s">
        <v>5408</v>
      </c>
      <c r="H1767" s="20" t="s">
        <v>1212</v>
      </c>
      <c r="I1767" s="19" t="s">
        <v>5409</v>
      </c>
      <c r="J1767" s="19" t="s">
        <v>5410</v>
      </c>
      <c r="K1767" s="25" t="s">
        <v>7500</v>
      </c>
      <c r="L1767" s="20" t="s">
        <v>8945</v>
      </c>
      <c r="M1767" s="23" t="s">
        <v>2932</v>
      </c>
      <c r="N1767" s="18"/>
      <c r="O1767" s="18"/>
      <c r="P1767" s="18">
        <f>VLOOKUP($A1767,MasterData!$C$1:$I$3001,1,FALSE)</f>
        <v>9830</v>
      </c>
      <c r="Q1767" s="18" t="str">
        <f t="shared" si="2"/>
        <v>XTSM1</v>
      </c>
    </row>
    <row r="1768" ht="15.75" customHeight="1">
      <c r="A1768" s="31">
        <v>9251.0</v>
      </c>
      <c r="B1768" s="22" t="s">
        <v>2937</v>
      </c>
      <c r="C1768" s="24" t="s">
        <v>8981</v>
      </c>
      <c r="D1768" s="33" t="s">
        <v>2937</v>
      </c>
      <c r="E1768" s="22" t="s">
        <v>2936</v>
      </c>
      <c r="F1768" s="19" t="str">
        <f t="shared" si="1"/>
        <v>XTSM2</v>
      </c>
      <c r="G1768" s="19" t="s">
        <v>5408</v>
      </c>
      <c r="H1768" s="20" t="s">
        <v>1212</v>
      </c>
      <c r="I1768" s="19" t="s">
        <v>5409</v>
      </c>
      <c r="J1768" s="19" t="s">
        <v>5410</v>
      </c>
      <c r="K1768" s="25" t="s">
        <v>7500</v>
      </c>
      <c r="L1768" s="20" t="s">
        <v>8982</v>
      </c>
      <c r="M1768" s="23" t="s">
        <v>2935</v>
      </c>
      <c r="N1768" s="18"/>
      <c r="O1768" s="18"/>
      <c r="P1768" s="18">
        <f>VLOOKUP($A1768,MasterData!$C$1:$I$3001,1,FALSE)</f>
        <v>9251</v>
      </c>
      <c r="Q1768" s="18" t="str">
        <f t="shared" si="2"/>
        <v>XTSM2</v>
      </c>
    </row>
    <row r="1769" ht="15.75" customHeight="1">
      <c r="A1769" s="31">
        <v>9261.0</v>
      </c>
      <c r="B1769" s="22" t="s">
        <v>2940</v>
      </c>
      <c r="C1769" s="24" t="s">
        <v>8983</v>
      </c>
      <c r="D1769" s="33" t="s">
        <v>2940</v>
      </c>
      <c r="E1769" s="22" t="s">
        <v>2939</v>
      </c>
      <c r="F1769" s="19" t="str">
        <f t="shared" si="1"/>
        <v>XTSM2</v>
      </c>
      <c r="G1769" s="19" t="s">
        <v>5408</v>
      </c>
      <c r="H1769" s="20" t="s">
        <v>1212</v>
      </c>
      <c r="I1769" s="19" t="s">
        <v>5409</v>
      </c>
      <c r="J1769" s="19" t="s">
        <v>5410</v>
      </c>
      <c r="K1769" s="25" t="s">
        <v>7500</v>
      </c>
      <c r="L1769" s="20" t="s">
        <v>8982</v>
      </c>
      <c r="M1769" s="23" t="s">
        <v>2938</v>
      </c>
      <c r="N1769" s="18"/>
      <c r="O1769" s="18"/>
      <c r="P1769" s="18">
        <f>VLOOKUP($A1769,MasterData!$C$1:$I$3001,1,FALSE)</f>
        <v>9261</v>
      </c>
      <c r="Q1769" s="18" t="str">
        <f t="shared" si="2"/>
        <v>XTSM2</v>
      </c>
    </row>
    <row r="1770" ht="15.75" customHeight="1">
      <c r="A1770" s="31">
        <v>9270.0</v>
      </c>
      <c r="B1770" s="22" t="s">
        <v>2943</v>
      </c>
      <c r="C1770" s="24" t="s">
        <v>8984</v>
      </c>
      <c r="D1770" s="33" t="s">
        <v>2943</v>
      </c>
      <c r="E1770" s="22" t="s">
        <v>2942</v>
      </c>
      <c r="F1770" s="19" t="str">
        <f t="shared" si="1"/>
        <v>XTSM2</v>
      </c>
      <c r="G1770" s="19" t="s">
        <v>5408</v>
      </c>
      <c r="H1770" s="20" t="s">
        <v>1212</v>
      </c>
      <c r="I1770" s="19" t="s">
        <v>5409</v>
      </c>
      <c r="J1770" s="19" t="s">
        <v>5410</v>
      </c>
      <c r="K1770" s="25" t="s">
        <v>7500</v>
      </c>
      <c r="L1770" s="20" t="s">
        <v>8982</v>
      </c>
      <c r="M1770" s="23" t="s">
        <v>2941</v>
      </c>
      <c r="N1770" s="18"/>
      <c r="O1770" s="18"/>
      <c r="P1770" s="18">
        <f>VLOOKUP($A1770,MasterData!$C$1:$I$3001,1,FALSE)</f>
        <v>9270</v>
      </c>
      <c r="Q1770" s="18" t="str">
        <f t="shared" si="2"/>
        <v>XTSM2</v>
      </c>
    </row>
    <row r="1771" ht="15.75" customHeight="1">
      <c r="A1771" s="31">
        <v>9274.0</v>
      </c>
      <c r="B1771" s="22" t="s">
        <v>2946</v>
      </c>
      <c r="C1771" s="24" t="s">
        <v>8985</v>
      </c>
      <c r="D1771" s="33" t="s">
        <v>2946</v>
      </c>
      <c r="E1771" s="22" t="s">
        <v>2945</v>
      </c>
      <c r="F1771" s="19" t="str">
        <f t="shared" si="1"/>
        <v>XTSM2</v>
      </c>
      <c r="G1771" s="19" t="s">
        <v>5408</v>
      </c>
      <c r="H1771" s="20" t="s">
        <v>1212</v>
      </c>
      <c r="I1771" s="19" t="s">
        <v>5409</v>
      </c>
      <c r="J1771" s="19" t="s">
        <v>5410</v>
      </c>
      <c r="K1771" s="25" t="s">
        <v>7500</v>
      </c>
      <c r="L1771" s="20" t="s">
        <v>8982</v>
      </c>
      <c r="M1771" s="23" t="s">
        <v>2944</v>
      </c>
      <c r="N1771" s="18"/>
      <c r="O1771" s="18"/>
      <c r="P1771" s="18">
        <f>VLOOKUP($A1771,MasterData!$C$1:$I$3001,1,FALSE)</f>
        <v>9274</v>
      </c>
      <c r="Q1771" s="18" t="str">
        <f t="shared" si="2"/>
        <v>XTSM2</v>
      </c>
    </row>
    <row r="1772" ht="15.75" customHeight="1">
      <c r="A1772" s="31">
        <v>9282.0</v>
      </c>
      <c r="B1772" s="22" t="s">
        <v>2949</v>
      </c>
      <c r="C1772" s="24" t="s">
        <v>8986</v>
      </c>
      <c r="D1772" s="33" t="s">
        <v>2949</v>
      </c>
      <c r="E1772" s="22" t="s">
        <v>2948</v>
      </c>
      <c r="F1772" s="19" t="str">
        <f t="shared" si="1"/>
        <v>XTSM2</v>
      </c>
      <c r="G1772" s="19" t="s">
        <v>5408</v>
      </c>
      <c r="H1772" s="20" t="s">
        <v>1212</v>
      </c>
      <c r="I1772" s="19" t="s">
        <v>5409</v>
      </c>
      <c r="J1772" s="19" t="s">
        <v>5410</v>
      </c>
      <c r="K1772" s="25" t="s">
        <v>7500</v>
      </c>
      <c r="L1772" s="20" t="s">
        <v>8982</v>
      </c>
      <c r="M1772" s="23" t="s">
        <v>2947</v>
      </c>
      <c r="N1772" s="18"/>
      <c r="O1772" s="18"/>
      <c r="P1772" s="18">
        <f>VLOOKUP($A1772,MasterData!$C$1:$I$3001,1,FALSE)</f>
        <v>9282</v>
      </c>
      <c r="Q1772" s="18" t="str">
        <f t="shared" si="2"/>
        <v>XTSM2</v>
      </c>
    </row>
    <row r="1773" ht="15.75" customHeight="1">
      <c r="A1773" s="31">
        <v>9310.0</v>
      </c>
      <c r="B1773" s="22" t="s">
        <v>2952</v>
      </c>
      <c r="C1773" s="24" t="s">
        <v>8987</v>
      </c>
      <c r="D1773" s="33" t="s">
        <v>2952</v>
      </c>
      <c r="E1773" s="22" t="s">
        <v>2951</v>
      </c>
      <c r="F1773" s="19" t="str">
        <f t="shared" si="1"/>
        <v>XTSM2</v>
      </c>
      <c r="G1773" s="19" t="s">
        <v>5408</v>
      </c>
      <c r="H1773" s="20" t="s">
        <v>1212</v>
      </c>
      <c r="I1773" s="19" t="s">
        <v>5409</v>
      </c>
      <c r="J1773" s="19" t="s">
        <v>5410</v>
      </c>
      <c r="K1773" s="25" t="s">
        <v>7500</v>
      </c>
      <c r="L1773" s="20" t="s">
        <v>8982</v>
      </c>
      <c r="M1773" s="23" t="s">
        <v>2950</v>
      </c>
      <c r="N1773" s="18"/>
      <c r="O1773" s="18"/>
      <c r="P1773" s="18">
        <f>VLOOKUP($A1773,MasterData!$C$1:$I$3001,1,FALSE)</f>
        <v>9310</v>
      </c>
      <c r="Q1773" s="18" t="str">
        <f t="shared" si="2"/>
        <v>XTSM2</v>
      </c>
    </row>
    <row r="1774" ht="15.75" customHeight="1">
      <c r="A1774" s="31">
        <v>9323.0</v>
      </c>
      <c r="B1774" s="22" t="s">
        <v>2955</v>
      </c>
      <c r="C1774" s="24" t="s">
        <v>8988</v>
      </c>
      <c r="D1774" s="33" t="s">
        <v>2955</v>
      </c>
      <c r="E1774" s="22" t="s">
        <v>2954</v>
      </c>
      <c r="F1774" s="19" t="str">
        <f t="shared" si="1"/>
        <v>XTSM2</v>
      </c>
      <c r="G1774" s="19" t="s">
        <v>5408</v>
      </c>
      <c r="H1774" s="20" t="s">
        <v>1212</v>
      </c>
      <c r="I1774" s="19" t="s">
        <v>5409</v>
      </c>
      <c r="J1774" s="19" t="s">
        <v>5410</v>
      </c>
      <c r="K1774" s="25" t="s">
        <v>7500</v>
      </c>
      <c r="L1774" s="20" t="s">
        <v>8982</v>
      </c>
      <c r="M1774" s="23" t="s">
        <v>2953</v>
      </c>
      <c r="N1774" s="18"/>
      <c r="O1774" s="18"/>
      <c r="P1774" s="18">
        <f>VLOOKUP($A1774,MasterData!$C$1:$I$3001,1,FALSE)</f>
        <v>9323</v>
      </c>
      <c r="Q1774" s="18" t="str">
        <f t="shared" si="2"/>
        <v>XTSM2</v>
      </c>
    </row>
    <row r="1775" ht="15.75" customHeight="1">
      <c r="A1775" s="31">
        <v>9362.0</v>
      </c>
      <c r="B1775" s="22" t="s">
        <v>2958</v>
      </c>
      <c r="C1775" s="24" t="s">
        <v>8989</v>
      </c>
      <c r="D1775" s="33" t="s">
        <v>2958</v>
      </c>
      <c r="E1775" s="22" t="s">
        <v>2957</v>
      </c>
      <c r="F1775" s="19" t="str">
        <f t="shared" si="1"/>
        <v>XTSM2</v>
      </c>
      <c r="G1775" s="19" t="s">
        <v>5408</v>
      </c>
      <c r="H1775" s="20" t="s">
        <v>1212</v>
      </c>
      <c r="I1775" s="19" t="s">
        <v>5409</v>
      </c>
      <c r="J1775" s="19" t="s">
        <v>5410</v>
      </c>
      <c r="K1775" s="25" t="s">
        <v>7500</v>
      </c>
      <c r="L1775" s="20" t="s">
        <v>8982</v>
      </c>
      <c r="M1775" s="23" t="s">
        <v>2956</v>
      </c>
      <c r="N1775" s="18"/>
      <c r="O1775" s="18"/>
      <c r="P1775" s="18">
        <f>VLOOKUP($A1775,MasterData!$C$1:$I$3001,1,FALSE)</f>
        <v>9362</v>
      </c>
      <c r="Q1775" s="18" t="str">
        <f t="shared" si="2"/>
        <v>XTSM2</v>
      </c>
    </row>
    <row r="1776" ht="15.75" customHeight="1">
      <c r="A1776" s="31">
        <v>9372.0</v>
      </c>
      <c r="B1776" s="22" t="s">
        <v>2961</v>
      </c>
      <c r="C1776" s="24" t="s">
        <v>8990</v>
      </c>
      <c r="D1776" s="33" t="s">
        <v>2961</v>
      </c>
      <c r="E1776" s="22" t="s">
        <v>2960</v>
      </c>
      <c r="F1776" s="19" t="str">
        <f t="shared" si="1"/>
        <v>XTSM2</v>
      </c>
      <c r="G1776" s="19" t="s">
        <v>5408</v>
      </c>
      <c r="H1776" s="20" t="s">
        <v>1212</v>
      </c>
      <c r="I1776" s="19" t="s">
        <v>5409</v>
      </c>
      <c r="J1776" s="19" t="s">
        <v>5410</v>
      </c>
      <c r="K1776" s="25" t="s">
        <v>7500</v>
      </c>
      <c r="L1776" s="20" t="s">
        <v>8982</v>
      </c>
      <c r="M1776" s="23" t="s">
        <v>2959</v>
      </c>
      <c r="N1776" s="18"/>
      <c r="O1776" s="18"/>
      <c r="P1776" s="18">
        <f>VLOOKUP($A1776,MasterData!$C$1:$I$3001,1,FALSE)</f>
        <v>9372</v>
      </c>
      <c r="Q1776" s="18" t="str">
        <f t="shared" si="2"/>
        <v>XTSM2</v>
      </c>
    </row>
    <row r="1777" ht="15.75" customHeight="1">
      <c r="A1777" s="31">
        <v>9391.0</v>
      </c>
      <c r="B1777" s="22" t="s">
        <v>2964</v>
      </c>
      <c r="C1777" s="24" t="s">
        <v>8991</v>
      </c>
      <c r="D1777" s="33" t="s">
        <v>2964</v>
      </c>
      <c r="E1777" s="22" t="s">
        <v>2963</v>
      </c>
      <c r="F1777" s="19" t="str">
        <f t="shared" si="1"/>
        <v>XTSM2</v>
      </c>
      <c r="G1777" s="19" t="s">
        <v>5408</v>
      </c>
      <c r="H1777" s="20" t="s">
        <v>1212</v>
      </c>
      <c r="I1777" s="19" t="s">
        <v>5409</v>
      </c>
      <c r="J1777" s="19" t="s">
        <v>5410</v>
      </c>
      <c r="K1777" s="25" t="s">
        <v>7500</v>
      </c>
      <c r="L1777" s="20" t="s">
        <v>8982</v>
      </c>
      <c r="M1777" s="23" t="s">
        <v>2962</v>
      </c>
      <c r="N1777" s="18"/>
      <c r="O1777" s="18"/>
      <c r="P1777" s="18">
        <f>VLOOKUP($A1777,MasterData!$C$1:$I$3001,1,FALSE)</f>
        <v>9391</v>
      </c>
      <c r="Q1777" s="18" t="str">
        <f t="shared" si="2"/>
        <v>XTSM2</v>
      </c>
    </row>
    <row r="1778" ht="15.75" customHeight="1">
      <c r="A1778" s="15">
        <v>8797.0</v>
      </c>
      <c r="B1778" s="16" t="s">
        <v>2967</v>
      </c>
      <c r="C1778" s="17" t="s">
        <v>8992</v>
      </c>
      <c r="D1778" s="16" t="s">
        <v>2967</v>
      </c>
      <c r="E1778" s="18" t="s">
        <v>2966</v>
      </c>
      <c r="F1778" s="19" t="str">
        <f t="shared" si="1"/>
        <v>XTSM2</v>
      </c>
      <c r="G1778" s="19" t="s">
        <v>5408</v>
      </c>
      <c r="H1778" s="20" t="s">
        <v>1212</v>
      </c>
      <c r="I1778" s="19" t="s">
        <v>5409</v>
      </c>
      <c r="J1778" s="19" t="s">
        <v>5410</v>
      </c>
      <c r="K1778" s="21" t="s">
        <v>5411</v>
      </c>
      <c r="L1778" s="20" t="s">
        <v>8982</v>
      </c>
      <c r="M1778" s="16" t="s">
        <v>2965</v>
      </c>
      <c r="N1778" s="18"/>
      <c r="O1778" s="18"/>
      <c r="P1778" s="18">
        <f>VLOOKUP($A1778,MasterData!$C$1:$I$3001,1,FALSE)</f>
        <v>8797</v>
      </c>
      <c r="Q1778" s="18" t="str">
        <f t="shared" si="2"/>
        <v>XTSM2</v>
      </c>
    </row>
    <row r="1779" ht="15.75" customHeight="1">
      <c r="A1779" s="31">
        <v>9428.0</v>
      </c>
      <c r="B1779" s="22" t="s">
        <v>2970</v>
      </c>
      <c r="C1779" s="24" t="s">
        <v>8993</v>
      </c>
      <c r="D1779" s="33" t="s">
        <v>2970</v>
      </c>
      <c r="E1779" s="22" t="s">
        <v>2969</v>
      </c>
      <c r="F1779" s="19" t="str">
        <f t="shared" si="1"/>
        <v>XTSM2</v>
      </c>
      <c r="G1779" s="19" t="s">
        <v>5408</v>
      </c>
      <c r="H1779" s="20" t="s">
        <v>1212</v>
      </c>
      <c r="I1779" s="19" t="s">
        <v>5409</v>
      </c>
      <c r="J1779" s="19" t="s">
        <v>5410</v>
      </c>
      <c r="K1779" s="25" t="s">
        <v>7500</v>
      </c>
      <c r="L1779" s="20" t="s">
        <v>8982</v>
      </c>
      <c r="M1779" s="23" t="s">
        <v>2968</v>
      </c>
      <c r="N1779" s="18"/>
      <c r="O1779" s="18"/>
      <c r="P1779" s="18">
        <f>VLOOKUP($A1779,MasterData!$C$1:$I$3001,1,FALSE)</f>
        <v>9428</v>
      </c>
      <c r="Q1779" s="18" t="str">
        <f t="shared" si="2"/>
        <v>XTSM2</v>
      </c>
    </row>
    <row r="1780" ht="15.75" customHeight="1">
      <c r="A1780" s="31">
        <v>9441.0</v>
      </c>
      <c r="B1780" s="22" t="s">
        <v>2973</v>
      </c>
      <c r="C1780" s="24" t="s">
        <v>8994</v>
      </c>
      <c r="D1780" s="33" t="s">
        <v>2973</v>
      </c>
      <c r="E1780" s="22" t="s">
        <v>2972</v>
      </c>
      <c r="F1780" s="19" t="str">
        <f t="shared" si="1"/>
        <v>XTSM2</v>
      </c>
      <c r="G1780" s="19" t="s">
        <v>5408</v>
      </c>
      <c r="H1780" s="20" t="s">
        <v>1212</v>
      </c>
      <c r="I1780" s="19" t="s">
        <v>5409</v>
      </c>
      <c r="J1780" s="19" t="s">
        <v>5410</v>
      </c>
      <c r="K1780" s="25" t="s">
        <v>7500</v>
      </c>
      <c r="L1780" s="20" t="s">
        <v>8982</v>
      </c>
      <c r="M1780" s="23" t="s">
        <v>2971</v>
      </c>
      <c r="N1780" s="18"/>
      <c r="O1780" s="18"/>
      <c r="P1780" s="18">
        <f>VLOOKUP($A1780,MasterData!$C$1:$I$3001,1,FALSE)</f>
        <v>9441</v>
      </c>
      <c r="Q1780" s="18" t="str">
        <f t="shared" si="2"/>
        <v>XTSM2</v>
      </c>
    </row>
    <row r="1781" ht="15.75" customHeight="1">
      <c r="A1781" s="31">
        <v>9443.0</v>
      </c>
      <c r="B1781" s="22" t="s">
        <v>2976</v>
      </c>
      <c r="C1781" s="24" t="s">
        <v>8995</v>
      </c>
      <c r="D1781" s="33" t="s">
        <v>2976</v>
      </c>
      <c r="E1781" s="22" t="s">
        <v>2975</v>
      </c>
      <c r="F1781" s="19" t="str">
        <f t="shared" si="1"/>
        <v>XTSM2</v>
      </c>
      <c r="G1781" s="19" t="s">
        <v>5408</v>
      </c>
      <c r="H1781" s="20" t="s">
        <v>1212</v>
      </c>
      <c r="I1781" s="19" t="s">
        <v>5409</v>
      </c>
      <c r="J1781" s="19" t="s">
        <v>5410</v>
      </c>
      <c r="K1781" s="25" t="s">
        <v>7500</v>
      </c>
      <c r="L1781" s="20" t="s">
        <v>8982</v>
      </c>
      <c r="M1781" s="23" t="s">
        <v>2974</v>
      </c>
      <c r="N1781" s="18"/>
      <c r="O1781" s="18"/>
      <c r="P1781" s="18">
        <f>VLOOKUP($A1781,MasterData!$C$1:$I$3001,1,FALSE)</f>
        <v>9443</v>
      </c>
      <c r="Q1781" s="18" t="str">
        <f t="shared" si="2"/>
        <v>XTSM2</v>
      </c>
    </row>
    <row r="1782" ht="15.75" customHeight="1">
      <c r="A1782" s="31">
        <v>9475.0</v>
      </c>
      <c r="B1782" s="22" t="s">
        <v>2979</v>
      </c>
      <c r="C1782" s="24" t="s">
        <v>8996</v>
      </c>
      <c r="D1782" s="33" t="s">
        <v>2979</v>
      </c>
      <c r="E1782" s="22" t="s">
        <v>2978</v>
      </c>
      <c r="F1782" s="19" t="str">
        <f t="shared" si="1"/>
        <v>XTSM2</v>
      </c>
      <c r="G1782" s="19" t="s">
        <v>5408</v>
      </c>
      <c r="H1782" s="20" t="s">
        <v>1212</v>
      </c>
      <c r="I1782" s="19" t="s">
        <v>5409</v>
      </c>
      <c r="J1782" s="19" t="s">
        <v>5410</v>
      </c>
      <c r="K1782" s="25" t="s">
        <v>7500</v>
      </c>
      <c r="L1782" s="20" t="s">
        <v>8982</v>
      </c>
      <c r="M1782" s="23" t="s">
        <v>2977</v>
      </c>
      <c r="N1782" s="18"/>
      <c r="O1782" s="18"/>
      <c r="P1782" s="18">
        <f>VLOOKUP($A1782,MasterData!$C$1:$I$3001,1,FALSE)</f>
        <v>9475</v>
      </c>
      <c r="Q1782" s="18" t="str">
        <f t="shared" si="2"/>
        <v>XTSM2</v>
      </c>
    </row>
    <row r="1783" ht="15.75" customHeight="1">
      <c r="A1783" s="31">
        <v>9491.0</v>
      </c>
      <c r="B1783" s="22" t="s">
        <v>2982</v>
      </c>
      <c r="C1783" s="24" t="s">
        <v>8997</v>
      </c>
      <c r="D1783" s="33" t="s">
        <v>2982</v>
      </c>
      <c r="E1783" s="22" t="s">
        <v>2981</v>
      </c>
      <c r="F1783" s="19" t="str">
        <f t="shared" si="1"/>
        <v>XTSM2</v>
      </c>
      <c r="G1783" s="19" t="s">
        <v>5408</v>
      </c>
      <c r="H1783" s="20" t="s">
        <v>1212</v>
      </c>
      <c r="I1783" s="19" t="s">
        <v>5409</v>
      </c>
      <c r="J1783" s="19" t="s">
        <v>5410</v>
      </c>
      <c r="K1783" s="25" t="s">
        <v>7500</v>
      </c>
      <c r="L1783" s="20" t="s">
        <v>8982</v>
      </c>
      <c r="M1783" s="23" t="s">
        <v>2980</v>
      </c>
      <c r="N1783" s="18"/>
      <c r="O1783" s="18"/>
      <c r="P1783" s="18">
        <f>VLOOKUP($A1783,MasterData!$C$1:$I$3001,1,FALSE)</f>
        <v>9491</v>
      </c>
      <c r="Q1783" s="18" t="str">
        <f t="shared" si="2"/>
        <v>XTSM2</v>
      </c>
    </row>
    <row r="1784" ht="15.75" customHeight="1">
      <c r="A1784" s="31">
        <v>9506.0</v>
      </c>
      <c r="B1784" s="22" t="s">
        <v>2985</v>
      </c>
      <c r="C1784" s="24" t="s">
        <v>8998</v>
      </c>
      <c r="D1784" s="33" t="s">
        <v>2985</v>
      </c>
      <c r="E1784" s="22" t="s">
        <v>2984</v>
      </c>
      <c r="F1784" s="19" t="str">
        <f t="shared" si="1"/>
        <v>XTSM2</v>
      </c>
      <c r="G1784" s="19" t="s">
        <v>5408</v>
      </c>
      <c r="H1784" s="20" t="s">
        <v>1212</v>
      </c>
      <c r="I1784" s="19" t="s">
        <v>5409</v>
      </c>
      <c r="J1784" s="19" t="s">
        <v>5410</v>
      </c>
      <c r="K1784" s="25" t="s">
        <v>7500</v>
      </c>
      <c r="L1784" s="20" t="s">
        <v>8982</v>
      </c>
      <c r="M1784" s="23" t="s">
        <v>2983</v>
      </c>
      <c r="N1784" s="18"/>
      <c r="O1784" s="18"/>
      <c r="P1784" s="18">
        <f>VLOOKUP($A1784,MasterData!$C$1:$I$3001,1,FALSE)</f>
        <v>9506</v>
      </c>
      <c r="Q1784" s="18" t="str">
        <f t="shared" si="2"/>
        <v>XTSM2</v>
      </c>
    </row>
    <row r="1785" ht="15.75" customHeight="1">
      <c r="A1785" s="31">
        <v>9523.0</v>
      </c>
      <c r="B1785" s="22" t="s">
        <v>2988</v>
      </c>
      <c r="C1785" s="24" t="s">
        <v>8999</v>
      </c>
      <c r="D1785" s="33" t="s">
        <v>2988</v>
      </c>
      <c r="E1785" s="22" t="s">
        <v>2987</v>
      </c>
      <c r="F1785" s="19" t="str">
        <f t="shared" si="1"/>
        <v>XTSM2</v>
      </c>
      <c r="G1785" s="19" t="s">
        <v>5408</v>
      </c>
      <c r="H1785" s="20" t="s">
        <v>1212</v>
      </c>
      <c r="I1785" s="19" t="s">
        <v>5409</v>
      </c>
      <c r="J1785" s="19" t="s">
        <v>5410</v>
      </c>
      <c r="K1785" s="25" t="s">
        <v>7500</v>
      </c>
      <c r="L1785" s="20" t="s">
        <v>8982</v>
      </c>
      <c r="M1785" s="23" t="s">
        <v>2986</v>
      </c>
      <c r="N1785" s="18"/>
      <c r="O1785" s="18"/>
      <c r="P1785" s="18">
        <f>VLOOKUP($A1785,MasterData!$C$1:$I$3001,1,FALSE)</f>
        <v>9523</v>
      </c>
      <c r="Q1785" s="18" t="str">
        <f t="shared" si="2"/>
        <v>XTSM2</v>
      </c>
    </row>
    <row r="1786" ht="15.75" customHeight="1">
      <c r="A1786" s="31">
        <v>9541.0</v>
      </c>
      <c r="B1786" s="22" t="s">
        <v>2991</v>
      </c>
      <c r="C1786" s="24" t="s">
        <v>9000</v>
      </c>
      <c r="D1786" s="33" t="s">
        <v>2991</v>
      </c>
      <c r="E1786" s="22" t="s">
        <v>2990</v>
      </c>
      <c r="F1786" s="19" t="str">
        <f t="shared" si="1"/>
        <v>XTSM2</v>
      </c>
      <c r="G1786" s="19" t="s">
        <v>5408</v>
      </c>
      <c r="H1786" s="20" t="s">
        <v>1212</v>
      </c>
      <c r="I1786" s="19" t="s">
        <v>5409</v>
      </c>
      <c r="J1786" s="19" t="s">
        <v>5410</v>
      </c>
      <c r="K1786" s="25" t="s">
        <v>7500</v>
      </c>
      <c r="L1786" s="20" t="s">
        <v>8982</v>
      </c>
      <c r="M1786" s="23" t="s">
        <v>2989</v>
      </c>
      <c r="N1786" s="18"/>
      <c r="O1786" s="18"/>
      <c r="P1786" s="18">
        <f>VLOOKUP($A1786,MasterData!$C$1:$I$3001,1,FALSE)</f>
        <v>9541</v>
      </c>
      <c r="Q1786" s="18" t="str">
        <f t="shared" si="2"/>
        <v>XTSM2</v>
      </c>
    </row>
    <row r="1787" ht="15.75" customHeight="1">
      <c r="A1787" s="31">
        <v>9567.0</v>
      </c>
      <c r="B1787" s="22" t="s">
        <v>2994</v>
      </c>
      <c r="C1787" s="24" t="s">
        <v>9001</v>
      </c>
      <c r="D1787" s="33" t="s">
        <v>2994</v>
      </c>
      <c r="E1787" s="22" t="s">
        <v>2993</v>
      </c>
      <c r="F1787" s="19" t="str">
        <f t="shared" si="1"/>
        <v>XTSM2</v>
      </c>
      <c r="G1787" s="19" t="s">
        <v>5408</v>
      </c>
      <c r="H1787" s="20" t="s">
        <v>1212</v>
      </c>
      <c r="I1787" s="19" t="s">
        <v>5409</v>
      </c>
      <c r="J1787" s="19" t="s">
        <v>5410</v>
      </c>
      <c r="K1787" s="25" t="s">
        <v>7500</v>
      </c>
      <c r="L1787" s="20" t="s">
        <v>8982</v>
      </c>
      <c r="M1787" s="23" t="s">
        <v>2992</v>
      </c>
      <c r="N1787" s="18"/>
      <c r="O1787" s="18"/>
      <c r="P1787" s="18">
        <f>VLOOKUP($A1787,MasterData!$C$1:$I$3001,1,FALSE)</f>
        <v>9567</v>
      </c>
      <c r="Q1787" s="18" t="str">
        <f t="shared" si="2"/>
        <v>XTSM2</v>
      </c>
    </row>
    <row r="1788" ht="15.75" customHeight="1">
      <c r="A1788" s="31">
        <v>9578.0</v>
      </c>
      <c r="B1788" s="22" t="s">
        <v>2997</v>
      </c>
      <c r="C1788" s="24" t="s">
        <v>9002</v>
      </c>
      <c r="D1788" s="33" t="s">
        <v>2997</v>
      </c>
      <c r="E1788" s="22" t="s">
        <v>2996</v>
      </c>
      <c r="F1788" s="19" t="str">
        <f t="shared" si="1"/>
        <v>XTSM2</v>
      </c>
      <c r="G1788" s="19" t="s">
        <v>5408</v>
      </c>
      <c r="H1788" s="20" t="s">
        <v>1212</v>
      </c>
      <c r="I1788" s="19" t="s">
        <v>5409</v>
      </c>
      <c r="J1788" s="19" t="s">
        <v>5410</v>
      </c>
      <c r="K1788" s="25" t="s">
        <v>7500</v>
      </c>
      <c r="L1788" s="20" t="s">
        <v>8982</v>
      </c>
      <c r="M1788" s="23" t="s">
        <v>2995</v>
      </c>
      <c r="N1788" s="18"/>
      <c r="O1788" s="18"/>
      <c r="P1788" s="18">
        <f>VLOOKUP($A1788,MasterData!$C$1:$I$3001,1,FALSE)</f>
        <v>9578</v>
      </c>
      <c r="Q1788" s="18" t="str">
        <f t="shared" si="2"/>
        <v>XTSM2</v>
      </c>
    </row>
    <row r="1789" ht="15.75" customHeight="1">
      <c r="A1789" s="31">
        <v>9588.0</v>
      </c>
      <c r="B1789" s="22" t="s">
        <v>3000</v>
      </c>
      <c r="C1789" s="24" t="s">
        <v>9003</v>
      </c>
      <c r="D1789" s="33" t="s">
        <v>3000</v>
      </c>
      <c r="E1789" s="22" t="s">
        <v>2999</v>
      </c>
      <c r="F1789" s="19" t="str">
        <f t="shared" si="1"/>
        <v>XTSM2</v>
      </c>
      <c r="G1789" s="19" t="s">
        <v>5408</v>
      </c>
      <c r="H1789" s="20" t="s">
        <v>1212</v>
      </c>
      <c r="I1789" s="19" t="s">
        <v>5409</v>
      </c>
      <c r="J1789" s="19" t="s">
        <v>5410</v>
      </c>
      <c r="K1789" s="25" t="s">
        <v>7500</v>
      </c>
      <c r="L1789" s="20" t="s">
        <v>8982</v>
      </c>
      <c r="M1789" s="23" t="s">
        <v>2998</v>
      </c>
      <c r="N1789" s="18"/>
      <c r="O1789" s="18"/>
      <c r="P1789" s="18">
        <f>VLOOKUP($A1789,MasterData!$C$1:$I$3001,1,FALSE)</f>
        <v>9588</v>
      </c>
      <c r="Q1789" s="18" t="str">
        <f t="shared" si="2"/>
        <v>XTSM2</v>
      </c>
    </row>
    <row r="1790" ht="15.75" customHeight="1">
      <c r="A1790" s="31">
        <v>9594.0</v>
      </c>
      <c r="B1790" s="22" t="s">
        <v>3003</v>
      </c>
      <c r="C1790" s="24" t="s">
        <v>9004</v>
      </c>
      <c r="D1790" s="33" t="s">
        <v>3003</v>
      </c>
      <c r="E1790" s="22" t="s">
        <v>3002</v>
      </c>
      <c r="F1790" s="19" t="str">
        <f t="shared" si="1"/>
        <v>XTSM2</v>
      </c>
      <c r="G1790" s="19" t="s">
        <v>5408</v>
      </c>
      <c r="H1790" s="20" t="s">
        <v>1212</v>
      </c>
      <c r="I1790" s="19" t="s">
        <v>5409</v>
      </c>
      <c r="J1790" s="19" t="s">
        <v>5410</v>
      </c>
      <c r="K1790" s="25" t="s">
        <v>7500</v>
      </c>
      <c r="L1790" s="20" t="s">
        <v>8982</v>
      </c>
      <c r="M1790" s="23" t="s">
        <v>3001</v>
      </c>
      <c r="N1790" s="18"/>
      <c r="O1790" s="18"/>
      <c r="P1790" s="18">
        <f>VLOOKUP($A1790,MasterData!$C$1:$I$3001,1,FALSE)</f>
        <v>9594</v>
      </c>
      <c r="Q1790" s="18" t="str">
        <f t="shared" si="2"/>
        <v>XTSM2</v>
      </c>
    </row>
    <row r="1791" ht="15.75" customHeight="1">
      <c r="A1791" s="31">
        <v>9598.0</v>
      </c>
      <c r="B1791" s="22" t="s">
        <v>3006</v>
      </c>
      <c r="C1791" s="24" t="s">
        <v>9005</v>
      </c>
      <c r="D1791" s="33" t="s">
        <v>3006</v>
      </c>
      <c r="E1791" s="22" t="s">
        <v>3005</v>
      </c>
      <c r="F1791" s="19" t="str">
        <f t="shared" si="1"/>
        <v>XTSM2</v>
      </c>
      <c r="G1791" s="19" t="s">
        <v>5408</v>
      </c>
      <c r="H1791" s="20" t="s">
        <v>1212</v>
      </c>
      <c r="I1791" s="19" t="s">
        <v>5409</v>
      </c>
      <c r="J1791" s="19" t="s">
        <v>5410</v>
      </c>
      <c r="K1791" s="25" t="s">
        <v>7500</v>
      </c>
      <c r="L1791" s="20" t="s">
        <v>8982</v>
      </c>
      <c r="M1791" s="23" t="s">
        <v>3004</v>
      </c>
      <c r="N1791" s="18"/>
      <c r="O1791" s="18"/>
      <c r="P1791" s="18">
        <f>VLOOKUP($A1791,MasterData!$C$1:$I$3001,1,FALSE)</f>
        <v>9598</v>
      </c>
      <c r="Q1791" s="18" t="str">
        <f t="shared" si="2"/>
        <v>XTSM2</v>
      </c>
    </row>
    <row r="1792" ht="15.75" customHeight="1">
      <c r="A1792" s="31">
        <v>9601.0</v>
      </c>
      <c r="B1792" s="22" t="s">
        <v>3009</v>
      </c>
      <c r="C1792" s="24" t="s">
        <v>9006</v>
      </c>
      <c r="D1792" s="33" t="s">
        <v>3009</v>
      </c>
      <c r="E1792" s="22" t="s">
        <v>3008</v>
      </c>
      <c r="F1792" s="19" t="str">
        <f t="shared" si="1"/>
        <v>XTSM2</v>
      </c>
      <c r="G1792" s="19" t="s">
        <v>5408</v>
      </c>
      <c r="H1792" s="20" t="s">
        <v>1212</v>
      </c>
      <c r="I1792" s="19" t="s">
        <v>5409</v>
      </c>
      <c r="J1792" s="19" t="s">
        <v>5410</v>
      </c>
      <c r="K1792" s="25" t="s">
        <v>7500</v>
      </c>
      <c r="L1792" s="20" t="s">
        <v>8982</v>
      </c>
      <c r="M1792" s="23" t="s">
        <v>3007</v>
      </c>
      <c r="N1792" s="18"/>
      <c r="O1792" s="18"/>
      <c r="P1792" s="18">
        <f>VLOOKUP($A1792,MasterData!$C$1:$I$3001,1,FALSE)</f>
        <v>9601</v>
      </c>
      <c r="Q1792" s="18" t="str">
        <f t="shared" si="2"/>
        <v>XTSM2</v>
      </c>
    </row>
    <row r="1793" ht="15.75" customHeight="1">
      <c r="A1793" s="31">
        <v>9620.0</v>
      </c>
      <c r="B1793" s="22" t="s">
        <v>3012</v>
      </c>
      <c r="C1793" s="24" t="s">
        <v>9007</v>
      </c>
      <c r="D1793" s="33" t="s">
        <v>3012</v>
      </c>
      <c r="E1793" s="22" t="s">
        <v>3011</v>
      </c>
      <c r="F1793" s="19" t="str">
        <f t="shared" si="1"/>
        <v>XTSM2</v>
      </c>
      <c r="G1793" s="19" t="s">
        <v>5408</v>
      </c>
      <c r="H1793" s="20" t="s">
        <v>1212</v>
      </c>
      <c r="I1793" s="19" t="s">
        <v>5409</v>
      </c>
      <c r="J1793" s="19" t="s">
        <v>5410</v>
      </c>
      <c r="K1793" s="25" t="s">
        <v>7500</v>
      </c>
      <c r="L1793" s="20" t="s">
        <v>8982</v>
      </c>
      <c r="M1793" s="23" t="s">
        <v>3010</v>
      </c>
      <c r="N1793" s="18"/>
      <c r="O1793" s="18"/>
      <c r="P1793" s="18">
        <f>VLOOKUP($A1793,MasterData!$C$1:$I$3001,1,FALSE)</f>
        <v>9620</v>
      </c>
      <c r="Q1793" s="18" t="str">
        <f t="shared" si="2"/>
        <v>XTSM2</v>
      </c>
    </row>
    <row r="1794" ht="15.75" customHeight="1">
      <c r="A1794" s="31">
        <v>9625.0</v>
      </c>
      <c r="B1794" s="22" t="s">
        <v>3015</v>
      </c>
      <c r="C1794" s="24" t="s">
        <v>9008</v>
      </c>
      <c r="D1794" s="33" t="s">
        <v>3015</v>
      </c>
      <c r="E1794" s="22" t="s">
        <v>3014</v>
      </c>
      <c r="F1794" s="19" t="str">
        <f t="shared" si="1"/>
        <v>XTSM2</v>
      </c>
      <c r="G1794" s="19" t="s">
        <v>5408</v>
      </c>
      <c r="H1794" s="20" t="s">
        <v>1212</v>
      </c>
      <c r="I1794" s="19" t="s">
        <v>5409</v>
      </c>
      <c r="J1794" s="19" t="s">
        <v>5410</v>
      </c>
      <c r="K1794" s="25" t="s">
        <v>7500</v>
      </c>
      <c r="L1794" s="20" t="s">
        <v>8982</v>
      </c>
      <c r="M1794" s="23" t="s">
        <v>3013</v>
      </c>
      <c r="N1794" s="18"/>
      <c r="O1794" s="18"/>
      <c r="P1794" s="18">
        <f>VLOOKUP($A1794,MasterData!$C$1:$I$3001,1,FALSE)</f>
        <v>9625</v>
      </c>
      <c r="Q1794" s="18" t="str">
        <f t="shared" si="2"/>
        <v>XTSM2</v>
      </c>
    </row>
    <row r="1795" ht="15.75" customHeight="1">
      <c r="A1795" s="31">
        <v>9628.0</v>
      </c>
      <c r="B1795" s="22" t="s">
        <v>3018</v>
      </c>
      <c r="C1795" s="24" t="s">
        <v>9009</v>
      </c>
      <c r="D1795" s="33" t="s">
        <v>3018</v>
      </c>
      <c r="E1795" s="22" t="s">
        <v>3017</v>
      </c>
      <c r="F1795" s="19" t="str">
        <f t="shared" si="1"/>
        <v>XTSM2</v>
      </c>
      <c r="G1795" s="19" t="s">
        <v>5408</v>
      </c>
      <c r="H1795" s="20" t="s">
        <v>1212</v>
      </c>
      <c r="I1795" s="19" t="s">
        <v>5409</v>
      </c>
      <c r="J1795" s="19" t="s">
        <v>5410</v>
      </c>
      <c r="K1795" s="25" t="s">
        <v>7500</v>
      </c>
      <c r="L1795" s="20" t="s">
        <v>8982</v>
      </c>
      <c r="M1795" s="23" t="s">
        <v>3016</v>
      </c>
      <c r="N1795" s="18"/>
      <c r="O1795" s="18"/>
      <c r="P1795" s="18">
        <f>VLOOKUP($A1795,MasterData!$C$1:$I$3001,1,FALSE)</f>
        <v>9628</v>
      </c>
      <c r="Q1795" s="18" t="str">
        <f t="shared" si="2"/>
        <v>XTSM2</v>
      </c>
    </row>
    <row r="1796" ht="15.75" customHeight="1">
      <c r="A1796" s="31">
        <v>9676.0</v>
      </c>
      <c r="B1796" s="22" t="s">
        <v>3021</v>
      </c>
      <c r="C1796" s="24" t="s">
        <v>9010</v>
      </c>
      <c r="D1796" s="33" t="s">
        <v>3021</v>
      </c>
      <c r="E1796" s="22" t="s">
        <v>3020</v>
      </c>
      <c r="F1796" s="19" t="str">
        <f t="shared" si="1"/>
        <v>XTSM2</v>
      </c>
      <c r="G1796" s="19" t="s">
        <v>5408</v>
      </c>
      <c r="H1796" s="20" t="s">
        <v>1212</v>
      </c>
      <c r="I1796" s="19" t="s">
        <v>5409</v>
      </c>
      <c r="J1796" s="19" t="s">
        <v>5410</v>
      </c>
      <c r="K1796" s="25" t="s">
        <v>7500</v>
      </c>
      <c r="L1796" s="20" t="s">
        <v>8982</v>
      </c>
      <c r="M1796" s="23" t="s">
        <v>3019</v>
      </c>
      <c r="N1796" s="18"/>
      <c r="O1796" s="18"/>
      <c r="P1796" s="18">
        <f>VLOOKUP($A1796,MasterData!$C$1:$I$3001,1,FALSE)</f>
        <v>9676</v>
      </c>
      <c r="Q1796" s="18" t="str">
        <f t="shared" si="2"/>
        <v>XTSM2</v>
      </c>
    </row>
    <row r="1797" ht="15.75" customHeight="1">
      <c r="A1797" s="31">
        <v>9697.0</v>
      </c>
      <c r="B1797" s="22" t="s">
        <v>3024</v>
      </c>
      <c r="C1797" s="24" t="s">
        <v>9011</v>
      </c>
      <c r="D1797" s="33" t="s">
        <v>3024</v>
      </c>
      <c r="E1797" s="22" t="s">
        <v>3023</v>
      </c>
      <c r="F1797" s="19" t="str">
        <f t="shared" si="1"/>
        <v>XTSM2</v>
      </c>
      <c r="G1797" s="19" t="s">
        <v>5408</v>
      </c>
      <c r="H1797" s="20" t="s">
        <v>1212</v>
      </c>
      <c r="I1797" s="19" t="s">
        <v>5409</v>
      </c>
      <c r="J1797" s="19" t="s">
        <v>5410</v>
      </c>
      <c r="K1797" s="25" t="s">
        <v>7500</v>
      </c>
      <c r="L1797" s="20" t="s">
        <v>8982</v>
      </c>
      <c r="M1797" s="23" t="s">
        <v>3022</v>
      </c>
      <c r="N1797" s="18"/>
      <c r="O1797" s="18"/>
      <c r="P1797" s="18">
        <f>VLOOKUP($A1797,MasterData!$C$1:$I$3001,1,FALSE)</f>
        <v>9697</v>
      </c>
      <c r="Q1797" s="18" t="str">
        <f t="shared" si="2"/>
        <v>XTSM2</v>
      </c>
    </row>
    <row r="1798" ht="15.75" customHeight="1">
      <c r="A1798" s="31">
        <v>9725.0</v>
      </c>
      <c r="B1798" s="22" t="s">
        <v>3027</v>
      </c>
      <c r="C1798" s="24" t="s">
        <v>9012</v>
      </c>
      <c r="D1798" s="33" t="s">
        <v>3027</v>
      </c>
      <c r="E1798" s="22" t="s">
        <v>3026</v>
      </c>
      <c r="F1798" s="19" t="str">
        <f t="shared" si="1"/>
        <v>XTSM2</v>
      </c>
      <c r="G1798" s="19" t="s">
        <v>5408</v>
      </c>
      <c r="H1798" s="20" t="s">
        <v>1212</v>
      </c>
      <c r="I1798" s="19" t="s">
        <v>5409</v>
      </c>
      <c r="J1798" s="19" t="s">
        <v>5410</v>
      </c>
      <c r="K1798" s="25" t="s">
        <v>7500</v>
      </c>
      <c r="L1798" s="20" t="s">
        <v>8982</v>
      </c>
      <c r="M1798" s="23" t="s">
        <v>3025</v>
      </c>
      <c r="N1798" s="18"/>
      <c r="O1798" s="18"/>
      <c r="P1798" s="18">
        <f>VLOOKUP($A1798,MasterData!$C$1:$I$3001,1,FALSE)</f>
        <v>9725</v>
      </c>
      <c r="Q1798" s="18" t="str">
        <f t="shared" si="2"/>
        <v>XTSM2</v>
      </c>
    </row>
    <row r="1799" ht="15.75" customHeight="1">
      <c r="A1799" s="31">
        <v>9741.0</v>
      </c>
      <c r="B1799" s="22" t="s">
        <v>3030</v>
      </c>
      <c r="C1799" s="24" t="s">
        <v>9013</v>
      </c>
      <c r="D1799" s="33" t="s">
        <v>3030</v>
      </c>
      <c r="E1799" s="22" t="s">
        <v>3029</v>
      </c>
      <c r="F1799" s="19" t="str">
        <f t="shared" si="1"/>
        <v>XTSM2</v>
      </c>
      <c r="G1799" s="19" t="s">
        <v>5408</v>
      </c>
      <c r="H1799" s="20" t="s">
        <v>1212</v>
      </c>
      <c r="I1799" s="19" t="s">
        <v>5409</v>
      </c>
      <c r="J1799" s="19" t="s">
        <v>5410</v>
      </c>
      <c r="K1799" s="25" t="s">
        <v>7500</v>
      </c>
      <c r="L1799" s="20" t="s">
        <v>8982</v>
      </c>
      <c r="M1799" s="23" t="s">
        <v>3028</v>
      </c>
      <c r="N1799" s="18"/>
      <c r="O1799" s="18"/>
      <c r="P1799" s="18">
        <f>VLOOKUP($A1799,MasterData!$C$1:$I$3001,1,FALSE)</f>
        <v>9741</v>
      </c>
      <c r="Q1799" s="18" t="str">
        <f t="shared" si="2"/>
        <v>XTSM2</v>
      </c>
    </row>
    <row r="1800" ht="15.75" customHeight="1">
      <c r="A1800" s="31">
        <v>9767.0</v>
      </c>
      <c r="B1800" s="22" t="s">
        <v>3033</v>
      </c>
      <c r="C1800" s="24" t="s">
        <v>9014</v>
      </c>
      <c r="D1800" s="33" t="s">
        <v>3033</v>
      </c>
      <c r="E1800" s="22" t="s">
        <v>3032</v>
      </c>
      <c r="F1800" s="19" t="str">
        <f t="shared" si="1"/>
        <v>XTSM2</v>
      </c>
      <c r="G1800" s="19" t="s">
        <v>5408</v>
      </c>
      <c r="H1800" s="20" t="s">
        <v>1212</v>
      </c>
      <c r="I1800" s="19" t="s">
        <v>5409</v>
      </c>
      <c r="J1800" s="19" t="s">
        <v>5410</v>
      </c>
      <c r="K1800" s="25" t="s">
        <v>7500</v>
      </c>
      <c r="L1800" s="20" t="s">
        <v>8982</v>
      </c>
      <c r="M1800" s="23" t="s">
        <v>3031</v>
      </c>
      <c r="N1800" s="18"/>
      <c r="O1800" s="18"/>
      <c r="P1800" s="18">
        <f>VLOOKUP($A1800,MasterData!$C$1:$I$3001,1,FALSE)</f>
        <v>9767</v>
      </c>
      <c r="Q1800" s="18" t="str">
        <f t="shared" si="2"/>
        <v>XTSM2</v>
      </c>
    </row>
    <row r="1801" ht="15.75" customHeight="1">
      <c r="A1801" s="31">
        <v>9806.0</v>
      </c>
      <c r="B1801" s="22" t="s">
        <v>3036</v>
      </c>
      <c r="C1801" s="24" t="s">
        <v>9015</v>
      </c>
      <c r="D1801" s="33" t="s">
        <v>3036</v>
      </c>
      <c r="E1801" s="22" t="s">
        <v>3035</v>
      </c>
      <c r="F1801" s="19" t="str">
        <f t="shared" si="1"/>
        <v>XTSM2</v>
      </c>
      <c r="G1801" s="19" t="s">
        <v>5408</v>
      </c>
      <c r="H1801" s="20" t="s">
        <v>1212</v>
      </c>
      <c r="I1801" s="19" t="s">
        <v>5409</v>
      </c>
      <c r="J1801" s="19" t="s">
        <v>5410</v>
      </c>
      <c r="K1801" s="25" t="s">
        <v>7500</v>
      </c>
      <c r="L1801" s="20" t="s">
        <v>8982</v>
      </c>
      <c r="M1801" s="23" t="s">
        <v>3034</v>
      </c>
      <c r="N1801" s="18"/>
      <c r="O1801" s="18"/>
      <c r="P1801" s="18">
        <f>VLOOKUP($A1801,MasterData!$C$1:$I$3001,1,FALSE)</f>
        <v>9806</v>
      </c>
      <c r="Q1801" s="18" t="str">
        <f t="shared" si="2"/>
        <v>XTSM2</v>
      </c>
    </row>
    <row r="1802" ht="15.75" customHeight="1">
      <c r="A1802" s="31">
        <v>9828.0</v>
      </c>
      <c r="B1802" s="22" t="s">
        <v>3039</v>
      </c>
      <c r="C1802" s="24" t="s">
        <v>9016</v>
      </c>
      <c r="D1802" s="33" t="s">
        <v>3039</v>
      </c>
      <c r="E1802" s="22" t="s">
        <v>3038</v>
      </c>
      <c r="F1802" s="19" t="str">
        <f t="shared" si="1"/>
        <v>XTSM2</v>
      </c>
      <c r="G1802" s="19" t="s">
        <v>5408</v>
      </c>
      <c r="H1802" s="20" t="s">
        <v>1212</v>
      </c>
      <c r="I1802" s="19" t="s">
        <v>5409</v>
      </c>
      <c r="J1802" s="19" t="s">
        <v>5410</v>
      </c>
      <c r="K1802" s="25" t="s">
        <v>7500</v>
      </c>
      <c r="L1802" s="20" t="s">
        <v>8982</v>
      </c>
      <c r="M1802" s="23" t="s">
        <v>3037</v>
      </c>
      <c r="N1802" s="18"/>
      <c r="O1802" s="18"/>
      <c r="P1802" s="18">
        <f>VLOOKUP($A1802,MasterData!$C$1:$I$3001,1,FALSE)</f>
        <v>9828</v>
      </c>
      <c r="Q1802" s="18" t="str">
        <f t="shared" si="2"/>
        <v>XTSM2</v>
      </c>
    </row>
    <row r="1803" ht="15.75" customHeight="1">
      <c r="A1803" s="31">
        <v>9836.0</v>
      </c>
      <c r="B1803" s="22" t="s">
        <v>3042</v>
      </c>
      <c r="C1803" s="24" t="s">
        <v>9017</v>
      </c>
      <c r="D1803" s="33" t="s">
        <v>3042</v>
      </c>
      <c r="E1803" s="22" t="s">
        <v>3041</v>
      </c>
      <c r="F1803" s="19" t="str">
        <f t="shared" si="1"/>
        <v>XTSM2</v>
      </c>
      <c r="G1803" s="19" t="s">
        <v>5408</v>
      </c>
      <c r="H1803" s="20" t="s">
        <v>1212</v>
      </c>
      <c r="I1803" s="19" t="s">
        <v>5409</v>
      </c>
      <c r="J1803" s="19" t="s">
        <v>5410</v>
      </c>
      <c r="K1803" s="25" t="s">
        <v>7500</v>
      </c>
      <c r="L1803" s="20" t="s">
        <v>8982</v>
      </c>
      <c r="M1803" s="23" t="s">
        <v>3040</v>
      </c>
      <c r="N1803" s="18"/>
      <c r="O1803" s="18"/>
      <c r="P1803" s="18">
        <f>VLOOKUP($A1803,MasterData!$C$1:$I$3001,1,FALSE)</f>
        <v>9836</v>
      </c>
      <c r="Q1803" s="18" t="str">
        <f t="shared" si="2"/>
        <v>XTSM2</v>
      </c>
    </row>
    <row r="1804" ht="15.75" customHeight="1">
      <c r="A1804" s="15">
        <v>8032.0</v>
      </c>
      <c r="B1804" s="18" t="s">
        <v>9018</v>
      </c>
      <c r="C1804" s="16" t="s">
        <v>9019</v>
      </c>
      <c r="D1804" s="18" t="s">
        <v>9018</v>
      </c>
      <c r="E1804" s="18" t="s">
        <v>4222</v>
      </c>
      <c r="F1804" s="19" t="str">
        <f t="shared" si="1"/>
        <v>XIIAKL1</v>
      </c>
      <c r="G1804" s="19" t="s">
        <v>5408</v>
      </c>
      <c r="H1804" s="20" t="s">
        <v>4223</v>
      </c>
      <c r="I1804" s="19" t="s">
        <v>5409</v>
      </c>
      <c r="J1804" s="19" t="s">
        <v>5410</v>
      </c>
      <c r="K1804" s="21" t="s">
        <v>5415</v>
      </c>
      <c r="L1804" s="19" t="s">
        <v>5465</v>
      </c>
      <c r="M1804" s="16" t="s">
        <v>4221</v>
      </c>
      <c r="N1804" s="18" t="s">
        <v>5416</v>
      </c>
      <c r="O1804" s="18">
        <v>0.0</v>
      </c>
      <c r="P1804" s="18">
        <f>VLOOKUP($A1804,MasterData!$C$1:$I$3001,1,FALSE)</f>
        <v>8032</v>
      </c>
      <c r="Q1804" s="18" t="str">
        <f t="shared" si="2"/>
        <v>XIIAKL1</v>
      </c>
    </row>
    <row r="1805" ht="15.75" customHeight="1">
      <c r="A1805" s="15">
        <v>8051.0</v>
      </c>
      <c r="B1805" s="18" t="s">
        <v>9020</v>
      </c>
      <c r="C1805" s="16" t="s">
        <v>9021</v>
      </c>
      <c r="D1805" s="18" t="s">
        <v>9020</v>
      </c>
      <c r="E1805" s="18" t="s">
        <v>4225</v>
      </c>
      <c r="F1805" s="19" t="str">
        <f t="shared" si="1"/>
        <v>XIIAKL1</v>
      </c>
      <c r="G1805" s="19" t="s">
        <v>5408</v>
      </c>
      <c r="H1805" s="20" t="s">
        <v>4223</v>
      </c>
      <c r="I1805" s="19" t="s">
        <v>5409</v>
      </c>
      <c r="J1805" s="19" t="s">
        <v>5410</v>
      </c>
      <c r="K1805" s="21" t="s">
        <v>5415</v>
      </c>
      <c r="L1805" s="19" t="s">
        <v>5465</v>
      </c>
      <c r="M1805" s="16" t="s">
        <v>4224</v>
      </c>
      <c r="N1805" s="18" t="s">
        <v>5416</v>
      </c>
      <c r="O1805" s="18">
        <v>0.0</v>
      </c>
      <c r="P1805" s="18">
        <f>VLOOKUP($A1805,MasterData!$C$1:$I$3001,1,FALSE)</f>
        <v>8051</v>
      </c>
      <c r="Q1805" s="18" t="str">
        <f t="shared" si="2"/>
        <v>XIIAKL1</v>
      </c>
    </row>
    <row r="1806" ht="15.75" customHeight="1">
      <c r="A1806" s="15">
        <v>8071.0</v>
      </c>
      <c r="B1806" s="18" t="s">
        <v>9022</v>
      </c>
      <c r="C1806" s="16" t="s">
        <v>9023</v>
      </c>
      <c r="D1806" s="18" t="s">
        <v>9022</v>
      </c>
      <c r="E1806" s="18" t="s">
        <v>4227</v>
      </c>
      <c r="F1806" s="19" t="str">
        <f t="shared" si="1"/>
        <v>XIIAKL1</v>
      </c>
      <c r="G1806" s="19" t="s">
        <v>5408</v>
      </c>
      <c r="H1806" s="20" t="s">
        <v>4223</v>
      </c>
      <c r="I1806" s="19" t="s">
        <v>5409</v>
      </c>
      <c r="J1806" s="19" t="s">
        <v>5410</v>
      </c>
      <c r="K1806" s="21" t="s">
        <v>5415</v>
      </c>
      <c r="L1806" s="19" t="s">
        <v>5465</v>
      </c>
      <c r="M1806" s="16" t="s">
        <v>4226</v>
      </c>
      <c r="N1806" s="18" t="s">
        <v>5416</v>
      </c>
      <c r="O1806" s="18">
        <v>0.0</v>
      </c>
      <c r="P1806" s="18">
        <f>VLOOKUP($A1806,MasterData!$C$1:$I$3001,1,FALSE)</f>
        <v>8071</v>
      </c>
      <c r="Q1806" s="18" t="str">
        <f t="shared" si="2"/>
        <v>XIIAKL1</v>
      </c>
    </row>
    <row r="1807" ht="15.75" customHeight="1">
      <c r="A1807" s="15">
        <v>8081.0</v>
      </c>
      <c r="B1807" s="18" t="s">
        <v>9024</v>
      </c>
      <c r="C1807" s="29" t="s">
        <v>9025</v>
      </c>
      <c r="D1807" s="18" t="s">
        <v>9024</v>
      </c>
      <c r="E1807" s="34" t="s">
        <v>4229</v>
      </c>
      <c r="F1807" s="19" t="str">
        <f t="shared" si="1"/>
        <v>XIIAKL1</v>
      </c>
      <c r="G1807" s="19" t="s">
        <v>5408</v>
      </c>
      <c r="H1807" s="20" t="s">
        <v>4223</v>
      </c>
      <c r="I1807" s="19" t="s">
        <v>5409</v>
      </c>
      <c r="J1807" s="19" t="s">
        <v>5410</v>
      </c>
      <c r="K1807" s="21" t="s">
        <v>5415</v>
      </c>
      <c r="L1807" s="35" t="s">
        <v>5465</v>
      </c>
      <c r="M1807" s="29" t="s">
        <v>4228</v>
      </c>
      <c r="N1807" s="34" t="s">
        <v>5416</v>
      </c>
      <c r="O1807" s="34">
        <v>0.0</v>
      </c>
      <c r="P1807" s="18">
        <f>VLOOKUP($A1807,MasterData!$C$1:$I$3001,1,FALSE)</f>
        <v>8081</v>
      </c>
      <c r="Q1807" s="34" t="str">
        <f t="shared" si="2"/>
        <v>XIIAKL1</v>
      </c>
    </row>
    <row r="1808" ht="15.75" customHeight="1">
      <c r="A1808" s="15">
        <v>8091.0</v>
      </c>
      <c r="B1808" s="18" t="s">
        <v>9026</v>
      </c>
      <c r="C1808" s="29" t="s">
        <v>9027</v>
      </c>
      <c r="D1808" s="18" t="s">
        <v>9026</v>
      </c>
      <c r="E1808" s="34" t="s">
        <v>4231</v>
      </c>
      <c r="F1808" s="19" t="str">
        <f t="shared" si="1"/>
        <v>XIIAKL1</v>
      </c>
      <c r="G1808" s="19" t="s">
        <v>5408</v>
      </c>
      <c r="H1808" s="20" t="s">
        <v>4223</v>
      </c>
      <c r="I1808" s="19" t="s">
        <v>5409</v>
      </c>
      <c r="J1808" s="19" t="s">
        <v>5410</v>
      </c>
      <c r="K1808" s="21" t="s">
        <v>5415</v>
      </c>
      <c r="L1808" s="35" t="s">
        <v>5465</v>
      </c>
      <c r="M1808" s="29" t="s">
        <v>4230</v>
      </c>
      <c r="N1808" s="34" t="s">
        <v>5416</v>
      </c>
      <c r="O1808" s="34">
        <v>0.0</v>
      </c>
      <c r="P1808" s="18">
        <f>VLOOKUP($A1808,MasterData!$C$1:$I$3001,1,FALSE)</f>
        <v>8091</v>
      </c>
      <c r="Q1808" s="34" t="str">
        <f t="shared" si="2"/>
        <v>XIIAKL1</v>
      </c>
    </row>
    <row r="1809" ht="15.75" customHeight="1">
      <c r="A1809" s="15">
        <v>8114.0</v>
      </c>
      <c r="B1809" s="18" t="s">
        <v>9028</v>
      </c>
      <c r="C1809" s="29" t="s">
        <v>9029</v>
      </c>
      <c r="D1809" s="18" t="s">
        <v>9028</v>
      </c>
      <c r="E1809" s="34" t="s">
        <v>4233</v>
      </c>
      <c r="F1809" s="19" t="str">
        <f t="shared" si="1"/>
        <v>XIIAKL1</v>
      </c>
      <c r="G1809" s="19" t="s">
        <v>5408</v>
      </c>
      <c r="H1809" s="20" t="s">
        <v>4223</v>
      </c>
      <c r="I1809" s="19" t="s">
        <v>5409</v>
      </c>
      <c r="J1809" s="19" t="s">
        <v>5410</v>
      </c>
      <c r="K1809" s="21" t="s">
        <v>5415</v>
      </c>
      <c r="L1809" s="35" t="s">
        <v>5465</v>
      </c>
      <c r="M1809" s="29" t="s">
        <v>4232</v>
      </c>
      <c r="N1809" s="34" t="s">
        <v>5416</v>
      </c>
      <c r="O1809" s="34">
        <v>0.0</v>
      </c>
      <c r="P1809" s="18">
        <f>VLOOKUP($A1809,MasterData!$C$1:$I$3001,1,FALSE)</f>
        <v>8114</v>
      </c>
      <c r="Q1809" s="34" t="str">
        <f t="shared" si="2"/>
        <v>XIIAKL1</v>
      </c>
    </row>
    <row r="1810" ht="15.75" customHeight="1">
      <c r="A1810" s="15">
        <v>8134.0</v>
      </c>
      <c r="B1810" s="18" t="s">
        <v>9030</v>
      </c>
      <c r="C1810" s="29" t="s">
        <v>9031</v>
      </c>
      <c r="D1810" s="18" t="s">
        <v>9030</v>
      </c>
      <c r="E1810" s="34" t="s">
        <v>4235</v>
      </c>
      <c r="F1810" s="19" t="str">
        <f t="shared" si="1"/>
        <v>XIIAKL1</v>
      </c>
      <c r="G1810" s="19" t="s">
        <v>5408</v>
      </c>
      <c r="H1810" s="20" t="s">
        <v>4223</v>
      </c>
      <c r="I1810" s="19" t="s">
        <v>5409</v>
      </c>
      <c r="J1810" s="19" t="s">
        <v>5410</v>
      </c>
      <c r="K1810" s="21" t="s">
        <v>5415</v>
      </c>
      <c r="L1810" s="35" t="s">
        <v>5465</v>
      </c>
      <c r="M1810" s="29" t="s">
        <v>4234</v>
      </c>
      <c r="N1810" s="34" t="s">
        <v>5416</v>
      </c>
      <c r="O1810" s="34">
        <v>0.0</v>
      </c>
      <c r="P1810" s="18">
        <f>VLOOKUP($A1810,MasterData!$C$1:$I$3001,1,FALSE)</f>
        <v>8134</v>
      </c>
      <c r="Q1810" s="34" t="str">
        <f t="shared" si="2"/>
        <v>XIIAKL1</v>
      </c>
    </row>
    <row r="1811" ht="15.75" customHeight="1">
      <c r="A1811" s="15">
        <v>8153.0</v>
      </c>
      <c r="B1811" s="18" t="s">
        <v>9032</v>
      </c>
      <c r="C1811" s="29" t="s">
        <v>9033</v>
      </c>
      <c r="D1811" s="18" t="s">
        <v>9032</v>
      </c>
      <c r="E1811" s="34" t="s">
        <v>4237</v>
      </c>
      <c r="F1811" s="19" t="str">
        <f t="shared" si="1"/>
        <v>XIIAKL1</v>
      </c>
      <c r="G1811" s="19" t="s">
        <v>5408</v>
      </c>
      <c r="H1811" s="20" t="s">
        <v>4223</v>
      </c>
      <c r="I1811" s="19" t="s">
        <v>5409</v>
      </c>
      <c r="J1811" s="19" t="s">
        <v>5410</v>
      </c>
      <c r="K1811" s="21" t="s">
        <v>5415</v>
      </c>
      <c r="L1811" s="35" t="s">
        <v>5465</v>
      </c>
      <c r="M1811" s="29" t="s">
        <v>4236</v>
      </c>
      <c r="N1811" s="34" t="s">
        <v>5416</v>
      </c>
      <c r="O1811" s="34">
        <v>0.0</v>
      </c>
      <c r="P1811" s="18">
        <f>VLOOKUP($A1811,MasterData!$C$1:$I$3001,1,FALSE)</f>
        <v>8153</v>
      </c>
      <c r="Q1811" s="34" t="str">
        <f t="shared" si="2"/>
        <v>XIIAKL1</v>
      </c>
    </row>
    <row r="1812" ht="15.75" customHeight="1">
      <c r="A1812" s="15">
        <v>8161.0</v>
      </c>
      <c r="B1812" s="18" t="s">
        <v>9034</v>
      </c>
      <c r="C1812" s="29" t="s">
        <v>9035</v>
      </c>
      <c r="D1812" s="18" t="s">
        <v>9034</v>
      </c>
      <c r="E1812" s="34" t="s">
        <v>4239</v>
      </c>
      <c r="F1812" s="19" t="str">
        <f t="shared" si="1"/>
        <v>XIIAKL1</v>
      </c>
      <c r="G1812" s="19" t="s">
        <v>5408</v>
      </c>
      <c r="H1812" s="20" t="s">
        <v>4223</v>
      </c>
      <c r="I1812" s="19" t="s">
        <v>5409</v>
      </c>
      <c r="J1812" s="19" t="s">
        <v>5410</v>
      </c>
      <c r="K1812" s="21" t="s">
        <v>5415</v>
      </c>
      <c r="L1812" s="35" t="s">
        <v>5465</v>
      </c>
      <c r="M1812" s="29" t="s">
        <v>4238</v>
      </c>
      <c r="N1812" s="34" t="s">
        <v>5416</v>
      </c>
      <c r="O1812" s="34">
        <v>0.0</v>
      </c>
      <c r="P1812" s="18">
        <f>VLOOKUP($A1812,MasterData!$C$1:$I$3001,1,FALSE)</f>
        <v>8161</v>
      </c>
      <c r="Q1812" s="34" t="str">
        <f t="shared" si="2"/>
        <v>XIIAKL1</v>
      </c>
    </row>
    <row r="1813" ht="15.75" customHeight="1">
      <c r="A1813" s="15">
        <v>8176.0</v>
      </c>
      <c r="B1813" s="18" t="s">
        <v>9036</v>
      </c>
      <c r="C1813" s="29" t="s">
        <v>9037</v>
      </c>
      <c r="D1813" s="18" t="s">
        <v>9036</v>
      </c>
      <c r="E1813" s="34" t="s">
        <v>4241</v>
      </c>
      <c r="F1813" s="19" t="str">
        <f t="shared" si="1"/>
        <v>XIIAKL1</v>
      </c>
      <c r="G1813" s="19" t="s">
        <v>5408</v>
      </c>
      <c r="H1813" s="20" t="s">
        <v>4223</v>
      </c>
      <c r="I1813" s="19" t="s">
        <v>5409</v>
      </c>
      <c r="J1813" s="19" t="s">
        <v>5410</v>
      </c>
      <c r="K1813" s="21" t="s">
        <v>5415</v>
      </c>
      <c r="L1813" s="35" t="s">
        <v>5465</v>
      </c>
      <c r="M1813" s="29" t="s">
        <v>4240</v>
      </c>
      <c r="N1813" s="34" t="s">
        <v>5416</v>
      </c>
      <c r="O1813" s="34">
        <v>0.0</v>
      </c>
      <c r="P1813" s="18">
        <f>VLOOKUP($A1813,MasterData!$C$1:$I$3001,1,FALSE)</f>
        <v>8176</v>
      </c>
      <c r="Q1813" s="34" t="str">
        <f t="shared" si="2"/>
        <v>XIIAKL1</v>
      </c>
    </row>
    <row r="1814" ht="15.75" customHeight="1">
      <c r="A1814" s="15">
        <v>8188.0</v>
      </c>
      <c r="B1814" s="18" t="s">
        <v>9038</v>
      </c>
      <c r="C1814" s="29" t="s">
        <v>9039</v>
      </c>
      <c r="D1814" s="18" t="s">
        <v>9038</v>
      </c>
      <c r="E1814" s="34" t="s">
        <v>4243</v>
      </c>
      <c r="F1814" s="19" t="str">
        <f t="shared" si="1"/>
        <v>XIIAKL1</v>
      </c>
      <c r="G1814" s="19" t="s">
        <v>5408</v>
      </c>
      <c r="H1814" s="20" t="s">
        <v>4223</v>
      </c>
      <c r="I1814" s="19" t="s">
        <v>5409</v>
      </c>
      <c r="J1814" s="19" t="s">
        <v>5410</v>
      </c>
      <c r="K1814" s="21" t="s">
        <v>5415</v>
      </c>
      <c r="L1814" s="35" t="s">
        <v>5465</v>
      </c>
      <c r="M1814" s="29" t="s">
        <v>4242</v>
      </c>
      <c r="N1814" s="34" t="s">
        <v>5416</v>
      </c>
      <c r="O1814" s="34">
        <v>0.0</v>
      </c>
      <c r="P1814" s="18">
        <f>VLOOKUP($A1814,MasterData!$C$1:$I$3001,1,FALSE)</f>
        <v>8188</v>
      </c>
      <c r="Q1814" s="34" t="str">
        <f t="shared" si="2"/>
        <v>XIIAKL1</v>
      </c>
    </row>
    <row r="1815" ht="15.75" customHeight="1">
      <c r="A1815" s="15">
        <v>8207.0</v>
      </c>
      <c r="B1815" s="18" t="s">
        <v>9040</v>
      </c>
      <c r="C1815" s="29" t="s">
        <v>9041</v>
      </c>
      <c r="D1815" s="18" t="s">
        <v>9040</v>
      </c>
      <c r="E1815" s="34" t="s">
        <v>4245</v>
      </c>
      <c r="F1815" s="19" t="str">
        <f t="shared" si="1"/>
        <v>XIIAKL1</v>
      </c>
      <c r="G1815" s="19" t="s">
        <v>5408</v>
      </c>
      <c r="H1815" s="20" t="s">
        <v>4223</v>
      </c>
      <c r="I1815" s="19" t="s">
        <v>5409</v>
      </c>
      <c r="J1815" s="19" t="s">
        <v>5410</v>
      </c>
      <c r="K1815" s="21" t="s">
        <v>5415</v>
      </c>
      <c r="L1815" s="35" t="s">
        <v>5465</v>
      </c>
      <c r="M1815" s="29" t="s">
        <v>4244</v>
      </c>
      <c r="N1815" s="34" t="s">
        <v>5416</v>
      </c>
      <c r="O1815" s="34">
        <v>0.0</v>
      </c>
      <c r="P1815" s="18">
        <f>VLOOKUP($A1815,MasterData!$C$1:$I$3001,1,FALSE)</f>
        <v>8207</v>
      </c>
      <c r="Q1815" s="34" t="str">
        <f t="shared" si="2"/>
        <v>XIIAKL1</v>
      </c>
    </row>
    <row r="1816" ht="15.75" customHeight="1">
      <c r="A1816" s="15">
        <v>8217.0</v>
      </c>
      <c r="B1816" s="18" t="s">
        <v>9042</v>
      </c>
      <c r="C1816" s="29" t="s">
        <v>9043</v>
      </c>
      <c r="D1816" s="18" t="s">
        <v>9042</v>
      </c>
      <c r="E1816" s="34" t="s">
        <v>4247</v>
      </c>
      <c r="F1816" s="19" t="str">
        <f t="shared" si="1"/>
        <v>XIIAKL1</v>
      </c>
      <c r="G1816" s="19" t="s">
        <v>5408</v>
      </c>
      <c r="H1816" s="20" t="s">
        <v>4223</v>
      </c>
      <c r="I1816" s="19" t="s">
        <v>5409</v>
      </c>
      <c r="J1816" s="19" t="s">
        <v>5410</v>
      </c>
      <c r="K1816" s="21" t="s">
        <v>5415</v>
      </c>
      <c r="L1816" s="35" t="s">
        <v>5465</v>
      </c>
      <c r="M1816" s="29" t="s">
        <v>4246</v>
      </c>
      <c r="N1816" s="34" t="s">
        <v>5416</v>
      </c>
      <c r="O1816" s="34">
        <v>0.0</v>
      </c>
      <c r="P1816" s="18">
        <f>VLOOKUP($A1816,MasterData!$C$1:$I$3001,1,FALSE)</f>
        <v>8217</v>
      </c>
      <c r="Q1816" s="34" t="str">
        <f t="shared" si="2"/>
        <v>XIIAKL1</v>
      </c>
    </row>
    <row r="1817" ht="15.75" customHeight="1">
      <c r="A1817" s="15">
        <v>8247.0</v>
      </c>
      <c r="B1817" s="18" t="s">
        <v>9044</v>
      </c>
      <c r="C1817" s="29" t="s">
        <v>9045</v>
      </c>
      <c r="D1817" s="18" t="s">
        <v>9044</v>
      </c>
      <c r="E1817" s="34" t="s">
        <v>4249</v>
      </c>
      <c r="F1817" s="19" t="str">
        <f t="shared" si="1"/>
        <v>XIIAKL1</v>
      </c>
      <c r="G1817" s="19" t="s">
        <v>5408</v>
      </c>
      <c r="H1817" s="20" t="s">
        <v>4223</v>
      </c>
      <c r="I1817" s="19" t="s">
        <v>5409</v>
      </c>
      <c r="J1817" s="19" t="s">
        <v>5410</v>
      </c>
      <c r="K1817" s="21" t="s">
        <v>5415</v>
      </c>
      <c r="L1817" s="35" t="s">
        <v>5465</v>
      </c>
      <c r="M1817" s="29" t="s">
        <v>4248</v>
      </c>
      <c r="N1817" s="34" t="s">
        <v>5416</v>
      </c>
      <c r="O1817" s="34">
        <v>0.0</v>
      </c>
      <c r="P1817" s="18">
        <f>VLOOKUP($A1817,MasterData!$C$1:$I$3001,1,FALSE)</f>
        <v>8247</v>
      </c>
      <c r="Q1817" s="34" t="str">
        <f t="shared" si="2"/>
        <v>XIIAKL1</v>
      </c>
    </row>
    <row r="1818" ht="15.75" customHeight="1">
      <c r="A1818" s="15">
        <v>8253.0</v>
      </c>
      <c r="B1818" s="18" t="s">
        <v>9046</v>
      </c>
      <c r="C1818" s="29" t="s">
        <v>9047</v>
      </c>
      <c r="D1818" s="18" t="s">
        <v>9046</v>
      </c>
      <c r="E1818" s="34" t="s">
        <v>4251</v>
      </c>
      <c r="F1818" s="19" t="str">
        <f t="shared" si="1"/>
        <v>XIIAKL1</v>
      </c>
      <c r="G1818" s="19" t="s">
        <v>5408</v>
      </c>
      <c r="H1818" s="20" t="s">
        <v>4223</v>
      </c>
      <c r="I1818" s="19" t="s">
        <v>5409</v>
      </c>
      <c r="J1818" s="19" t="s">
        <v>5410</v>
      </c>
      <c r="K1818" s="21" t="s">
        <v>5415</v>
      </c>
      <c r="L1818" s="35" t="s">
        <v>5465</v>
      </c>
      <c r="M1818" s="29" t="s">
        <v>4250</v>
      </c>
      <c r="N1818" s="34" t="s">
        <v>5416</v>
      </c>
      <c r="O1818" s="34">
        <v>0.0</v>
      </c>
      <c r="P1818" s="18">
        <f>VLOOKUP($A1818,MasterData!$C$1:$I$3001,1,FALSE)</f>
        <v>8253</v>
      </c>
      <c r="Q1818" s="34" t="str">
        <f t="shared" si="2"/>
        <v>XIIAKL1</v>
      </c>
    </row>
    <row r="1819" ht="15.75" customHeight="1">
      <c r="A1819" s="15">
        <v>8268.0</v>
      </c>
      <c r="B1819" s="18" t="s">
        <v>9048</v>
      </c>
      <c r="C1819" s="29" t="s">
        <v>9049</v>
      </c>
      <c r="D1819" s="18" t="s">
        <v>9048</v>
      </c>
      <c r="E1819" s="34" t="s">
        <v>4253</v>
      </c>
      <c r="F1819" s="19" t="str">
        <f t="shared" si="1"/>
        <v>XIIAKL1</v>
      </c>
      <c r="G1819" s="19" t="s">
        <v>5408</v>
      </c>
      <c r="H1819" s="20" t="s">
        <v>4223</v>
      </c>
      <c r="I1819" s="19" t="s">
        <v>5409</v>
      </c>
      <c r="J1819" s="19" t="s">
        <v>5410</v>
      </c>
      <c r="K1819" s="21" t="s">
        <v>5415</v>
      </c>
      <c r="L1819" s="35" t="s">
        <v>5465</v>
      </c>
      <c r="M1819" s="29" t="s">
        <v>4252</v>
      </c>
      <c r="N1819" s="34" t="s">
        <v>5416</v>
      </c>
      <c r="O1819" s="34">
        <v>0.0</v>
      </c>
      <c r="P1819" s="18">
        <f>VLOOKUP($A1819,MasterData!$C$1:$I$3001,1,FALSE)</f>
        <v>8268</v>
      </c>
      <c r="Q1819" s="34" t="str">
        <f t="shared" si="2"/>
        <v>XIIAKL1</v>
      </c>
    </row>
    <row r="1820" ht="15.75" customHeight="1">
      <c r="A1820" s="15">
        <v>8287.0</v>
      </c>
      <c r="B1820" s="18" t="s">
        <v>9050</v>
      </c>
      <c r="C1820" s="29" t="s">
        <v>9051</v>
      </c>
      <c r="D1820" s="18" t="s">
        <v>9050</v>
      </c>
      <c r="E1820" s="34" t="s">
        <v>4255</v>
      </c>
      <c r="F1820" s="19" t="str">
        <f t="shared" si="1"/>
        <v>XIIAKL1</v>
      </c>
      <c r="G1820" s="19" t="s">
        <v>5408</v>
      </c>
      <c r="H1820" s="20" t="s">
        <v>4223</v>
      </c>
      <c r="I1820" s="19" t="s">
        <v>5409</v>
      </c>
      <c r="J1820" s="19" t="s">
        <v>5410</v>
      </c>
      <c r="K1820" s="21" t="s">
        <v>5415</v>
      </c>
      <c r="L1820" s="35" t="s">
        <v>5465</v>
      </c>
      <c r="M1820" s="29" t="s">
        <v>4254</v>
      </c>
      <c r="N1820" s="34" t="s">
        <v>5416</v>
      </c>
      <c r="O1820" s="34">
        <v>0.0</v>
      </c>
      <c r="P1820" s="18">
        <f>VLOOKUP($A1820,MasterData!$C$1:$I$3001,1,FALSE)</f>
        <v>8287</v>
      </c>
      <c r="Q1820" s="34" t="str">
        <f t="shared" si="2"/>
        <v>XIIAKL1</v>
      </c>
    </row>
    <row r="1821" ht="15.75" customHeight="1">
      <c r="A1821" s="15">
        <v>8299.0</v>
      </c>
      <c r="B1821" s="18" t="s">
        <v>9052</v>
      </c>
      <c r="C1821" s="29" t="s">
        <v>9053</v>
      </c>
      <c r="D1821" s="18" t="s">
        <v>9052</v>
      </c>
      <c r="E1821" s="34" t="s">
        <v>4257</v>
      </c>
      <c r="F1821" s="19" t="str">
        <f t="shared" si="1"/>
        <v>XIIAKL1</v>
      </c>
      <c r="G1821" s="19" t="s">
        <v>5408</v>
      </c>
      <c r="H1821" s="20" t="s">
        <v>4223</v>
      </c>
      <c r="I1821" s="19" t="s">
        <v>5409</v>
      </c>
      <c r="J1821" s="19" t="s">
        <v>5410</v>
      </c>
      <c r="K1821" s="21" t="s">
        <v>5415</v>
      </c>
      <c r="L1821" s="35" t="s">
        <v>5465</v>
      </c>
      <c r="M1821" s="29" t="s">
        <v>4256</v>
      </c>
      <c r="N1821" s="34" t="s">
        <v>5416</v>
      </c>
      <c r="O1821" s="34">
        <v>0.0</v>
      </c>
      <c r="P1821" s="18">
        <f>VLOOKUP($A1821,MasterData!$C$1:$I$3001,1,FALSE)</f>
        <v>8299</v>
      </c>
      <c r="Q1821" s="34" t="str">
        <f t="shared" si="2"/>
        <v>XIIAKL1</v>
      </c>
    </row>
    <row r="1822" ht="15.75" customHeight="1">
      <c r="A1822" s="15">
        <v>8310.0</v>
      </c>
      <c r="B1822" s="18" t="s">
        <v>9054</v>
      </c>
      <c r="C1822" s="29" t="s">
        <v>9055</v>
      </c>
      <c r="D1822" s="18" t="s">
        <v>9054</v>
      </c>
      <c r="E1822" s="34" t="s">
        <v>4259</v>
      </c>
      <c r="F1822" s="19" t="str">
        <f t="shared" si="1"/>
        <v>XIIAKL1</v>
      </c>
      <c r="G1822" s="19" t="s">
        <v>5408</v>
      </c>
      <c r="H1822" s="20" t="s">
        <v>4223</v>
      </c>
      <c r="I1822" s="19" t="s">
        <v>5409</v>
      </c>
      <c r="J1822" s="19" t="s">
        <v>5410</v>
      </c>
      <c r="K1822" s="21" t="s">
        <v>5415</v>
      </c>
      <c r="L1822" s="35" t="s">
        <v>5465</v>
      </c>
      <c r="M1822" s="29" t="s">
        <v>4258</v>
      </c>
      <c r="N1822" s="34" t="s">
        <v>5416</v>
      </c>
      <c r="O1822" s="34">
        <v>0.0</v>
      </c>
      <c r="P1822" s="18">
        <f>VLOOKUP($A1822,MasterData!$C$1:$I$3001,1,FALSE)</f>
        <v>8310</v>
      </c>
      <c r="Q1822" s="34" t="str">
        <f t="shared" si="2"/>
        <v>XIIAKL1</v>
      </c>
    </row>
    <row r="1823" ht="15.75" customHeight="1">
      <c r="A1823" s="15">
        <v>8318.0</v>
      </c>
      <c r="B1823" s="18" t="s">
        <v>9056</v>
      </c>
      <c r="C1823" s="29" t="s">
        <v>9057</v>
      </c>
      <c r="D1823" s="18" t="s">
        <v>9056</v>
      </c>
      <c r="E1823" s="34" t="s">
        <v>4261</v>
      </c>
      <c r="F1823" s="19" t="str">
        <f t="shared" si="1"/>
        <v>XIIAKL1</v>
      </c>
      <c r="G1823" s="19" t="s">
        <v>5408</v>
      </c>
      <c r="H1823" s="20" t="s">
        <v>4223</v>
      </c>
      <c r="I1823" s="19" t="s">
        <v>5409</v>
      </c>
      <c r="J1823" s="19" t="s">
        <v>5410</v>
      </c>
      <c r="K1823" s="21" t="s">
        <v>5415</v>
      </c>
      <c r="L1823" s="35" t="s">
        <v>5465</v>
      </c>
      <c r="M1823" s="29" t="s">
        <v>4260</v>
      </c>
      <c r="N1823" s="34" t="s">
        <v>5416</v>
      </c>
      <c r="O1823" s="34">
        <v>0.0</v>
      </c>
      <c r="P1823" s="18">
        <f>VLOOKUP($A1823,MasterData!$C$1:$I$3001,1,FALSE)</f>
        <v>8318</v>
      </c>
      <c r="Q1823" s="34" t="str">
        <f t="shared" si="2"/>
        <v>XIIAKL1</v>
      </c>
    </row>
    <row r="1824" ht="15.75" customHeight="1">
      <c r="A1824" s="15">
        <v>8339.0</v>
      </c>
      <c r="B1824" s="18" t="s">
        <v>9058</v>
      </c>
      <c r="C1824" s="29" t="s">
        <v>9059</v>
      </c>
      <c r="D1824" s="18" t="s">
        <v>9058</v>
      </c>
      <c r="E1824" s="34" t="s">
        <v>4263</v>
      </c>
      <c r="F1824" s="19" t="str">
        <f t="shared" si="1"/>
        <v>XIIAKL1</v>
      </c>
      <c r="G1824" s="19" t="s">
        <v>5408</v>
      </c>
      <c r="H1824" s="20" t="s">
        <v>4223</v>
      </c>
      <c r="I1824" s="19" t="s">
        <v>5409</v>
      </c>
      <c r="J1824" s="19" t="s">
        <v>5410</v>
      </c>
      <c r="K1824" s="21" t="s">
        <v>5415</v>
      </c>
      <c r="L1824" s="35" t="s">
        <v>5465</v>
      </c>
      <c r="M1824" s="29" t="s">
        <v>4262</v>
      </c>
      <c r="N1824" s="34" t="s">
        <v>5416</v>
      </c>
      <c r="O1824" s="34">
        <v>0.0</v>
      </c>
      <c r="P1824" s="18">
        <f>VLOOKUP($A1824,MasterData!$C$1:$I$3001,1,FALSE)</f>
        <v>8339</v>
      </c>
      <c r="Q1824" s="34" t="str">
        <f t="shared" si="2"/>
        <v>XIIAKL1</v>
      </c>
    </row>
    <row r="1825" ht="15.75" customHeight="1">
      <c r="A1825" s="15">
        <v>8386.0</v>
      </c>
      <c r="B1825" s="18" t="s">
        <v>9060</v>
      </c>
      <c r="C1825" s="29" t="s">
        <v>9061</v>
      </c>
      <c r="D1825" s="18" t="s">
        <v>9060</v>
      </c>
      <c r="E1825" s="34" t="s">
        <v>4265</v>
      </c>
      <c r="F1825" s="19" t="str">
        <f t="shared" si="1"/>
        <v>XIIAKL1</v>
      </c>
      <c r="G1825" s="19" t="s">
        <v>5408</v>
      </c>
      <c r="H1825" s="20" t="s">
        <v>4223</v>
      </c>
      <c r="I1825" s="19" t="s">
        <v>5409</v>
      </c>
      <c r="J1825" s="19" t="s">
        <v>5410</v>
      </c>
      <c r="K1825" s="21" t="s">
        <v>5415</v>
      </c>
      <c r="L1825" s="35" t="s">
        <v>5465</v>
      </c>
      <c r="M1825" s="29" t="s">
        <v>4264</v>
      </c>
      <c r="N1825" s="34" t="s">
        <v>5416</v>
      </c>
      <c r="O1825" s="34">
        <v>0.0</v>
      </c>
      <c r="P1825" s="18">
        <f>VLOOKUP($A1825,MasterData!$C$1:$I$3001,1,FALSE)</f>
        <v>8386</v>
      </c>
      <c r="Q1825" s="34" t="str">
        <f t="shared" si="2"/>
        <v>XIIAKL1</v>
      </c>
    </row>
    <row r="1826" ht="15.75" customHeight="1">
      <c r="A1826" s="15">
        <v>8441.0</v>
      </c>
      <c r="B1826" s="18" t="s">
        <v>9062</v>
      </c>
      <c r="C1826" s="29" t="s">
        <v>9063</v>
      </c>
      <c r="D1826" s="18" t="s">
        <v>9062</v>
      </c>
      <c r="E1826" s="34" t="s">
        <v>4267</v>
      </c>
      <c r="F1826" s="19" t="str">
        <f t="shared" si="1"/>
        <v>XIIAKL1</v>
      </c>
      <c r="G1826" s="19" t="s">
        <v>5408</v>
      </c>
      <c r="H1826" s="20" t="s">
        <v>4223</v>
      </c>
      <c r="I1826" s="19" t="s">
        <v>5409</v>
      </c>
      <c r="J1826" s="19" t="s">
        <v>5410</v>
      </c>
      <c r="K1826" s="21" t="s">
        <v>5415</v>
      </c>
      <c r="L1826" s="35" t="s">
        <v>5465</v>
      </c>
      <c r="M1826" s="29" t="s">
        <v>4266</v>
      </c>
      <c r="N1826" s="34" t="s">
        <v>5416</v>
      </c>
      <c r="O1826" s="34">
        <v>0.0</v>
      </c>
      <c r="P1826" s="18">
        <f>VLOOKUP($A1826,MasterData!$C$1:$I$3001,1,FALSE)</f>
        <v>8441</v>
      </c>
      <c r="Q1826" s="34" t="str">
        <f t="shared" si="2"/>
        <v>XIIAKL1</v>
      </c>
    </row>
    <row r="1827" ht="15.75" customHeight="1">
      <c r="A1827" s="15">
        <v>8447.0</v>
      </c>
      <c r="B1827" s="18" t="s">
        <v>9064</v>
      </c>
      <c r="C1827" s="29" t="s">
        <v>9065</v>
      </c>
      <c r="D1827" s="18" t="s">
        <v>9064</v>
      </c>
      <c r="E1827" s="34" t="s">
        <v>4269</v>
      </c>
      <c r="F1827" s="19" t="str">
        <f t="shared" si="1"/>
        <v>XIIAKL1</v>
      </c>
      <c r="G1827" s="19" t="s">
        <v>5408</v>
      </c>
      <c r="H1827" s="20" t="s">
        <v>4223</v>
      </c>
      <c r="I1827" s="19" t="s">
        <v>5409</v>
      </c>
      <c r="J1827" s="19" t="s">
        <v>5410</v>
      </c>
      <c r="K1827" s="21" t="s">
        <v>5415</v>
      </c>
      <c r="L1827" s="35" t="s">
        <v>5465</v>
      </c>
      <c r="M1827" s="29" t="s">
        <v>4268</v>
      </c>
      <c r="N1827" s="34" t="s">
        <v>5416</v>
      </c>
      <c r="O1827" s="34">
        <v>0.0</v>
      </c>
      <c r="P1827" s="18">
        <f>VLOOKUP($A1827,MasterData!$C$1:$I$3001,1,FALSE)</f>
        <v>8447</v>
      </c>
      <c r="Q1827" s="34" t="str">
        <f t="shared" si="2"/>
        <v>XIIAKL1</v>
      </c>
    </row>
    <row r="1828" ht="15.75" customHeight="1">
      <c r="A1828" s="15">
        <v>8454.0</v>
      </c>
      <c r="B1828" s="18" t="s">
        <v>9066</v>
      </c>
      <c r="C1828" s="29" t="s">
        <v>9067</v>
      </c>
      <c r="D1828" s="18" t="s">
        <v>9066</v>
      </c>
      <c r="E1828" s="34" t="s">
        <v>4271</v>
      </c>
      <c r="F1828" s="19" t="str">
        <f t="shared" si="1"/>
        <v>XIIAKL1</v>
      </c>
      <c r="G1828" s="19" t="s">
        <v>5408</v>
      </c>
      <c r="H1828" s="20" t="s">
        <v>4223</v>
      </c>
      <c r="I1828" s="19" t="s">
        <v>5409</v>
      </c>
      <c r="J1828" s="19" t="s">
        <v>5410</v>
      </c>
      <c r="K1828" s="21" t="s">
        <v>5415</v>
      </c>
      <c r="L1828" s="35" t="s">
        <v>5465</v>
      </c>
      <c r="M1828" s="29" t="s">
        <v>4270</v>
      </c>
      <c r="N1828" s="34" t="s">
        <v>5416</v>
      </c>
      <c r="O1828" s="34">
        <v>0.0</v>
      </c>
      <c r="P1828" s="18">
        <f>VLOOKUP($A1828,MasterData!$C$1:$I$3001,1,FALSE)</f>
        <v>8454</v>
      </c>
      <c r="Q1828" s="34" t="str">
        <f t="shared" si="2"/>
        <v>XIIAKL1</v>
      </c>
    </row>
    <row r="1829" ht="15.75" customHeight="1">
      <c r="A1829" s="15">
        <v>8461.0</v>
      </c>
      <c r="B1829" s="18" t="s">
        <v>9068</v>
      </c>
      <c r="C1829" s="29" t="s">
        <v>9069</v>
      </c>
      <c r="D1829" s="18" t="s">
        <v>9068</v>
      </c>
      <c r="E1829" s="34" t="s">
        <v>4273</v>
      </c>
      <c r="F1829" s="19" t="str">
        <f t="shared" si="1"/>
        <v>XIIAKL1</v>
      </c>
      <c r="G1829" s="19" t="s">
        <v>5408</v>
      </c>
      <c r="H1829" s="20" t="s">
        <v>4223</v>
      </c>
      <c r="I1829" s="19" t="s">
        <v>5409</v>
      </c>
      <c r="J1829" s="19" t="s">
        <v>5410</v>
      </c>
      <c r="K1829" s="21" t="s">
        <v>5415</v>
      </c>
      <c r="L1829" s="35" t="s">
        <v>5465</v>
      </c>
      <c r="M1829" s="29" t="s">
        <v>4272</v>
      </c>
      <c r="N1829" s="34" t="s">
        <v>5416</v>
      </c>
      <c r="O1829" s="34">
        <v>0.0</v>
      </c>
      <c r="P1829" s="18">
        <f>VLOOKUP($A1829,MasterData!$C$1:$I$3001,1,FALSE)</f>
        <v>8461</v>
      </c>
      <c r="Q1829" s="34" t="str">
        <f t="shared" si="2"/>
        <v>XIIAKL1</v>
      </c>
    </row>
    <row r="1830" ht="15.75" customHeight="1">
      <c r="A1830" s="15">
        <v>8479.0</v>
      </c>
      <c r="B1830" s="18" t="s">
        <v>9070</v>
      </c>
      <c r="C1830" s="29" t="s">
        <v>9071</v>
      </c>
      <c r="D1830" s="18" t="s">
        <v>9070</v>
      </c>
      <c r="E1830" s="34" t="s">
        <v>4275</v>
      </c>
      <c r="F1830" s="19" t="str">
        <f t="shared" si="1"/>
        <v>XIIAKL1</v>
      </c>
      <c r="G1830" s="19" t="s">
        <v>5408</v>
      </c>
      <c r="H1830" s="20" t="s">
        <v>4223</v>
      </c>
      <c r="I1830" s="19" t="s">
        <v>5409</v>
      </c>
      <c r="J1830" s="19" t="s">
        <v>5410</v>
      </c>
      <c r="K1830" s="21" t="s">
        <v>5415</v>
      </c>
      <c r="L1830" s="35" t="s">
        <v>5465</v>
      </c>
      <c r="M1830" s="29" t="s">
        <v>4274</v>
      </c>
      <c r="N1830" s="34" t="s">
        <v>5416</v>
      </c>
      <c r="O1830" s="34">
        <v>0.0</v>
      </c>
      <c r="P1830" s="18">
        <f>VLOOKUP($A1830,MasterData!$C$1:$I$3001,1,FALSE)</f>
        <v>8479</v>
      </c>
      <c r="Q1830" s="34" t="str">
        <f t="shared" si="2"/>
        <v>XIIAKL1</v>
      </c>
    </row>
    <row r="1831" ht="15.75" customHeight="1">
      <c r="A1831" s="15">
        <v>8506.0</v>
      </c>
      <c r="B1831" s="18" t="s">
        <v>9072</v>
      </c>
      <c r="C1831" s="29" t="s">
        <v>9073</v>
      </c>
      <c r="D1831" s="18" t="s">
        <v>9072</v>
      </c>
      <c r="E1831" s="34" t="s">
        <v>4277</v>
      </c>
      <c r="F1831" s="19" t="str">
        <f t="shared" si="1"/>
        <v>XIIAKL1</v>
      </c>
      <c r="G1831" s="19" t="s">
        <v>5408</v>
      </c>
      <c r="H1831" s="20" t="s">
        <v>4223</v>
      </c>
      <c r="I1831" s="19" t="s">
        <v>5409</v>
      </c>
      <c r="J1831" s="19" t="s">
        <v>5410</v>
      </c>
      <c r="K1831" s="21" t="s">
        <v>5415</v>
      </c>
      <c r="L1831" s="35" t="s">
        <v>5465</v>
      </c>
      <c r="M1831" s="29" t="s">
        <v>4276</v>
      </c>
      <c r="N1831" s="34" t="s">
        <v>5416</v>
      </c>
      <c r="O1831" s="34">
        <v>0.0</v>
      </c>
      <c r="P1831" s="18">
        <f>VLOOKUP($A1831,MasterData!$C$1:$I$3001,1,FALSE)</f>
        <v>8506</v>
      </c>
      <c r="Q1831" s="34" t="str">
        <f t="shared" si="2"/>
        <v>XIIAKL1</v>
      </c>
    </row>
    <row r="1832" ht="15.75" customHeight="1">
      <c r="A1832" s="15">
        <v>8521.0</v>
      </c>
      <c r="B1832" s="18" t="s">
        <v>9074</v>
      </c>
      <c r="C1832" s="29" t="s">
        <v>9075</v>
      </c>
      <c r="D1832" s="18" t="s">
        <v>9074</v>
      </c>
      <c r="E1832" s="34" t="s">
        <v>4279</v>
      </c>
      <c r="F1832" s="19" t="str">
        <f t="shared" si="1"/>
        <v>XIIAKL1</v>
      </c>
      <c r="G1832" s="19" t="s">
        <v>5408</v>
      </c>
      <c r="H1832" s="20" t="s">
        <v>4223</v>
      </c>
      <c r="I1832" s="19" t="s">
        <v>5409</v>
      </c>
      <c r="J1832" s="19" t="s">
        <v>5410</v>
      </c>
      <c r="K1832" s="21" t="s">
        <v>5415</v>
      </c>
      <c r="L1832" s="35" t="s">
        <v>5465</v>
      </c>
      <c r="M1832" s="29" t="s">
        <v>4278</v>
      </c>
      <c r="N1832" s="34" t="s">
        <v>5416</v>
      </c>
      <c r="O1832" s="34">
        <v>0.0</v>
      </c>
      <c r="P1832" s="18">
        <f>VLOOKUP($A1832,MasterData!$C$1:$I$3001,1,FALSE)</f>
        <v>8521</v>
      </c>
      <c r="Q1832" s="34" t="str">
        <f t="shared" si="2"/>
        <v>XIIAKL1</v>
      </c>
    </row>
    <row r="1833" ht="15.75" customHeight="1">
      <c r="A1833" s="15">
        <v>8532.0</v>
      </c>
      <c r="B1833" s="18" t="s">
        <v>9076</v>
      </c>
      <c r="C1833" s="29" t="s">
        <v>9077</v>
      </c>
      <c r="D1833" s="18" t="s">
        <v>9076</v>
      </c>
      <c r="E1833" s="34" t="s">
        <v>4281</v>
      </c>
      <c r="F1833" s="19" t="str">
        <f t="shared" si="1"/>
        <v>XIIAKL1</v>
      </c>
      <c r="G1833" s="19" t="s">
        <v>5408</v>
      </c>
      <c r="H1833" s="20" t="s">
        <v>4223</v>
      </c>
      <c r="I1833" s="19" t="s">
        <v>5409</v>
      </c>
      <c r="J1833" s="19" t="s">
        <v>5410</v>
      </c>
      <c r="K1833" s="21" t="s">
        <v>5415</v>
      </c>
      <c r="L1833" s="35" t="s">
        <v>5465</v>
      </c>
      <c r="M1833" s="29" t="s">
        <v>4280</v>
      </c>
      <c r="N1833" s="34" t="s">
        <v>5416</v>
      </c>
      <c r="O1833" s="34">
        <v>0.0</v>
      </c>
      <c r="P1833" s="18">
        <f>VLOOKUP($A1833,MasterData!$C$1:$I$3001,1,FALSE)</f>
        <v>8532</v>
      </c>
      <c r="Q1833" s="34" t="str">
        <f t="shared" si="2"/>
        <v>XIIAKL1</v>
      </c>
    </row>
    <row r="1834" ht="15.75" customHeight="1">
      <c r="A1834" s="15">
        <v>8550.0</v>
      </c>
      <c r="B1834" s="18" t="s">
        <v>9078</v>
      </c>
      <c r="C1834" s="29" t="s">
        <v>9079</v>
      </c>
      <c r="D1834" s="18" t="s">
        <v>9078</v>
      </c>
      <c r="E1834" s="34" t="s">
        <v>4283</v>
      </c>
      <c r="F1834" s="19" t="str">
        <f t="shared" si="1"/>
        <v>XIIAKL1</v>
      </c>
      <c r="G1834" s="19" t="s">
        <v>5408</v>
      </c>
      <c r="H1834" s="20" t="s">
        <v>4223</v>
      </c>
      <c r="I1834" s="19" t="s">
        <v>5409</v>
      </c>
      <c r="J1834" s="19" t="s">
        <v>5410</v>
      </c>
      <c r="K1834" s="21" t="s">
        <v>5415</v>
      </c>
      <c r="L1834" s="35" t="s">
        <v>5465</v>
      </c>
      <c r="M1834" s="29" t="s">
        <v>4282</v>
      </c>
      <c r="N1834" s="34" t="s">
        <v>5416</v>
      </c>
      <c r="O1834" s="34">
        <v>0.0</v>
      </c>
      <c r="P1834" s="18">
        <f>VLOOKUP($A1834,MasterData!$C$1:$I$3001,1,FALSE)</f>
        <v>8550</v>
      </c>
      <c r="Q1834" s="34" t="str">
        <f t="shared" si="2"/>
        <v>XIIAKL1</v>
      </c>
    </row>
    <row r="1835" ht="15.75" customHeight="1">
      <c r="A1835" s="15">
        <v>8553.0</v>
      </c>
      <c r="B1835" s="18" t="s">
        <v>9080</v>
      </c>
      <c r="C1835" s="29" t="s">
        <v>9081</v>
      </c>
      <c r="D1835" s="18" t="s">
        <v>9080</v>
      </c>
      <c r="E1835" s="34" t="s">
        <v>4285</v>
      </c>
      <c r="F1835" s="19" t="str">
        <f t="shared" si="1"/>
        <v>XIIAKL1</v>
      </c>
      <c r="G1835" s="19" t="s">
        <v>5408</v>
      </c>
      <c r="H1835" s="20" t="s">
        <v>4223</v>
      </c>
      <c r="I1835" s="19" t="s">
        <v>5409</v>
      </c>
      <c r="J1835" s="19" t="s">
        <v>5410</v>
      </c>
      <c r="K1835" s="21" t="s">
        <v>5415</v>
      </c>
      <c r="L1835" s="35" t="s">
        <v>5465</v>
      </c>
      <c r="M1835" s="29" t="s">
        <v>4284</v>
      </c>
      <c r="N1835" s="34" t="s">
        <v>5416</v>
      </c>
      <c r="O1835" s="34">
        <v>0.0</v>
      </c>
      <c r="P1835" s="18">
        <f>VLOOKUP($A1835,MasterData!$C$1:$I$3001,1,FALSE)</f>
        <v>8553</v>
      </c>
      <c r="Q1835" s="34" t="str">
        <f t="shared" si="2"/>
        <v>XIIAKL1</v>
      </c>
    </row>
    <row r="1836" ht="15.75" customHeight="1">
      <c r="A1836" s="15">
        <v>8564.0</v>
      </c>
      <c r="B1836" s="18" t="s">
        <v>9082</v>
      </c>
      <c r="C1836" s="29" t="s">
        <v>9083</v>
      </c>
      <c r="D1836" s="18" t="s">
        <v>9082</v>
      </c>
      <c r="E1836" s="34" t="s">
        <v>4287</v>
      </c>
      <c r="F1836" s="19" t="str">
        <f t="shared" si="1"/>
        <v>XIIAKL1</v>
      </c>
      <c r="G1836" s="19" t="s">
        <v>5408</v>
      </c>
      <c r="H1836" s="20" t="s">
        <v>4223</v>
      </c>
      <c r="I1836" s="19" t="s">
        <v>5409</v>
      </c>
      <c r="J1836" s="19" t="s">
        <v>5410</v>
      </c>
      <c r="K1836" s="21" t="s">
        <v>5415</v>
      </c>
      <c r="L1836" s="35" t="s">
        <v>5465</v>
      </c>
      <c r="M1836" s="29" t="s">
        <v>4286</v>
      </c>
      <c r="N1836" s="34" t="s">
        <v>5416</v>
      </c>
      <c r="O1836" s="34">
        <v>0.0</v>
      </c>
      <c r="P1836" s="18">
        <f>VLOOKUP($A1836,MasterData!$C$1:$I$3001,1,FALSE)</f>
        <v>8564</v>
      </c>
      <c r="Q1836" s="34" t="str">
        <f t="shared" si="2"/>
        <v>XIIAKL1</v>
      </c>
    </row>
    <row r="1837" ht="15.75" customHeight="1">
      <c r="A1837" s="15">
        <v>8574.0</v>
      </c>
      <c r="B1837" s="18" t="s">
        <v>9084</v>
      </c>
      <c r="C1837" s="29" t="s">
        <v>9085</v>
      </c>
      <c r="D1837" s="18" t="s">
        <v>9084</v>
      </c>
      <c r="E1837" s="34" t="s">
        <v>4289</v>
      </c>
      <c r="F1837" s="19" t="str">
        <f t="shared" si="1"/>
        <v>XIIAKL1</v>
      </c>
      <c r="G1837" s="19" t="s">
        <v>5408</v>
      </c>
      <c r="H1837" s="20" t="s">
        <v>4223</v>
      </c>
      <c r="I1837" s="19" t="s">
        <v>5409</v>
      </c>
      <c r="J1837" s="19" t="s">
        <v>5410</v>
      </c>
      <c r="K1837" s="21" t="s">
        <v>5415</v>
      </c>
      <c r="L1837" s="35" t="s">
        <v>5465</v>
      </c>
      <c r="M1837" s="29" t="s">
        <v>4288</v>
      </c>
      <c r="N1837" s="34" t="s">
        <v>5416</v>
      </c>
      <c r="O1837" s="34">
        <v>0.0</v>
      </c>
      <c r="P1837" s="18">
        <f>VLOOKUP($A1837,MasterData!$C$1:$I$3001,1,FALSE)</f>
        <v>8574</v>
      </c>
      <c r="Q1837" s="34" t="str">
        <f t="shared" si="2"/>
        <v>XIIAKL1</v>
      </c>
    </row>
    <row r="1838" ht="15.75" customHeight="1">
      <c r="A1838" s="15">
        <v>8590.0</v>
      </c>
      <c r="B1838" s="18" t="s">
        <v>9086</v>
      </c>
      <c r="C1838" s="29" t="s">
        <v>9087</v>
      </c>
      <c r="D1838" s="18" t="s">
        <v>9086</v>
      </c>
      <c r="E1838" s="34" t="s">
        <v>4291</v>
      </c>
      <c r="F1838" s="19" t="str">
        <f t="shared" si="1"/>
        <v>XIIAKL1</v>
      </c>
      <c r="G1838" s="19" t="s">
        <v>5408</v>
      </c>
      <c r="H1838" s="20" t="s">
        <v>4223</v>
      </c>
      <c r="I1838" s="19" t="s">
        <v>5409</v>
      </c>
      <c r="J1838" s="19" t="s">
        <v>5410</v>
      </c>
      <c r="K1838" s="21" t="s">
        <v>5415</v>
      </c>
      <c r="L1838" s="35" t="s">
        <v>5465</v>
      </c>
      <c r="M1838" s="29" t="s">
        <v>4290</v>
      </c>
      <c r="N1838" s="34" t="s">
        <v>5416</v>
      </c>
      <c r="O1838" s="34">
        <v>0.0</v>
      </c>
      <c r="P1838" s="18">
        <f>VLOOKUP($A1838,MasterData!$C$1:$I$3001,1,FALSE)</f>
        <v>8590</v>
      </c>
      <c r="Q1838" s="34" t="str">
        <f t="shared" si="2"/>
        <v>XIIAKL1</v>
      </c>
    </row>
    <row r="1839" ht="15.75" customHeight="1">
      <c r="A1839" s="15">
        <v>8616.0</v>
      </c>
      <c r="B1839" s="18" t="s">
        <v>9088</v>
      </c>
      <c r="C1839" s="29" t="s">
        <v>9089</v>
      </c>
      <c r="D1839" s="18" t="s">
        <v>9088</v>
      </c>
      <c r="E1839" s="34" t="s">
        <v>4293</v>
      </c>
      <c r="F1839" s="19" t="str">
        <f t="shared" si="1"/>
        <v>XIIAKL1</v>
      </c>
      <c r="G1839" s="19" t="s">
        <v>5408</v>
      </c>
      <c r="H1839" s="20" t="s">
        <v>4223</v>
      </c>
      <c r="I1839" s="19" t="s">
        <v>5409</v>
      </c>
      <c r="J1839" s="19" t="s">
        <v>5410</v>
      </c>
      <c r="K1839" s="21" t="s">
        <v>5415</v>
      </c>
      <c r="L1839" s="35" t="s">
        <v>5465</v>
      </c>
      <c r="M1839" s="29" t="s">
        <v>4292</v>
      </c>
      <c r="N1839" s="34" t="s">
        <v>5416</v>
      </c>
      <c r="O1839" s="34">
        <v>0.0</v>
      </c>
      <c r="P1839" s="18">
        <f>VLOOKUP($A1839,MasterData!$C$1:$I$3001,1,FALSE)</f>
        <v>8616</v>
      </c>
      <c r="Q1839" s="34" t="str">
        <f t="shared" si="2"/>
        <v>XIIAKL1</v>
      </c>
    </row>
    <row r="1840" ht="15.75" customHeight="1">
      <c r="A1840" s="15">
        <v>8033.0</v>
      </c>
      <c r="B1840" s="18" t="s">
        <v>9090</v>
      </c>
      <c r="C1840" s="29" t="s">
        <v>9091</v>
      </c>
      <c r="D1840" s="18" t="s">
        <v>9090</v>
      </c>
      <c r="E1840" s="34" t="s">
        <v>4295</v>
      </c>
      <c r="F1840" s="19" t="str">
        <f t="shared" si="1"/>
        <v>XIIAKL2</v>
      </c>
      <c r="G1840" s="19" t="s">
        <v>5408</v>
      </c>
      <c r="H1840" s="20" t="s">
        <v>4223</v>
      </c>
      <c r="I1840" s="19" t="s">
        <v>5409</v>
      </c>
      <c r="J1840" s="19" t="s">
        <v>5410</v>
      </c>
      <c r="K1840" s="21" t="s">
        <v>5415</v>
      </c>
      <c r="L1840" s="35" t="s">
        <v>5574</v>
      </c>
      <c r="M1840" s="29" t="s">
        <v>4294</v>
      </c>
      <c r="N1840" s="34" t="s">
        <v>5416</v>
      </c>
      <c r="O1840" s="34">
        <v>0.0</v>
      </c>
      <c r="P1840" s="18">
        <f>VLOOKUP($A1840,MasterData!$C$1:$I$3001,1,FALSE)</f>
        <v>8033</v>
      </c>
      <c r="Q1840" s="34" t="str">
        <f t="shared" si="2"/>
        <v>XIIAKL2</v>
      </c>
    </row>
    <row r="1841" ht="15.75" customHeight="1">
      <c r="A1841" s="15">
        <v>8076.0</v>
      </c>
      <c r="B1841" s="18" t="s">
        <v>9092</v>
      </c>
      <c r="C1841" s="29" t="s">
        <v>9093</v>
      </c>
      <c r="D1841" s="18" t="s">
        <v>9092</v>
      </c>
      <c r="E1841" s="34" t="s">
        <v>4297</v>
      </c>
      <c r="F1841" s="19" t="str">
        <f t="shared" si="1"/>
        <v>XIIAKL2</v>
      </c>
      <c r="G1841" s="19" t="s">
        <v>5408</v>
      </c>
      <c r="H1841" s="20" t="s">
        <v>4223</v>
      </c>
      <c r="I1841" s="19" t="s">
        <v>5409</v>
      </c>
      <c r="J1841" s="19" t="s">
        <v>5410</v>
      </c>
      <c r="K1841" s="21" t="s">
        <v>5415</v>
      </c>
      <c r="L1841" s="35" t="s">
        <v>5574</v>
      </c>
      <c r="M1841" s="29" t="s">
        <v>4296</v>
      </c>
      <c r="N1841" s="34" t="s">
        <v>5416</v>
      </c>
      <c r="O1841" s="34">
        <v>0.0</v>
      </c>
      <c r="P1841" s="18">
        <f>VLOOKUP($A1841,MasterData!$C$1:$I$3001,1,FALSE)</f>
        <v>8076</v>
      </c>
      <c r="Q1841" s="34" t="str">
        <f t="shared" si="2"/>
        <v>XIIAKL2</v>
      </c>
    </row>
    <row r="1842" ht="15.75" customHeight="1">
      <c r="A1842" s="15">
        <v>8082.0</v>
      </c>
      <c r="B1842" s="18" t="s">
        <v>9094</v>
      </c>
      <c r="C1842" s="29" t="s">
        <v>9095</v>
      </c>
      <c r="D1842" s="18" t="s">
        <v>9094</v>
      </c>
      <c r="E1842" s="34" t="s">
        <v>4299</v>
      </c>
      <c r="F1842" s="19" t="str">
        <f t="shared" si="1"/>
        <v>XIIAKL2</v>
      </c>
      <c r="G1842" s="19" t="s">
        <v>5408</v>
      </c>
      <c r="H1842" s="20" t="s">
        <v>4223</v>
      </c>
      <c r="I1842" s="19" t="s">
        <v>5409</v>
      </c>
      <c r="J1842" s="19" t="s">
        <v>5410</v>
      </c>
      <c r="K1842" s="21" t="s">
        <v>5415</v>
      </c>
      <c r="L1842" s="35" t="s">
        <v>5574</v>
      </c>
      <c r="M1842" s="29" t="s">
        <v>4298</v>
      </c>
      <c r="N1842" s="34" t="s">
        <v>5416</v>
      </c>
      <c r="O1842" s="34">
        <v>0.0</v>
      </c>
      <c r="P1842" s="18">
        <f>VLOOKUP($A1842,MasterData!$C$1:$I$3001,1,FALSE)</f>
        <v>8082</v>
      </c>
      <c r="Q1842" s="34" t="str">
        <f t="shared" si="2"/>
        <v>XIIAKL2</v>
      </c>
    </row>
    <row r="1843" ht="15.75" customHeight="1">
      <c r="A1843" s="15">
        <v>8097.0</v>
      </c>
      <c r="B1843" s="18" t="s">
        <v>9096</v>
      </c>
      <c r="C1843" s="29" t="s">
        <v>9097</v>
      </c>
      <c r="D1843" s="18" t="s">
        <v>9096</v>
      </c>
      <c r="E1843" s="34" t="s">
        <v>4301</v>
      </c>
      <c r="F1843" s="19" t="str">
        <f t="shared" si="1"/>
        <v>XIIAKL2</v>
      </c>
      <c r="G1843" s="19" t="s">
        <v>5408</v>
      </c>
      <c r="H1843" s="20" t="s">
        <v>4223</v>
      </c>
      <c r="I1843" s="19" t="s">
        <v>5409</v>
      </c>
      <c r="J1843" s="19" t="s">
        <v>5410</v>
      </c>
      <c r="K1843" s="21" t="s">
        <v>5415</v>
      </c>
      <c r="L1843" s="35" t="s">
        <v>5574</v>
      </c>
      <c r="M1843" s="29" t="s">
        <v>4300</v>
      </c>
      <c r="N1843" s="34" t="s">
        <v>5416</v>
      </c>
      <c r="O1843" s="34">
        <v>0.0</v>
      </c>
      <c r="P1843" s="18">
        <f>VLOOKUP($A1843,MasterData!$C$1:$I$3001,1,FALSE)</f>
        <v>8097</v>
      </c>
      <c r="Q1843" s="34" t="str">
        <f t="shared" si="2"/>
        <v>XIIAKL2</v>
      </c>
    </row>
    <row r="1844" ht="15.75" customHeight="1">
      <c r="A1844" s="15">
        <v>8102.0</v>
      </c>
      <c r="B1844" s="18" t="s">
        <v>9098</v>
      </c>
      <c r="C1844" s="29" t="s">
        <v>9099</v>
      </c>
      <c r="D1844" s="18" t="s">
        <v>9098</v>
      </c>
      <c r="E1844" s="34" t="s">
        <v>4303</v>
      </c>
      <c r="F1844" s="19" t="str">
        <f t="shared" si="1"/>
        <v>XIIAKL2</v>
      </c>
      <c r="G1844" s="19" t="s">
        <v>5408</v>
      </c>
      <c r="H1844" s="20" t="s">
        <v>4223</v>
      </c>
      <c r="I1844" s="19" t="s">
        <v>5409</v>
      </c>
      <c r="J1844" s="19" t="s">
        <v>5410</v>
      </c>
      <c r="K1844" s="21" t="s">
        <v>5415</v>
      </c>
      <c r="L1844" s="35" t="s">
        <v>5574</v>
      </c>
      <c r="M1844" s="29" t="s">
        <v>4302</v>
      </c>
      <c r="N1844" s="34" t="s">
        <v>5416</v>
      </c>
      <c r="O1844" s="34">
        <v>0.0</v>
      </c>
      <c r="P1844" s="18">
        <f>VLOOKUP($A1844,MasterData!$C$1:$I$3001,1,FALSE)</f>
        <v>8102</v>
      </c>
      <c r="Q1844" s="34" t="str">
        <f t="shared" si="2"/>
        <v>XIIAKL2</v>
      </c>
    </row>
    <row r="1845" ht="15.75" customHeight="1">
      <c r="A1845" s="15">
        <v>8120.0</v>
      </c>
      <c r="B1845" s="18" t="s">
        <v>9100</v>
      </c>
      <c r="C1845" s="29" t="s">
        <v>9101</v>
      </c>
      <c r="D1845" s="18" t="s">
        <v>9100</v>
      </c>
      <c r="E1845" s="34" t="s">
        <v>4305</v>
      </c>
      <c r="F1845" s="19" t="str">
        <f t="shared" si="1"/>
        <v>XIIAKL2</v>
      </c>
      <c r="G1845" s="19" t="s">
        <v>5408</v>
      </c>
      <c r="H1845" s="20" t="s">
        <v>4223</v>
      </c>
      <c r="I1845" s="19" t="s">
        <v>5409</v>
      </c>
      <c r="J1845" s="19" t="s">
        <v>5410</v>
      </c>
      <c r="K1845" s="21" t="s">
        <v>5415</v>
      </c>
      <c r="L1845" s="35" t="s">
        <v>5574</v>
      </c>
      <c r="M1845" s="29" t="s">
        <v>4304</v>
      </c>
      <c r="N1845" s="34" t="s">
        <v>5416</v>
      </c>
      <c r="O1845" s="34">
        <v>0.0</v>
      </c>
      <c r="P1845" s="18">
        <f>VLOOKUP($A1845,MasterData!$C$1:$I$3001,1,FALSE)</f>
        <v>8120</v>
      </c>
      <c r="Q1845" s="34" t="str">
        <f t="shared" si="2"/>
        <v>XIIAKL2</v>
      </c>
    </row>
    <row r="1846" ht="15.75" customHeight="1">
      <c r="A1846" s="15">
        <v>8125.0</v>
      </c>
      <c r="B1846" s="18" t="s">
        <v>9102</v>
      </c>
      <c r="C1846" s="29" t="s">
        <v>9103</v>
      </c>
      <c r="D1846" s="18" t="s">
        <v>9102</v>
      </c>
      <c r="E1846" s="34" t="s">
        <v>4307</v>
      </c>
      <c r="F1846" s="19" t="str">
        <f t="shared" si="1"/>
        <v>XIIAKL2</v>
      </c>
      <c r="G1846" s="19" t="s">
        <v>5408</v>
      </c>
      <c r="H1846" s="20" t="s">
        <v>4223</v>
      </c>
      <c r="I1846" s="19" t="s">
        <v>5409</v>
      </c>
      <c r="J1846" s="19" t="s">
        <v>5410</v>
      </c>
      <c r="K1846" s="21" t="s">
        <v>5415</v>
      </c>
      <c r="L1846" s="35" t="s">
        <v>5574</v>
      </c>
      <c r="M1846" s="29" t="s">
        <v>4306</v>
      </c>
      <c r="N1846" s="34" t="s">
        <v>5416</v>
      </c>
      <c r="O1846" s="34">
        <v>0.0</v>
      </c>
      <c r="P1846" s="18">
        <f>VLOOKUP($A1846,MasterData!$C$1:$I$3001,1,FALSE)</f>
        <v>8125</v>
      </c>
      <c r="Q1846" s="34" t="str">
        <f t="shared" si="2"/>
        <v>XIIAKL2</v>
      </c>
    </row>
    <row r="1847" ht="15.75" customHeight="1">
      <c r="A1847" s="15">
        <v>8128.0</v>
      </c>
      <c r="B1847" s="18" t="s">
        <v>9104</v>
      </c>
      <c r="C1847" s="29" t="s">
        <v>9105</v>
      </c>
      <c r="D1847" s="18" t="s">
        <v>9104</v>
      </c>
      <c r="E1847" s="34" t="s">
        <v>4309</v>
      </c>
      <c r="F1847" s="19" t="str">
        <f t="shared" si="1"/>
        <v>XIIAKL2</v>
      </c>
      <c r="G1847" s="19" t="s">
        <v>5408</v>
      </c>
      <c r="H1847" s="20" t="s">
        <v>4223</v>
      </c>
      <c r="I1847" s="19" t="s">
        <v>5409</v>
      </c>
      <c r="J1847" s="19" t="s">
        <v>5410</v>
      </c>
      <c r="K1847" s="21" t="s">
        <v>5415</v>
      </c>
      <c r="L1847" s="35" t="s">
        <v>5574</v>
      </c>
      <c r="M1847" s="29" t="s">
        <v>4308</v>
      </c>
      <c r="N1847" s="34" t="s">
        <v>5416</v>
      </c>
      <c r="O1847" s="34">
        <v>0.0</v>
      </c>
      <c r="P1847" s="18">
        <f>VLOOKUP($A1847,MasterData!$C$1:$I$3001,1,FALSE)</f>
        <v>8128</v>
      </c>
      <c r="Q1847" s="34" t="str">
        <f t="shared" si="2"/>
        <v>XIIAKL2</v>
      </c>
    </row>
    <row r="1848" ht="15.75" customHeight="1">
      <c r="A1848" s="15">
        <v>8136.0</v>
      </c>
      <c r="B1848" s="18" t="s">
        <v>9106</v>
      </c>
      <c r="C1848" s="29" t="s">
        <v>9107</v>
      </c>
      <c r="D1848" s="18" t="s">
        <v>9106</v>
      </c>
      <c r="E1848" s="34" t="s">
        <v>4311</v>
      </c>
      <c r="F1848" s="19" t="str">
        <f t="shared" si="1"/>
        <v>XIIAKL2</v>
      </c>
      <c r="G1848" s="19" t="s">
        <v>5408</v>
      </c>
      <c r="H1848" s="20" t="s">
        <v>4223</v>
      </c>
      <c r="I1848" s="19" t="s">
        <v>5409</v>
      </c>
      <c r="J1848" s="19" t="s">
        <v>5410</v>
      </c>
      <c r="K1848" s="21" t="s">
        <v>5415</v>
      </c>
      <c r="L1848" s="35" t="s">
        <v>5574</v>
      </c>
      <c r="M1848" s="29" t="s">
        <v>4310</v>
      </c>
      <c r="N1848" s="34" t="s">
        <v>5416</v>
      </c>
      <c r="O1848" s="34">
        <v>0.0</v>
      </c>
      <c r="P1848" s="18">
        <f>VLOOKUP($A1848,MasterData!$C$1:$I$3001,1,FALSE)</f>
        <v>8136</v>
      </c>
      <c r="Q1848" s="34" t="str">
        <f t="shared" si="2"/>
        <v>XIIAKL2</v>
      </c>
    </row>
    <row r="1849" ht="15.75" customHeight="1">
      <c r="A1849" s="15">
        <v>8155.0</v>
      </c>
      <c r="B1849" s="18" t="s">
        <v>9108</v>
      </c>
      <c r="C1849" s="29" t="s">
        <v>9109</v>
      </c>
      <c r="D1849" s="18" t="s">
        <v>9108</v>
      </c>
      <c r="E1849" s="34" t="s">
        <v>4313</v>
      </c>
      <c r="F1849" s="19" t="str">
        <f t="shared" si="1"/>
        <v>XIIAKL2</v>
      </c>
      <c r="G1849" s="19" t="s">
        <v>5408</v>
      </c>
      <c r="H1849" s="20" t="s">
        <v>4223</v>
      </c>
      <c r="I1849" s="19" t="s">
        <v>5409</v>
      </c>
      <c r="J1849" s="19" t="s">
        <v>5410</v>
      </c>
      <c r="K1849" s="21" t="s">
        <v>5415</v>
      </c>
      <c r="L1849" s="35" t="s">
        <v>5574</v>
      </c>
      <c r="M1849" s="29" t="s">
        <v>4312</v>
      </c>
      <c r="N1849" s="34" t="s">
        <v>5416</v>
      </c>
      <c r="O1849" s="34">
        <v>0.0</v>
      </c>
      <c r="P1849" s="18">
        <f>VLOOKUP($A1849,MasterData!$C$1:$I$3001,1,FALSE)</f>
        <v>8155</v>
      </c>
      <c r="Q1849" s="34" t="str">
        <f t="shared" si="2"/>
        <v>XIIAKL2</v>
      </c>
    </row>
    <row r="1850" ht="15.75" customHeight="1">
      <c r="A1850" s="15">
        <v>8162.0</v>
      </c>
      <c r="B1850" s="18" t="s">
        <v>9110</v>
      </c>
      <c r="C1850" s="29" t="s">
        <v>9111</v>
      </c>
      <c r="D1850" s="18" t="s">
        <v>9110</v>
      </c>
      <c r="E1850" s="34" t="s">
        <v>4315</v>
      </c>
      <c r="F1850" s="19" t="str">
        <f t="shared" si="1"/>
        <v>XIIAKL2</v>
      </c>
      <c r="G1850" s="19" t="s">
        <v>5408</v>
      </c>
      <c r="H1850" s="20" t="s">
        <v>4223</v>
      </c>
      <c r="I1850" s="19" t="s">
        <v>5409</v>
      </c>
      <c r="J1850" s="19" t="s">
        <v>5410</v>
      </c>
      <c r="K1850" s="21" t="s">
        <v>5415</v>
      </c>
      <c r="L1850" s="35" t="s">
        <v>5574</v>
      </c>
      <c r="M1850" s="29" t="s">
        <v>4314</v>
      </c>
      <c r="N1850" s="34" t="s">
        <v>9112</v>
      </c>
      <c r="O1850" s="34" t="s">
        <v>9113</v>
      </c>
      <c r="P1850" s="18">
        <f>VLOOKUP($A1850,MasterData!$C$1:$I$3001,1,FALSE)</f>
        <v>8162</v>
      </c>
      <c r="Q1850" s="34" t="str">
        <f t="shared" si="2"/>
        <v>XIIAKL2</v>
      </c>
    </row>
    <row r="1851" ht="15.75" customHeight="1">
      <c r="A1851" s="15">
        <v>8180.0</v>
      </c>
      <c r="B1851" s="18" t="s">
        <v>9114</v>
      </c>
      <c r="C1851" s="29" t="s">
        <v>9115</v>
      </c>
      <c r="D1851" s="18" t="s">
        <v>9114</v>
      </c>
      <c r="E1851" s="34" t="s">
        <v>4317</v>
      </c>
      <c r="F1851" s="19" t="str">
        <f t="shared" si="1"/>
        <v>XIIAKL2</v>
      </c>
      <c r="G1851" s="19" t="s">
        <v>5408</v>
      </c>
      <c r="H1851" s="20" t="s">
        <v>4223</v>
      </c>
      <c r="I1851" s="19" t="s">
        <v>5409</v>
      </c>
      <c r="J1851" s="19" t="s">
        <v>5410</v>
      </c>
      <c r="K1851" s="21" t="s">
        <v>5415</v>
      </c>
      <c r="L1851" s="35" t="s">
        <v>5574</v>
      </c>
      <c r="M1851" s="29" t="s">
        <v>4316</v>
      </c>
      <c r="N1851" s="34" t="s">
        <v>5416</v>
      </c>
      <c r="O1851" s="34">
        <v>0.0</v>
      </c>
      <c r="P1851" s="18">
        <f>VLOOKUP($A1851,MasterData!$C$1:$I$3001,1,FALSE)</f>
        <v>8180</v>
      </c>
      <c r="Q1851" s="34" t="str">
        <f t="shared" si="2"/>
        <v>XIIAKL2</v>
      </c>
    </row>
    <row r="1852" ht="15.75" customHeight="1">
      <c r="A1852" s="15">
        <v>8196.0</v>
      </c>
      <c r="B1852" s="18" t="s">
        <v>9116</v>
      </c>
      <c r="C1852" s="29" t="s">
        <v>9117</v>
      </c>
      <c r="D1852" s="18" t="s">
        <v>9116</v>
      </c>
      <c r="E1852" s="34" t="s">
        <v>4319</v>
      </c>
      <c r="F1852" s="19" t="str">
        <f t="shared" si="1"/>
        <v>XIIAKL2</v>
      </c>
      <c r="G1852" s="19" t="s">
        <v>5408</v>
      </c>
      <c r="H1852" s="20" t="s">
        <v>4223</v>
      </c>
      <c r="I1852" s="19" t="s">
        <v>5409</v>
      </c>
      <c r="J1852" s="19" t="s">
        <v>5410</v>
      </c>
      <c r="K1852" s="21" t="s">
        <v>5415</v>
      </c>
      <c r="L1852" s="35" t="s">
        <v>5574</v>
      </c>
      <c r="M1852" s="29" t="s">
        <v>4318</v>
      </c>
      <c r="N1852" s="34" t="s">
        <v>9118</v>
      </c>
      <c r="O1852" s="34" t="s">
        <v>9119</v>
      </c>
      <c r="P1852" s="18">
        <f>VLOOKUP($A1852,MasterData!$C$1:$I$3001,1,FALSE)</f>
        <v>8196</v>
      </c>
      <c r="Q1852" s="34" t="str">
        <f t="shared" si="2"/>
        <v>XIIAKL2</v>
      </c>
    </row>
    <row r="1853" ht="15.75" customHeight="1">
      <c r="A1853" s="15">
        <v>8210.0</v>
      </c>
      <c r="B1853" s="18" t="s">
        <v>9120</v>
      </c>
      <c r="C1853" s="29" t="s">
        <v>9121</v>
      </c>
      <c r="D1853" s="18" t="s">
        <v>9120</v>
      </c>
      <c r="E1853" s="34" t="s">
        <v>4321</v>
      </c>
      <c r="F1853" s="19" t="str">
        <f t="shared" si="1"/>
        <v>XIIAKL2</v>
      </c>
      <c r="G1853" s="19" t="s">
        <v>5408</v>
      </c>
      <c r="H1853" s="20" t="s">
        <v>4223</v>
      </c>
      <c r="I1853" s="19" t="s">
        <v>5409</v>
      </c>
      <c r="J1853" s="19" t="s">
        <v>5410</v>
      </c>
      <c r="K1853" s="21" t="s">
        <v>5415</v>
      </c>
      <c r="L1853" s="35" t="s">
        <v>5574</v>
      </c>
      <c r="M1853" s="29" t="s">
        <v>4320</v>
      </c>
      <c r="N1853" s="34" t="s">
        <v>5416</v>
      </c>
      <c r="O1853" s="34">
        <v>0.0</v>
      </c>
      <c r="P1853" s="18">
        <f>VLOOKUP($A1853,MasterData!$C$1:$I$3001,1,FALSE)</f>
        <v>8210</v>
      </c>
      <c r="Q1853" s="34" t="str">
        <f t="shared" si="2"/>
        <v>XIIAKL2</v>
      </c>
    </row>
    <row r="1854" ht="15.75" customHeight="1">
      <c r="A1854" s="15">
        <v>8224.0</v>
      </c>
      <c r="B1854" s="18" t="s">
        <v>9122</v>
      </c>
      <c r="C1854" s="29" t="s">
        <v>9123</v>
      </c>
      <c r="D1854" s="18" t="s">
        <v>9122</v>
      </c>
      <c r="E1854" s="34" t="s">
        <v>4323</v>
      </c>
      <c r="F1854" s="19" t="str">
        <f t="shared" si="1"/>
        <v>XIIAKL2</v>
      </c>
      <c r="G1854" s="19" t="s">
        <v>5408</v>
      </c>
      <c r="H1854" s="20" t="s">
        <v>4223</v>
      </c>
      <c r="I1854" s="19" t="s">
        <v>5409</v>
      </c>
      <c r="J1854" s="19" t="s">
        <v>5410</v>
      </c>
      <c r="K1854" s="21" t="s">
        <v>5415</v>
      </c>
      <c r="L1854" s="35" t="s">
        <v>5574</v>
      </c>
      <c r="M1854" s="29" t="s">
        <v>4322</v>
      </c>
      <c r="N1854" s="34" t="s">
        <v>5416</v>
      </c>
      <c r="O1854" s="34">
        <v>0.0</v>
      </c>
      <c r="P1854" s="18">
        <f>VLOOKUP($A1854,MasterData!$C$1:$I$3001,1,FALSE)</f>
        <v>8224</v>
      </c>
      <c r="Q1854" s="34" t="str">
        <f t="shared" si="2"/>
        <v>XIIAKL2</v>
      </c>
    </row>
    <row r="1855" ht="15.75" customHeight="1">
      <c r="A1855" s="15">
        <v>8249.0</v>
      </c>
      <c r="B1855" s="18" t="s">
        <v>9124</v>
      </c>
      <c r="C1855" s="29" t="s">
        <v>9125</v>
      </c>
      <c r="D1855" s="18" t="s">
        <v>9124</v>
      </c>
      <c r="E1855" s="34" t="s">
        <v>4325</v>
      </c>
      <c r="F1855" s="19" t="str">
        <f t="shared" si="1"/>
        <v>XIIAKL2</v>
      </c>
      <c r="G1855" s="19" t="s">
        <v>5408</v>
      </c>
      <c r="H1855" s="20" t="s">
        <v>4223</v>
      </c>
      <c r="I1855" s="19" t="s">
        <v>5409</v>
      </c>
      <c r="J1855" s="19" t="s">
        <v>5410</v>
      </c>
      <c r="K1855" s="21" t="s">
        <v>5415</v>
      </c>
      <c r="L1855" s="35" t="s">
        <v>5574</v>
      </c>
      <c r="M1855" s="29" t="s">
        <v>4324</v>
      </c>
      <c r="N1855" s="34" t="s">
        <v>9126</v>
      </c>
      <c r="O1855" s="34" t="s">
        <v>9127</v>
      </c>
      <c r="P1855" s="18">
        <f>VLOOKUP($A1855,MasterData!$C$1:$I$3001,1,FALSE)</f>
        <v>8249</v>
      </c>
      <c r="Q1855" s="34" t="str">
        <f t="shared" si="2"/>
        <v>XIIAKL2</v>
      </c>
    </row>
    <row r="1856" ht="15.75" customHeight="1">
      <c r="A1856" s="15">
        <v>8258.0</v>
      </c>
      <c r="B1856" s="18" t="s">
        <v>9128</v>
      </c>
      <c r="C1856" s="29" t="s">
        <v>9129</v>
      </c>
      <c r="D1856" s="18" t="s">
        <v>9128</v>
      </c>
      <c r="E1856" s="34" t="s">
        <v>4327</v>
      </c>
      <c r="F1856" s="19" t="str">
        <f t="shared" si="1"/>
        <v>XIIAKL2</v>
      </c>
      <c r="G1856" s="19" t="s">
        <v>5408</v>
      </c>
      <c r="H1856" s="20" t="s">
        <v>4223</v>
      </c>
      <c r="I1856" s="19" t="s">
        <v>5409</v>
      </c>
      <c r="J1856" s="19" t="s">
        <v>5410</v>
      </c>
      <c r="K1856" s="21" t="s">
        <v>5415</v>
      </c>
      <c r="L1856" s="35" t="s">
        <v>5574</v>
      </c>
      <c r="M1856" s="29" t="s">
        <v>4326</v>
      </c>
      <c r="N1856" s="34" t="s">
        <v>5416</v>
      </c>
      <c r="O1856" s="34">
        <v>0.0</v>
      </c>
      <c r="P1856" s="18">
        <f>VLOOKUP($A1856,MasterData!$C$1:$I$3001,1,FALSE)</f>
        <v>8258</v>
      </c>
      <c r="Q1856" s="34" t="str">
        <f t="shared" si="2"/>
        <v>XIIAKL2</v>
      </c>
    </row>
    <row r="1857" ht="15.75" customHeight="1">
      <c r="A1857" s="15">
        <v>8269.0</v>
      </c>
      <c r="B1857" s="18" t="s">
        <v>9130</v>
      </c>
      <c r="C1857" s="29" t="s">
        <v>9131</v>
      </c>
      <c r="D1857" s="18" t="s">
        <v>9130</v>
      </c>
      <c r="E1857" s="34" t="s">
        <v>4329</v>
      </c>
      <c r="F1857" s="19" t="str">
        <f t="shared" si="1"/>
        <v>XIIAKL2</v>
      </c>
      <c r="G1857" s="19" t="s">
        <v>5408</v>
      </c>
      <c r="H1857" s="20" t="s">
        <v>4223</v>
      </c>
      <c r="I1857" s="19" t="s">
        <v>5409</v>
      </c>
      <c r="J1857" s="19" t="s">
        <v>5410</v>
      </c>
      <c r="K1857" s="21" t="s">
        <v>5415</v>
      </c>
      <c r="L1857" s="35" t="s">
        <v>5574</v>
      </c>
      <c r="M1857" s="29" t="s">
        <v>4328</v>
      </c>
      <c r="N1857" s="34" t="s">
        <v>5416</v>
      </c>
      <c r="O1857" s="34">
        <v>0.0</v>
      </c>
      <c r="P1857" s="18">
        <f>VLOOKUP($A1857,MasterData!$C$1:$I$3001,1,FALSE)</f>
        <v>8269</v>
      </c>
      <c r="Q1857" s="34" t="str">
        <f t="shared" si="2"/>
        <v>XIIAKL2</v>
      </c>
    </row>
    <row r="1858" ht="15.75" customHeight="1">
      <c r="A1858" s="15">
        <v>8290.0</v>
      </c>
      <c r="B1858" s="18" t="s">
        <v>9132</v>
      </c>
      <c r="C1858" s="29" t="s">
        <v>9133</v>
      </c>
      <c r="D1858" s="18" t="s">
        <v>9132</v>
      </c>
      <c r="E1858" s="34" t="s">
        <v>4331</v>
      </c>
      <c r="F1858" s="19" t="str">
        <f t="shared" si="1"/>
        <v>XIIAKL2</v>
      </c>
      <c r="G1858" s="19" t="s">
        <v>5408</v>
      </c>
      <c r="H1858" s="20" t="s">
        <v>4223</v>
      </c>
      <c r="I1858" s="19" t="s">
        <v>5409</v>
      </c>
      <c r="J1858" s="19" t="s">
        <v>5410</v>
      </c>
      <c r="K1858" s="21" t="s">
        <v>5415</v>
      </c>
      <c r="L1858" s="35" t="s">
        <v>5574</v>
      </c>
      <c r="M1858" s="29" t="s">
        <v>4330</v>
      </c>
      <c r="N1858" s="34" t="s">
        <v>5416</v>
      </c>
      <c r="O1858" s="34">
        <v>0.0</v>
      </c>
      <c r="P1858" s="18">
        <f>VLOOKUP($A1858,MasterData!$C$1:$I$3001,1,FALSE)</f>
        <v>8290</v>
      </c>
      <c r="Q1858" s="34" t="str">
        <f t="shared" si="2"/>
        <v>XIIAKL2</v>
      </c>
    </row>
    <row r="1859" ht="15.75" customHeight="1">
      <c r="A1859" s="15">
        <v>8302.0</v>
      </c>
      <c r="B1859" s="18" t="s">
        <v>9134</v>
      </c>
      <c r="C1859" s="29" t="s">
        <v>9135</v>
      </c>
      <c r="D1859" s="18" t="s">
        <v>9134</v>
      </c>
      <c r="E1859" s="34" t="s">
        <v>4333</v>
      </c>
      <c r="F1859" s="19" t="str">
        <f t="shared" si="1"/>
        <v>XIIAKL2</v>
      </c>
      <c r="G1859" s="19" t="s">
        <v>5408</v>
      </c>
      <c r="H1859" s="20" t="s">
        <v>4223</v>
      </c>
      <c r="I1859" s="19" t="s">
        <v>5409</v>
      </c>
      <c r="J1859" s="19" t="s">
        <v>5410</v>
      </c>
      <c r="K1859" s="21" t="s">
        <v>5415</v>
      </c>
      <c r="L1859" s="35" t="s">
        <v>5574</v>
      </c>
      <c r="M1859" s="29" t="s">
        <v>4332</v>
      </c>
      <c r="N1859" s="34" t="s">
        <v>5416</v>
      </c>
      <c r="O1859" s="34">
        <v>0.0</v>
      </c>
      <c r="P1859" s="18">
        <f>VLOOKUP($A1859,MasterData!$C$1:$I$3001,1,FALSE)</f>
        <v>8302</v>
      </c>
      <c r="Q1859" s="34" t="str">
        <f t="shared" si="2"/>
        <v>XIIAKL2</v>
      </c>
    </row>
    <row r="1860" ht="15.75" customHeight="1">
      <c r="A1860" s="15">
        <v>8311.0</v>
      </c>
      <c r="B1860" s="18" t="s">
        <v>9136</v>
      </c>
      <c r="C1860" s="29" t="s">
        <v>9137</v>
      </c>
      <c r="D1860" s="18" t="s">
        <v>9136</v>
      </c>
      <c r="E1860" s="34" t="s">
        <v>4335</v>
      </c>
      <c r="F1860" s="19" t="str">
        <f t="shared" si="1"/>
        <v>XIIAKL2</v>
      </c>
      <c r="G1860" s="19" t="s">
        <v>5408</v>
      </c>
      <c r="H1860" s="20" t="s">
        <v>4223</v>
      </c>
      <c r="I1860" s="19" t="s">
        <v>5409</v>
      </c>
      <c r="J1860" s="19" t="s">
        <v>5410</v>
      </c>
      <c r="K1860" s="21" t="s">
        <v>5415</v>
      </c>
      <c r="L1860" s="35" t="s">
        <v>5574</v>
      </c>
      <c r="M1860" s="29" t="s">
        <v>4334</v>
      </c>
      <c r="N1860" s="34" t="s">
        <v>5416</v>
      </c>
      <c r="O1860" s="34">
        <v>0.0</v>
      </c>
      <c r="P1860" s="18">
        <f>VLOOKUP($A1860,MasterData!$C$1:$I$3001,1,FALSE)</f>
        <v>8311</v>
      </c>
      <c r="Q1860" s="34" t="str">
        <f t="shared" si="2"/>
        <v>XIIAKL2</v>
      </c>
    </row>
    <row r="1861" ht="15.75" customHeight="1">
      <c r="A1861" s="15">
        <v>8320.0</v>
      </c>
      <c r="B1861" s="18" t="s">
        <v>9138</v>
      </c>
      <c r="C1861" s="29" t="s">
        <v>9139</v>
      </c>
      <c r="D1861" s="18" t="s">
        <v>9138</v>
      </c>
      <c r="E1861" s="34" t="s">
        <v>4337</v>
      </c>
      <c r="F1861" s="19" t="str">
        <f t="shared" si="1"/>
        <v>XIIAKL2</v>
      </c>
      <c r="G1861" s="19" t="s">
        <v>5408</v>
      </c>
      <c r="H1861" s="20" t="s">
        <v>4223</v>
      </c>
      <c r="I1861" s="19" t="s">
        <v>5409</v>
      </c>
      <c r="J1861" s="19" t="s">
        <v>5410</v>
      </c>
      <c r="K1861" s="21" t="s">
        <v>5415</v>
      </c>
      <c r="L1861" s="35" t="s">
        <v>5574</v>
      </c>
      <c r="M1861" s="29" t="s">
        <v>4336</v>
      </c>
      <c r="N1861" s="34" t="s">
        <v>9140</v>
      </c>
      <c r="O1861" s="34" t="s">
        <v>9141</v>
      </c>
      <c r="P1861" s="18">
        <f>VLOOKUP($A1861,MasterData!$C$1:$I$3001,1,FALSE)</f>
        <v>8320</v>
      </c>
      <c r="Q1861" s="34" t="str">
        <f t="shared" si="2"/>
        <v>XIIAKL2</v>
      </c>
    </row>
    <row r="1862" ht="15.75" customHeight="1">
      <c r="A1862" s="15">
        <v>8352.0</v>
      </c>
      <c r="B1862" s="18" t="s">
        <v>9142</v>
      </c>
      <c r="C1862" s="29" t="s">
        <v>9143</v>
      </c>
      <c r="D1862" s="18" t="s">
        <v>9142</v>
      </c>
      <c r="E1862" s="34" t="s">
        <v>4339</v>
      </c>
      <c r="F1862" s="19" t="str">
        <f t="shared" si="1"/>
        <v>XIIAKL2</v>
      </c>
      <c r="G1862" s="19" t="s">
        <v>5408</v>
      </c>
      <c r="H1862" s="20" t="s">
        <v>4223</v>
      </c>
      <c r="I1862" s="19" t="s">
        <v>5409</v>
      </c>
      <c r="J1862" s="19" t="s">
        <v>5410</v>
      </c>
      <c r="K1862" s="21" t="s">
        <v>5415</v>
      </c>
      <c r="L1862" s="35" t="s">
        <v>5574</v>
      </c>
      <c r="M1862" s="29" t="s">
        <v>4338</v>
      </c>
      <c r="N1862" s="34" t="s">
        <v>9144</v>
      </c>
      <c r="O1862" s="34" t="s">
        <v>9145</v>
      </c>
      <c r="P1862" s="18">
        <f>VLOOKUP($A1862,MasterData!$C$1:$I$3001,1,FALSE)</f>
        <v>8352</v>
      </c>
      <c r="Q1862" s="34" t="str">
        <f t="shared" si="2"/>
        <v>XIIAKL2</v>
      </c>
    </row>
    <row r="1863" ht="15.75" customHeight="1">
      <c r="A1863" s="15">
        <v>8398.0</v>
      </c>
      <c r="B1863" s="18" t="s">
        <v>9146</v>
      </c>
      <c r="C1863" s="29" t="s">
        <v>9147</v>
      </c>
      <c r="D1863" s="18" t="s">
        <v>9146</v>
      </c>
      <c r="E1863" s="34" t="s">
        <v>4341</v>
      </c>
      <c r="F1863" s="19" t="str">
        <f t="shared" si="1"/>
        <v>XIIAKL2</v>
      </c>
      <c r="G1863" s="19" t="s">
        <v>5408</v>
      </c>
      <c r="H1863" s="20" t="s">
        <v>4223</v>
      </c>
      <c r="I1863" s="19" t="s">
        <v>5409</v>
      </c>
      <c r="J1863" s="19" t="s">
        <v>5410</v>
      </c>
      <c r="K1863" s="21" t="s">
        <v>5415</v>
      </c>
      <c r="L1863" s="35" t="s">
        <v>5574</v>
      </c>
      <c r="M1863" s="29" t="s">
        <v>4340</v>
      </c>
      <c r="N1863" s="34" t="s">
        <v>5416</v>
      </c>
      <c r="O1863" s="34">
        <v>0.0</v>
      </c>
      <c r="P1863" s="18">
        <f>VLOOKUP($A1863,MasterData!$C$1:$I$3001,1,FALSE)</f>
        <v>8398</v>
      </c>
      <c r="Q1863" s="34" t="str">
        <f t="shared" si="2"/>
        <v>XIIAKL2</v>
      </c>
    </row>
    <row r="1864" ht="15.75" customHeight="1">
      <c r="A1864" s="15">
        <v>8442.0</v>
      </c>
      <c r="B1864" s="18" t="s">
        <v>9148</v>
      </c>
      <c r="C1864" s="29" t="s">
        <v>9149</v>
      </c>
      <c r="D1864" s="18" t="s">
        <v>9148</v>
      </c>
      <c r="E1864" s="34" t="s">
        <v>4343</v>
      </c>
      <c r="F1864" s="19" t="str">
        <f t="shared" si="1"/>
        <v>XIIAKL2</v>
      </c>
      <c r="G1864" s="19" t="s">
        <v>5408</v>
      </c>
      <c r="H1864" s="20" t="s">
        <v>4223</v>
      </c>
      <c r="I1864" s="19" t="s">
        <v>5409</v>
      </c>
      <c r="J1864" s="19" t="s">
        <v>5410</v>
      </c>
      <c r="K1864" s="21" t="s">
        <v>5415</v>
      </c>
      <c r="L1864" s="35" t="s">
        <v>5574</v>
      </c>
      <c r="M1864" s="29" t="s">
        <v>4342</v>
      </c>
      <c r="N1864" s="34" t="s">
        <v>5416</v>
      </c>
      <c r="O1864" s="34">
        <v>0.0</v>
      </c>
      <c r="P1864" s="18">
        <f>VLOOKUP($A1864,MasterData!$C$1:$I$3001,1,FALSE)</f>
        <v>8442</v>
      </c>
      <c r="Q1864" s="34" t="str">
        <f t="shared" si="2"/>
        <v>XIIAKL2</v>
      </c>
    </row>
    <row r="1865" ht="15.75" customHeight="1">
      <c r="A1865" s="15">
        <v>8448.0</v>
      </c>
      <c r="B1865" s="18" t="s">
        <v>9150</v>
      </c>
      <c r="C1865" s="29" t="s">
        <v>9151</v>
      </c>
      <c r="D1865" s="18" t="s">
        <v>9150</v>
      </c>
      <c r="E1865" s="34" t="s">
        <v>4345</v>
      </c>
      <c r="F1865" s="19" t="str">
        <f t="shared" si="1"/>
        <v>XIIAKL2</v>
      </c>
      <c r="G1865" s="19" t="s">
        <v>5408</v>
      </c>
      <c r="H1865" s="20" t="s">
        <v>4223</v>
      </c>
      <c r="I1865" s="19" t="s">
        <v>5409</v>
      </c>
      <c r="J1865" s="19" t="s">
        <v>5410</v>
      </c>
      <c r="K1865" s="21" t="s">
        <v>5415</v>
      </c>
      <c r="L1865" s="35" t="s">
        <v>5574</v>
      </c>
      <c r="M1865" s="29" t="s">
        <v>4344</v>
      </c>
      <c r="N1865" s="34" t="s">
        <v>5416</v>
      </c>
      <c r="O1865" s="34">
        <v>0.0</v>
      </c>
      <c r="P1865" s="18">
        <f>VLOOKUP($A1865,MasterData!$C$1:$I$3001,1,FALSE)</f>
        <v>8448</v>
      </c>
      <c r="Q1865" s="34" t="str">
        <f t="shared" si="2"/>
        <v>XIIAKL2</v>
      </c>
    </row>
    <row r="1866" ht="15.75" customHeight="1">
      <c r="A1866" s="15">
        <v>8455.0</v>
      </c>
      <c r="B1866" s="18" t="s">
        <v>9152</v>
      </c>
      <c r="C1866" s="29" t="s">
        <v>9153</v>
      </c>
      <c r="D1866" s="18" t="s">
        <v>9152</v>
      </c>
      <c r="E1866" s="34" t="s">
        <v>4347</v>
      </c>
      <c r="F1866" s="19" t="str">
        <f t="shared" si="1"/>
        <v>XIIAKL2</v>
      </c>
      <c r="G1866" s="19" t="s">
        <v>5408</v>
      </c>
      <c r="H1866" s="20" t="s">
        <v>4223</v>
      </c>
      <c r="I1866" s="19" t="s">
        <v>5409</v>
      </c>
      <c r="J1866" s="19" t="s">
        <v>5410</v>
      </c>
      <c r="K1866" s="21" t="s">
        <v>5415</v>
      </c>
      <c r="L1866" s="35" t="s">
        <v>5574</v>
      </c>
      <c r="M1866" s="29" t="s">
        <v>4346</v>
      </c>
      <c r="N1866" s="34" t="s">
        <v>5416</v>
      </c>
      <c r="O1866" s="34">
        <v>0.0</v>
      </c>
      <c r="P1866" s="18">
        <f>VLOOKUP($A1866,MasterData!$C$1:$I$3001,1,FALSE)</f>
        <v>8455</v>
      </c>
      <c r="Q1866" s="34" t="str">
        <f t="shared" si="2"/>
        <v>XIIAKL2</v>
      </c>
    </row>
    <row r="1867" ht="15.75" customHeight="1">
      <c r="A1867" s="15">
        <v>8463.0</v>
      </c>
      <c r="B1867" s="18" t="s">
        <v>9154</v>
      </c>
      <c r="C1867" s="29" t="s">
        <v>9155</v>
      </c>
      <c r="D1867" s="18" t="s">
        <v>9154</v>
      </c>
      <c r="E1867" s="34" t="s">
        <v>4349</v>
      </c>
      <c r="F1867" s="19" t="str">
        <f t="shared" si="1"/>
        <v>XIIAKL2</v>
      </c>
      <c r="G1867" s="19" t="s">
        <v>5408</v>
      </c>
      <c r="H1867" s="20" t="s">
        <v>4223</v>
      </c>
      <c r="I1867" s="19" t="s">
        <v>5409</v>
      </c>
      <c r="J1867" s="19" t="s">
        <v>5410</v>
      </c>
      <c r="K1867" s="21" t="s">
        <v>5415</v>
      </c>
      <c r="L1867" s="35" t="s">
        <v>5574</v>
      </c>
      <c r="M1867" s="29" t="s">
        <v>4348</v>
      </c>
      <c r="N1867" s="34" t="s">
        <v>5416</v>
      </c>
      <c r="O1867" s="34">
        <v>0.0</v>
      </c>
      <c r="P1867" s="18">
        <f>VLOOKUP($A1867,MasterData!$C$1:$I$3001,1,FALSE)</f>
        <v>8463</v>
      </c>
      <c r="Q1867" s="34" t="str">
        <f t="shared" si="2"/>
        <v>XIIAKL2</v>
      </c>
    </row>
    <row r="1868" ht="15.75" customHeight="1">
      <c r="A1868" s="15">
        <v>8637.0</v>
      </c>
      <c r="B1868" s="16" t="s">
        <v>9156</v>
      </c>
      <c r="C1868" s="4" t="s">
        <v>9157</v>
      </c>
      <c r="D1868" s="16" t="s">
        <v>9156</v>
      </c>
      <c r="E1868" s="34" t="s">
        <v>4351</v>
      </c>
      <c r="F1868" s="19" t="str">
        <f t="shared" si="1"/>
        <v>XIIAKL2</v>
      </c>
      <c r="G1868" s="19" t="s">
        <v>5408</v>
      </c>
      <c r="H1868" s="20" t="s">
        <v>4223</v>
      </c>
      <c r="I1868" s="19" t="s">
        <v>5409</v>
      </c>
      <c r="J1868" s="19" t="s">
        <v>5410</v>
      </c>
      <c r="K1868" s="21" t="s">
        <v>5415</v>
      </c>
      <c r="L1868" s="35" t="s">
        <v>5574</v>
      </c>
      <c r="M1868" s="29" t="s">
        <v>4350</v>
      </c>
      <c r="N1868" s="34"/>
      <c r="O1868" s="34"/>
      <c r="P1868" s="18">
        <f>VLOOKUP($A1868,MasterData!$C$1:$I$3001,1,FALSE)</f>
        <v>8637</v>
      </c>
      <c r="Q1868" s="34" t="str">
        <f t="shared" si="2"/>
        <v>XIIAKL2</v>
      </c>
    </row>
    <row r="1869" ht="15.75" customHeight="1">
      <c r="A1869" s="15">
        <v>8483.0</v>
      </c>
      <c r="B1869" s="18" t="s">
        <v>9158</v>
      </c>
      <c r="C1869" s="29" t="s">
        <v>9159</v>
      </c>
      <c r="D1869" s="18" t="s">
        <v>9158</v>
      </c>
      <c r="E1869" s="34" t="s">
        <v>4353</v>
      </c>
      <c r="F1869" s="19" t="str">
        <f t="shared" si="1"/>
        <v>XIIAKL2</v>
      </c>
      <c r="G1869" s="19" t="s">
        <v>5408</v>
      </c>
      <c r="H1869" s="20" t="s">
        <v>4223</v>
      </c>
      <c r="I1869" s="19" t="s">
        <v>5409</v>
      </c>
      <c r="J1869" s="19" t="s">
        <v>5410</v>
      </c>
      <c r="K1869" s="21" t="s">
        <v>5415</v>
      </c>
      <c r="L1869" s="35" t="s">
        <v>5574</v>
      </c>
      <c r="M1869" s="29" t="s">
        <v>4352</v>
      </c>
      <c r="N1869" s="34" t="s">
        <v>9160</v>
      </c>
      <c r="O1869" s="34" t="s">
        <v>9161</v>
      </c>
      <c r="P1869" s="18">
        <f>VLOOKUP($A1869,MasterData!$C$1:$I$3001,1,FALSE)</f>
        <v>8483</v>
      </c>
      <c r="Q1869" s="34" t="str">
        <f t="shared" si="2"/>
        <v>XIIAKL2</v>
      </c>
    </row>
    <row r="1870" ht="15.75" customHeight="1">
      <c r="A1870" s="15">
        <v>8527.0</v>
      </c>
      <c r="B1870" s="18" t="s">
        <v>9162</v>
      </c>
      <c r="C1870" s="29" t="s">
        <v>9163</v>
      </c>
      <c r="D1870" s="18" t="s">
        <v>9162</v>
      </c>
      <c r="E1870" s="34" t="s">
        <v>4355</v>
      </c>
      <c r="F1870" s="19" t="str">
        <f t="shared" si="1"/>
        <v>XIIAKL2</v>
      </c>
      <c r="G1870" s="19" t="s">
        <v>5408</v>
      </c>
      <c r="H1870" s="20" t="s">
        <v>4223</v>
      </c>
      <c r="I1870" s="19" t="s">
        <v>5409</v>
      </c>
      <c r="J1870" s="19" t="s">
        <v>5410</v>
      </c>
      <c r="K1870" s="21" t="s">
        <v>5415</v>
      </c>
      <c r="L1870" s="35" t="s">
        <v>5574</v>
      </c>
      <c r="M1870" s="29" t="s">
        <v>4354</v>
      </c>
      <c r="N1870" s="34" t="s">
        <v>5416</v>
      </c>
      <c r="O1870" s="34">
        <v>0.0</v>
      </c>
      <c r="P1870" s="18">
        <f>VLOOKUP($A1870,MasterData!$C$1:$I$3001,1,FALSE)</f>
        <v>8527</v>
      </c>
      <c r="Q1870" s="34" t="str">
        <f t="shared" si="2"/>
        <v>XIIAKL2</v>
      </c>
    </row>
    <row r="1871" ht="15.75" customHeight="1">
      <c r="A1871" s="15">
        <v>8536.0</v>
      </c>
      <c r="B1871" s="18" t="s">
        <v>9164</v>
      </c>
      <c r="C1871" s="29" t="s">
        <v>9165</v>
      </c>
      <c r="D1871" s="18" t="s">
        <v>9164</v>
      </c>
      <c r="E1871" s="34" t="s">
        <v>4357</v>
      </c>
      <c r="F1871" s="19" t="str">
        <f t="shared" si="1"/>
        <v>XIIAKL2</v>
      </c>
      <c r="G1871" s="19" t="s">
        <v>5408</v>
      </c>
      <c r="H1871" s="20" t="s">
        <v>4223</v>
      </c>
      <c r="I1871" s="19" t="s">
        <v>5409</v>
      </c>
      <c r="J1871" s="19" t="s">
        <v>5410</v>
      </c>
      <c r="K1871" s="21" t="s">
        <v>5415</v>
      </c>
      <c r="L1871" s="35" t="s">
        <v>5574</v>
      </c>
      <c r="M1871" s="29" t="s">
        <v>4356</v>
      </c>
      <c r="N1871" s="34" t="s">
        <v>5416</v>
      </c>
      <c r="O1871" s="34">
        <v>0.0</v>
      </c>
      <c r="P1871" s="18">
        <f>VLOOKUP($A1871,MasterData!$C$1:$I$3001,1,FALSE)</f>
        <v>8536</v>
      </c>
      <c r="Q1871" s="34" t="str">
        <f t="shared" si="2"/>
        <v>XIIAKL2</v>
      </c>
    </row>
    <row r="1872" ht="15.75" customHeight="1">
      <c r="A1872" s="15">
        <v>8552.0</v>
      </c>
      <c r="B1872" s="18" t="s">
        <v>9166</v>
      </c>
      <c r="C1872" s="29" t="s">
        <v>9167</v>
      </c>
      <c r="D1872" s="18" t="s">
        <v>9166</v>
      </c>
      <c r="E1872" s="34" t="s">
        <v>4359</v>
      </c>
      <c r="F1872" s="19" t="str">
        <f t="shared" si="1"/>
        <v>XIIAKL2</v>
      </c>
      <c r="G1872" s="19" t="s">
        <v>5408</v>
      </c>
      <c r="H1872" s="20" t="s">
        <v>4223</v>
      </c>
      <c r="I1872" s="19" t="s">
        <v>5409</v>
      </c>
      <c r="J1872" s="19" t="s">
        <v>5410</v>
      </c>
      <c r="K1872" s="21" t="s">
        <v>5415</v>
      </c>
      <c r="L1872" s="35" t="s">
        <v>5574</v>
      </c>
      <c r="M1872" s="29" t="s">
        <v>4358</v>
      </c>
      <c r="N1872" s="34" t="s">
        <v>5416</v>
      </c>
      <c r="O1872" s="34">
        <v>0.0</v>
      </c>
      <c r="P1872" s="18">
        <f>VLOOKUP($A1872,MasterData!$C$1:$I$3001,1,FALSE)</f>
        <v>8552</v>
      </c>
      <c r="Q1872" s="34" t="str">
        <f t="shared" si="2"/>
        <v>XIIAKL2</v>
      </c>
    </row>
    <row r="1873" ht="15.75" customHeight="1">
      <c r="A1873" s="15">
        <v>8566.0</v>
      </c>
      <c r="B1873" s="18" t="s">
        <v>9168</v>
      </c>
      <c r="C1873" s="29" t="s">
        <v>9169</v>
      </c>
      <c r="D1873" s="18" t="s">
        <v>9168</v>
      </c>
      <c r="E1873" s="34" t="s">
        <v>4361</v>
      </c>
      <c r="F1873" s="19" t="str">
        <f t="shared" si="1"/>
        <v>XIIAKL2</v>
      </c>
      <c r="G1873" s="19" t="s">
        <v>5408</v>
      </c>
      <c r="H1873" s="20" t="s">
        <v>4223</v>
      </c>
      <c r="I1873" s="19" t="s">
        <v>5409</v>
      </c>
      <c r="J1873" s="19" t="s">
        <v>5410</v>
      </c>
      <c r="K1873" s="21" t="s">
        <v>5415</v>
      </c>
      <c r="L1873" s="35" t="s">
        <v>5574</v>
      </c>
      <c r="M1873" s="29" t="s">
        <v>4360</v>
      </c>
      <c r="N1873" s="34" t="s">
        <v>9170</v>
      </c>
      <c r="O1873" s="34" t="s">
        <v>9171</v>
      </c>
      <c r="P1873" s="18">
        <f>VLOOKUP($A1873,MasterData!$C$1:$I$3001,1,FALSE)</f>
        <v>8566</v>
      </c>
      <c r="Q1873" s="34" t="str">
        <f t="shared" si="2"/>
        <v>XIIAKL2</v>
      </c>
    </row>
    <row r="1874" ht="15.75" customHeight="1">
      <c r="A1874" s="15">
        <v>8576.0</v>
      </c>
      <c r="B1874" s="18" t="s">
        <v>9172</v>
      </c>
      <c r="C1874" s="29" t="s">
        <v>9173</v>
      </c>
      <c r="D1874" s="18" t="s">
        <v>9172</v>
      </c>
      <c r="E1874" s="34" t="s">
        <v>4363</v>
      </c>
      <c r="F1874" s="19" t="str">
        <f t="shared" si="1"/>
        <v>XIIAKL2</v>
      </c>
      <c r="G1874" s="19" t="s">
        <v>5408</v>
      </c>
      <c r="H1874" s="20" t="s">
        <v>4223</v>
      </c>
      <c r="I1874" s="19" t="s">
        <v>5409</v>
      </c>
      <c r="J1874" s="19" t="s">
        <v>5410</v>
      </c>
      <c r="K1874" s="21" t="s">
        <v>5415</v>
      </c>
      <c r="L1874" s="35" t="s">
        <v>5574</v>
      </c>
      <c r="M1874" s="29" t="s">
        <v>4362</v>
      </c>
      <c r="N1874" s="34" t="s">
        <v>5416</v>
      </c>
      <c r="O1874" s="34">
        <v>0.0</v>
      </c>
      <c r="P1874" s="18">
        <f>VLOOKUP($A1874,MasterData!$C$1:$I$3001,1,FALSE)</f>
        <v>8576</v>
      </c>
      <c r="Q1874" s="34" t="str">
        <f t="shared" si="2"/>
        <v>XIIAKL2</v>
      </c>
    </row>
    <row r="1875" ht="15.75" customHeight="1">
      <c r="A1875" s="15">
        <v>8593.0</v>
      </c>
      <c r="B1875" s="18" t="s">
        <v>9174</v>
      </c>
      <c r="C1875" s="29" t="s">
        <v>9175</v>
      </c>
      <c r="D1875" s="18" t="s">
        <v>9174</v>
      </c>
      <c r="E1875" s="34" t="s">
        <v>4365</v>
      </c>
      <c r="F1875" s="19" t="str">
        <f t="shared" si="1"/>
        <v>XIIAKL2</v>
      </c>
      <c r="G1875" s="19" t="s">
        <v>5408</v>
      </c>
      <c r="H1875" s="20" t="s">
        <v>4223</v>
      </c>
      <c r="I1875" s="19" t="s">
        <v>5409</v>
      </c>
      <c r="J1875" s="19" t="s">
        <v>5410</v>
      </c>
      <c r="K1875" s="21" t="s">
        <v>5415</v>
      </c>
      <c r="L1875" s="35" t="s">
        <v>5574</v>
      </c>
      <c r="M1875" s="29" t="s">
        <v>4364</v>
      </c>
      <c r="N1875" s="34" t="s">
        <v>5416</v>
      </c>
      <c r="O1875" s="34">
        <v>0.0</v>
      </c>
      <c r="P1875" s="18">
        <f>VLOOKUP($A1875,MasterData!$C$1:$I$3001,1,FALSE)</f>
        <v>8593</v>
      </c>
      <c r="Q1875" s="34" t="str">
        <f t="shared" si="2"/>
        <v>XIIAKL2</v>
      </c>
    </row>
    <row r="1876" ht="15.75" customHeight="1">
      <c r="A1876" s="15">
        <v>8077.0</v>
      </c>
      <c r="B1876" s="18" t="s">
        <v>9176</v>
      </c>
      <c r="C1876" s="29" t="s">
        <v>9177</v>
      </c>
      <c r="D1876" s="18" t="s">
        <v>9176</v>
      </c>
      <c r="E1876" s="34" t="s">
        <v>4367</v>
      </c>
      <c r="F1876" s="19" t="str">
        <f t="shared" si="1"/>
        <v>XIIAKL3</v>
      </c>
      <c r="G1876" s="19" t="s">
        <v>5408</v>
      </c>
      <c r="H1876" s="20" t="s">
        <v>4223</v>
      </c>
      <c r="I1876" s="19" t="s">
        <v>5409</v>
      </c>
      <c r="J1876" s="19" t="s">
        <v>5410</v>
      </c>
      <c r="K1876" s="21" t="s">
        <v>5415</v>
      </c>
      <c r="L1876" s="35" t="s">
        <v>5683</v>
      </c>
      <c r="M1876" s="29" t="s">
        <v>4366</v>
      </c>
      <c r="N1876" s="36">
        <v>39696.0</v>
      </c>
      <c r="O1876" s="34" t="s">
        <v>9178</v>
      </c>
      <c r="P1876" s="18">
        <f>VLOOKUP($A1876,MasterData!$C$1:$I$3001,1,FALSE)</f>
        <v>8077</v>
      </c>
      <c r="Q1876" s="34" t="str">
        <f t="shared" si="2"/>
        <v>XIIAKL3</v>
      </c>
    </row>
    <row r="1877" ht="15.75" customHeight="1">
      <c r="A1877" s="15">
        <v>8083.0</v>
      </c>
      <c r="B1877" s="18" t="s">
        <v>9179</v>
      </c>
      <c r="C1877" s="29" t="s">
        <v>9180</v>
      </c>
      <c r="D1877" s="18" t="s">
        <v>9179</v>
      </c>
      <c r="E1877" s="34" t="s">
        <v>4369</v>
      </c>
      <c r="F1877" s="19" t="str">
        <f t="shared" si="1"/>
        <v>XIIAKL3</v>
      </c>
      <c r="G1877" s="19" t="s">
        <v>5408</v>
      </c>
      <c r="H1877" s="20" t="s">
        <v>4223</v>
      </c>
      <c r="I1877" s="19" t="s">
        <v>5409</v>
      </c>
      <c r="J1877" s="19" t="s">
        <v>5410</v>
      </c>
      <c r="K1877" s="21" t="s">
        <v>5415</v>
      </c>
      <c r="L1877" s="35" t="s">
        <v>5683</v>
      </c>
      <c r="M1877" s="29" t="s">
        <v>4368</v>
      </c>
      <c r="N1877" s="36">
        <v>39556.0</v>
      </c>
      <c r="O1877" s="34" t="s">
        <v>9181</v>
      </c>
      <c r="P1877" s="18">
        <f>VLOOKUP($A1877,MasterData!$C$1:$I$3001,1,FALSE)</f>
        <v>8083</v>
      </c>
      <c r="Q1877" s="34" t="str">
        <f t="shared" si="2"/>
        <v>XIIAKL3</v>
      </c>
    </row>
    <row r="1878" ht="15.75" customHeight="1">
      <c r="A1878" s="15">
        <v>8098.0</v>
      </c>
      <c r="B1878" s="18" t="s">
        <v>9182</v>
      </c>
      <c r="C1878" s="29" t="s">
        <v>9183</v>
      </c>
      <c r="D1878" s="18" t="s">
        <v>9182</v>
      </c>
      <c r="E1878" s="34" t="s">
        <v>4371</v>
      </c>
      <c r="F1878" s="19" t="str">
        <f t="shared" si="1"/>
        <v>XIIAKL3</v>
      </c>
      <c r="G1878" s="19" t="s">
        <v>5408</v>
      </c>
      <c r="H1878" s="20" t="s">
        <v>4223</v>
      </c>
      <c r="I1878" s="19" t="s">
        <v>5409</v>
      </c>
      <c r="J1878" s="19" t="s">
        <v>5410</v>
      </c>
      <c r="K1878" s="21" t="s">
        <v>5415</v>
      </c>
      <c r="L1878" s="35" t="s">
        <v>5683</v>
      </c>
      <c r="M1878" s="29" t="s">
        <v>4370</v>
      </c>
      <c r="N1878" s="34" t="s">
        <v>5416</v>
      </c>
      <c r="O1878" s="34">
        <v>0.0</v>
      </c>
      <c r="P1878" s="18">
        <f>VLOOKUP($A1878,MasterData!$C$1:$I$3001,1,FALSE)</f>
        <v>8098</v>
      </c>
      <c r="Q1878" s="34" t="str">
        <f t="shared" si="2"/>
        <v>XIIAKL3</v>
      </c>
    </row>
    <row r="1879" ht="15.75" customHeight="1">
      <c r="A1879" s="15">
        <v>8111.0</v>
      </c>
      <c r="B1879" s="18" t="s">
        <v>9184</v>
      </c>
      <c r="C1879" s="29" t="s">
        <v>9185</v>
      </c>
      <c r="D1879" s="18" t="s">
        <v>9184</v>
      </c>
      <c r="E1879" s="34" t="s">
        <v>4373</v>
      </c>
      <c r="F1879" s="19" t="str">
        <f t="shared" si="1"/>
        <v>XIIAKL3</v>
      </c>
      <c r="G1879" s="19" t="s">
        <v>5408</v>
      </c>
      <c r="H1879" s="20" t="s">
        <v>4223</v>
      </c>
      <c r="I1879" s="19" t="s">
        <v>5409</v>
      </c>
      <c r="J1879" s="19" t="s">
        <v>5410</v>
      </c>
      <c r="K1879" s="21" t="s">
        <v>5415</v>
      </c>
      <c r="L1879" s="35" t="s">
        <v>5683</v>
      </c>
      <c r="M1879" s="29" t="s">
        <v>4372</v>
      </c>
      <c r="N1879" s="34" t="s">
        <v>5416</v>
      </c>
      <c r="O1879" s="34">
        <v>0.0</v>
      </c>
      <c r="P1879" s="18">
        <f>VLOOKUP($A1879,MasterData!$C$1:$I$3001,1,FALSE)</f>
        <v>8111</v>
      </c>
      <c r="Q1879" s="34" t="str">
        <f t="shared" si="2"/>
        <v>XIIAKL3</v>
      </c>
    </row>
    <row r="1880" ht="15.75" customHeight="1">
      <c r="A1880" s="15">
        <v>8121.0</v>
      </c>
      <c r="B1880" s="18" t="s">
        <v>9186</v>
      </c>
      <c r="C1880" s="29" t="s">
        <v>9187</v>
      </c>
      <c r="D1880" s="18" t="s">
        <v>9186</v>
      </c>
      <c r="E1880" s="34" t="s">
        <v>4375</v>
      </c>
      <c r="F1880" s="19" t="str">
        <f t="shared" si="1"/>
        <v>XIIAKL3</v>
      </c>
      <c r="G1880" s="19" t="s">
        <v>5408</v>
      </c>
      <c r="H1880" s="20" t="s">
        <v>4223</v>
      </c>
      <c r="I1880" s="19" t="s">
        <v>5409</v>
      </c>
      <c r="J1880" s="19" t="s">
        <v>5410</v>
      </c>
      <c r="K1880" s="21" t="s">
        <v>5415</v>
      </c>
      <c r="L1880" s="35" t="s">
        <v>5683</v>
      </c>
      <c r="M1880" s="29" t="s">
        <v>4374</v>
      </c>
      <c r="N1880" s="34" t="s">
        <v>5416</v>
      </c>
      <c r="O1880" s="34">
        <v>0.0</v>
      </c>
      <c r="P1880" s="18">
        <f>VLOOKUP($A1880,MasterData!$C$1:$I$3001,1,FALSE)</f>
        <v>8121</v>
      </c>
      <c r="Q1880" s="34" t="str">
        <f t="shared" si="2"/>
        <v>XIIAKL3</v>
      </c>
    </row>
    <row r="1881" ht="15.75" customHeight="1">
      <c r="A1881" s="15">
        <v>8126.0</v>
      </c>
      <c r="B1881" s="18" t="s">
        <v>9188</v>
      </c>
      <c r="C1881" s="29" t="s">
        <v>9189</v>
      </c>
      <c r="D1881" s="18" t="s">
        <v>9188</v>
      </c>
      <c r="E1881" s="34" t="s">
        <v>4377</v>
      </c>
      <c r="F1881" s="19" t="str">
        <f t="shared" si="1"/>
        <v>XIIAKL3</v>
      </c>
      <c r="G1881" s="19" t="s">
        <v>5408</v>
      </c>
      <c r="H1881" s="20" t="s">
        <v>4223</v>
      </c>
      <c r="I1881" s="19" t="s">
        <v>5409</v>
      </c>
      <c r="J1881" s="19" t="s">
        <v>5410</v>
      </c>
      <c r="K1881" s="21" t="s">
        <v>5415</v>
      </c>
      <c r="L1881" s="35" t="s">
        <v>5683</v>
      </c>
      <c r="M1881" s="29" t="s">
        <v>4376</v>
      </c>
      <c r="N1881" s="34" t="s">
        <v>5416</v>
      </c>
      <c r="O1881" s="34">
        <v>0.0</v>
      </c>
      <c r="P1881" s="18">
        <f>VLOOKUP($A1881,MasterData!$C$1:$I$3001,1,FALSE)</f>
        <v>8126</v>
      </c>
      <c r="Q1881" s="34" t="str">
        <f t="shared" si="2"/>
        <v>XIIAKL3</v>
      </c>
    </row>
    <row r="1882" ht="15.75" customHeight="1">
      <c r="A1882" s="15">
        <v>8148.0</v>
      </c>
      <c r="B1882" s="18" t="s">
        <v>9190</v>
      </c>
      <c r="C1882" s="29" t="s">
        <v>9191</v>
      </c>
      <c r="D1882" s="18" t="s">
        <v>9190</v>
      </c>
      <c r="E1882" s="34" t="s">
        <v>4379</v>
      </c>
      <c r="F1882" s="19" t="str">
        <f t="shared" si="1"/>
        <v>XIIAKL3</v>
      </c>
      <c r="G1882" s="19" t="s">
        <v>5408</v>
      </c>
      <c r="H1882" s="20" t="s">
        <v>4223</v>
      </c>
      <c r="I1882" s="19" t="s">
        <v>5409</v>
      </c>
      <c r="J1882" s="19" t="s">
        <v>5410</v>
      </c>
      <c r="K1882" s="21" t="s">
        <v>5415</v>
      </c>
      <c r="L1882" s="35" t="s">
        <v>5683</v>
      </c>
      <c r="M1882" s="29" t="s">
        <v>4378</v>
      </c>
      <c r="N1882" s="34" t="s">
        <v>5416</v>
      </c>
      <c r="O1882" s="34">
        <v>0.0</v>
      </c>
      <c r="P1882" s="18">
        <f>VLOOKUP($A1882,MasterData!$C$1:$I$3001,1,FALSE)</f>
        <v>8148</v>
      </c>
      <c r="Q1882" s="34" t="str">
        <f t="shared" si="2"/>
        <v>XIIAKL3</v>
      </c>
    </row>
    <row r="1883" ht="15.75" customHeight="1">
      <c r="A1883" s="15">
        <v>8157.0</v>
      </c>
      <c r="B1883" s="18" t="s">
        <v>9192</v>
      </c>
      <c r="C1883" s="29" t="s">
        <v>9193</v>
      </c>
      <c r="D1883" s="18" t="s">
        <v>9192</v>
      </c>
      <c r="E1883" s="34" t="s">
        <v>4381</v>
      </c>
      <c r="F1883" s="19" t="str">
        <f t="shared" si="1"/>
        <v>XIIAKL3</v>
      </c>
      <c r="G1883" s="19" t="s">
        <v>5408</v>
      </c>
      <c r="H1883" s="20" t="s">
        <v>4223</v>
      </c>
      <c r="I1883" s="19" t="s">
        <v>5409</v>
      </c>
      <c r="J1883" s="19" t="s">
        <v>5410</v>
      </c>
      <c r="K1883" s="21" t="s">
        <v>5415</v>
      </c>
      <c r="L1883" s="35" t="s">
        <v>5683</v>
      </c>
      <c r="M1883" s="29" t="s">
        <v>4380</v>
      </c>
      <c r="N1883" s="34" t="s">
        <v>5416</v>
      </c>
      <c r="O1883" s="34">
        <v>0.0</v>
      </c>
      <c r="P1883" s="18">
        <f>VLOOKUP($A1883,MasterData!$C$1:$I$3001,1,FALSE)</f>
        <v>8157</v>
      </c>
      <c r="Q1883" s="34" t="str">
        <f t="shared" si="2"/>
        <v>XIIAKL3</v>
      </c>
    </row>
    <row r="1884" ht="15.75" customHeight="1">
      <c r="A1884" s="15">
        <v>8164.0</v>
      </c>
      <c r="B1884" s="18" t="s">
        <v>9194</v>
      </c>
      <c r="C1884" s="29" t="s">
        <v>9195</v>
      </c>
      <c r="D1884" s="18" t="s">
        <v>9194</v>
      </c>
      <c r="E1884" s="34" t="s">
        <v>4383</v>
      </c>
      <c r="F1884" s="19" t="str">
        <f t="shared" si="1"/>
        <v>XIIAKL3</v>
      </c>
      <c r="G1884" s="19" t="s">
        <v>5408</v>
      </c>
      <c r="H1884" s="20" t="s">
        <v>4223</v>
      </c>
      <c r="I1884" s="19" t="s">
        <v>5409</v>
      </c>
      <c r="J1884" s="19" t="s">
        <v>5410</v>
      </c>
      <c r="K1884" s="21" t="s">
        <v>5415</v>
      </c>
      <c r="L1884" s="35" t="s">
        <v>5683</v>
      </c>
      <c r="M1884" s="29" t="s">
        <v>4382</v>
      </c>
      <c r="N1884" s="34" t="s">
        <v>5416</v>
      </c>
      <c r="O1884" s="34">
        <v>0.0</v>
      </c>
      <c r="P1884" s="18">
        <f>VLOOKUP($A1884,MasterData!$C$1:$I$3001,1,FALSE)</f>
        <v>8164</v>
      </c>
      <c r="Q1884" s="34" t="str">
        <f t="shared" si="2"/>
        <v>XIIAKL3</v>
      </c>
    </row>
    <row r="1885" ht="15.75" customHeight="1">
      <c r="A1885" s="15">
        <v>8185.0</v>
      </c>
      <c r="B1885" s="18" t="s">
        <v>9196</v>
      </c>
      <c r="C1885" s="29" t="s">
        <v>9197</v>
      </c>
      <c r="D1885" s="18" t="s">
        <v>9196</v>
      </c>
      <c r="E1885" s="34" t="s">
        <v>4385</v>
      </c>
      <c r="F1885" s="19" t="str">
        <f t="shared" si="1"/>
        <v>XIIAKL3</v>
      </c>
      <c r="G1885" s="19" t="s">
        <v>5408</v>
      </c>
      <c r="H1885" s="20" t="s">
        <v>4223</v>
      </c>
      <c r="I1885" s="19" t="s">
        <v>5409</v>
      </c>
      <c r="J1885" s="19" t="s">
        <v>5410</v>
      </c>
      <c r="K1885" s="21" t="s">
        <v>5415</v>
      </c>
      <c r="L1885" s="35" t="s">
        <v>5683</v>
      </c>
      <c r="M1885" s="29" t="s">
        <v>4384</v>
      </c>
      <c r="N1885" s="34" t="s">
        <v>5416</v>
      </c>
      <c r="O1885" s="34">
        <v>0.0</v>
      </c>
      <c r="P1885" s="18">
        <f>VLOOKUP($A1885,MasterData!$C$1:$I$3001,1,FALSE)</f>
        <v>8185</v>
      </c>
      <c r="Q1885" s="34" t="str">
        <f t="shared" si="2"/>
        <v>XIIAKL3</v>
      </c>
    </row>
    <row r="1886" ht="15.75" customHeight="1">
      <c r="A1886" s="15">
        <v>8198.0</v>
      </c>
      <c r="B1886" s="18" t="s">
        <v>9198</v>
      </c>
      <c r="C1886" s="29" t="s">
        <v>9199</v>
      </c>
      <c r="D1886" s="18" t="s">
        <v>9198</v>
      </c>
      <c r="E1886" s="34" t="s">
        <v>4387</v>
      </c>
      <c r="F1886" s="19" t="str">
        <f t="shared" si="1"/>
        <v>XIIAKL3</v>
      </c>
      <c r="G1886" s="19" t="s">
        <v>5408</v>
      </c>
      <c r="H1886" s="20" t="s">
        <v>4223</v>
      </c>
      <c r="I1886" s="19" t="s">
        <v>5409</v>
      </c>
      <c r="J1886" s="19" t="s">
        <v>5410</v>
      </c>
      <c r="K1886" s="21" t="s">
        <v>5415</v>
      </c>
      <c r="L1886" s="35" t="s">
        <v>5683</v>
      </c>
      <c r="M1886" s="29" t="s">
        <v>4386</v>
      </c>
      <c r="N1886" s="34" t="s">
        <v>5416</v>
      </c>
      <c r="O1886" s="34">
        <v>0.0</v>
      </c>
      <c r="P1886" s="18">
        <f>VLOOKUP($A1886,MasterData!$C$1:$I$3001,1,FALSE)</f>
        <v>8198</v>
      </c>
      <c r="Q1886" s="34" t="str">
        <f t="shared" si="2"/>
        <v>XIIAKL3</v>
      </c>
    </row>
    <row r="1887" ht="15.75" customHeight="1">
      <c r="A1887" s="15">
        <v>8636.0</v>
      </c>
      <c r="B1887" s="16" t="s">
        <v>9200</v>
      </c>
      <c r="C1887" s="4" t="s">
        <v>9201</v>
      </c>
      <c r="D1887" s="16" t="s">
        <v>9200</v>
      </c>
      <c r="E1887" s="34" t="s">
        <v>4388</v>
      </c>
      <c r="F1887" s="19" t="str">
        <f t="shared" si="1"/>
        <v>XIIAKL3</v>
      </c>
      <c r="G1887" s="19" t="s">
        <v>5408</v>
      </c>
      <c r="H1887" s="20" t="s">
        <v>4223</v>
      </c>
      <c r="I1887" s="19" t="s">
        <v>5409</v>
      </c>
      <c r="J1887" s="19" t="s">
        <v>5410</v>
      </c>
      <c r="K1887" s="21" t="s">
        <v>5415</v>
      </c>
      <c r="L1887" s="35" t="s">
        <v>5683</v>
      </c>
      <c r="M1887" s="29"/>
      <c r="N1887" s="34"/>
      <c r="O1887" s="34"/>
      <c r="P1887" s="18">
        <f>VLOOKUP($A1887,MasterData!$C$1:$I$3001,1,FALSE)</f>
        <v>8636</v>
      </c>
      <c r="Q1887" s="34" t="str">
        <f t="shared" si="2"/>
        <v>XIIAKL3</v>
      </c>
    </row>
    <row r="1888" ht="15.75" customHeight="1">
      <c r="A1888" s="15">
        <v>8237.0</v>
      </c>
      <c r="B1888" s="18" t="s">
        <v>9202</v>
      </c>
      <c r="C1888" s="29" t="s">
        <v>9203</v>
      </c>
      <c r="D1888" s="18" t="s">
        <v>9202</v>
      </c>
      <c r="E1888" s="34" t="s">
        <v>4390</v>
      </c>
      <c r="F1888" s="19" t="str">
        <f t="shared" si="1"/>
        <v>XIIAKL3</v>
      </c>
      <c r="G1888" s="19" t="s">
        <v>5408</v>
      </c>
      <c r="H1888" s="20" t="s">
        <v>4223</v>
      </c>
      <c r="I1888" s="19" t="s">
        <v>5409</v>
      </c>
      <c r="J1888" s="19" t="s">
        <v>5410</v>
      </c>
      <c r="K1888" s="21" t="s">
        <v>5415</v>
      </c>
      <c r="L1888" s="35" t="s">
        <v>5683</v>
      </c>
      <c r="M1888" s="29" t="s">
        <v>4389</v>
      </c>
      <c r="N1888" s="34" t="s">
        <v>5416</v>
      </c>
      <c r="O1888" s="34">
        <v>0.0</v>
      </c>
      <c r="P1888" s="18">
        <f>VLOOKUP($A1888,MasterData!$C$1:$I$3001,1,FALSE)</f>
        <v>8237</v>
      </c>
      <c r="Q1888" s="34" t="str">
        <f t="shared" si="2"/>
        <v>XIIAKL3</v>
      </c>
    </row>
    <row r="1889" ht="15.75" customHeight="1">
      <c r="A1889" s="15">
        <v>8251.0</v>
      </c>
      <c r="B1889" s="18" t="s">
        <v>9204</v>
      </c>
      <c r="C1889" s="29" t="s">
        <v>9205</v>
      </c>
      <c r="D1889" s="18" t="s">
        <v>9204</v>
      </c>
      <c r="E1889" s="34" t="s">
        <v>4392</v>
      </c>
      <c r="F1889" s="19" t="str">
        <f t="shared" si="1"/>
        <v>XIIAKL3</v>
      </c>
      <c r="G1889" s="19" t="s">
        <v>5408</v>
      </c>
      <c r="H1889" s="20" t="s">
        <v>4223</v>
      </c>
      <c r="I1889" s="19" t="s">
        <v>5409</v>
      </c>
      <c r="J1889" s="19" t="s">
        <v>5410</v>
      </c>
      <c r="K1889" s="21" t="s">
        <v>5415</v>
      </c>
      <c r="L1889" s="35" t="s">
        <v>5683</v>
      </c>
      <c r="M1889" s="29" t="s">
        <v>4391</v>
      </c>
      <c r="N1889" s="34" t="s">
        <v>5416</v>
      </c>
      <c r="O1889" s="34">
        <v>0.0</v>
      </c>
      <c r="P1889" s="18">
        <f>VLOOKUP($A1889,MasterData!$C$1:$I$3001,1,FALSE)</f>
        <v>8251</v>
      </c>
      <c r="Q1889" s="34" t="str">
        <f t="shared" si="2"/>
        <v>XIIAKL3</v>
      </c>
    </row>
    <row r="1890" ht="15.75" customHeight="1">
      <c r="A1890" s="15">
        <v>8266.0</v>
      </c>
      <c r="B1890" s="18" t="s">
        <v>9206</v>
      </c>
      <c r="C1890" s="29" t="s">
        <v>9207</v>
      </c>
      <c r="D1890" s="18" t="s">
        <v>9206</v>
      </c>
      <c r="E1890" s="34" t="s">
        <v>4394</v>
      </c>
      <c r="F1890" s="19" t="str">
        <f t="shared" si="1"/>
        <v>XIIAKL3</v>
      </c>
      <c r="G1890" s="19" t="s">
        <v>5408</v>
      </c>
      <c r="H1890" s="20" t="s">
        <v>4223</v>
      </c>
      <c r="I1890" s="19" t="s">
        <v>5409</v>
      </c>
      <c r="J1890" s="19" t="s">
        <v>5410</v>
      </c>
      <c r="K1890" s="21" t="s">
        <v>5415</v>
      </c>
      <c r="L1890" s="35" t="s">
        <v>5683</v>
      </c>
      <c r="M1890" s="29" t="s">
        <v>4393</v>
      </c>
      <c r="N1890" s="34" t="s">
        <v>5416</v>
      </c>
      <c r="O1890" s="34">
        <v>0.0</v>
      </c>
      <c r="P1890" s="18">
        <f>VLOOKUP($A1890,MasterData!$C$1:$I$3001,1,FALSE)</f>
        <v>8266</v>
      </c>
      <c r="Q1890" s="34" t="str">
        <f t="shared" si="2"/>
        <v>XIIAKL3</v>
      </c>
    </row>
    <row r="1891" ht="15.75" customHeight="1">
      <c r="A1891" s="15">
        <v>8278.0</v>
      </c>
      <c r="B1891" s="18" t="s">
        <v>9208</v>
      </c>
      <c r="C1891" s="29" t="s">
        <v>9209</v>
      </c>
      <c r="D1891" s="18" t="s">
        <v>9208</v>
      </c>
      <c r="E1891" s="34" t="s">
        <v>4396</v>
      </c>
      <c r="F1891" s="19" t="str">
        <f t="shared" si="1"/>
        <v>XIIAKL3</v>
      </c>
      <c r="G1891" s="19" t="s">
        <v>5408</v>
      </c>
      <c r="H1891" s="20" t="s">
        <v>4223</v>
      </c>
      <c r="I1891" s="19" t="s">
        <v>5409</v>
      </c>
      <c r="J1891" s="19" t="s">
        <v>5410</v>
      </c>
      <c r="K1891" s="21" t="s">
        <v>5415</v>
      </c>
      <c r="L1891" s="35" t="s">
        <v>5683</v>
      </c>
      <c r="M1891" s="29" t="s">
        <v>4395</v>
      </c>
      <c r="N1891" s="34" t="s">
        <v>5416</v>
      </c>
      <c r="O1891" s="34">
        <v>0.0</v>
      </c>
      <c r="P1891" s="18">
        <f>VLOOKUP($A1891,MasterData!$C$1:$I$3001,1,FALSE)</f>
        <v>8278</v>
      </c>
      <c r="Q1891" s="34" t="str">
        <f t="shared" si="2"/>
        <v>XIIAKL3</v>
      </c>
    </row>
    <row r="1892" ht="15.75" customHeight="1">
      <c r="A1892" s="15">
        <v>8291.0</v>
      </c>
      <c r="B1892" s="18" t="s">
        <v>9210</v>
      </c>
      <c r="C1892" s="29" t="s">
        <v>9211</v>
      </c>
      <c r="D1892" s="18" t="s">
        <v>9210</v>
      </c>
      <c r="E1892" s="34" t="s">
        <v>4398</v>
      </c>
      <c r="F1892" s="19" t="str">
        <f t="shared" si="1"/>
        <v>XIIAKL3</v>
      </c>
      <c r="G1892" s="19" t="s">
        <v>5408</v>
      </c>
      <c r="H1892" s="20" t="s">
        <v>4223</v>
      </c>
      <c r="I1892" s="19" t="s">
        <v>5409</v>
      </c>
      <c r="J1892" s="19" t="s">
        <v>5410</v>
      </c>
      <c r="K1892" s="21" t="s">
        <v>5415</v>
      </c>
      <c r="L1892" s="35" t="s">
        <v>5683</v>
      </c>
      <c r="M1892" s="29" t="s">
        <v>4397</v>
      </c>
      <c r="N1892" s="34" t="s">
        <v>5416</v>
      </c>
      <c r="O1892" s="34">
        <v>0.0</v>
      </c>
      <c r="P1892" s="18">
        <f>VLOOKUP($A1892,MasterData!$C$1:$I$3001,1,FALSE)</f>
        <v>8291</v>
      </c>
      <c r="Q1892" s="34" t="str">
        <f t="shared" si="2"/>
        <v>XIIAKL3</v>
      </c>
    </row>
    <row r="1893" ht="15.75" customHeight="1">
      <c r="A1893" s="15">
        <v>8304.0</v>
      </c>
      <c r="B1893" s="18" t="s">
        <v>9212</v>
      </c>
      <c r="C1893" s="29" t="s">
        <v>9213</v>
      </c>
      <c r="D1893" s="18" t="s">
        <v>9212</v>
      </c>
      <c r="E1893" s="34" t="s">
        <v>4400</v>
      </c>
      <c r="F1893" s="19" t="str">
        <f t="shared" si="1"/>
        <v>XIIAKL3</v>
      </c>
      <c r="G1893" s="19" t="s">
        <v>5408</v>
      </c>
      <c r="H1893" s="20" t="s">
        <v>4223</v>
      </c>
      <c r="I1893" s="19" t="s">
        <v>5409</v>
      </c>
      <c r="J1893" s="19" t="s">
        <v>5410</v>
      </c>
      <c r="K1893" s="21" t="s">
        <v>5415</v>
      </c>
      <c r="L1893" s="35" t="s">
        <v>5683</v>
      </c>
      <c r="M1893" s="29" t="s">
        <v>4399</v>
      </c>
      <c r="N1893" s="34" t="s">
        <v>9214</v>
      </c>
      <c r="O1893" s="34" t="s">
        <v>9215</v>
      </c>
      <c r="P1893" s="18">
        <f>VLOOKUP($A1893,MasterData!$C$1:$I$3001,1,FALSE)</f>
        <v>8304</v>
      </c>
      <c r="Q1893" s="34" t="str">
        <f t="shared" si="2"/>
        <v>XIIAKL3</v>
      </c>
    </row>
    <row r="1894" ht="15.75" customHeight="1">
      <c r="A1894" s="15">
        <v>8313.0</v>
      </c>
      <c r="B1894" s="18" t="s">
        <v>9216</v>
      </c>
      <c r="C1894" s="29" t="s">
        <v>9217</v>
      </c>
      <c r="D1894" s="18" t="s">
        <v>9216</v>
      </c>
      <c r="E1894" s="34" t="s">
        <v>4402</v>
      </c>
      <c r="F1894" s="19" t="str">
        <f t="shared" si="1"/>
        <v>XIIAKL3</v>
      </c>
      <c r="G1894" s="19" t="s">
        <v>5408</v>
      </c>
      <c r="H1894" s="20" t="s">
        <v>4223</v>
      </c>
      <c r="I1894" s="19" t="s">
        <v>5409</v>
      </c>
      <c r="J1894" s="19" t="s">
        <v>5410</v>
      </c>
      <c r="K1894" s="21" t="s">
        <v>5415</v>
      </c>
      <c r="L1894" s="35" t="s">
        <v>5683</v>
      </c>
      <c r="M1894" s="29" t="s">
        <v>4401</v>
      </c>
      <c r="N1894" s="34" t="s">
        <v>5416</v>
      </c>
      <c r="O1894" s="34">
        <v>0.0</v>
      </c>
      <c r="P1894" s="18">
        <f>VLOOKUP($A1894,MasterData!$C$1:$I$3001,1,FALSE)</f>
        <v>8313</v>
      </c>
      <c r="Q1894" s="34" t="str">
        <f t="shared" si="2"/>
        <v>XIIAKL3</v>
      </c>
    </row>
    <row r="1895" ht="15.75" customHeight="1">
      <c r="A1895" s="15">
        <v>8324.0</v>
      </c>
      <c r="B1895" s="18" t="s">
        <v>9218</v>
      </c>
      <c r="C1895" s="29" t="s">
        <v>9219</v>
      </c>
      <c r="D1895" s="18" t="s">
        <v>9218</v>
      </c>
      <c r="E1895" s="34" t="s">
        <v>4404</v>
      </c>
      <c r="F1895" s="19" t="str">
        <f t="shared" si="1"/>
        <v>XIIAKL3</v>
      </c>
      <c r="G1895" s="19" t="s">
        <v>5408</v>
      </c>
      <c r="H1895" s="20" t="s">
        <v>4223</v>
      </c>
      <c r="I1895" s="19" t="s">
        <v>5409</v>
      </c>
      <c r="J1895" s="19" t="s">
        <v>5410</v>
      </c>
      <c r="K1895" s="21" t="s">
        <v>5415</v>
      </c>
      <c r="L1895" s="35" t="s">
        <v>5683</v>
      </c>
      <c r="M1895" s="29" t="s">
        <v>4403</v>
      </c>
      <c r="N1895" s="34" t="s">
        <v>5416</v>
      </c>
      <c r="O1895" s="34">
        <v>0.0</v>
      </c>
      <c r="P1895" s="18">
        <f>VLOOKUP($A1895,MasterData!$C$1:$I$3001,1,FALSE)</f>
        <v>8324</v>
      </c>
      <c r="Q1895" s="34" t="str">
        <f t="shared" si="2"/>
        <v>XIIAKL3</v>
      </c>
    </row>
    <row r="1896" ht="15.75" customHeight="1">
      <c r="A1896" s="15">
        <v>8354.0</v>
      </c>
      <c r="B1896" s="18" t="s">
        <v>9220</v>
      </c>
      <c r="C1896" s="29" t="s">
        <v>9221</v>
      </c>
      <c r="D1896" s="18" t="s">
        <v>9220</v>
      </c>
      <c r="E1896" s="34" t="s">
        <v>4406</v>
      </c>
      <c r="F1896" s="19" t="str">
        <f t="shared" si="1"/>
        <v>XIIAKL3</v>
      </c>
      <c r="G1896" s="19" t="s">
        <v>5408</v>
      </c>
      <c r="H1896" s="20" t="s">
        <v>4223</v>
      </c>
      <c r="I1896" s="19" t="s">
        <v>5409</v>
      </c>
      <c r="J1896" s="19" t="s">
        <v>5410</v>
      </c>
      <c r="K1896" s="21" t="s">
        <v>5415</v>
      </c>
      <c r="L1896" s="35" t="s">
        <v>5683</v>
      </c>
      <c r="M1896" s="29" t="s">
        <v>4405</v>
      </c>
      <c r="N1896" s="34" t="s">
        <v>5416</v>
      </c>
      <c r="O1896" s="34">
        <v>0.0</v>
      </c>
      <c r="P1896" s="18">
        <f>VLOOKUP($A1896,MasterData!$C$1:$I$3001,1,FALSE)</f>
        <v>8354</v>
      </c>
      <c r="Q1896" s="34" t="str">
        <f t="shared" si="2"/>
        <v>XIIAKL3</v>
      </c>
    </row>
    <row r="1897" ht="15.75" customHeight="1">
      <c r="A1897" s="15">
        <v>8439.0</v>
      </c>
      <c r="B1897" s="18" t="s">
        <v>9222</v>
      </c>
      <c r="C1897" s="29" t="s">
        <v>9223</v>
      </c>
      <c r="D1897" s="18" t="s">
        <v>9222</v>
      </c>
      <c r="E1897" s="34" t="s">
        <v>4408</v>
      </c>
      <c r="F1897" s="19" t="str">
        <f t="shared" si="1"/>
        <v>XIIAKL3</v>
      </c>
      <c r="G1897" s="19" t="s">
        <v>5408</v>
      </c>
      <c r="H1897" s="20" t="s">
        <v>4223</v>
      </c>
      <c r="I1897" s="19" t="s">
        <v>5409</v>
      </c>
      <c r="J1897" s="19" t="s">
        <v>5410</v>
      </c>
      <c r="K1897" s="21" t="s">
        <v>5415</v>
      </c>
      <c r="L1897" s="35" t="s">
        <v>5683</v>
      </c>
      <c r="M1897" s="29" t="s">
        <v>4407</v>
      </c>
      <c r="N1897" s="34" t="s">
        <v>5416</v>
      </c>
      <c r="O1897" s="34">
        <v>0.0</v>
      </c>
      <c r="P1897" s="18">
        <f>VLOOKUP($A1897,MasterData!$C$1:$I$3001,1,FALSE)</f>
        <v>8439</v>
      </c>
      <c r="Q1897" s="34" t="str">
        <f t="shared" si="2"/>
        <v>XIIAKL3</v>
      </c>
    </row>
    <row r="1898" ht="15.75" customHeight="1">
      <c r="A1898" s="15">
        <v>8443.0</v>
      </c>
      <c r="B1898" s="18" t="s">
        <v>9224</v>
      </c>
      <c r="C1898" s="29" t="s">
        <v>9225</v>
      </c>
      <c r="D1898" s="18" t="s">
        <v>9224</v>
      </c>
      <c r="E1898" s="34" t="s">
        <v>4410</v>
      </c>
      <c r="F1898" s="19" t="str">
        <f t="shared" si="1"/>
        <v>XIIAKL3</v>
      </c>
      <c r="G1898" s="19" t="s">
        <v>5408</v>
      </c>
      <c r="H1898" s="20" t="s">
        <v>4223</v>
      </c>
      <c r="I1898" s="19" t="s">
        <v>5409</v>
      </c>
      <c r="J1898" s="19" t="s">
        <v>5410</v>
      </c>
      <c r="K1898" s="21" t="s">
        <v>5415</v>
      </c>
      <c r="L1898" s="35" t="s">
        <v>5683</v>
      </c>
      <c r="M1898" s="29" t="s">
        <v>4409</v>
      </c>
      <c r="N1898" s="34" t="s">
        <v>5416</v>
      </c>
      <c r="O1898" s="34">
        <v>0.0</v>
      </c>
      <c r="P1898" s="18">
        <f>VLOOKUP($A1898,MasterData!$C$1:$I$3001,1,FALSE)</f>
        <v>8443</v>
      </c>
      <c r="Q1898" s="34" t="str">
        <f t="shared" si="2"/>
        <v>XIIAKL3</v>
      </c>
    </row>
    <row r="1899" ht="15.75" customHeight="1">
      <c r="A1899" s="15">
        <v>8449.0</v>
      </c>
      <c r="B1899" s="18" t="s">
        <v>9226</v>
      </c>
      <c r="C1899" s="29" t="s">
        <v>9227</v>
      </c>
      <c r="D1899" s="18" t="s">
        <v>9226</v>
      </c>
      <c r="E1899" s="34" t="s">
        <v>4412</v>
      </c>
      <c r="F1899" s="19" t="str">
        <f t="shared" si="1"/>
        <v>XIIAKL3</v>
      </c>
      <c r="G1899" s="19" t="s">
        <v>5408</v>
      </c>
      <c r="H1899" s="20" t="s">
        <v>4223</v>
      </c>
      <c r="I1899" s="19" t="s">
        <v>5409</v>
      </c>
      <c r="J1899" s="19" t="s">
        <v>5410</v>
      </c>
      <c r="K1899" s="21" t="s">
        <v>5415</v>
      </c>
      <c r="L1899" s="35" t="s">
        <v>5683</v>
      </c>
      <c r="M1899" s="29" t="s">
        <v>4411</v>
      </c>
      <c r="N1899" s="34" t="s">
        <v>5416</v>
      </c>
      <c r="O1899" s="34">
        <v>0.0</v>
      </c>
      <c r="P1899" s="18">
        <f>VLOOKUP($A1899,MasterData!$C$1:$I$3001,1,FALSE)</f>
        <v>8449</v>
      </c>
      <c r="Q1899" s="34" t="str">
        <f t="shared" si="2"/>
        <v>XIIAKL3</v>
      </c>
    </row>
    <row r="1900" ht="15.75" customHeight="1">
      <c r="A1900" s="15">
        <v>8456.0</v>
      </c>
      <c r="B1900" s="18" t="s">
        <v>9228</v>
      </c>
      <c r="C1900" s="29" t="s">
        <v>9229</v>
      </c>
      <c r="D1900" s="18" t="s">
        <v>9228</v>
      </c>
      <c r="E1900" s="34" t="s">
        <v>4414</v>
      </c>
      <c r="F1900" s="19" t="str">
        <f t="shared" si="1"/>
        <v>XIIAKL3</v>
      </c>
      <c r="G1900" s="19" t="s">
        <v>5408</v>
      </c>
      <c r="H1900" s="20" t="s">
        <v>4223</v>
      </c>
      <c r="I1900" s="19" t="s">
        <v>5409</v>
      </c>
      <c r="J1900" s="19" t="s">
        <v>5410</v>
      </c>
      <c r="K1900" s="21" t="s">
        <v>5415</v>
      </c>
      <c r="L1900" s="35" t="s">
        <v>5683</v>
      </c>
      <c r="M1900" s="29" t="s">
        <v>4413</v>
      </c>
      <c r="N1900" s="34" t="s">
        <v>5416</v>
      </c>
      <c r="O1900" s="34">
        <v>0.0</v>
      </c>
      <c r="P1900" s="18">
        <f>VLOOKUP($A1900,MasterData!$C$1:$I$3001,1,FALSE)</f>
        <v>8456</v>
      </c>
      <c r="Q1900" s="34" t="str">
        <f t="shared" si="2"/>
        <v>XIIAKL3</v>
      </c>
    </row>
    <row r="1901" ht="15.75" customHeight="1">
      <c r="A1901" s="15">
        <v>8472.0</v>
      </c>
      <c r="B1901" s="18" t="s">
        <v>9230</v>
      </c>
      <c r="C1901" s="29" t="s">
        <v>9231</v>
      </c>
      <c r="D1901" s="18" t="s">
        <v>9230</v>
      </c>
      <c r="E1901" s="34" t="s">
        <v>4416</v>
      </c>
      <c r="F1901" s="19" t="str">
        <f t="shared" si="1"/>
        <v>XIIAKL3</v>
      </c>
      <c r="G1901" s="19" t="s">
        <v>5408</v>
      </c>
      <c r="H1901" s="20" t="s">
        <v>4223</v>
      </c>
      <c r="I1901" s="19" t="s">
        <v>5409</v>
      </c>
      <c r="J1901" s="19" t="s">
        <v>5410</v>
      </c>
      <c r="K1901" s="21" t="s">
        <v>5415</v>
      </c>
      <c r="L1901" s="35" t="s">
        <v>5683</v>
      </c>
      <c r="M1901" s="29" t="s">
        <v>4415</v>
      </c>
      <c r="N1901" s="34" t="s">
        <v>5416</v>
      </c>
      <c r="O1901" s="34">
        <v>0.0</v>
      </c>
      <c r="P1901" s="18">
        <f>VLOOKUP($A1901,MasterData!$C$1:$I$3001,1,FALSE)</f>
        <v>8472</v>
      </c>
      <c r="Q1901" s="34" t="str">
        <f t="shared" si="2"/>
        <v>XIIAKL3</v>
      </c>
    </row>
    <row r="1902" ht="15.75" customHeight="1">
      <c r="A1902" s="15">
        <v>8487.0</v>
      </c>
      <c r="B1902" s="18" t="s">
        <v>9232</v>
      </c>
      <c r="C1902" s="29" t="s">
        <v>9233</v>
      </c>
      <c r="D1902" s="18" t="s">
        <v>9232</v>
      </c>
      <c r="E1902" s="34" t="s">
        <v>4418</v>
      </c>
      <c r="F1902" s="19" t="str">
        <f t="shared" si="1"/>
        <v>XIIAKL3</v>
      </c>
      <c r="G1902" s="19" t="s">
        <v>5408</v>
      </c>
      <c r="H1902" s="20" t="s">
        <v>4223</v>
      </c>
      <c r="I1902" s="19" t="s">
        <v>5409</v>
      </c>
      <c r="J1902" s="19" t="s">
        <v>5410</v>
      </c>
      <c r="K1902" s="21" t="s">
        <v>5415</v>
      </c>
      <c r="L1902" s="35" t="s">
        <v>5683</v>
      </c>
      <c r="M1902" s="29" t="s">
        <v>4417</v>
      </c>
      <c r="N1902" s="34" t="s">
        <v>5416</v>
      </c>
      <c r="O1902" s="34">
        <v>0.0</v>
      </c>
      <c r="P1902" s="18">
        <f>VLOOKUP($A1902,MasterData!$C$1:$I$3001,1,FALSE)</f>
        <v>8487</v>
      </c>
      <c r="Q1902" s="34" t="str">
        <f t="shared" si="2"/>
        <v>XIIAKL3</v>
      </c>
    </row>
    <row r="1903" ht="15.75" customHeight="1">
      <c r="A1903" s="15">
        <v>8515.0</v>
      </c>
      <c r="B1903" s="18" t="s">
        <v>9234</v>
      </c>
      <c r="C1903" s="29" t="s">
        <v>9235</v>
      </c>
      <c r="D1903" s="18" t="s">
        <v>9234</v>
      </c>
      <c r="E1903" s="34" t="s">
        <v>4420</v>
      </c>
      <c r="F1903" s="19" t="str">
        <f t="shared" si="1"/>
        <v>XIIAKL3</v>
      </c>
      <c r="G1903" s="19" t="s">
        <v>5408</v>
      </c>
      <c r="H1903" s="20" t="s">
        <v>4223</v>
      </c>
      <c r="I1903" s="19" t="s">
        <v>5409</v>
      </c>
      <c r="J1903" s="19" t="s">
        <v>5410</v>
      </c>
      <c r="K1903" s="21" t="s">
        <v>5415</v>
      </c>
      <c r="L1903" s="35" t="s">
        <v>5683</v>
      </c>
      <c r="M1903" s="29" t="s">
        <v>4419</v>
      </c>
      <c r="N1903" s="34" t="s">
        <v>5416</v>
      </c>
      <c r="O1903" s="34">
        <v>0.0</v>
      </c>
      <c r="P1903" s="18">
        <f>VLOOKUP($A1903,MasterData!$C$1:$I$3001,1,FALSE)</f>
        <v>8515</v>
      </c>
      <c r="Q1903" s="34" t="str">
        <f t="shared" si="2"/>
        <v>XIIAKL3</v>
      </c>
    </row>
    <row r="1904" ht="15.75" customHeight="1">
      <c r="A1904" s="15">
        <v>8530.0</v>
      </c>
      <c r="B1904" s="18" t="s">
        <v>9236</v>
      </c>
      <c r="C1904" s="29" t="s">
        <v>9237</v>
      </c>
      <c r="D1904" s="18" t="s">
        <v>9236</v>
      </c>
      <c r="E1904" s="34" t="s">
        <v>4422</v>
      </c>
      <c r="F1904" s="19" t="str">
        <f t="shared" si="1"/>
        <v>XIIAKL3</v>
      </c>
      <c r="G1904" s="19" t="s">
        <v>5408</v>
      </c>
      <c r="H1904" s="20" t="s">
        <v>4223</v>
      </c>
      <c r="I1904" s="19" t="s">
        <v>5409</v>
      </c>
      <c r="J1904" s="19" t="s">
        <v>5410</v>
      </c>
      <c r="K1904" s="21" t="s">
        <v>5415</v>
      </c>
      <c r="L1904" s="35" t="s">
        <v>5683</v>
      </c>
      <c r="M1904" s="29" t="s">
        <v>4421</v>
      </c>
      <c r="N1904" s="34" t="s">
        <v>5416</v>
      </c>
      <c r="O1904" s="34">
        <v>0.0</v>
      </c>
      <c r="P1904" s="18">
        <f>VLOOKUP($A1904,MasterData!$C$1:$I$3001,1,FALSE)</f>
        <v>8530</v>
      </c>
      <c r="Q1904" s="34" t="str">
        <f t="shared" si="2"/>
        <v>XIIAKL3</v>
      </c>
    </row>
    <row r="1905" ht="15.75" customHeight="1">
      <c r="A1905" s="15">
        <v>8543.0</v>
      </c>
      <c r="B1905" s="18" t="s">
        <v>9238</v>
      </c>
      <c r="C1905" s="29" t="s">
        <v>9239</v>
      </c>
      <c r="D1905" s="18" t="s">
        <v>9238</v>
      </c>
      <c r="E1905" s="34" t="s">
        <v>4424</v>
      </c>
      <c r="F1905" s="19" t="str">
        <f t="shared" si="1"/>
        <v>XIIAKL3</v>
      </c>
      <c r="G1905" s="19" t="s">
        <v>5408</v>
      </c>
      <c r="H1905" s="20" t="s">
        <v>4223</v>
      </c>
      <c r="I1905" s="19" t="s">
        <v>5409</v>
      </c>
      <c r="J1905" s="19" t="s">
        <v>5410</v>
      </c>
      <c r="K1905" s="21" t="s">
        <v>5415</v>
      </c>
      <c r="L1905" s="35" t="s">
        <v>5683</v>
      </c>
      <c r="M1905" s="29" t="s">
        <v>4423</v>
      </c>
      <c r="N1905" s="34" t="s">
        <v>5416</v>
      </c>
      <c r="O1905" s="34">
        <v>0.0</v>
      </c>
      <c r="P1905" s="18">
        <f>VLOOKUP($A1905,MasterData!$C$1:$I$3001,1,FALSE)</f>
        <v>8543</v>
      </c>
      <c r="Q1905" s="34" t="str">
        <f t="shared" si="2"/>
        <v>XIIAKL3</v>
      </c>
    </row>
    <row r="1906" ht="15.75" customHeight="1">
      <c r="A1906" s="15">
        <v>8557.0</v>
      </c>
      <c r="B1906" s="18" t="s">
        <v>9240</v>
      </c>
      <c r="C1906" s="29" t="s">
        <v>9241</v>
      </c>
      <c r="D1906" s="18" t="s">
        <v>9240</v>
      </c>
      <c r="E1906" s="34" t="s">
        <v>4426</v>
      </c>
      <c r="F1906" s="19" t="str">
        <f t="shared" si="1"/>
        <v>XIIAKL3</v>
      </c>
      <c r="G1906" s="19" t="s">
        <v>5408</v>
      </c>
      <c r="H1906" s="20" t="s">
        <v>4223</v>
      </c>
      <c r="I1906" s="19" t="s">
        <v>5409</v>
      </c>
      <c r="J1906" s="19" t="s">
        <v>5410</v>
      </c>
      <c r="K1906" s="21" t="s">
        <v>5415</v>
      </c>
      <c r="L1906" s="35" t="s">
        <v>5683</v>
      </c>
      <c r="M1906" s="29" t="s">
        <v>4425</v>
      </c>
      <c r="N1906" s="34" t="s">
        <v>5416</v>
      </c>
      <c r="O1906" s="34">
        <v>0.0</v>
      </c>
      <c r="P1906" s="18">
        <f>VLOOKUP($A1906,MasterData!$C$1:$I$3001,1,FALSE)</f>
        <v>8557</v>
      </c>
      <c r="Q1906" s="34" t="str">
        <f t="shared" si="2"/>
        <v>XIIAKL3</v>
      </c>
    </row>
    <row r="1907" ht="15.75" customHeight="1">
      <c r="A1907" s="15">
        <v>8568.0</v>
      </c>
      <c r="B1907" s="18" t="s">
        <v>9242</v>
      </c>
      <c r="C1907" s="29" t="s">
        <v>9243</v>
      </c>
      <c r="D1907" s="18" t="s">
        <v>9242</v>
      </c>
      <c r="E1907" s="34" t="s">
        <v>4428</v>
      </c>
      <c r="F1907" s="19" t="str">
        <f t="shared" si="1"/>
        <v>XIIAKL3</v>
      </c>
      <c r="G1907" s="19" t="s">
        <v>5408</v>
      </c>
      <c r="H1907" s="20" t="s">
        <v>4223</v>
      </c>
      <c r="I1907" s="19" t="s">
        <v>5409</v>
      </c>
      <c r="J1907" s="19" t="s">
        <v>5410</v>
      </c>
      <c r="K1907" s="21" t="s">
        <v>5415</v>
      </c>
      <c r="L1907" s="35" t="s">
        <v>5683</v>
      </c>
      <c r="M1907" s="29" t="s">
        <v>4427</v>
      </c>
      <c r="N1907" s="34" t="s">
        <v>5416</v>
      </c>
      <c r="O1907" s="34">
        <v>0.0</v>
      </c>
      <c r="P1907" s="18">
        <f>VLOOKUP($A1907,MasterData!$C$1:$I$3001,1,FALSE)</f>
        <v>8568</v>
      </c>
      <c r="Q1907" s="34" t="str">
        <f t="shared" si="2"/>
        <v>XIIAKL3</v>
      </c>
    </row>
    <row r="1908" ht="15.75" customHeight="1">
      <c r="A1908" s="15">
        <v>8577.0</v>
      </c>
      <c r="B1908" s="18" t="s">
        <v>9244</v>
      </c>
      <c r="C1908" s="29" t="s">
        <v>9245</v>
      </c>
      <c r="D1908" s="18" t="s">
        <v>9244</v>
      </c>
      <c r="E1908" s="34" t="s">
        <v>4430</v>
      </c>
      <c r="F1908" s="19" t="str">
        <f t="shared" si="1"/>
        <v>XIIAKL3</v>
      </c>
      <c r="G1908" s="19" t="s">
        <v>5408</v>
      </c>
      <c r="H1908" s="20" t="s">
        <v>4223</v>
      </c>
      <c r="I1908" s="19" t="s">
        <v>5409</v>
      </c>
      <c r="J1908" s="19" t="s">
        <v>5410</v>
      </c>
      <c r="K1908" s="21" t="s">
        <v>5415</v>
      </c>
      <c r="L1908" s="35" t="s">
        <v>5683</v>
      </c>
      <c r="M1908" s="29" t="s">
        <v>4429</v>
      </c>
      <c r="N1908" s="34" t="s">
        <v>5416</v>
      </c>
      <c r="O1908" s="34">
        <v>0.0</v>
      </c>
      <c r="P1908" s="18">
        <f>VLOOKUP($A1908,MasterData!$C$1:$I$3001,1,FALSE)</f>
        <v>8577</v>
      </c>
      <c r="Q1908" s="34" t="str">
        <f t="shared" si="2"/>
        <v>XIIAKL3</v>
      </c>
    </row>
    <row r="1909" ht="15.75" customHeight="1">
      <c r="A1909" s="15">
        <v>8597.0</v>
      </c>
      <c r="B1909" s="18" t="s">
        <v>9246</v>
      </c>
      <c r="C1909" s="29" t="s">
        <v>9247</v>
      </c>
      <c r="D1909" s="18" t="s">
        <v>9246</v>
      </c>
      <c r="E1909" s="34" t="s">
        <v>4432</v>
      </c>
      <c r="F1909" s="19" t="str">
        <f t="shared" si="1"/>
        <v>XIIAKL3</v>
      </c>
      <c r="G1909" s="19" t="s">
        <v>5408</v>
      </c>
      <c r="H1909" s="20" t="s">
        <v>4223</v>
      </c>
      <c r="I1909" s="19" t="s">
        <v>5409</v>
      </c>
      <c r="J1909" s="19" t="s">
        <v>5410</v>
      </c>
      <c r="K1909" s="21" t="s">
        <v>5415</v>
      </c>
      <c r="L1909" s="35" t="s">
        <v>5683</v>
      </c>
      <c r="M1909" s="29" t="s">
        <v>4431</v>
      </c>
      <c r="N1909" s="34" t="s">
        <v>5416</v>
      </c>
      <c r="O1909" s="34">
        <v>0.0</v>
      </c>
      <c r="P1909" s="18">
        <f>VLOOKUP($A1909,MasterData!$C$1:$I$3001,1,FALSE)</f>
        <v>8597</v>
      </c>
      <c r="Q1909" s="34" t="str">
        <f t="shared" si="2"/>
        <v>XIIAKL3</v>
      </c>
    </row>
    <row r="1910" ht="15.75" customHeight="1">
      <c r="A1910" s="15">
        <v>8620.0</v>
      </c>
      <c r="B1910" s="18" t="s">
        <v>9248</v>
      </c>
      <c r="C1910" s="29" t="s">
        <v>9249</v>
      </c>
      <c r="D1910" s="18" t="s">
        <v>9248</v>
      </c>
      <c r="E1910" s="34" t="s">
        <v>4434</v>
      </c>
      <c r="F1910" s="19" t="str">
        <f t="shared" si="1"/>
        <v>XIIAKL3</v>
      </c>
      <c r="G1910" s="19" t="s">
        <v>5408</v>
      </c>
      <c r="H1910" s="20" t="s">
        <v>4223</v>
      </c>
      <c r="I1910" s="19" t="s">
        <v>5409</v>
      </c>
      <c r="J1910" s="19" t="s">
        <v>5410</v>
      </c>
      <c r="K1910" s="21" t="s">
        <v>5415</v>
      </c>
      <c r="L1910" s="35" t="s">
        <v>5683</v>
      </c>
      <c r="M1910" s="29" t="s">
        <v>4433</v>
      </c>
      <c r="N1910" s="34" t="s">
        <v>5416</v>
      </c>
      <c r="O1910" s="34">
        <v>0.0</v>
      </c>
      <c r="P1910" s="18">
        <f>VLOOKUP($A1910,MasterData!$C$1:$I$3001,1,FALSE)</f>
        <v>8620</v>
      </c>
      <c r="Q1910" s="34" t="str">
        <f t="shared" si="2"/>
        <v>XIIAKL3</v>
      </c>
    </row>
    <row r="1911" ht="15.75" customHeight="1">
      <c r="A1911" s="15">
        <v>8623.0</v>
      </c>
      <c r="B1911" s="18" t="s">
        <v>9250</v>
      </c>
      <c r="C1911" s="29" t="s">
        <v>9251</v>
      </c>
      <c r="D1911" s="18" t="s">
        <v>9250</v>
      </c>
      <c r="E1911" s="34" t="s">
        <v>4436</v>
      </c>
      <c r="F1911" s="19" t="str">
        <f t="shared" si="1"/>
        <v>XIIAKL3</v>
      </c>
      <c r="G1911" s="19" t="s">
        <v>5408</v>
      </c>
      <c r="H1911" s="20" t="s">
        <v>4223</v>
      </c>
      <c r="I1911" s="19" t="s">
        <v>5409</v>
      </c>
      <c r="J1911" s="19" t="s">
        <v>5410</v>
      </c>
      <c r="K1911" s="21" t="s">
        <v>5415</v>
      </c>
      <c r="L1911" s="35" t="s">
        <v>5683</v>
      </c>
      <c r="M1911" s="29" t="s">
        <v>4435</v>
      </c>
      <c r="N1911" s="34" t="s">
        <v>5416</v>
      </c>
      <c r="O1911" s="34">
        <v>0.0</v>
      </c>
      <c r="P1911" s="18">
        <f>VLOOKUP($A1911,MasterData!$C$1:$I$3001,1,FALSE)</f>
        <v>8623</v>
      </c>
      <c r="Q1911" s="34" t="str">
        <f t="shared" si="2"/>
        <v>XIIAKL3</v>
      </c>
    </row>
    <row r="1912" ht="15.75" customHeight="1">
      <c r="A1912" s="15">
        <v>8053.0</v>
      </c>
      <c r="B1912" s="18" t="s">
        <v>9252</v>
      </c>
      <c r="C1912" s="29" t="s">
        <v>9253</v>
      </c>
      <c r="D1912" s="18" t="s">
        <v>9252</v>
      </c>
      <c r="E1912" s="34" t="s">
        <v>4438</v>
      </c>
      <c r="F1912" s="19" t="str">
        <f t="shared" si="1"/>
        <v>XIIAKL4</v>
      </c>
      <c r="G1912" s="19" t="s">
        <v>5408</v>
      </c>
      <c r="H1912" s="20" t="s">
        <v>4223</v>
      </c>
      <c r="I1912" s="19" t="s">
        <v>5409</v>
      </c>
      <c r="J1912" s="19" t="s">
        <v>5410</v>
      </c>
      <c r="K1912" s="21" t="s">
        <v>5415</v>
      </c>
      <c r="L1912" s="35" t="s">
        <v>5789</v>
      </c>
      <c r="M1912" s="29" t="s">
        <v>4437</v>
      </c>
      <c r="N1912" s="34" t="s">
        <v>9254</v>
      </c>
      <c r="O1912" s="34" t="s">
        <v>9255</v>
      </c>
      <c r="P1912" s="18">
        <f>VLOOKUP($A1912,MasterData!$C$1:$I$3001,1,FALSE)</f>
        <v>8053</v>
      </c>
      <c r="Q1912" s="34" t="str">
        <f t="shared" si="2"/>
        <v>XIIAKL4</v>
      </c>
    </row>
    <row r="1913" ht="15.75" customHeight="1">
      <c r="A1913" s="15">
        <v>8079.0</v>
      </c>
      <c r="B1913" s="18" t="s">
        <v>9256</v>
      </c>
      <c r="C1913" s="29" t="s">
        <v>9257</v>
      </c>
      <c r="D1913" s="18" t="s">
        <v>9256</v>
      </c>
      <c r="E1913" s="34" t="s">
        <v>4440</v>
      </c>
      <c r="F1913" s="19" t="str">
        <f t="shared" si="1"/>
        <v>XIIAKL4</v>
      </c>
      <c r="G1913" s="19" t="s">
        <v>5408</v>
      </c>
      <c r="H1913" s="20" t="s">
        <v>4223</v>
      </c>
      <c r="I1913" s="19" t="s">
        <v>5409</v>
      </c>
      <c r="J1913" s="19" t="s">
        <v>5410</v>
      </c>
      <c r="K1913" s="21" t="s">
        <v>5415</v>
      </c>
      <c r="L1913" s="35" t="s">
        <v>5789</v>
      </c>
      <c r="M1913" s="29" t="s">
        <v>4439</v>
      </c>
      <c r="N1913" s="34" t="s">
        <v>5416</v>
      </c>
      <c r="O1913" s="34">
        <v>0.0</v>
      </c>
      <c r="P1913" s="18">
        <f>VLOOKUP($A1913,MasterData!$C$1:$I$3001,1,FALSE)</f>
        <v>8079</v>
      </c>
      <c r="Q1913" s="34" t="str">
        <f t="shared" si="2"/>
        <v>XIIAKL4</v>
      </c>
    </row>
    <row r="1914" ht="15.75" customHeight="1">
      <c r="A1914" s="15">
        <v>8086.0</v>
      </c>
      <c r="B1914" s="18" t="s">
        <v>9258</v>
      </c>
      <c r="C1914" s="29" t="s">
        <v>9259</v>
      </c>
      <c r="D1914" s="18" t="s">
        <v>9258</v>
      </c>
      <c r="E1914" s="34" t="s">
        <v>4442</v>
      </c>
      <c r="F1914" s="19" t="str">
        <f t="shared" si="1"/>
        <v>XIIAKL4</v>
      </c>
      <c r="G1914" s="19" t="s">
        <v>5408</v>
      </c>
      <c r="H1914" s="20" t="s">
        <v>4223</v>
      </c>
      <c r="I1914" s="19" t="s">
        <v>5409</v>
      </c>
      <c r="J1914" s="19" t="s">
        <v>5410</v>
      </c>
      <c r="K1914" s="21" t="s">
        <v>5415</v>
      </c>
      <c r="L1914" s="35" t="s">
        <v>5789</v>
      </c>
      <c r="M1914" s="29" t="s">
        <v>4441</v>
      </c>
      <c r="N1914" s="34" t="s">
        <v>9260</v>
      </c>
      <c r="O1914" s="34" t="s">
        <v>9261</v>
      </c>
      <c r="P1914" s="18">
        <f>VLOOKUP($A1914,MasterData!$C$1:$I$3001,1,FALSE)</f>
        <v>8086</v>
      </c>
      <c r="Q1914" s="34" t="str">
        <f t="shared" si="2"/>
        <v>XIIAKL4</v>
      </c>
    </row>
    <row r="1915" ht="15.75" customHeight="1">
      <c r="A1915" s="15">
        <v>8099.0</v>
      </c>
      <c r="B1915" s="18" t="s">
        <v>9262</v>
      </c>
      <c r="C1915" s="29" t="s">
        <v>9263</v>
      </c>
      <c r="D1915" s="18" t="s">
        <v>9262</v>
      </c>
      <c r="E1915" s="34" t="s">
        <v>4444</v>
      </c>
      <c r="F1915" s="19" t="str">
        <f t="shared" si="1"/>
        <v>XIIAKL4</v>
      </c>
      <c r="G1915" s="19" t="s">
        <v>5408</v>
      </c>
      <c r="H1915" s="20" t="s">
        <v>4223</v>
      </c>
      <c r="I1915" s="19" t="s">
        <v>5409</v>
      </c>
      <c r="J1915" s="19" t="s">
        <v>5410</v>
      </c>
      <c r="K1915" s="21" t="s">
        <v>5415</v>
      </c>
      <c r="L1915" s="35" t="s">
        <v>5789</v>
      </c>
      <c r="M1915" s="29" t="s">
        <v>4443</v>
      </c>
      <c r="N1915" s="36">
        <v>39403.0</v>
      </c>
      <c r="O1915" s="34" t="s">
        <v>9264</v>
      </c>
      <c r="P1915" s="18">
        <f>VLOOKUP($A1915,MasterData!$C$1:$I$3001,1,FALSE)</f>
        <v>8099</v>
      </c>
      <c r="Q1915" s="34" t="str">
        <f t="shared" si="2"/>
        <v>XIIAKL4</v>
      </c>
    </row>
    <row r="1916" ht="15.75" customHeight="1">
      <c r="A1916" s="15">
        <v>8112.0</v>
      </c>
      <c r="B1916" s="18" t="s">
        <v>9265</v>
      </c>
      <c r="C1916" s="29" t="s">
        <v>9266</v>
      </c>
      <c r="D1916" s="18" t="s">
        <v>9265</v>
      </c>
      <c r="E1916" s="34" t="s">
        <v>4446</v>
      </c>
      <c r="F1916" s="19" t="str">
        <f t="shared" si="1"/>
        <v>XIIAKL4</v>
      </c>
      <c r="G1916" s="19" t="s">
        <v>5408</v>
      </c>
      <c r="H1916" s="20" t="s">
        <v>4223</v>
      </c>
      <c r="I1916" s="19" t="s">
        <v>5409</v>
      </c>
      <c r="J1916" s="19" t="s">
        <v>5410</v>
      </c>
      <c r="K1916" s="21" t="s">
        <v>5415</v>
      </c>
      <c r="L1916" s="35" t="s">
        <v>5789</v>
      </c>
      <c r="M1916" s="29" t="s">
        <v>4445</v>
      </c>
      <c r="N1916" s="34" t="s">
        <v>5416</v>
      </c>
      <c r="O1916" s="34">
        <v>0.0</v>
      </c>
      <c r="P1916" s="18">
        <f>VLOOKUP($A1916,MasterData!$C$1:$I$3001,1,FALSE)</f>
        <v>8112</v>
      </c>
      <c r="Q1916" s="34" t="str">
        <f t="shared" si="2"/>
        <v>XIIAKL4</v>
      </c>
    </row>
    <row r="1917" ht="15.75" customHeight="1">
      <c r="A1917" s="15">
        <v>8122.0</v>
      </c>
      <c r="B1917" s="18" t="s">
        <v>9267</v>
      </c>
      <c r="C1917" s="29" t="s">
        <v>9268</v>
      </c>
      <c r="D1917" s="18" t="s">
        <v>9267</v>
      </c>
      <c r="E1917" s="34" t="s">
        <v>4448</v>
      </c>
      <c r="F1917" s="19" t="str">
        <f t="shared" si="1"/>
        <v>XIIAKL4</v>
      </c>
      <c r="G1917" s="19" t="s">
        <v>5408</v>
      </c>
      <c r="H1917" s="20" t="s">
        <v>4223</v>
      </c>
      <c r="I1917" s="19" t="s">
        <v>5409</v>
      </c>
      <c r="J1917" s="19" t="s">
        <v>5410</v>
      </c>
      <c r="K1917" s="21" t="s">
        <v>5415</v>
      </c>
      <c r="L1917" s="35" t="s">
        <v>5789</v>
      </c>
      <c r="M1917" s="29" t="s">
        <v>4447</v>
      </c>
      <c r="N1917" s="34" t="s">
        <v>9269</v>
      </c>
      <c r="O1917" s="34" t="s">
        <v>9270</v>
      </c>
      <c r="P1917" s="18">
        <f>VLOOKUP($A1917,MasterData!$C$1:$I$3001,1,FALSE)</f>
        <v>8122</v>
      </c>
      <c r="Q1917" s="34" t="str">
        <f t="shared" si="2"/>
        <v>XIIAKL4</v>
      </c>
    </row>
    <row r="1918" ht="15.75" customHeight="1">
      <c r="A1918" s="15">
        <v>8123.0</v>
      </c>
      <c r="B1918" s="18" t="s">
        <v>9271</v>
      </c>
      <c r="C1918" s="29" t="s">
        <v>9272</v>
      </c>
      <c r="D1918" s="18" t="s">
        <v>9271</v>
      </c>
      <c r="E1918" s="34" t="s">
        <v>4450</v>
      </c>
      <c r="F1918" s="19" t="str">
        <f t="shared" si="1"/>
        <v>XIIAKL4</v>
      </c>
      <c r="G1918" s="19" t="s">
        <v>5408</v>
      </c>
      <c r="H1918" s="20" t="s">
        <v>4223</v>
      </c>
      <c r="I1918" s="19" t="s">
        <v>5409</v>
      </c>
      <c r="J1918" s="19" t="s">
        <v>5410</v>
      </c>
      <c r="K1918" s="21" t="s">
        <v>5415</v>
      </c>
      <c r="L1918" s="35" t="s">
        <v>5789</v>
      </c>
      <c r="M1918" s="29" t="s">
        <v>4449</v>
      </c>
      <c r="N1918" s="34" t="s">
        <v>9273</v>
      </c>
      <c r="O1918" s="34" t="s">
        <v>9274</v>
      </c>
      <c r="P1918" s="18">
        <f>VLOOKUP($A1918,MasterData!$C$1:$I$3001,1,FALSE)</f>
        <v>8123</v>
      </c>
      <c r="Q1918" s="34" t="str">
        <f t="shared" si="2"/>
        <v>XIIAKL4</v>
      </c>
    </row>
    <row r="1919" ht="15.75" customHeight="1">
      <c r="A1919" s="15">
        <v>8150.0</v>
      </c>
      <c r="B1919" s="18" t="s">
        <v>9275</v>
      </c>
      <c r="C1919" s="29" t="s">
        <v>9276</v>
      </c>
      <c r="D1919" s="18" t="s">
        <v>9275</v>
      </c>
      <c r="E1919" s="34" t="s">
        <v>4452</v>
      </c>
      <c r="F1919" s="19" t="str">
        <f t="shared" si="1"/>
        <v>XIIAKL4</v>
      </c>
      <c r="G1919" s="19" t="s">
        <v>5408</v>
      </c>
      <c r="H1919" s="20" t="s">
        <v>4223</v>
      </c>
      <c r="I1919" s="19" t="s">
        <v>5409</v>
      </c>
      <c r="J1919" s="19" t="s">
        <v>5410</v>
      </c>
      <c r="K1919" s="21" t="s">
        <v>5415</v>
      </c>
      <c r="L1919" s="35" t="s">
        <v>5789</v>
      </c>
      <c r="M1919" s="29" t="s">
        <v>4451</v>
      </c>
      <c r="N1919" s="34" t="s">
        <v>5416</v>
      </c>
      <c r="O1919" s="34">
        <v>0.0</v>
      </c>
      <c r="P1919" s="18">
        <f>VLOOKUP($A1919,MasterData!$C$1:$I$3001,1,FALSE)</f>
        <v>8150</v>
      </c>
      <c r="Q1919" s="34" t="str">
        <f t="shared" si="2"/>
        <v>XIIAKL4</v>
      </c>
    </row>
    <row r="1920" ht="15.75" customHeight="1">
      <c r="A1920" s="15">
        <v>8152.0</v>
      </c>
      <c r="B1920" s="18" t="s">
        <v>9277</v>
      </c>
      <c r="C1920" s="29" t="s">
        <v>9278</v>
      </c>
      <c r="D1920" s="18" t="s">
        <v>9277</v>
      </c>
      <c r="E1920" s="34" t="s">
        <v>4454</v>
      </c>
      <c r="F1920" s="19" t="str">
        <f t="shared" si="1"/>
        <v>XIIAKL4</v>
      </c>
      <c r="G1920" s="19" t="s">
        <v>5408</v>
      </c>
      <c r="H1920" s="20" t="s">
        <v>4223</v>
      </c>
      <c r="I1920" s="19" t="s">
        <v>5409</v>
      </c>
      <c r="J1920" s="19" t="s">
        <v>5410</v>
      </c>
      <c r="K1920" s="21" t="s">
        <v>5415</v>
      </c>
      <c r="L1920" s="35" t="s">
        <v>5789</v>
      </c>
      <c r="M1920" s="29" t="s">
        <v>4453</v>
      </c>
      <c r="N1920" s="34" t="s">
        <v>5416</v>
      </c>
      <c r="O1920" s="34">
        <v>0.0</v>
      </c>
      <c r="P1920" s="18">
        <f>VLOOKUP($A1920,MasterData!$C$1:$I$3001,1,FALSE)</f>
        <v>8152</v>
      </c>
      <c r="Q1920" s="34" t="str">
        <f t="shared" si="2"/>
        <v>XIIAKL4</v>
      </c>
    </row>
    <row r="1921" ht="15.75" customHeight="1">
      <c r="A1921" s="15">
        <v>8160.0</v>
      </c>
      <c r="B1921" s="18" t="s">
        <v>9279</v>
      </c>
      <c r="C1921" s="29" t="s">
        <v>9280</v>
      </c>
      <c r="D1921" s="18" t="s">
        <v>9279</v>
      </c>
      <c r="E1921" s="34" t="s">
        <v>4456</v>
      </c>
      <c r="F1921" s="19" t="str">
        <f t="shared" si="1"/>
        <v>XIIAKL4</v>
      </c>
      <c r="G1921" s="19" t="s">
        <v>5408</v>
      </c>
      <c r="H1921" s="20" t="s">
        <v>4223</v>
      </c>
      <c r="I1921" s="19" t="s">
        <v>5409</v>
      </c>
      <c r="J1921" s="19" t="s">
        <v>5410</v>
      </c>
      <c r="K1921" s="21" t="s">
        <v>5415</v>
      </c>
      <c r="L1921" s="35" t="s">
        <v>5789</v>
      </c>
      <c r="M1921" s="29" t="s">
        <v>4455</v>
      </c>
      <c r="N1921" s="34" t="s">
        <v>5416</v>
      </c>
      <c r="O1921" s="34">
        <v>0.0</v>
      </c>
      <c r="P1921" s="18">
        <f>VLOOKUP($A1921,MasterData!$C$1:$I$3001,1,FALSE)</f>
        <v>8160</v>
      </c>
      <c r="Q1921" s="34" t="str">
        <f t="shared" si="2"/>
        <v>XIIAKL4</v>
      </c>
    </row>
    <row r="1922" ht="15.75" customHeight="1">
      <c r="A1922" s="15">
        <v>8174.0</v>
      </c>
      <c r="B1922" s="18" t="s">
        <v>9281</v>
      </c>
      <c r="C1922" s="29" t="s">
        <v>9282</v>
      </c>
      <c r="D1922" s="18" t="s">
        <v>9281</v>
      </c>
      <c r="E1922" s="34" t="s">
        <v>4458</v>
      </c>
      <c r="F1922" s="19" t="str">
        <f t="shared" si="1"/>
        <v>XIIAKL4</v>
      </c>
      <c r="G1922" s="19" t="s">
        <v>5408</v>
      </c>
      <c r="H1922" s="20" t="s">
        <v>4223</v>
      </c>
      <c r="I1922" s="19" t="s">
        <v>5409</v>
      </c>
      <c r="J1922" s="19" t="s">
        <v>5410</v>
      </c>
      <c r="K1922" s="21" t="s">
        <v>5415</v>
      </c>
      <c r="L1922" s="35" t="s">
        <v>5789</v>
      </c>
      <c r="M1922" s="29" t="s">
        <v>4457</v>
      </c>
      <c r="N1922" s="34" t="s">
        <v>9283</v>
      </c>
      <c r="O1922" s="34" t="s">
        <v>9284</v>
      </c>
      <c r="P1922" s="18">
        <f>VLOOKUP($A1922,MasterData!$C$1:$I$3001,1,FALSE)</f>
        <v>8174</v>
      </c>
      <c r="Q1922" s="34" t="str">
        <f t="shared" si="2"/>
        <v>XIIAKL4</v>
      </c>
    </row>
    <row r="1923" ht="15.75" customHeight="1">
      <c r="A1923" s="15">
        <v>8187.0</v>
      </c>
      <c r="B1923" s="18" t="s">
        <v>9285</v>
      </c>
      <c r="C1923" s="29" t="s">
        <v>9286</v>
      </c>
      <c r="D1923" s="18" t="s">
        <v>9285</v>
      </c>
      <c r="E1923" s="34" t="s">
        <v>4460</v>
      </c>
      <c r="F1923" s="19" t="str">
        <f t="shared" si="1"/>
        <v>XIIAKL4</v>
      </c>
      <c r="G1923" s="19" t="s">
        <v>5408</v>
      </c>
      <c r="H1923" s="20" t="s">
        <v>4223</v>
      </c>
      <c r="I1923" s="19" t="s">
        <v>5409</v>
      </c>
      <c r="J1923" s="19" t="s">
        <v>5410</v>
      </c>
      <c r="K1923" s="21" t="s">
        <v>5415</v>
      </c>
      <c r="L1923" s="35" t="s">
        <v>5789</v>
      </c>
      <c r="M1923" s="29" t="s">
        <v>4459</v>
      </c>
      <c r="N1923" s="34" t="s">
        <v>9287</v>
      </c>
      <c r="O1923" s="34" t="s">
        <v>9288</v>
      </c>
      <c r="P1923" s="18">
        <f>VLOOKUP($A1923,MasterData!$C$1:$I$3001,1,FALSE)</f>
        <v>8187</v>
      </c>
      <c r="Q1923" s="34" t="str">
        <f t="shared" si="2"/>
        <v>XIIAKL4</v>
      </c>
    </row>
    <row r="1924" ht="15.75" customHeight="1">
      <c r="A1924" s="15">
        <v>8200.0</v>
      </c>
      <c r="B1924" s="18" t="s">
        <v>9289</v>
      </c>
      <c r="C1924" s="29" t="s">
        <v>9290</v>
      </c>
      <c r="D1924" s="18" t="s">
        <v>9289</v>
      </c>
      <c r="E1924" s="34" t="s">
        <v>4462</v>
      </c>
      <c r="F1924" s="19" t="str">
        <f t="shared" si="1"/>
        <v>XIIAKL4</v>
      </c>
      <c r="G1924" s="19" t="s">
        <v>5408</v>
      </c>
      <c r="H1924" s="20" t="s">
        <v>4223</v>
      </c>
      <c r="I1924" s="19" t="s">
        <v>5409</v>
      </c>
      <c r="J1924" s="19" t="s">
        <v>5410</v>
      </c>
      <c r="K1924" s="21" t="s">
        <v>5415</v>
      </c>
      <c r="L1924" s="35" t="s">
        <v>5789</v>
      </c>
      <c r="M1924" s="29" t="s">
        <v>4461</v>
      </c>
      <c r="N1924" s="34" t="s">
        <v>5416</v>
      </c>
      <c r="O1924" s="34">
        <v>0.0</v>
      </c>
      <c r="P1924" s="18">
        <f>VLOOKUP($A1924,MasterData!$C$1:$I$3001,1,FALSE)</f>
        <v>8200</v>
      </c>
      <c r="Q1924" s="34" t="str">
        <f t="shared" si="2"/>
        <v>XIIAKL4</v>
      </c>
    </row>
    <row r="1925" ht="15.75" customHeight="1">
      <c r="A1925" s="15">
        <v>8213.0</v>
      </c>
      <c r="B1925" s="18" t="s">
        <v>9291</v>
      </c>
      <c r="C1925" s="29" t="s">
        <v>9292</v>
      </c>
      <c r="D1925" s="18" t="s">
        <v>9291</v>
      </c>
      <c r="E1925" s="34" t="s">
        <v>4464</v>
      </c>
      <c r="F1925" s="19" t="str">
        <f t="shared" si="1"/>
        <v>XIIAKL4</v>
      </c>
      <c r="G1925" s="19" t="s">
        <v>5408</v>
      </c>
      <c r="H1925" s="20" t="s">
        <v>4223</v>
      </c>
      <c r="I1925" s="19" t="s">
        <v>5409</v>
      </c>
      <c r="J1925" s="19" t="s">
        <v>5410</v>
      </c>
      <c r="K1925" s="21" t="s">
        <v>5415</v>
      </c>
      <c r="L1925" s="35" t="s">
        <v>5789</v>
      </c>
      <c r="M1925" s="29" t="s">
        <v>4463</v>
      </c>
      <c r="N1925" s="34" t="s">
        <v>5416</v>
      </c>
      <c r="O1925" s="34">
        <v>0.0</v>
      </c>
      <c r="P1925" s="18">
        <f>VLOOKUP($A1925,MasterData!$C$1:$I$3001,1,FALSE)</f>
        <v>8213</v>
      </c>
      <c r="Q1925" s="34" t="str">
        <f t="shared" si="2"/>
        <v>XIIAKL4</v>
      </c>
    </row>
    <row r="1926" ht="15.75" customHeight="1">
      <c r="A1926" s="15">
        <v>8239.0</v>
      </c>
      <c r="B1926" s="18" t="s">
        <v>9293</v>
      </c>
      <c r="C1926" s="29" t="s">
        <v>9294</v>
      </c>
      <c r="D1926" s="18" t="s">
        <v>9293</v>
      </c>
      <c r="E1926" s="34" t="s">
        <v>4466</v>
      </c>
      <c r="F1926" s="19" t="str">
        <f t="shared" si="1"/>
        <v>XIIAKL4</v>
      </c>
      <c r="G1926" s="19" t="s">
        <v>5408</v>
      </c>
      <c r="H1926" s="20" t="s">
        <v>4223</v>
      </c>
      <c r="I1926" s="19" t="s">
        <v>5409</v>
      </c>
      <c r="J1926" s="19" t="s">
        <v>5410</v>
      </c>
      <c r="K1926" s="21" t="s">
        <v>5415</v>
      </c>
      <c r="L1926" s="35" t="s">
        <v>5789</v>
      </c>
      <c r="M1926" s="29" t="s">
        <v>4465</v>
      </c>
      <c r="N1926" s="34" t="s">
        <v>5416</v>
      </c>
      <c r="O1926" s="34">
        <v>0.0</v>
      </c>
      <c r="P1926" s="18">
        <f>VLOOKUP($A1926,MasterData!$C$1:$I$3001,1,FALSE)</f>
        <v>8239</v>
      </c>
      <c r="Q1926" s="34" t="str">
        <f t="shared" si="2"/>
        <v>XIIAKL4</v>
      </c>
    </row>
    <row r="1927" ht="15.75" customHeight="1">
      <c r="A1927" s="15">
        <v>8252.0</v>
      </c>
      <c r="B1927" s="18" t="s">
        <v>9295</v>
      </c>
      <c r="C1927" s="29" t="s">
        <v>9296</v>
      </c>
      <c r="D1927" s="18" t="s">
        <v>9295</v>
      </c>
      <c r="E1927" s="34" t="s">
        <v>4468</v>
      </c>
      <c r="F1927" s="19" t="str">
        <f t="shared" si="1"/>
        <v>XIIAKL4</v>
      </c>
      <c r="G1927" s="19" t="s">
        <v>5408</v>
      </c>
      <c r="H1927" s="20" t="s">
        <v>4223</v>
      </c>
      <c r="I1927" s="19" t="s">
        <v>5409</v>
      </c>
      <c r="J1927" s="19" t="s">
        <v>5410</v>
      </c>
      <c r="K1927" s="21" t="s">
        <v>5415</v>
      </c>
      <c r="L1927" s="35" t="s">
        <v>5789</v>
      </c>
      <c r="M1927" s="29" t="s">
        <v>4467</v>
      </c>
      <c r="N1927" s="34" t="s">
        <v>5416</v>
      </c>
      <c r="O1927" s="34">
        <v>0.0</v>
      </c>
      <c r="P1927" s="18">
        <f>VLOOKUP($A1927,MasterData!$C$1:$I$3001,1,FALSE)</f>
        <v>8252</v>
      </c>
      <c r="Q1927" s="34" t="str">
        <f t="shared" si="2"/>
        <v>XIIAKL4</v>
      </c>
    </row>
    <row r="1928" ht="15.75" customHeight="1">
      <c r="A1928" s="15">
        <v>8267.0</v>
      </c>
      <c r="B1928" s="18" t="s">
        <v>9297</v>
      </c>
      <c r="C1928" s="29" t="s">
        <v>9298</v>
      </c>
      <c r="D1928" s="18" t="s">
        <v>9297</v>
      </c>
      <c r="E1928" s="34" t="s">
        <v>4470</v>
      </c>
      <c r="F1928" s="19" t="str">
        <f t="shared" si="1"/>
        <v>XIIAKL4</v>
      </c>
      <c r="G1928" s="19" t="s">
        <v>5408</v>
      </c>
      <c r="H1928" s="20" t="s">
        <v>4223</v>
      </c>
      <c r="I1928" s="19" t="s">
        <v>5409</v>
      </c>
      <c r="J1928" s="19" t="s">
        <v>5410</v>
      </c>
      <c r="K1928" s="21" t="s">
        <v>5415</v>
      </c>
      <c r="L1928" s="35" t="s">
        <v>5789</v>
      </c>
      <c r="M1928" s="29" t="s">
        <v>4469</v>
      </c>
      <c r="N1928" s="34" t="s">
        <v>5416</v>
      </c>
      <c r="O1928" s="34">
        <v>0.0</v>
      </c>
      <c r="P1928" s="18">
        <f>VLOOKUP($A1928,MasterData!$C$1:$I$3001,1,FALSE)</f>
        <v>8267</v>
      </c>
      <c r="Q1928" s="34" t="str">
        <f t="shared" si="2"/>
        <v>XIIAKL4</v>
      </c>
    </row>
    <row r="1929" ht="15.75" customHeight="1">
      <c r="A1929" s="15">
        <v>8282.0</v>
      </c>
      <c r="B1929" s="18" t="s">
        <v>9299</v>
      </c>
      <c r="C1929" s="37" t="s">
        <v>9300</v>
      </c>
      <c r="D1929" s="18" t="s">
        <v>9299</v>
      </c>
      <c r="E1929" s="34" t="s">
        <v>4472</v>
      </c>
      <c r="F1929" s="19" t="str">
        <f t="shared" si="1"/>
        <v>XIIAKL4</v>
      </c>
      <c r="G1929" s="19" t="s">
        <v>5408</v>
      </c>
      <c r="H1929" s="20" t="s">
        <v>4223</v>
      </c>
      <c r="I1929" s="19" t="s">
        <v>5409</v>
      </c>
      <c r="J1929" s="19" t="s">
        <v>5410</v>
      </c>
      <c r="K1929" s="21" t="s">
        <v>5415</v>
      </c>
      <c r="L1929" s="35" t="s">
        <v>5789</v>
      </c>
      <c r="M1929" s="29" t="s">
        <v>4471</v>
      </c>
      <c r="N1929" s="34" t="s">
        <v>5416</v>
      </c>
      <c r="O1929" s="34">
        <v>0.0</v>
      </c>
      <c r="P1929" s="18">
        <f>VLOOKUP($A1929,MasterData!$C$1:$I$3001,1,FALSE)</f>
        <v>8282</v>
      </c>
      <c r="Q1929" s="34" t="str">
        <f t="shared" si="2"/>
        <v>XIIAKL4</v>
      </c>
    </row>
    <row r="1930" ht="15.75" customHeight="1">
      <c r="A1930" s="15">
        <v>8297.0</v>
      </c>
      <c r="B1930" s="18" t="s">
        <v>9301</v>
      </c>
      <c r="C1930" s="29" t="s">
        <v>9302</v>
      </c>
      <c r="D1930" s="18" t="s">
        <v>9301</v>
      </c>
      <c r="E1930" s="34" t="s">
        <v>4474</v>
      </c>
      <c r="F1930" s="19" t="str">
        <f t="shared" si="1"/>
        <v>XIIAKL4</v>
      </c>
      <c r="G1930" s="19" t="s">
        <v>5408</v>
      </c>
      <c r="H1930" s="20" t="s">
        <v>4223</v>
      </c>
      <c r="I1930" s="19" t="s">
        <v>5409</v>
      </c>
      <c r="J1930" s="19" t="s">
        <v>5410</v>
      </c>
      <c r="K1930" s="21" t="s">
        <v>5415</v>
      </c>
      <c r="L1930" s="35" t="s">
        <v>5789</v>
      </c>
      <c r="M1930" s="29" t="s">
        <v>4473</v>
      </c>
      <c r="N1930" s="34" t="s">
        <v>5416</v>
      </c>
      <c r="O1930" s="34">
        <v>0.0</v>
      </c>
      <c r="P1930" s="18">
        <f>VLOOKUP($A1930,MasterData!$C$1:$I$3001,1,FALSE)</f>
        <v>8297</v>
      </c>
      <c r="Q1930" s="34" t="str">
        <f t="shared" si="2"/>
        <v>XIIAKL4</v>
      </c>
    </row>
    <row r="1931" ht="15.75" customHeight="1">
      <c r="A1931" s="15">
        <v>8306.0</v>
      </c>
      <c r="B1931" s="18" t="s">
        <v>9303</v>
      </c>
      <c r="C1931" s="29" t="s">
        <v>9304</v>
      </c>
      <c r="D1931" s="18" t="s">
        <v>9303</v>
      </c>
      <c r="E1931" s="34" t="s">
        <v>4476</v>
      </c>
      <c r="F1931" s="19" t="str">
        <f t="shared" si="1"/>
        <v>XIIAKL4</v>
      </c>
      <c r="G1931" s="19" t="s">
        <v>5408</v>
      </c>
      <c r="H1931" s="20" t="s">
        <v>4223</v>
      </c>
      <c r="I1931" s="19" t="s">
        <v>5409</v>
      </c>
      <c r="J1931" s="19" t="s">
        <v>5410</v>
      </c>
      <c r="K1931" s="21" t="s">
        <v>5415</v>
      </c>
      <c r="L1931" s="35" t="s">
        <v>5789</v>
      </c>
      <c r="M1931" s="29" t="s">
        <v>4475</v>
      </c>
      <c r="N1931" s="34" t="s">
        <v>5416</v>
      </c>
      <c r="O1931" s="34">
        <v>0.0</v>
      </c>
      <c r="P1931" s="18">
        <f>VLOOKUP($A1931,MasterData!$C$1:$I$3001,1,FALSE)</f>
        <v>8306</v>
      </c>
      <c r="Q1931" s="34" t="str">
        <f t="shared" si="2"/>
        <v>XIIAKL4</v>
      </c>
    </row>
    <row r="1932" ht="15.75" customHeight="1">
      <c r="A1932" s="15">
        <v>8315.0</v>
      </c>
      <c r="B1932" s="18" t="s">
        <v>9305</v>
      </c>
      <c r="C1932" s="29" t="s">
        <v>9306</v>
      </c>
      <c r="D1932" s="18" t="s">
        <v>9305</v>
      </c>
      <c r="E1932" s="34" t="s">
        <v>4478</v>
      </c>
      <c r="F1932" s="19" t="str">
        <f t="shared" si="1"/>
        <v>XIIAKL4</v>
      </c>
      <c r="G1932" s="19" t="s">
        <v>5408</v>
      </c>
      <c r="H1932" s="20" t="s">
        <v>4223</v>
      </c>
      <c r="I1932" s="19" t="s">
        <v>5409</v>
      </c>
      <c r="J1932" s="19" t="s">
        <v>5410</v>
      </c>
      <c r="K1932" s="21" t="s">
        <v>5415</v>
      </c>
      <c r="L1932" s="35" t="s">
        <v>5789</v>
      </c>
      <c r="M1932" s="29" t="s">
        <v>4477</v>
      </c>
      <c r="N1932" s="34" t="s">
        <v>5416</v>
      </c>
      <c r="O1932" s="34">
        <v>0.0</v>
      </c>
      <c r="P1932" s="18">
        <f>VLOOKUP($A1932,MasterData!$C$1:$I$3001,1,FALSE)</f>
        <v>8315</v>
      </c>
      <c r="Q1932" s="34" t="str">
        <f t="shared" si="2"/>
        <v>XIIAKL4</v>
      </c>
    </row>
    <row r="1933" ht="15.75" customHeight="1">
      <c r="A1933" s="15">
        <v>8327.0</v>
      </c>
      <c r="B1933" s="18" t="s">
        <v>9307</v>
      </c>
      <c r="C1933" s="29" t="s">
        <v>9308</v>
      </c>
      <c r="D1933" s="18" t="s">
        <v>9307</v>
      </c>
      <c r="E1933" s="34" t="s">
        <v>4480</v>
      </c>
      <c r="F1933" s="19" t="str">
        <f t="shared" si="1"/>
        <v>XIIAKL4</v>
      </c>
      <c r="G1933" s="19" t="s">
        <v>5408</v>
      </c>
      <c r="H1933" s="20" t="s">
        <v>4223</v>
      </c>
      <c r="I1933" s="19" t="s">
        <v>5409</v>
      </c>
      <c r="J1933" s="19" t="s">
        <v>5410</v>
      </c>
      <c r="K1933" s="21" t="s">
        <v>5415</v>
      </c>
      <c r="L1933" s="35" t="s">
        <v>5789</v>
      </c>
      <c r="M1933" s="29" t="s">
        <v>4479</v>
      </c>
      <c r="N1933" s="34" t="s">
        <v>5416</v>
      </c>
      <c r="O1933" s="34">
        <v>0.0</v>
      </c>
      <c r="P1933" s="18">
        <f>VLOOKUP($A1933,MasterData!$C$1:$I$3001,1,FALSE)</f>
        <v>8327</v>
      </c>
      <c r="Q1933" s="34" t="str">
        <f t="shared" si="2"/>
        <v>XIIAKL4</v>
      </c>
    </row>
    <row r="1934" ht="15.75" customHeight="1">
      <c r="A1934" s="15">
        <v>8355.0</v>
      </c>
      <c r="B1934" s="18" t="s">
        <v>9309</v>
      </c>
      <c r="C1934" s="29" t="s">
        <v>9310</v>
      </c>
      <c r="D1934" s="18" t="s">
        <v>9309</v>
      </c>
      <c r="E1934" s="34" t="s">
        <v>4482</v>
      </c>
      <c r="F1934" s="19" t="str">
        <f t="shared" si="1"/>
        <v>XIIAKL4</v>
      </c>
      <c r="G1934" s="19" t="s">
        <v>5408</v>
      </c>
      <c r="H1934" s="20" t="s">
        <v>4223</v>
      </c>
      <c r="I1934" s="19" t="s">
        <v>5409</v>
      </c>
      <c r="J1934" s="19" t="s">
        <v>5410</v>
      </c>
      <c r="K1934" s="21" t="s">
        <v>5415</v>
      </c>
      <c r="L1934" s="35" t="s">
        <v>5789</v>
      </c>
      <c r="M1934" s="29" t="s">
        <v>4481</v>
      </c>
      <c r="N1934" s="34" t="s">
        <v>9311</v>
      </c>
      <c r="O1934" s="34" t="s">
        <v>9312</v>
      </c>
      <c r="P1934" s="18">
        <f>VLOOKUP($A1934,MasterData!$C$1:$I$3001,1,FALSE)</f>
        <v>8355</v>
      </c>
      <c r="Q1934" s="34" t="str">
        <f t="shared" si="2"/>
        <v>XIIAKL4</v>
      </c>
    </row>
    <row r="1935" ht="15.75" customHeight="1">
      <c r="A1935" s="15">
        <v>8440.0</v>
      </c>
      <c r="B1935" s="18" t="s">
        <v>9313</v>
      </c>
      <c r="C1935" s="37" t="s">
        <v>9314</v>
      </c>
      <c r="D1935" s="18" t="s">
        <v>9313</v>
      </c>
      <c r="E1935" s="34" t="s">
        <v>4484</v>
      </c>
      <c r="F1935" s="19" t="str">
        <f t="shared" si="1"/>
        <v>XIIAKL4</v>
      </c>
      <c r="G1935" s="19" t="s">
        <v>5408</v>
      </c>
      <c r="H1935" s="20" t="s">
        <v>4223</v>
      </c>
      <c r="I1935" s="19" t="s">
        <v>5409</v>
      </c>
      <c r="J1935" s="19" t="s">
        <v>5410</v>
      </c>
      <c r="K1935" s="21" t="s">
        <v>5415</v>
      </c>
      <c r="L1935" s="35" t="s">
        <v>5789</v>
      </c>
      <c r="M1935" s="29" t="s">
        <v>4483</v>
      </c>
      <c r="N1935" s="34" t="s">
        <v>9315</v>
      </c>
      <c r="O1935" s="34" t="s">
        <v>9316</v>
      </c>
      <c r="P1935" s="18">
        <f>VLOOKUP($A1935,MasterData!$C$1:$I$3001,1,FALSE)</f>
        <v>8440</v>
      </c>
      <c r="Q1935" s="34" t="str">
        <f t="shared" si="2"/>
        <v>XIIAKL4</v>
      </c>
    </row>
    <row r="1936" ht="15.75" customHeight="1">
      <c r="A1936" s="15">
        <v>8446.0</v>
      </c>
      <c r="B1936" s="18" t="s">
        <v>9317</v>
      </c>
      <c r="C1936" s="29" t="s">
        <v>9318</v>
      </c>
      <c r="D1936" s="18" t="s">
        <v>9317</v>
      </c>
      <c r="E1936" s="34" t="s">
        <v>4486</v>
      </c>
      <c r="F1936" s="19" t="str">
        <f t="shared" si="1"/>
        <v>XIIAKL4</v>
      </c>
      <c r="G1936" s="19" t="s">
        <v>5408</v>
      </c>
      <c r="H1936" s="20" t="s">
        <v>4223</v>
      </c>
      <c r="I1936" s="19" t="s">
        <v>5409</v>
      </c>
      <c r="J1936" s="19" t="s">
        <v>5410</v>
      </c>
      <c r="K1936" s="21" t="s">
        <v>5415</v>
      </c>
      <c r="L1936" s="35" t="s">
        <v>5789</v>
      </c>
      <c r="M1936" s="29" t="s">
        <v>4485</v>
      </c>
      <c r="N1936" s="34" t="s">
        <v>5416</v>
      </c>
      <c r="O1936" s="34">
        <v>0.0</v>
      </c>
      <c r="P1936" s="18">
        <f>VLOOKUP($A1936,MasterData!$C$1:$I$3001,1,FALSE)</f>
        <v>8446</v>
      </c>
      <c r="Q1936" s="34" t="str">
        <f t="shared" si="2"/>
        <v>XIIAKL4</v>
      </c>
    </row>
    <row r="1937" ht="15.75" customHeight="1">
      <c r="A1937" s="15">
        <v>8450.0</v>
      </c>
      <c r="B1937" s="18" t="s">
        <v>9319</v>
      </c>
      <c r="C1937" s="29" t="s">
        <v>9320</v>
      </c>
      <c r="D1937" s="18" t="s">
        <v>9319</v>
      </c>
      <c r="E1937" s="34" t="s">
        <v>4488</v>
      </c>
      <c r="F1937" s="19" t="str">
        <f t="shared" si="1"/>
        <v>XIIAKL4</v>
      </c>
      <c r="G1937" s="19" t="s">
        <v>5408</v>
      </c>
      <c r="H1937" s="20" t="s">
        <v>4223</v>
      </c>
      <c r="I1937" s="19" t="s">
        <v>5409</v>
      </c>
      <c r="J1937" s="19" t="s">
        <v>5410</v>
      </c>
      <c r="K1937" s="21" t="s">
        <v>5415</v>
      </c>
      <c r="L1937" s="35" t="s">
        <v>5789</v>
      </c>
      <c r="M1937" s="29" t="s">
        <v>4487</v>
      </c>
      <c r="N1937" s="34" t="s">
        <v>9321</v>
      </c>
      <c r="O1937" s="34" t="s">
        <v>9322</v>
      </c>
      <c r="P1937" s="18">
        <f>VLOOKUP($A1937,MasterData!$C$1:$I$3001,1,FALSE)</f>
        <v>8450</v>
      </c>
      <c r="Q1937" s="34" t="str">
        <f t="shared" si="2"/>
        <v>XIIAKL4</v>
      </c>
    </row>
    <row r="1938" ht="15.75" customHeight="1">
      <c r="A1938" s="15">
        <v>8457.0</v>
      </c>
      <c r="B1938" s="18" t="s">
        <v>9323</v>
      </c>
      <c r="C1938" s="29" t="s">
        <v>9324</v>
      </c>
      <c r="D1938" s="18" t="s">
        <v>9323</v>
      </c>
      <c r="E1938" s="34" t="s">
        <v>4490</v>
      </c>
      <c r="F1938" s="19" t="str">
        <f t="shared" si="1"/>
        <v>XIIAKL4</v>
      </c>
      <c r="G1938" s="19" t="s">
        <v>5408</v>
      </c>
      <c r="H1938" s="20" t="s">
        <v>4223</v>
      </c>
      <c r="I1938" s="19" t="s">
        <v>5409</v>
      </c>
      <c r="J1938" s="19" t="s">
        <v>5410</v>
      </c>
      <c r="K1938" s="21" t="s">
        <v>5415</v>
      </c>
      <c r="L1938" s="35" t="s">
        <v>5789</v>
      </c>
      <c r="M1938" s="29" t="s">
        <v>4489</v>
      </c>
      <c r="N1938" s="36">
        <v>39555.0</v>
      </c>
      <c r="O1938" s="34" t="s">
        <v>9325</v>
      </c>
      <c r="P1938" s="18">
        <f>VLOOKUP($A1938,MasterData!$C$1:$I$3001,1,FALSE)</f>
        <v>8457</v>
      </c>
      <c r="Q1938" s="34" t="str">
        <f t="shared" si="2"/>
        <v>XIIAKL4</v>
      </c>
    </row>
    <row r="1939" ht="15.75" customHeight="1">
      <c r="A1939" s="15">
        <v>8505.0</v>
      </c>
      <c r="B1939" s="18" t="s">
        <v>9326</v>
      </c>
      <c r="C1939" s="29" t="s">
        <v>9327</v>
      </c>
      <c r="D1939" s="18" t="s">
        <v>9326</v>
      </c>
      <c r="E1939" s="34" t="s">
        <v>4492</v>
      </c>
      <c r="F1939" s="19" t="str">
        <f t="shared" si="1"/>
        <v>XIIAKL4</v>
      </c>
      <c r="G1939" s="19" t="s">
        <v>5408</v>
      </c>
      <c r="H1939" s="20" t="s">
        <v>4223</v>
      </c>
      <c r="I1939" s="19" t="s">
        <v>5409</v>
      </c>
      <c r="J1939" s="19" t="s">
        <v>5410</v>
      </c>
      <c r="K1939" s="21" t="s">
        <v>5415</v>
      </c>
      <c r="L1939" s="35" t="s">
        <v>5789</v>
      </c>
      <c r="M1939" s="29" t="s">
        <v>4491</v>
      </c>
      <c r="N1939" s="34" t="s">
        <v>9328</v>
      </c>
      <c r="O1939" s="34" t="s">
        <v>9329</v>
      </c>
      <c r="P1939" s="18">
        <f>VLOOKUP($A1939,MasterData!$C$1:$I$3001,1,FALSE)</f>
        <v>8505</v>
      </c>
      <c r="Q1939" s="34" t="str">
        <f t="shared" si="2"/>
        <v>XIIAKL4</v>
      </c>
    </row>
    <row r="1940" ht="15.75" customHeight="1">
      <c r="A1940" s="15">
        <v>8520.0</v>
      </c>
      <c r="B1940" s="18" t="s">
        <v>9330</v>
      </c>
      <c r="C1940" s="29" t="s">
        <v>9331</v>
      </c>
      <c r="D1940" s="18" t="s">
        <v>9330</v>
      </c>
      <c r="E1940" s="34" t="s">
        <v>4494</v>
      </c>
      <c r="F1940" s="19" t="str">
        <f t="shared" si="1"/>
        <v>XIIAKL4</v>
      </c>
      <c r="G1940" s="19" t="s">
        <v>5408</v>
      </c>
      <c r="H1940" s="20" t="s">
        <v>4223</v>
      </c>
      <c r="I1940" s="19" t="s">
        <v>5409</v>
      </c>
      <c r="J1940" s="19" t="s">
        <v>5410</v>
      </c>
      <c r="K1940" s="21" t="s">
        <v>5415</v>
      </c>
      <c r="L1940" s="35" t="s">
        <v>5789</v>
      </c>
      <c r="M1940" s="29" t="s">
        <v>4493</v>
      </c>
      <c r="N1940" s="34" t="s">
        <v>5416</v>
      </c>
      <c r="O1940" s="34">
        <v>0.0</v>
      </c>
      <c r="P1940" s="18">
        <f>VLOOKUP($A1940,MasterData!$C$1:$I$3001,1,FALSE)</f>
        <v>8520</v>
      </c>
      <c r="Q1940" s="34" t="str">
        <f t="shared" si="2"/>
        <v>XIIAKL4</v>
      </c>
    </row>
    <row r="1941" ht="15.75" customHeight="1">
      <c r="A1941" s="15">
        <v>8531.0</v>
      </c>
      <c r="B1941" s="18" t="s">
        <v>9332</v>
      </c>
      <c r="C1941" s="29" t="s">
        <v>9333</v>
      </c>
      <c r="D1941" s="18" t="s">
        <v>9332</v>
      </c>
      <c r="E1941" s="34" t="s">
        <v>4496</v>
      </c>
      <c r="F1941" s="19" t="str">
        <f t="shared" si="1"/>
        <v>XIIAKL4</v>
      </c>
      <c r="G1941" s="19" t="s">
        <v>5408</v>
      </c>
      <c r="H1941" s="20" t="s">
        <v>4223</v>
      </c>
      <c r="I1941" s="19" t="s">
        <v>5409</v>
      </c>
      <c r="J1941" s="19" t="s">
        <v>5410</v>
      </c>
      <c r="K1941" s="21" t="s">
        <v>5415</v>
      </c>
      <c r="L1941" s="35" t="s">
        <v>5789</v>
      </c>
      <c r="M1941" s="29" t="s">
        <v>4495</v>
      </c>
      <c r="N1941" s="34" t="s">
        <v>5416</v>
      </c>
      <c r="O1941" s="34">
        <v>0.0</v>
      </c>
      <c r="P1941" s="18">
        <f>VLOOKUP($A1941,MasterData!$C$1:$I$3001,1,FALSE)</f>
        <v>8531</v>
      </c>
      <c r="Q1941" s="34" t="str">
        <f t="shared" si="2"/>
        <v>XIIAKL4</v>
      </c>
    </row>
    <row r="1942" ht="15.75" customHeight="1">
      <c r="A1942" s="15">
        <v>8547.0</v>
      </c>
      <c r="B1942" s="18" t="s">
        <v>9334</v>
      </c>
      <c r="C1942" s="29" t="s">
        <v>9335</v>
      </c>
      <c r="D1942" s="18" t="s">
        <v>9334</v>
      </c>
      <c r="E1942" s="34" t="s">
        <v>4498</v>
      </c>
      <c r="F1942" s="19" t="str">
        <f t="shared" si="1"/>
        <v>XIIAKL4</v>
      </c>
      <c r="G1942" s="19" t="s">
        <v>5408</v>
      </c>
      <c r="H1942" s="20" t="s">
        <v>4223</v>
      </c>
      <c r="I1942" s="19" t="s">
        <v>5409</v>
      </c>
      <c r="J1942" s="19" t="s">
        <v>5410</v>
      </c>
      <c r="K1942" s="21" t="s">
        <v>5415</v>
      </c>
      <c r="L1942" s="35" t="s">
        <v>5789</v>
      </c>
      <c r="M1942" s="29" t="s">
        <v>4497</v>
      </c>
      <c r="N1942" s="34" t="s">
        <v>5416</v>
      </c>
      <c r="O1942" s="34">
        <v>0.0</v>
      </c>
      <c r="P1942" s="18">
        <f>VLOOKUP($A1942,MasterData!$C$1:$I$3001,1,FALSE)</f>
        <v>8547</v>
      </c>
      <c r="Q1942" s="34" t="str">
        <f t="shared" si="2"/>
        <v>XIIAKL4</v>
      </c>
    </row>
    <row r="1943" ht="15.75" customHeight="1">
      <c r="A1943" s="15">
        <v>8562.0</v>
      </c>
      <c r="B1943" s="18" t="s">
        <v>9336</v>
      </c>
      <c r="C1943" s="29" t="s">
        <v>9337</v>
      </c>
      <c r="D1943" s="18" t="s">
        <v>9336</v>
      </c>
      <c r="E1943" s="34" t="s">
        <v>4500</v>
      </c>
      <c r="F1943" s="19" t="str">
        <f t="shared" si="1"/>
        <v>XIIAKL4</v>
      </c>
      <c r="G1943" s="19" t="s">
        <v>5408</v>
      </c>
      <c r="H1943" s="20" t="s">
        <v>4223</v>
      </c>
      <c r="I1943" s="19" t="s">
        <v>5409</v>
      </c>
      <c r="J1943" s="19" t="s">
        <v>5410</v>
      </c>
      <c r="K1943" s="21" t="s">
        <v>5415</v>
      </c>
      <c r="L1943" s="35" t="s">
        <v>5789</v>
      </c>
      <c r="M1943" s="29" t="s">
        <v>4499</v>
      </c>
      <c r="N1943" s="34" t="s">
        <v>5416</v>
      </c>
      <c r="O1943" s="34">
        <v>0.0</v>
      </c>
      <c r="P1943" s="18">
        <f>VLOOKUP($A1943,MasterData!$C$1:$I$3001,1,FALSE)</f>
        <v>8562</v>
      </c>
      <c r="Q1943" s="34" t="str">
        <f t="shared" si="2"/>
        <v>XIIAKL4</v>
      </c>
    </row>
    <row r="1944" ht="15.75" customHeight="1">
      <c r="A1944" s="15">
        <v>8573.0</v>
      </c>
      <c r="B1944" s="18" t="s">
        <v>9338</v>
      </c>
      <c r="C1944" s="29" t="s">
        <v>9339</v>
      </c>
      <c r="D1944" s="18" t="s">
        <v>9338</v>
      </c>
      <c r="E1944" s="34" t="s">
        <v>4502</v>
      </c>
      <c r="F1944" s="19" t="str">
        <f t="shared" si="1"/>
        <v>XIIAKL4</v>
      </c>
      <c r="G1944" s="19" t="s">
        <v>5408</v>
      </c>
      <c r="H1944" s="20" t="s">
        <v>4223</v>
      </c>
      <c r="I1944" s="19" t="s">
        <v>5409</v>
      </c>
      <c r="J1944" s="19" t="s">
        <v>5410</v>
      </c>
      <c r="K1944" s="21" t="s">
        <v>5415</v>
      </c>
      <c r="L1944" s="35" t="s">
        <v>5789</v>
      </c>
      <c r="M1944" s="29" t="s">
        <v>4501</v>
      </c>
      <c r="N1944" s="34" t="s">
        <v>5416</v>
      </c>
      <c r="O1944" s="34">
        <v>0.0</v>
      </c>
      <c r="P1944" s="18">
        <f>VLOOKUP($A1944,MasterData!$C$1:$I$3001,1,FALSE)</f>
        <v>8573</v>
      </c>
      <c r="Q1944" s="34" t="str">
        <f t="shared" si="2"/>
        <v>XIIAKL4</v>
      </c>
    </row>
    <row r="1945" ht="15.75" customHeight="1">
      <c r="A1945" s="15">
        <v>8582.0</v>
      </c>
      <c r="B1945" s="18" t="s">
        <v>9340</v>
      </c>
      <c r="C1945" s="29" t="s">
        <v>9341</v>
      </c>
      <c r="D1945" s="18" t="s">
        <v>9340</v>
      </c>
      <c r="E1945" s="34" t="s">
        <v>4504</v>
      </c>
      <c r="F1945" s="19" t="str">
        <f t="shared" si="1"/>
        <v>XIIAKL4</v>
      </c>
      <c r="G1945" s="19" t="s">
        <v>5408</v>
      </c>
      <c r="H1945" s="20" t="s">
        <v>4223</v>
      </c>
      <c r="I1945" s="19" t="s">
        <v>5409</v>
      </c>
      <c r="J1945" s="19" t="s">
        <v>5410</v>
      </c>
      <c r="K1945" s="21" t="s">
        <v>5415</v>
      </c>
      <c r="L1945" s="35" t="s">
        <v>5789</v>
      </c>
      <c r="M1945" s="29" t="s">
        <v>4503</v>
      </c>
      <c r="N1945" s="34" t="s">
        <v>9342</v>
      </c>
      <c r="O1945" s="34" t="s">
        <v>9343</v>
      </c>
      <c r="P1945" s="18">
        <f>VLOOKUP($A1945,MasterData!$C$1:$I$3001,1,FALSE)</f>
        <v>8582</v>
      </c>
      <c r="Q1945" s="34" t="str">
        <f t="shared" si="2"/>
        <v>XIIAKL4</v>
      </c>
    </row>
    <row r="1946" ht="15.75" customHeight="1">
      <c r="A1946" s="15">
        <v>8615.0</v>
      </c>
      <c r="B1946" s="18" t="s">
        <v>9344</v>
      </c>
      <c r="C1946" s="29" t="s">
        <v>9345</v>
      </c>
      <c r="D1946" s="18" t="s">
        <v>9344</v>
      </c>
      <c r="E1946" s="34" t="s">
        <v>4506</v>
      </c>
      <c r="F1946" s="19" t="str">
        <f t="shared" si="1"/>
        <v>XIIAKL4</v>
      </c>
      <c r="G1946" s="19" t="s">
        <v>5408</v>
      </c>
      <c r="H1946" s="20" t="s">
        <v>4223</v>
      </c>
      <c r="I1946" s="19" t="s">
        <v>5409</v>
      </c>
      <c r="J1946" s="19" t="s">
        <v>5410</v>
      </c>
      <c r="K1946" s="21" t="s">
        <v>5415</v>
      </c>
      <c r="L1946" s="35" t="s">
        <v>5789</v>
      </c>
      <c r="M1946" s="29" t="s">
        <v>4505</v>
      </c>
      <c r="N1946" s="34" t="s">
        <v>9346</v>
      </c>
      <c r="O1946" s="34" t="s">
        <v>9347</v>
      </c>
      <c r="P1946" s="18">
        <f>VLOOKUP($A1946,MasterData!$C$1:$I$3001,1,FALSE)</f>
        <v>8615</v>
      </c>
      <c r="Q1946" s="34" t="str">
        <f t="shared" si="2"/>
        <v>XIIAKL4</v>
      </c>
    </row>
    <row r="1947" ht="15.75" customHeight="1">
      <c r="A1947" s="15">
        <v>8632.0</v>
      </c>
      <c r="B1947" s="18" t="s">
        <v>9348</v>
      </c>
      <c r="C1947" s="29" t="s">
        <v>9349</v>
      </c>
      <c r="D1947" s="18" t="s">
        <v>9348</v>
      </c>
      <c r="E1947" s="34" t="s">
        <v>4508</v>
      </c>
      <c r="F1947" s="19" t="str">
        <f t="shared" si="1"/>
        <v>XIIAKL4</v>
      </c>
      <c r="G1947" s="19" t="s">
        <v>5408</v>
      </c>
      <c r="H1947" s="20" t="s">
        <v>4223</v>
      </c>
      <c r="I1947" s="19" t="s">
        <v>5409</v>
      </c>
      <c r="J1947" s="19" t="s">
        <v>5410</v>
      </c>
      <c r="K1947" s="21" t="s">
        <v>5415</v>
      </c>
      <c r="L1947" s="35" t="s">
        <v>5789</v>
      </c>
      <c r="M1947" s="29" t="s">
        <v>4507</v>
      </c>
      <c r="N1947" s="34" t="s">
        <v>5416</v>
      </c>
      <c r="O1947" s="34">
        <v>0.0</v>
      </c>
      <c r="P1947" s="18">
        <f>VLOOKUP($A1947,MasterData!$C$1:$I$3001,1,FALSE)</f>
        <v>8632</v>
      </c>
      <c r="Q1947" s="34" t="str">
        <f t="shared" si="2"/>
        <v>XIIAKL4</v>
      </c>
    </row>
    <row r="1948" ht="15.75" customHeight="1">
      <c r="A1948" s="15">
        <v>8027.0</v>
      </c>
      <c r="B1948" s="18" t="s">
        <v>9350</v>
      </c>
      <c r="C1948" s="29" t="s">
        <v>9351</v>
      </c>
      <c r="D1948" s="18" t="s">
        <v>9350</v>
      </c>
      <c r="E1948" s="34" t="s">
        <v>4510</v>
      </c>
      <c r="F1948" s="19" t="str">
        <f t="shared" si="1"/>
        <v>XIIBCF1</v>
      </c>
      <c r="G1948" s="19" t="s">
        <v>5408</v>
      </c>
      <c r="H1948" s="20" t="s">
        <v>4223</v>
      </c>
      <c r="I1948" s="19" t="s">
        <v>5409</v>
      </c>
      <c r="J1948" s="19" t="s">
        <v>5410</v>
      </c>
      <c r="K1948" s="21" t="s">
        <v>5415</v>
      </c>
      <c r="L1948" s="35" t="s">
        <v>5898</v>
      </c>
      <c r="M1948" s="29" t="s">
        <v>4509</v>
      </c>
      <c r="N1948" s="34" t="s">
        <v>5416</v>
      </c>
      <c r="O1948" s="34">
        <v>0.0</v>
      </c>
      <c r="P1948" s="18">
        <f>VLOOKUP($A1948,MasterData!$C$1:$I$3001,1,FALSE)</f>
        <v>8027</v>
      </c>
      <c r="Q1948" s="34" t="str">
        <f t="shared" si="2"/>
        <v>XIIBCF1</v>
      </c>
    </row>
    <row r="1949" ht="15.75" customHeight="1">
      <c r="A1949" s="15">
        <v>8055.0</v>
      </c>
      <c r="B1949" s="18" t="s">
        <v>9352</v>
      </c>
      <c r="C1949" s="29" t="s">
        <v>9353</v>
      </c>
      <c r="D1949" s="18" t="s">
        <v>9352</v>
      </c>
      <c r="E1949" s="34" t="s">
        <v>4512</v>
      </c>
      <c r="F1949" s="19" t="str">
        <f t="shared" si="1"/>
        <v>XIIBCF1</v>
      </c>
      <c r="G1949" s="19" t="s">
        <v>5408</v>
      </c>
      <c r="H1949" s="20" t="s">
        <v>4223</v>
      </c>
      <c r="I1949" s="19" t="s">
        <v>5409</v>
      </c>
      <c r="J1949" s="19" t="s">
        <v>5410</v>
      </c>
      <c r="K1949" s="21" t="s">
        <v>5415</v>
      </c>
      <c r="L1949" s="35" t="s">
        <v>5898</v>
      </c>
      <c r="M1949" s="29" t="s">
        <v>4511</v>
      </c>
      <c r="N1949" s="34" t="s">
        <v>5416</v>
      </c>
      <c r="O1949" s="34">
        <v>0.0</v>
      </c>
      <c r="P1949" s="18">
        <f>VLOOKUP($A1949,MasterData!$C$1:$I$3001,1,FALSE)</f>
        <v>8055</v>
      </c>
      <c r="Q1949" s="34" t="str">
        <f t="shared" si="2"/>
        <v>XIIBCF1</v>
      </c>
    </row>
    <row r="1950" ht="15.75" customHeight="1">
      <c r="A1950" s="15">
        <v>8057.0</v>
      </c>
      <c r="B1950" s="18" t="s">
        <v>9354</v>
      </c>
      <c r="C1950" s="29" t="s">
        <v>9355</v>
      </c>
      <c r="D1950" s="18" t="s">
        <v>9354</v>
      </c>
      <c r="E1950" s="34" t="s">
        <v>4514</v>
      </c>
      <c r="F1950" s="19" t="str">
        <f t="shared" si="1"/>
        <v>XIIBCF1</v>
      </c>
      <c r="G1950" s="19" t="s">
        <v>5408</v>
      </c>
      <c r="H1950" s="20" t="s">
        <v>4223</v>
      </c>
      <c r="I1950" s="19" t="s">
        <v>5409</v>
      </c>
      <c r="J1950" s="19" t="s">
        <v>5410</v>
      </c>
      <c r="K1950" s="21" t="s">
        <v>5415</v>
      </c>
      <c r="L1950" s="35" t="s">
        <v>5898</v>
      </c>
      <c r="M1950" s="29" t="s">
        <v>4513</v>
      </c>
      <c r="N1950" s="34" t="s">
        <v>5416</v>
      </c>
      <c r="O1950" s="34">
        <v>0.0</v>
      </c>
      <c r="P1950" s="18">
        <f>VLOOKUP($A1950,MasterData!$C$1:$I$3001,1,FALSE)</f>
        <v>8057</v>
      </c>
      <c r="Q1950" s="34" t="str">
        <f t="shared" si="2"/>
        <v>XIIBCF1</v>
      </c>
    </row>
    <row r="1951" ht="15.75" customHeight="1">
      <c r="A1951" s="15">
        <v>8075.0</v>
      </c>
      <c r="B1951" s="18" t="s">
        <v>9356</v>
      </c>
      <c r="C1951" s="29" t="s">
        <v>9357</v>
      </c>
      <c r="D1951" s="18" t="s">
        <v>9356</v>
      </c>
      <c r="E1951" s="34" t="s">
        <v>4516</v>
      </c>
      <c r="F1951" s="19" t="str">
        <f t="shared" si="1"/>
        <v>XIIBCF1</v>
      </c>
      <c r="G1951" s="19" t="s">
        <v>5408</v>
      </c>
      <c r="H1951" s="20" t="s">
        <v>4223</v>
      </c>
      <c r="I1951" s="19" t="s">
        <v>5409</v>
      </c>
      <c r="J1951" s="19" t="s">
        <v>5410</v>
      </c>
      <c r="K1951" s="21" t="s">
        <v>5415</v>
      </c>
      <c r="L1951" s="35" t="s">
        <v>5898</v>
      </c>
      <c r="M1951" s="29" t="s">
        <v>4515</v>
      </c>
      <c r="N1951" s="34" t="s">
        <v>5416</v>
      </c>
      <c r="O1951" s="34">
        <v>0.0</v>
      </c>
      <c r="P1951" s="18">
        <f>VLOOKUP($A1951,MasterData!$C$1:$I$3001,1,FALSE)</f>
        <v>8075</v>
      </c>
      <c r="Q1951" s="34" t="str">
        <f t="shared" si="2"/>
        <v>XIIBCF1</v>
      </c>
    </row>
    <row r="1952" ht="15.75" customHeight="1">
      <c r="A1952" s="15">
        <v>8101.0</v>
      </c>
      <c r="B1952" s="18" t="s">
        <v>9358</v>
      </c>
      <c r="C1952" s="37" t="s">
        <v>9359</v>
      </c>
      <c r="D1952" s="18" t="s">
        <v>9358</v>
      </c>
      <c r="E1952" s="34" t="s">
        <v>4518</v>
      </c>
      <c r="F1952" s="19" t="str">
        <f t="shared" si="1"/>
        <v>XIIBCF1</v>
      </c>
      <c r="G1952" s="19" t="s">
        <v>5408</v>
      </c>
      <c r="H1952" s="20" t="s">
        <v>4223</v>
      </c>
      <c r="I1952" s="19" t="s">
        <v>5409</v>
      </c>
      <c r="J1952" s="19" t="s">
        <v>5410</v>
      </c>
      <c r="K1952" s="21" t="s">
        <v>5415</v>
      </c>
      <c r="L1952" s="35" t="s">
        <v>5898</v>
      </c>
      <c r="M1952" s="29" t="s">
        <v>4517</v>
      </c>
      <c r="N1952" s="36">
        <v>39568.0</v>
      </c>
      <c r="O1952" s="34" t="s">
        <v>9360</v>
      </c>
      <c r="P1952" s="18">
        <f>VLOOKUP($A1952,MasterData!$C$1:$I$3001,1,FALSE)</f>
        <v>8101</v>
      </c>
      <c r="Q1952" s="34" t="str">
        <f t="shared" si="2"/>
        <v>XIIBCF1</v>
      </c>
    </row>
    <row r="1953" ht="15.75" customHeight="1">
      <c r="A1953" s="15">
        <v>8129.0</v>
      </c>
      <c r="B1953" s="18" t="s">
        <v>9361</v>
      </c>
      <c r="C1953" s="29" t="s">
        <v>9362</v>
      </c>
      <c r="D1953" s="18" t="s">
        <v>9361</v>
      </c>
      <c r="E1953" s="34" t="s">
        <v>4520</v>
      </c>
      <c r="F1953" s="19" t="str">
        <f t="shared" si="1"/>
        <v>XIIBCF1</v>
      </c>
      <c r="G1953" s="19" t="s">
        <v>5408</v>
      </c>
      <c r="H1953" s="20" t="s">
        <v>4223</v>
      </c>
      <c r="I1953" s="19" t="s">
        <v>5409</v>
      </c>
      <c r="J1953" s="19" t="s">
        <v>5410</v>
      </c>
      <c r="K1953" s="21" t="s">
        <v>5415</v>
      </c>
      <c r="L1953" s="35" t="s">
        <v>5898</v>
      </c>
      <c r="M1953" s="29" t="s">
        <v>4519</v>
      </c>
      <c r="N1953" s="34" t="s">
        <v>5416</v>
      </c>
      <c r="O1953" s="34">
        <v>0.0</v>
      </c>
      <c r="P1953" s="18">
        <f>VLOOKUP($A1953,MasterData!$C$1:$I$3001,1,FALSE)</f>
        <v>8129</v>
      </c>
      <c r="Q1953" s="34" t="str">
        <f t="shared" si="2"/>
        <v>XIIBCF1</v>
      </c>
    </row>
    <row r="1954" ht="15.75" customHeight="1">
      <c r="A1954" s="15">
        <v>8144.0</v>
      </c>
      <c r="B1954" s="18" t="s">
        <v>9363</v>
      </c>
      <c r="C1954" s="29" t="s">
        <v>9364</v>
      </c>
      <c r="D1954" s="18" t="s">
        <v>9363</v>
      </c>
      <c r="E1954" s="34" t="s">
        <v>4522</v>
      </c>
      <c r="F1954" s="19" t="str">
        <f t="shared" si="1"/>
        <v>XIIBCF1</v>
      </c>
      <c r="G1954" s="19" t="s">
        <v>5408</v>
      </c>
      <c r="H1954" s="20" t="s">
        <v>4223</v>
      </c>
      <c r="I1954" s="19" t="s">
        <v>5409</v>
      </c>
      <c r="J1954" s="19" t="s">
        <v>5410</v>
      </c>
      <c r="K1954" s="21" t="s">
        <v>5415</v>
      </c>
      <c r="L1954" s="35" t="s">
        <v>5898</v>
      </c>
      <c r="M1954" s="29" t="s">
        <v>4521</v>
      </c>
      <c r="N1954" s="34" t="s">
        <v>5416</v>
      </c>
      <c r="O1954" s="34">
        <v>0.0</v>
      </c>
      <c r="P1954" s="18">
        <f>VLOOKUP($A1954,MasterData!$C$1:$I$3001,1,FALSE)</f>
        <v>8144</v>
      </c>
      <c r="Q1954" s="34" t="str">
        <f t="shared" si="2"/>
        <v>XIIBCF1</v>
      </c>
    </row>
    <row r="1955" ht="15.75" customHeight="1">
      <c r="A1955" s="15">
        <v>8149.0</v>
      </c>
      <c r="B1955" s="18" t="s">
        <v>9365</v>
      </c>
      <c r="C1955" s="29" t="s">
        <v>9366</v>
      </c>
      <c r="D1955" s="18" t="s">
        <v>9365</v>
      </c>
      <c r="E1955" s="34" t="s">
        <v>4524</v>
      </c>
      <c r="F1955" s="19" t="str">
        <f t="shared" si="1"/>
        <v>XIIBCF1</v>
      </c>
      <c r="G1955" s="19" t="s">
        <v>5408</v>
      </c>
      <c r="H1955" s="20" t="s">
        <v>4223</v>
      </c>
      <c r="I1955" s="19" t="s">
        <v>5409</v>
      </c>
      <c r="J1955" s="19" t="s">
        <v>5410</v>
      </c>
      <c r="K1955" s="21" t="s">
        <v>5415</v>
      </c>
      <c r="L1955" s="35" t="s">
        <v>5898</v>
      </c>
      <c r="M1955" s="29" t="s">
        <v>4523</v>
      </c>
      <c r="N1955" s="34" t="s">
        <v>5416</v>
      </c>
      <c r="O1955" s="34">
        <v>0.0</v>
      </c>
      <c r="P1955" s="18">
        <f>VLOOKUP($A1955,MasterData!$C$1:$I$3001,1,FALSE)</f>
        <v>8149</v>
      </c>
      <c r="Q1955" s="34" t="str">
        <f t="shared" si="2"/>
        <v>XIIBCF1</v>
      </c>
    </row>
    <row r="1956" ht="15.75" customHeight="1">
      <c r="A1956" s="15">
        <v>8197.0</v>
      </c>
      <c r="B1956" s="18" t="s">
        <v>9367</v>
      </c>
      <c r="C1956" s="29" t="s">
        <v>9368</v>
      </c>
      <c r="D1956" s="18" t="s">
        <v>9367</v>
      </c>
      <c r="E1956" s="34" t="s">
        <v>4526</v>
      </c>
      <c r="F1956" s="19" t="str">
        <f t="shared" si="1"/>
        <v>XIIBCF1</v>
      </c>
      <c r="G1956" s="19" t="s">
        <v>5408</v>
      </c>
      <c r="H1956" s="20" t="s">
        <v>4223</v>
      </c>
      <c r="I1956" s="19" t="s">
        <v>5409</v>
      </c>
      <c r="J1956" s="19" t="s">
        <v>5410</v>
      </c>
      <c r="K1956" s="21" t="s">
        <v>5415</v>
      </c>
      <c r="L1956" s="35" t="s">
        <v>5898</v>
      </c>
      <c r="M1956" s="29" t="s">
        <v>4525</v>
      </c>
      <c r="N1956" s="34" t="s">
        <v>5416</v>
      </c>
      <c r="O1956" s="34">
        <v>0.0</v>
      </c>
      <c r="P1956" s="18">
        <f>VLOOKUP($A1956,MasterData!$C$1:$I$3001,1,FALSE)</f>
        <v>8197</v>
      </c>
      <c r="Q1956" s="34" t="str">
        <f t="shared" si="2"/>
        <v>XIIBCF1</v>
      </c>
    </row>
    <row r="1957" ht="15.75" customHeight="1">
      <c r="A1957" s="15">
        <v>8202.0</v>
      </c>
      <c r="B1957" s="18" t="s">
        <v>9369</v>
      </c>
      <c r="C1957" s="29" t="s">
        <v>9370</v>
      </c>
      <c r="D1957" s="18" t="s">
        <v>9369</v>
      </c>
      <c r="E1957" s="34" t="s">
        <v>4528</v>
      </c>
      <c r="F1957" s="19" t="str">
        <f t="shared" si="1"/>
        <v>XIIBCF1</v>
      </c>
      <c r="G1957" s="19" t="s">
        <v>5408</v>
      </c>
      <c r="H1957" s="20" t="s">
        <v>4223</v>
      </c>
      <c r="I1957" s="19" t="s">
        <v>5409</v>
      </c>
      <c r="J1957" s="19" t="s">
        <v>5410</v>
      </c>
      <c r="K1957" s="21" t="s">
        <v>5415</v>
      </c>
      <c r="L1957" s="35" t="s">
        <v>5898</v>
      </c>
      <c r="M1957" s="29" t="s">
        <v>4527</v>
      </c>
      <c r="N1957" s="34" t="s">
        <v>5416</v>
      </c>
      <c r="O1957" s="34">
        <v>0.0</v>
      </c>
      <c r="P1957" s="18">
        <f>VLOOKUP($A1957,MasterData!$C$1:$I$3001,1,FALSE)</f>
        <v>8202</v>
      </c>
      <c r="Q1957" s="34" t="str">
        <f t="shared" si="2"/>
        <v>XIIBCF1</v>
      </c>
    </row>
    <row r="1958" ht="15.75" customHeight="1">
      <c r="A1958" s="15">
        <v>8219.0</v>
      </c>
      <c r="B1958" s="18" t="s">
        <v>9371</v>
      </c>
      <c r="C1958" s="29" t="s">
        <v>9372</v>
      </c>
      <c r="D1958" s="18" t="s">
        <v>9371</v>
      </c>
      <c r="E1958" s="34" t="s">
        <v>4530</v>
      </c>
      <c r="F1958" s="19" t="str">
        <f t="shared" si="1"/>
        <v>XIIBCF1</v>
      </c>
      <c r="G1958" s="19" t="s">
        <v>5408</v>
      </c>
      <c r="H1958" s="20" t="s">
        <v>4223</v>
      </c>
      <c r="I1958" s="19" t="s">
        <v>5409</v>
      </c>
      <c r="J1958" s="19" t="s">
        <v>5410</v>
      </c>
      <c r="K1958" s="21" t="s">
        <v>5415</v>
      </c>
      <c r="L1958" s="35" t="s">
        <v>5898</v>
      </c>
      <c r="M1958" s="29" t="s">
        <v>4529</v>
      </c>
      <c r="N1958" s="34" t="s">
        <v>5416</v>
      </c>
      <c r="O1958" s="34">
        <v>0.0</v>
      </c>
      <c r="P1958" s="18">
        <f>VLOOKUP($A1958,MasterData!$C$1:$I$3001,1,FALSE)</f>
        <v>8219</v>
      </c>
      <c r="Q1958" s="34" t="str">
        <f t="shared" si="2"/>
        <v>XIIBCF1</v>
      </c>
    </row>
    <row r="1959" ht="15.75" customHeight="1">
      <c r="A1959" s="15">
        <v>8223.0</v>
      </c>
      <c r="B1959" s="18" t="s">
        <v>9373</v>
      </c>
      <c r="C1959" s="29" t="s">
        <v>9374</v>
      </c>
      <c r="D1959" s="18" t="s">
        <v>9373</v>
      </c>
      <c r="E1959" s="34" t="s">
        <v>4532</v>
      </c>
      <c r="F1959" s="19" t="str">
        <f t="shared" si="1"/>
        <v>XIIBCF1</v>
      </c>
      <c r="G1959" s="19" t="s">
        <v>5408</v>
      </c>
      <c r="H1959" s="20" t="s">
        <v>4223</v>
      </c>
      <c r="I1959" s="19" t="s">
        <v>5409</v>
      </c>
      <c r="J1959" s="19" t="s">
        <v>5410</v>
      </c>
      <c r="K1959" s="21" t="s">
        <v>5415</v>
      </c>
      <c r="L1959" s="35" t="s">
        <v>5898</v>
      </c>
      <c r="M1959" s="29" t="s">
        <v>4531</v>
      </c>
      <c r="N1959" s="34" t="s">
        <v>5416</v>
      </c>
      <c r="O1959" s="34">
        <v>0.0</v>
      </c>
      <c r="P1959" s="18">
        <f>VLOOKUP($A1959,MasterData!$C$1:$I$3001,1,FALSE)</f>
        <v>8223</v>
      </c>
      <c r="Q1959" s="34" t="str">
        <f t="shared" si="2"/>
        <v>XIIBCF1</v>
      </c>
    </row>
    <row r="1960" ht="15.75" customHeight="1">
      <c r="A1960" s="15">
        <v>8227.0</v>
      </c>
      <c r="B1960" s="18" t="s">
        <v>9375</v>
      </c>
      <c r="C1960" s="29" t="s">
        <v>9376</v>
      </c>
      <c r="D1960" s="18" t="s">
        <v>9375</v>
      </c>
      <c r="E1960" s="34" t="s">
        <v>4534</v>
      </c>
      <c r="F1960" s="19" t="str">
        <f t="shared" si="1"/>
        <v>XIIBCF1</v>
      </c>
      <c r="G1960" s="19" t="s">
        <v>5408</v>
      </c>
      <c r="H1960" s="20" t="s">
        <v>4223</v>
      </c>
      <c r="I1960" s="19" t="s">
        <v>5409</v>
      </c>
      <c r="J1960" s="19" t="s">
        <v>5410</v>
      </c>
      <c r="K1960" s="21" t="s">
        <v>5415</v>
      </c>
      <c r="L1960" s="35" t="s">
        <v>5898</v>
      </c>
      <c r="M1960" s="29" t="s">
        <v>4533</v>
      </c>
      <c r="N1960" s="34" t="s">
        <v>5416</v>
      </c>
      <c r="O1960" s="34">
        <v>0.0</v>
      </c>
      <c r="P1960" s="18">
        <f>VLOOKUP($A1960,MasterData!$C$1:$I$3001,1,FALSE)</f>
        <v>8227</v>
      </c>
      <c r="Q1960" s="34" t="str">
        <f t="shared" si="2"/>
        <v>XIIBCF1</v>
      </c>
    </row>
    <row r="1961" ht="15.75" customHeight="1">
      <c r="A1961" s="15">
        <v>8234.0</v>
      </c>
      <c r="B1961" s="18" t="s">
        <v>9377</v>
      </c>
      <c r="C1961" s="29" t="s">
        <v>9378</v>
      </c>
      <c r="D1961" s="18" t="s">
        <v>9377</v>
      </c>
      <c r="E1961" s="34" t="s">
        <v>4536</v>
      </c>
      <c r="F1961" s="19" t="str">
        <f t="shared" si="1"/>
        <v>XIIBCF1</v>
      </c>
      <c r="G1961" s="19" t="s">
        <v>5408</v>
      </c>
      <c r="H1961" s="20" t="s">
        <v>4223</v>
      </c>
      <c r="I1961" s="19" t="s">
        <v>5409</v>
      </c>
      <c r="J1961" s="19" t="s">
        <v>5410</v>
      </c>
      <c r="K1961" s="21" t="s">
        <v>5415</v>
      </c>
      <c r="L1961" s="35" t="s">
        <v>5898</v>
      </c>
      <c r="M1961" s="29" t="s">
        <v>4535</v>
      </c>
      <c r="N1961" s="34" t="s">
        <v>5416</v>
      </c>
      <c r="O1961" s="34">
        <v>0.0</v>
      </c>
      <c r="P1961" s="18">
        <f>VLOOKUP($A1961,MasterData!$C$1:$I$3001,1,FALSE)</f>
        <v>8234</v>
      </c>
      <c r="Q1961" s="34" t="str">
        <f t="shared" si="2"/>
        <v>XIIBCF1</v>
      </c>
    </row>
    <row r="1962" ht="15.75" customHeight="1">
      <c r="A1962" s="15">
        <v>8248.0</v>
      </c>
      <c r="B1962" s="18" t="s">
        <v>9379</v>
      </c>
      <c r="C1962" s="37" t="s">
        <v>9380</v>
      </c>
      <c r="D1962" s="18" t="s">
        <v>9379</v>
      </c>
      <c r="E1962" s="34" t="s">
        <v>4538</v>
      </c>
      <c r="F1962" s="19" t="str">
        <f t="shared" si="1"/>
        <v>XIIBCF1</v>
      </c>
      <c r="G1962" s="19" t="s">
        <v>5408</v>
      </c>
      <c r="H1962" s="20" t="s">
        <v>4223</v>
      </c>
      <c r="I1962" s="19" t="s">
        <v>5409</v>
      </c>
      <c r="J1962" s="19" t="s">
        <v>5410</v>
      </c>
      <c r="K1962" s="21" t="s">
        <v>5415</v>
      </c>
      <c r="L1962" s="35" t="s">
        <v>5898</v>
      </c>
      <c r="M1962" s="29" t="s">
        <v>4537</v>
      </c>
      <c r="N1962" s="34" t="s">
        <v>5416</v>
      </c>
      <c r="O1962" s="34">
        <v>0.0</v>
      </c>
      <c r="P1962" s="18">
        <f>VLOOKUP($A1962,MasterData!$C$1:$I$3001,1,FALSE)</f>
        <v>8248</v>
      </c>
      <c r="Q1962" s="34" t="str">
        <f t="shared" si="2"/>
        <v>XIIBCF1</v>
      </c>
    </row>
    <row r="1963" ht="15.75" customHeight="1">
      <c r="A1963" s="15">
        <v>8286.0</v>
      </c>
      <c r="B1963" s="18" t="s">
        <v>9381</v>
      </c>
      <c r="C1963" s="37" t="s">
        <v>9382</v>
      </c>
      <c r="D1963" s="18" t="s">
        <v>9381</v>
      </c>
      <c r="E1963" s="34" t="s">
        <v>4540</v>
      </c>
      <c r="F1963" s="19" t="str">
        <f t="shared" si="1"/>
        <v>XIIBCF1</v>
      </c>
      <c r="G1963" s="19" t="s">
        <v>5408</v>
      </c>
      <c r="H1963" s="20" t="s">
        <v>4223</v>
      </c>
      <c r="I1963" s="19" t="s">
        <v>5409</v>
      </c>
      <c r="J1963" s="19" t="s">
        <v>5410</v>
      </c>
      <c r="K1963" s="21" t="s">
        <v>5415</v>
      </c>
      <c r="L1963" s="35" t="s">
        <v>5898</v>
      </c>
      <c r="M1963" s="29" t="s">
        <v>4539</v>
      </c>
      <c r="N1963" s="34" t="s">
        <v>5416</v>
      </c>
      <c r="O1963" s="34">
        <v>0.0</v>
      </c>
      <c r="P1963" s="18">
        <f>VLOOKUP($A1963,MasterData!$C$1:$I$3001,1,FALSE)</f>
        <v>8286</v>
      </c>
      <c r="Q1963" s="34" t="str">
        <f t="shared" si="2"/>
        <v>XIIBCF1</v>
      </c>
    </row>
    <row r="1964" ht="15.75" customHeight="1">
      <c r="A1964" s="15">
        <v>8356.0</v>
      </c>
      <c r="B1964" s="18" t="s">
        <v>9383</v>
      </c>
      <c r="C1964" s="29" t="s">
        <v>9384</v>
      </c>
      <c r="D1964" s="18" t="s">
        <v>9383</v>
      </c>
      <c r="E1964" s="34" t="s">
        <v>4542</v>
      </c>
      <c r="F1964" s="19" t="str">
        <f t="shared" si="1"/>
        <v>XIIBCF1</v>
      </c>
      <c r="G1964" s="19" t="s">
        <v>5408</v>
      </c>
      <c r="H1964" s="20" t="s">
        <v>4223</v>
      </c>
      <c r="I1964" s="19" t="s">
        <v>5409</v>
      </c>
      <c r="J1964" s="19" t="s">
        <v>5410</v>
      </c>
      <c r="K1964" s="21" t="s">
        <v>5415</v>
      </c>
      <c r="L1964" s="35" t="s">
        <v>5898</v>
      </c>
      <c r="M1964" s="29" t="s">
        <v>4541</v>
      </c>
      <c r="N1964" s="34" t="s">
        <v>5416</v>
      </c>
      <c r="O1964" s="34">
        <v>0.0</v>
      </c>
      <c r="P1964" s="18">
        <f>VLOOKUP($A1964,MasterData!$C$1:$I$3001,1,FALSE)</f>
        <v>8356</v>
      </c>
      <c r="Q1964" s="34" t="str">
        <f t="shared" si="2"/>
        <v>XIIBCF1</v>
      </c>
    </row>
    <row r="1965" ht="15.75" customHeight="1">
      <c r="A1965" s="15">
        <v>8362.0</v>
      </c>
      <c r="B1965" s="18" t="s">
        <v>9385</v>
      </c>
      <c r="C1965" s="29" t="s">
        <v>9386</v>
      </c>
      <c r="D1965" s="18" t="s">
        <v>9385</v>
      </c>
      <c r="E1965" s="34" t="s">
        <v>4544</v>
      </c>
      <c r="F1965" s="19" t="str">
        <f t="shared" si="1"/>
        <v>XIIBCF1</v>
      </c>
      <c r="G1965" s="19" t="s">
        <v>5408</v>
      </c>
      <c r="H1965" s="20" t="s">
        <v>4223</v>
      </c>
      <c r="I1965" s="19" t="s">
        <v>5409</v>
      </c>
      <c r="J1965" s="19" t="s">
        <v>5410</v>
      </c>
      <c r="K1965" s="21" t="s">
        <v>5415</v>
      </c>
      <c r="L1965" s="35" t="s">
        <v>5898</v>
      </c>
      <c r="M1965" s="29" t="s">
        <v>4543</v>
      </c>
      <c r="N1965" s="34" t="s">
        <v>5416</v>
      </c>
      <c r="O1965" s="34">
        <v>0.0</v>
      </c>
      <c r="P1965" s="18">
        <f>VLOOKUP($A1965,MasterData!$C$1:$I$3001,1,FALSE)</f>
        <v>8362</v>
      </c>
      <c r="Q1965" s="34" t="str">
        <f t="shared" si="2"/>
        <v>XIIBCF1</v>
      </c>
    </row>
    <row r="1966" ht="15.75" customHeight="1">
      <c r="A1966" s="15">
        <v>8381.0</v>
      </c>
      <c r="B1966" s="18" t="s">
        <v>9387</v>
      </c>
      <c r="C1966" s="37" t="s">
        <v>9388</v>
      </c>
      <c r="D1966" s="18" t="s">
        <v>9387</v>
      </c>
      <c r="E1966" s="34" t="s">
        <v>4546</v>
      </c>
      <c r="F1966" s="19" t="str">
        <f t="shared" si="1"/>
        <v>XIIBCF1</v>
      </c>
      <c r="G1966" s="19" t="s">
        <v>5408</v>
      </c>
      <c r="H1966" s="20" t="s">
        <v>4223</v>
      </c>
      <c r="I1966" s="19" t="s">
        <v>5409</v>
      </c>
      <c r="J1966" s="19" t="s">
        <v>5410</v>
      </c>
      <c r="K1966" s="21" t="s">
        <v>5415</v>
      </c>
      <c r="L1966" s="35" t="s">
        <v>5898</v>
      </c>
      <c r="M1966" s="29" t="s">
        <v>4545</v>
      </c>
      <c r="N1966" s="34" t="s">
        <v>5416</v>
      </c>
      <c r="O1966" s="34">
        <v>0.0</v>
      </c>
      <c r="P1966" s="18">
        <f>VLOOKUP($A1966,MasterData!$C$1:$I$3001,1,FALSE)</f>
        <v>8381</v>
      </c>
      <c r="Q1966" s="34" t="str">
        <f t="shared" si="2"/>
        <v>XIIBCF1</v>
      </c>
    </row>
    <row r="1967" ht="15.75" customHeight="1">
      <c r="A1967" s="15">
        <v>8413.0</v>
      </c>
      <c r="B1967" s="18" t="s">
        <v>9389</v>
      </c>
      <c r="C1967" s="29" t="s">
        <v>9390</v>
      </c>
      <c r="D1967" s="18" t="s">
        <v>9389</v>
      </c>
      <c r="E1967" s="34" t="s">
        <v>4548</v>
      </c>
      <c r="F1967" s="19" t="str">
        <f t="shared" si="1"/>
        <v>XIIBCF1</v>
      </c>
      <c r="G1967" s="19" t="s">
        <v>5408</v>
      </c>
      <c r="H1967" s="20" t="s">
        <v>4223</v>
      </c>
      <c r="I1967" s="19" t="s">
        <v>5409</v>
      </c>
      <c r="J1967" s="19" t="s">
        <v>5410</v>
      </c>
      <c r="K1967" s="21" t="s">
        <v>5415</v>
      </c>
      <c r="L1967" s="35" t="s">
        <v>5898</v>
      </c>
      <c r="M1967" s="29" t="s">
        <v>4547</v>
      </c>
      <c r="N1967" s="34" t="s">
        <v>5416</v>
      </c>
      <c r="O1967" s="34">
        <v>0.0</v>
      </c>
      <c r="P1967" s="18">
        <f>VLOOKUP($A1967,MasterData!$C$1:$I$3001,1,FALSE)</f>
        <v>8413</v>
      </c>
      <c r="Q1967" s="34" t="str">
        <f t="shared" si="2"/>
        <v>XIIBCF1</v>
      </c>
    </row>
    <row r="1968" ht="15.75" customHeight="1">
      <c r="A1968" s="15">
        <v>8468.0</v>
      </c>
      <c r="B1968" s="18" t="s">
        <v>9391</v>
      </c>
      <c r="C1968" s="29" t="s">
        <v>9392</v>
      </c>
      <c r="D1968" s="18" t="s">
        <v>9391</v>
      </c>
      <c r="E1968" s="34" t="s">
        <v>4550</v>
      </c>
      <c r="F1968" s="19" t="str">
        <f t="shared" si="1"/>
        <v>XIIBCF1</v>
      </c>
      <c r="G1968" s="19" t="s">
        <v>5408</v>
      </c>
      <c r="H1968" s="20" t="s">
        <v>4223</v>
      </c>
      <c r="I1968" s="19" t="s">
        <v>5409</v>
      </c>
      <c r="J1968" s="19" t="s">
        <v>5410</v>
      </c>
      <c r="K1968" s="21" t="s">
        <v>5415</v>
      </c>
      <c r="L1968" s="35" t="s">
        <v>5898</v>
      </c>
      <c r="M1968" s="29" t="s">
        <v>4549</v>
      </c>
      <c r="N1968" s="34" t="s">
        <v>5416</v>
      </c>
      <c r="O1968" s="34">
        <v>0.0</v>
      </c>
      <c r="P1968" s="18">
        <f>VLOOKUP($A1968,MasterData!$C$1:$I$3001,1,FALSE)</f>
        <v>8468</v>
      </c>
      <c r="Q1968" s="34" t="str">
        <f t="shared" si="2"/>
        <v>XIIBCF1</v>
      </c>
    </row>
    <row r="1969" ht="15.75" customHeight="1">
      <c r="A1969" s="15">
        <v>8546.0</v>
      </c>
      <c r="B1969" s="18" t="s">
        <v>9393</v>
      </c>
      <c r="C1969" s="29" t="s">
        <v>9394</v>
      </c>
      <c r="D1969" s="18" t="s">
        <v>9393</v>
      </c>
      <c r="E1969" s="34" t="s">
        <v>4552</v>
      </c>
      <c r="F1969" s="19" t="str">
        <f t="shared" si="1"/>
        <v>XIIBCF1</v>
      </c>
      <c r="G1969" s="19" t="s">
        <v>5408</v>
      </c>
      <c r="H1969" s="20" t="s">
        <v>4223</v>
      </c>
      <c r="I1969" s="19" t="s">
        <v>5409</v>
      </c>
      <c r="J1969" s="19" t="s">
        <v>5410</v>
      </c>
      <c r="K1969" s="21" t="s">
        <v>5415</v>
      </c>
      <c r="L1969" s="35" t="s">
        <v>5898</v>
      </c>
      <c r="M1969" s="29" t="s">
        <v>4551</v>
      </c>
      <c r="N1969" s="34" t="s">
        <v>5416</v>
      </c>
      <c r="O1969" s="34">
        <v>0.0</v>
      </c>
      <c r="P1969" s="18">
        <f>VLOOKUP($A1969,MasterData!$C$1:$I$3001,1,FALSE)</f>
        <v>8546</v>
      </c>
      <c r="Q1969" s="34" t="str">
        <f t="shared" si="2"/>
        <v>XIIBCF1</v>
      </c>
    </row>
    <row r="1970" ht="15.75" customHeight="1">
      <c r="A1970" s="15">
        <v>8554.0</v>
      </c>
      <c r="B1970" s="18" t="s">
        <v>9395</v>
      </c>
      <c r="C1970" s="29" t="s">
        <v>9396</v>
      </c>
      <c r="D1970" s="18" t="s">
        <v>9395</v>
      </c>
      <c r="E1970" s="34" t="s">
        <v>4554</v>
      </c>
      <c r="F1970" s="19" t="str">
        <f t="shared" si="1"/>
        <v>XIIBCF1</v>
      </c>
      <c r="G1970" s="19" t="s">
        <v>5408</v>
      </c>
      <c r="H1970" s="20" t="s">
        <v>4223</v>
      </c>
      <c r="I1970" s="19" t="s">
        <v>5409</v>
      </c>
      <c r="J1970" s="19" t="s">
        <v>5410</v>
      </c>
      <c r="K1970" s="21" t="s">
        <v>5415</v>
      </c>
      <c r="L1970" s="35" t="s">
        <v>5898</v>
      </c>
      <c r="M1970" s="29" t="s">
        <v>4553</v>
      </c>
      <c r="N1970" s="34" t="s">
        <v>9397</v>
      </c>
      <c r="O1970" s="34" t="s">
        <v>9398</v>
      </c>
      <c r="P1970" s="18">
        <f>VLOOKUP($A1970,MasterData!$C$1:$I$3001,1,FALSE)</f>
        <v>8554</v>
      </c>
      <c r="Q1970" s="34" t="str">
        <f t="shared" si="2"/>
        <v>XIIBCF1</v>
      </c>
    </row>
    <row r="1971" ht="15.75" customHeight="1">
      <c r="A1971" s="15">
        <v>8560.0</v>
      </c>
      <c r="B1971" s="18" t="s">
        <v>9399</v>
      </c>
      <c r="C1971" s="29" t="s">
        <v>9400</v>
      </c>
      <c r="D1971" s="18" t="s">
        <v>9399</v>
      </c>
      <c r="E1971" s="34" t="s">
        <v>4556</v>
      </c>
      <c r="F1971" s="19" t="str">
        <f t="shared" si="1"/>
        <v>XIIBCF1</v>
      </c>
      <c r="G1971" s="19" t="s">
        <v>5408</v>
      </c>
      <c r="H1971" s="20" t="s">
        <v>4223</v>
      </c>
      <c r="I1971" s="19" t="s">
        <v>5409</v>
      </c>
      <c r="J1971" s="19" t="s">
        <v>5410</v>
      </c>
      <c r="K1971" s="21" t="s">
        <v>5415</v>
      </c>
      <c r="L1971" s="35" t="s">
        <v>5898</v>
      </c>
      <c r="M1971" s="29" t="s">
        <v>4555</v>
      </c>
      <c r="N1971" s="34" t="s">
        <v>5416</v>
      </c>
      <c r="O1971" s="34">
        <v>0.0</v>
      </c>
      <c r="P1971" s="18">
        <f>VLOOKUP($A1971,MasterData!$C$1:$I$3001,1,FALSE)</f>
        <v>8560</v>
      </c>
      <c r="Q1971" s="34" t="str">
        <f t="shared" si="2"/>
        <v>XIIBCF1</v>
      </c>
    </row>
    <row r="1972" ht="15.75" customHeight="1">
      <c r="A1972" s="15">
        <v>8563.0</v>
      </c>
      <c r="B1972" s="18" t="s">
        <v>9401</v>
      </c>
      <c r="C1972" s="29" t="s">
        <v>9402</v>
      </c>
      <c r="D1972" s="18" t="s">
        <v>9401</v>
      </c>
      <c r="E1972" s="34" t="s">
        <v>4558</v>
      </c>
      <c r="F1972" s="19" t="str">
        <f t="shared" si="1"/>
        <v>XIIBCF1</v>
      </c>
      <c r="G1972" s="19" t="s">
        <v>5408</v>
      </c>
      <c r="H1972" s="20" t="s">
        <v>4223</v>
      </c>
      <c r="I1972" s="19" t="s">
        <v>5409</v>
      </c>
      <c r="J1972" s="19" t="s">
        <v>5410</v>
      </c>
      <c r="K1972" s="21" t="s">
        <v>5415</v>
      </c>
      <c r="L1972" s="35" t="s">
        <v>5898</v>
      </c>
      <c r="M1972" s="29" t="s">
        <v>4557</v>
      </c>
      <c r="N1972" s="34" t="s">
        <v>5416</v>
      </c>
      <c r="O1972" s="34">
        <v>0.0</v>
      </c>
      <c r="P1972" s="18">
        <f>VLOOKUP($A1972,MasterData!$C$1:$I$3001,1,FALSE)</f>
        <v>8563</v>
      </c>
      <c r="Q1972" s="34" t="str">
        <f t="shared" si="2"/>
        <v>XIIBCF1</v>
      </c>
    </row>
    <row r="1973" ht="15.75" customHeight="1">
      <c r="A1973" s="15">
        <v>8571.0</v>
      </c>
      <c r="B1973" s="18" t="s">
        <v>9403</v>
      </c>
      <c r="C1973" s="29" t="s">
        <v>9404</v>
      </c>
      <c r="D1973" s="18" t="s">
        <v>9403</v>
      </c>
      <c r="E1973" s="34" t="s">
        <v>4560</v>
      </c>
      <c r="F1973" s="19" t="str">
        <f t="shared" si="1"/>
        <v>XIIBCF1</v>
      </c>
      <c r="G1973" s="19" t="s">
        <v>5408</v>
      </c>
      <c r="H1973" s="20" t="s">
        <v>4223</v>
      </c>
      <c r="I1973" s="19" t="s">
        <v>5409</v>
      </c>
      <c r="J1973" s="19" t="s">
        <v>5410</v>
      </c>
      <c r="K1973" s="21" t="s">
        <v>5415</v>
      </c>
      <c r="L1973" s="35" t="s">
        <v>5898</v>
      </c>
      <c r="M1973" s="29" t="s">
        <v>4559</v>
      </c>
      <c r="N1973" s="34" t="s">
        <v>5416</v>
      </c>
      <c r="O1973" s="34">
        <v>0.0</v>
      </c>
      <c r="P1973" s="18">
        <f>VLOOKUP($A1973,MasterData!$C$1:$I$3001,1,FALSE)</f>
        <v>8571</v>
      </c>
      <c r="Q1973" s="34" t="str">
        <f t="shared" si="2"/>
        <v>XIIBCF1</v>
      </c>
    </row>
    <row r="1974" ht="15.75" customHeight="1">
      <c r="A1974" s="15">
        <v>8607.0</v>
      </c>
      <c r="B1974" s="18" t="s">
        <v>9405</v>
      </c>
      <c r="C1974" s="29" t="s">
        <v>9406</v>
      </c>
      <c r="D1974" s="18" t="s">
        <v>9405</v>
      </c>
      <c r="E1974" s="34" t="s">
        <v>4562</v>
      </c>
      <c r="F1974" s="19" t="str">
        <f t="shared" si="1"/>
        <v>XIIBCF1</v>
      </c>
      <c r="G1974" s="19" t="s">
        <v>5408</v>
      </c>
      <c r="H1974" s="20" t="s">
        <v>4223</v>
      </c>
      <c r="I1974" s="19" t="s">
        <v>5409</v>
      </c>
      <c r="J1974" s="19" t="s">
        <v>5410</v>
      </c>
      <c r="K1974" s="21" t="s">
        <v>5415</v>
      </c>
      <c r="L1974" s="35" t="s">
        <v>5898</v>
      </c>
      <c r="M1974" s="29" t="s">
        <v>4561</v>
      </c>
      <c r="N1974" s="34" t="s">
        <v>5416</v>
      </c>
      <c r="O1974" s="34">
        <v>0.0</v>
      </c>
      <c r="P1974" s="18">
        <f>VLOOKUP($A1974,MasterData!$C$1:$I$3001,1,FALSE)</f>
        <v>8607</v>
      </c>
      <c r="Q1974" s="34" t="str">
        <f t="shared" si="2"/>
        <v>XIIBCF1</v>
      </c>
    </row>
    <row r="1975" ht="15.75" customHeight="1">
      <c r="A1975" s="15">
        <v>8625.0</v>
      </c>
      <c r="B1975" s="18" t="s">
        <v>9407</v>
      </c>
      <c r="C1975" s="29" t="s">
        <v>9408</v>
      </c>
      <c r="D1975" s="18" t="s">
        <v>9407</v>
      </c>
      <c r="E1975" s="34" t="s">
        <v>4564</v>
      </c>
      <c r="F1975" s="19" t="str">
        <f t="shared" si="1"/>
        <v>XIIBCF1</v>
      </c>
      <c r="G1975" s="19" t="s">
        <v>5408</v>
      </c>
      <c r="H1975" s="20" t="s">
        <v>4223</v>
      </c>
      <c r="I1975" s="19" t="s">
        <v>5409</v>
      </c>
      <c r="J1975" s="19" t="s">
        <v>5410</v>
      </c>
      <c r="K1975" s="21" t="s">
        <v>5415</v>
      </c>
      <c r="L1975" s="35" t="s">
        <v>5898</v>
      </c>
      <c r="M1975" s="29" t="s">
        <v>4563</v>
      </c>
      <c r="N1975" s="34" t="s">
        <v>5416</v>
      </c>
      <c r="O1975" s="34">
        <v>0.0</v>
      </c>
      <c r="P1975" s="18">
        <f>VLOOKUP($A1975,MasterData!$C$1:$I$3001,1,FALSE)</f>
        <v>8625</v>
      </c>
      <c r="Q1975" s="34" t="str">
        <f t="shared" si="2"/>
        <v>XIIBCF1</v>
      </c>
    </row>
    <row r="1976" ht="15.75" customHeight="1">
      <c r="A1976" s="15">
        <v>8626.0</v>
      </c>
      <c r="B1976" s="18" t="s">
        <v>9409</v>
      </c>
      <c r="C1976" s="29" t="s">
        <v>9410</v>
      </c>
      <c r="D1976" s="18" t="s">
        <v>9409</v>
      </c>
      <c r="E1976" s="34" t="s">
        <v>4566</v>
      </c>
      <c r="F1976" s="19" t="str">
        <f t="shared" si="1"/>
        <v>XIIBCF1</v>
      </c>
      <c r="G1976" s="19" t="s">
        <v>5408</v>
      </c>
      <c r="H1976" s="20" t="s">
        <v>4223</v>
      </c>
      <c r="I1976" s="19" t="s">
        <v>5409</v>
      </c>
      <c r="J1976" s="19" t="s">
        <v>5410</v>
      </c>
      <c r="K1976" s="21" t="s">
        <v>5415</v>
      </c>
      <c r="L1976" s="35" t="s">
        <v>5898</v>
      </c>
      <c r="M1976" s="29" t="s">
        <v>4565</v>
      </c>
      <c r="N1976" s="34" t="s">
        <v>5416</v>
      </c>
      <c r="O1976" s="34">
        <v>0.0</v>
      </c>
      <c r="P1976" s="18">
        <f>VLOOKUP($A1976,MasterData!$C$1:$I$3001,1,FALSE)</f>
        <v>8626</v>
      </c>
      <c r="Q1976" s="34" t="str">
        <f t="shared" si="2"/>
        <v>XIIBCF1</v>
      </c>
    </row>
    <row r="1977" ht="15.75" customHeight="1">
      <c r="A1977" s="15">
        <v>8629.0</v>
      </c>
      <c r="B1977" s="18" t="s">
        <v>9411</v>
      </c>
      <c r="C1977" s="29" t="s">
        <v>9412</v>
      </c>
      <c r="D1977" s="18" t="s">
        <v>9411</v>
      </c>
      <c r="E1977" s="34" t="s">
        <v>4568</v>
      </c>
      <c r="F1977" s="19" t="str">
        <f t="shared" si="1"/>
        <v>XIIBCF1</v>
      </c>
      <c r="G1977" s="19" t="s">
        <v>5408</v>
      </c>
      <c r="H1977" s="20" t="s">
        <v>4223</v>
      </c>
      <c r="I1977" s="19" t="s">
        <v>5409</v>
      </c>
      <c r="J1977" s="19" t="s">
        <v>5410</v>
      </c>
      <c r="K1977" s="21" t="s">
        <v>5415</v>
      </c>
      <c r="L1977" s="35" t="s">
        <v>5898</v>
      </c>
      <c r="M1977" s="29" t="s">
        <v>4567</v>
      </c>
      <c r="N1977" s="34" t="s">
        <v>5416</v>
      </c>
      <c r="O1977" s="34">
        <v>0.0</v>
      </c>
      <c r="P1977" s="18">
        <f>VLOOKUP($A1977,MasterData!$C$1:$I$3001,1,FALSE)</f>
        <v>8629</v>
      </c>
      <c r="Q1977" s="34" t="str">
        <f t="shared" si="2"/>
        <v>XIIBCF1</v>
      </c>
    </row>
    <row r="1978" ht="15.75" customHeight="1">
      <c r="A1978" s="15">
        <v>8024.0</v>
      </c>
      <c r="B1978" s="18" t="s">
        <v>9413</v>
      </c>
      <c r="C1978" s="37" t="s">
        <v>9414</v>
      </c>
      <c r="D1978" s="18" t="s">
        <v>9413</v>
      </c>
      <c r="E1978" s="34" t="s">
        <v>4570</v>
      </c>
      <c r="F1978" s="19" t="str">
        <f t="shared" si="1"/>
        <v>XIIDKV1</v>
      </c>
      <c r="G1978" s="19" t="s">
        <v>5408</v>
      </c>
      <c r="H1978" s="20" t="s">
        <v>4223</v>
      </c>
      <c r="I1978" s="19" t="s">
        <v>5409</v>
      </c>
      <c r="J1978" s="19" t="s">
        <v>5410</v>
      </c>
      <c r="K1978" s="21" t="s">
        <v>5415</v>
      </c>
      <c r="L1978" s="35" t="s">
        <v>6007</v>
      </c>
      <c r="M1978" s="29" t="s">
        <v>4569</v>
      </c>
      <c r="N1978" s="34" t="s">
        <v>5416</v>
      </c>
      <c r="O1978" s="34">
        <v>0.0</v>
      </c>
      <c r="P1978" s="18">
        <f>VLOOKUP($A1978,MasterData!$C$1:$I$3001,1,FALSE)</f>
        <v>8024</v>
      </c>
      <c r="Q1978" s="34" t="str">
        <f t="shared" si="2"/>
        <v>XIIDKV1</v>
      </c>
    </row>
    <row r="1979" ht="15.75" customHeight="1">
      <c r="A1979" s="15">
        <v>8043.0</v>
      </c>
      <c r="B1979" s="18" t="s">
        <v>9415</v>
      </c>
      <c r="C1979" s="29" t="s">
        <v>9416</v>
      </c>
      <c r="D1979" s="18" t="s">
        <v>9415</v>
      </c>
      <c r="E1979" s="34" t="s">
        <v>4572</v>
      </c>
      <c r="F1979" s="19" t="str">
        <f t="shared" si="1"/>
        <v>XIIDKV1</v>
      </c>
      <c r="G1979" s="19" t="s">
        <v>5408</v>
      </c>
      <c r="H1979" s="20" t="s">
        <v>4223</v>
      </c>
      <c r="I1979" s="19" t="s">
        <v>5409</v>
      </c>
      <c r="J1979" s="19" t="s">
        <v>5410</v>
      </c>
      <c r="K1979" s="21" t="s">
        <v>5415</v>
      </c>
      <c r="L1979" s="35" t="s">
        <v>6007</v>
      </c>
      <c r="M1979" s="29" t="s">
        <v>4571</v>
      </c>
      <c r="N1979" s="34" t="s">
        <v>5416</v>
      </c>
      <c r="O1979" s="34">
        <v>0.0</v>
      </c>
      <c r="P1979" s="18">
        <f>VLOOKUP($A1979,MasterData!$C$1:$I$3001,1,FALSE)</f>
        <v>8043</v>
      </c>
      <c r="Q1979" s="34" t="str">
        <f t="shared" si="2"/>
        <v>XIIDKV1</v>
      </c>
    </row>
    <row r="1980" ht="15.75" customHeight="1">
      <c r="A1980" s="15">
        <v>8052.0</v>
      </c>
      <c r="B1980" s="18" t="s">
        <v>9417</v>
      </c>
      <c r="C1980" s="29" t="s">
        <v>9418</v>
      </c>
      <c r="D1980" s="18" t="s">
        <v>9417</v>
      </c>
      <c r="E1980" s="34" t="s">
        <v>4574</v>
      </c>
      <c r="F1980" s="19" t="str">
        <f t="shared" si="1"/>
        <v>XIIDKV1</v>
      </c>
      <c r="G1980" s="19" t="s">
        <v>5408</v>
      </c>
      <c r="H1980" s="20" t="s">
        <v>4223</v>
      </c>
      <c r="I1980" s="19" t="s">
        <v>5409</v>
      </c>
      <c r="J1980" s="19" t="s">
        <v>5410</v>
      </c>
      <c r="K1980" s="21" t="s">
        <v>5415</v>
      </c>
      <c r="L1980" s="35" t="s">
        <v>6007</v>
      </c>
      <c r="M1980" s="29" t="s">
        <v>4573</v>
      </c>
      <c r="N1980" s="34" t="s">
        <v>5416</v>
      </c>
      <c r="O1980" s="34">
        <v>0.0</v>
      </c>
      <c r="P1980" s="18">
        <f>VLOOKUP($A1980,MasterData!$C$1:$I$3001,1,FALSE)</f>
        <v>8052</v>
      </c>
      <c r="Q1980" s="34" t="str">
        <f t="shared" si="2"/>
        <v>XIIDKV1</v>
      </c>
    </row>
    <row r="1981" ht="15.75" customHeight="1">
      <c r="A1981" s="15">
        <v>8073.0</v>
      </c>
      <c r="B1981" s="18" t="s">
        <v>9419</v>
      </c>
      <c r="C1981" s="29" t="s">
        <v>9420</v>
      </c>
      <c r="D1981" s="18" t="s">
        <v>9419</v>
      </c>
      <c r="E1981" s="34" t="s">
        <v>4576</v>
      </c>
      <c r="F1981" s="19" t="str">
        <f t="shared" si="1"/>
        <v>XIIDKV1</v>
      </c>
      <c r="G1981" s="19" t="s">
        <v>5408</v>
      </c>
      <c r="H1981" s="20" t="s">
        <v>4223</v>
      </c>
      <c r="I1981" s="19" t="s">
        <v>5409</v>
      </c>
      <c r="J1981" s="19" t="s">
        <v>5410</v>
      </c>
      <c r="K1981" s="21" t="s">
        <v>5415</v>
      </c>
      <c r="L1981" s="35" t="s">
        <v>6007</v>
      </c>
      <c r="M1981" s="29" t="s">
        <v>4575</v>
      </c>
      <c r="N1981" s="34" t="s">
        <v>5416</v>
      </c>
      <c r="O1981" s="34">
        <v>0.0</v>
      </c>
      <c r="P1981" s="18">
        <f>VLOOKUP($A1981,MasterData!$C$1:$I$3001,1,FALSE)</f>
        <v>8073</v>
      </c>
      <c r="Q1981" s="34" t="str">
        <f t="shared" si="2"/>
        <v>XIIDKV1</v>
      </c>
    </row>
    <row r="1982" ht="15.75" customHeight="1">
      <c r="A1982" s="15">
        <v>8084.0</v>
      </c>
      <c r="B1982" s="18" t="s">
        <v>9421</v>
      </c>
      <c r="C1982" s="29" t="s">
        <v>9422</v>
      </c>
      <c r="D1982" s="18" t="s">
        <v>9421</v>
      </c>
      <c r="E1982" s="34" t="s">
        <v>4578</v>
      </c>
      <c r="F1982" s="19" t="str">
        <f t="shared" si="1"/>
        <v>XIIDKV1</v>
      </c>
      <c r="G1982" s="19" t="s">
        <v>5408</v>
      </c>
      <c r="H1982" s="20" t="s">
        <v>4223</v>
      </c>
      <c r="I1982" s="19" t="s">
        <v>5409</v>
      </c>
      <c r="J1982" s="19" t="s">
        <v>5410</v>
      </c>
      <c r="K1982" s="21" t="s">
        <v>5415</v>
      </c>
      <c r="L1982" s="35" t="s">
        <v>6007</v>
      </c>
      <c r="M1982" s="29" t="s">
        <v>4577</v>
      </c>
      <c r="N1982" s="34" t="s">
        <v>5416</v>
      </c>
      <c r="O1982" s="34">
        <v>0.0</v>
      </c>
      <c r="P1982" s="18">
        <f>VLOOKUP($A1982,MasterData!$C$1:$I$3001,1,FALSE)</f>
        <v>8084</v>
      </c>
      <c r="Q1982" s="34" t="str">
        <f t="shared" si="2"/>
        <v>XIIDKV1</v>
      </c>
    </row>
    <row r="1983" ht="15.75" customHeight="1">
      <c r="A1983" s="15">
        <v>8142.0</v>
      </c>
      <c r="B1983" s="18" t="s">
        <v>9423</v>
      </c>
      <c r="C1983" s="29" t="s">
        <v>9424</v>
      </c>
      <c r="D1983" s="18" t="s">
        <v>9423</v>
      </c>
      <c r="E1983" s="34" t="s">
        <v>4580</v>
      </c>
      <c r="F1983" s="19" t="str">
        <f t="shared" si="1"/>
        <v>XIIDKV1</v>
      </c>
      <c r="G1983" s="19" t="s">
        <v>5408</v>
      </c>
      <c r="H1983" s="20" t="s">
        <v>4223</v>
      </c>
      <c r="I1983" s="19" t="s">
        <v>5409</v>
      </c>
      <c r="J1983" s="19" t="s">
        <v>5410</v>
      </c>
      <c r="K1983" s="21" t="s">
        <v>5415</v>
      </c>
      <c r="L1983" s="35" t="s">
        <v>6007</v>
      </c>
      <c r="M1983" s="29" t="s">
        <v>4579</v>
      </c>
      <c r="N1983" s="34" t="s">
        <v>5416</v>
      </c>
      <c r="O1983" s="34">
        <v>0.0</v>
      </c>
      <c r="P1983" s="18">
        <f>VLOOKUP($A1983,MasterData!$C$1:$I$3001,1,FALSE)</f>
        <v>8142</v>
      </c>
      <c r="Q1983" s="34" t="str">
        <f t="shared" si="2"/>
        <v>XIIDKV1</v>
      </c>
    </row>
    <row r="1984" ht="15.75" customHeight="1">
      <c r="A1984" s="15">
        <v>8158.0</v>
      </c>
      <c r="B1984" s="18" t="s">
        <v>9425</v>
      </c>
      <c r="C1984" s="29" t="s">
        <v>9426</v>
      </c>
      <c r="D1984" s="18" t="s">
        <v>9425</v>
      </c>
      <c r="E1984" s="34" t="s">
        <v>4582</v>
      </c>
      <c r="F1984" s="19" t="str">
        <f t="shared" si="1"/>
        <v>XIIDKV1</v>
      </c>
      <c r="G1984" s="19" t="s">
        <v>5408</v>
      </c>
      <c r="H1984" s="20" t="s">
        <v>4223</v>
      </c>
      <c r="I1984" s="19" t="s">
        <v>5409</v>
      </c>
      <c r="J1984" s="19" t="s">
        <v>5410</v>
      </c>
      <c r="K1984" s="21" t="s">
        <v>5415</v>
      </c>
      <c r="L1984" s="35" t="s">
        <v>6007</v>
      </c>
      <c r="M1984" s="29" t="s">
        <v>4581</v>
      </c>
      <c r="N1984" s="34" t="s">
        <v>5416</v>
      </c>
      <c r="O1984" s="34">
        <v>0.0</v>
      </c>
      <c r="P1984" s="18">
        <f>VLOOKUP($A1984,MasterData!$C$1:$I$3001,1,FALSE)</f>
        <v>8158</v>
      </c>
      <c r="Q1984" s="34" t="str">
        <f t="shared" si="2"/>
        <v>XIIDKV1</v>
      </c>
    </row>
    <row r="1985" ht="15.75" customHeight="1">
      <c r="A1985" s="15">
        <v>8171.0</v>
      </c>
      <c r="B1985" s="18" t="s">
        <v>9427</v>
      </c>
      <c r="C1985" s="29" t="s">
        <v>9428</v>
      </c>
      <c r="D1985" s="18" t="s">
        <v>9427</v>
      </c>
      <c r="E1985" s="34" t="s">
        <v>4584</v>
      </c>
      <c r="F1985" s="19" t="str">
        <f t="shared" si="1"/>
        <v>XIIDKV1</v>
      </c>
      <c r="G1985" s="19" t="s">
        <v>5408</v>
      </c>
      <c r="H1985" s="20" t="s">
        <v>4223</v>
      </c>
      <c r="I1985" s="19" t="s">
        <v>5409</v>
      </c>
      <c r="J1985" s="19" t="s">
        <v>5410</v>
      </c>
      <c r="K1985" s="21" t="s">
        <v>5415</v>
      </c>
      <c r="L1985" s="35" t="s">
        <v>6007</v>
      </c>
      <c r="M1985" s="29" t="s">
        <v>4583</v>
      </c>
      <c r="N1985" s="34" t="s">
        <v>5416</v>
      </c>
      <c r="O1985" s="34">
        <v>0.0</v>
      </c>
      <c r="P1985" s="18">
        <f>VLOOKUP($A1985,MasterData!$C$1:$I$3001,1,FALSE)</f>
        <v>8171</v>
      </c>
      <c r="Q1985" s="34" t="str">
        <f t="shared" si="2"/>
        <v>XIIDKV1</v>
      </c>
    </row>
    <row r="1986" ht="15.75" customHeight="1">
      <c r="A1986" s="15">
        <v>8209.0</v>
      </c>
      <c r="B1986" s="18" t="s">
        <v>9429</v>
      </c>
      <c r="C1986" s="29" t="s">
        <v>9430</v>
      </c>
      <c r="D1986" s="18" t="s">
        <v>9429</v>
      </c>
      <c r="E1986" s="34" t="s">
        <v>4586</v>
      </c>
      <c r="F1986" s="19" t="str">
        <f t="shared" si="1"/>
        <v>XIIDKV1</v>
      </c>
      <c r="G1986" s="19" t="s">
        <v>5408</v>
      </c>
      <c r="H1986" s="20" t="s">
        <v>4223</v>
      </c>
      <c r="I1986" s="19" t="s">
        <v>5409</v>
      </c>
      <c r="J1986" s="19" t="s">
        <v>5410</v>
      </c>
      <c r="K1986" s="21" t="s">
        <v>5415</v>
      </c>
      <c r="L1986" s="35" t="s">
        <v>6007</v>
      </c>
      <c r="M1986" s="29" t="s">
        <v>4585</v>
      </c>
      <c r="N1986" s="34" t="s">
        <v>5416</v>
      </c>
      <c r="O1986" s="34">
        <v>0.0</v>
      </c>
      <c r="P1986" s="18">
        <f>VLOOKUP($A1986,MasterData!$C$1:$I$3001,1,FALSE)</f>
        <v>8209</v>
      </c>
      <c r="Q1986" s="34" t="str">
        <f t="shared" si="2"/>
        <v>XIIDKV1</v>
      </c>
    </row>
    <row r="1987" ht="15.75" customHeight="1">
      <c r="A1987" s="15">
        <v>8216.0</v>
      </c>
      <c r="B1987" s="18" t="s">
        <v>9431</v>
      </c>
      <c r="C1987" s="29" t="s">
        <v>9432</v>
      </c>
      <c r="D1987" s="18" t="s">
        <v>9431</v>
      </c>
      <c r="E1987" s="34" t="s">
        <v>4588</v>
      </c>
      <c r="F1987" s="19" t="str">
        <f t="shared" si="1"/>
        <v>XIIDKV1</v>
      </c>
      <c r="G1987" s="19" t="s">
        <v>5408</v>
      </c>
      <c r="H1987" s="20" t="s">
        <v>4223</v>
      </c>
      <c r="I1987" s="19" t="s">
        <v>5409</v>
      </c>
      <c r="J1987" s="19" t="s">
        <v>5410</v>
      </c>
      <c r="K1987" s="21" t="s">
        <v>5415</v>
      </c>
      <c r="L1987" s="35" t="s">
        <v>6007</v>
      </c>
      <c r="M1987" s="29" t="s">
        <v>4587</v>
      </c>
      <c r="N1987" s="34" t="s">
        <v>5416</v>
      </c>
      <c r="O1987" s="34">
        <v>0.0</v>
      </c>
      <c r="P1987" s="18">
        <f>VLOOKUP($A1987,MasterData!$C$1:$I$3001,1,FALSE)</f>
        <v>8216</v>
      </c>
      <c r="Q1987" s="34" t="str">
        <f t="shared" si="2"/>
        <v>XIIDKV1</v>
      </c>
    </row>
    <row r="1988" ht="15.75" customHeight="1">
      <c r="A1988" s="15">
        <v>8229.0</v>
      </c>
      <c r="B1988" s="18" t="s">
        <v>9433</v>
      </c>
      <c r="C1988" s="29" t="s">
        <v>9434</v>
      </c>
      <c r="D1988" s="18" t="s">
        <v>9433</v>
      </c>
      <c r="E1988" s="34" t="s">
        <v>4590</v>
      </c>
      <c r="F1988" s="19" t="str">
        <f t="shared" si="1"/>
        <v>XIIDKV1</v>
      </c>
      <c r="G1988" s="19" t="s">
        <v>5408</v>
      </c>
      <c r="H1988" s="20" t="s">
        <v>4223</v>
      </c>
      <c r="I1988" s="19" t="s">
        <v>5409</v>
      </c>
      <c r="J1988" s="19" t="s">
        <v>5410</v>
      </c>
      <c r="K1988" s="21" t="s">
        <v>5415</v>
      </c>
      <c r="L1988" s="35" t="s">
        <v>6007</v>
      </c>
      <c r="M1988" s="29" t="s">
        <v>4589</v>
      </c>
      <c r="N1988" s="34" t="s">
        <v>5416</v>
      </c>
      <c r="O1988" s="34">
        <v>0.0</v>
      </c>
      <c r="P1988" s="18">
        <f>VLOOKUP($A1988,MasterData!$C$1:$I$3001,1,FALSE)</f>
        <v>8229</v>
      </c>
      <c r="Q1988" s="34" t="str">
        <f t="shared" si="2"/>
        <v>XIIDKV1</v>
      </c>
    </row>
    <row r="1989" ht="15.75" customHeight="1">
      <c r="A1989" s="15">
        <v>8260.0</v>
      </c>
      <c r="B1989" s="18" t="s">
        <v>9435</v>
      </c>
      <c r="C1989" s="29" t="s">
        <v>9436</v>
      </c>
      <c r="D1989" s="18" t="s">
        <v>9435</v>
      </c>
      <c r="E1989" s="34" t="s">
        <v>4592</v>
      </c>
      <c r="F1989" s="19" t="str">
        <f t="shared" si="1"/>
        <v>XIIDKV1</v>
      </c>
      <c r="G1989" s="19" t="s">
        <v>5408</v>
      </c>
      <c r="H1989" s="20" t="s">
        <v>4223</v>
      </c>
      <c r="I1989" s="19" t="s">
        <v>5409</v>
      </c>
      <c r="J1989" s="19" t="s">
        <v>5410</v>
      </c>
      <c r="K1989" s="21" t="s">
        <v>5415</v>
      </c>
      <c r="L1989" s="35" t="s">
        <v>6007</v>
      </c>
      <c r="M1989" s="29" t="s">
        <v>4591</v>
      </c>
      <c r="N1989" s="34" t="s">
        <v>5416</v>
      </c>
      <c r="O1989" s="34">
        <v>0.0</v>
      </c>
      <c r="P1989" s="18">
        <f>VLOOKUP($A1989,MasterData!$C$1:$I$3001,1,FALSE)</f>
        <v>8260</v>
      </c>
      <c r="Q1989" s="34" t="str">
        <f t="shared" si="2"/>
        <v>XIIDKV1</v>
      </c>
    </row>
    <row r="1990" ht="15.75" customHeight="1">
      <c r="A1990" s="15">
        <v>8281.0</v>
      </c>
      <c r="B1990" s="18" t="s">
        <v>9437</v>
      </c>
      <c r="C1990" s="29" t="s">
        <v>9438</v>
      </c>
      <c r="D1990" s="18" t="s">
        <v>9437</v>
      </c>
      <c r="E1990" s="34" t="s">
        <v>4594</v>
      </c>
      <c r="F1990" s="19" t="str">
        <f t="shared" si="1"/>
        <v>XIIDKV1</v>
      </c>
      <c r="G1990" s="19" t="s">
        <v>5408</v>
      </c>
      <c r="H1990" s="20" t="s">
        <v>4223</v>
      </c>
      <c r="I1990" s="19" t="s">
        <v>5409</v>
      </c>
      <c r="J1990" s="19" t="s">
        <v>5410</v>
      </c>
      <c r="K1990" s="21" t="s">
        <v>5415</v>
      </c>
      <c r="L1990" s="35" t="s">
        <v>6007</v>
      </c>
      <c r="M1990" s="29" t="s">
        <v>4593</v>
      </c>
      <c r="N1990" s="34" t="s">
        <v>5416</v>
      </c>
      <c r="O1990" s="34">
        <v>0.0</v>
      </c>
      <c r="P1990" s="18">
        <f>VLOOKUP($A1990,MasterData!$C$1:$I$3001,1,FALSE)</f>
        <v>8281</v>
      </c>
      <c r="Q1990" s="34" t="str">
        <f t="shared" si="2"/>
        <v>XIIDKV1</v>
      </c>
    </row>
    <row r="1991" ht="15.75" customHeight="1">
      <c r="A1991" s="15">
        <v>8284.0</v>
      </c>
      <c r="B1991" s="18" t="s">
        <v>9439</v>
      </c>
      <c r="C1991" s="29" t="s">
        <v>9440</v>
      </c>
      <c r="D1991" s="18" t="s">
        <v>9439</v>
      </c>
      <c r="E1991" s="34" t="s">
        <v>4596</v>
      </c>
      <c r="F1991" s="19" t="str">
        <f t="shared" si="1"/>
        <v>XIIDKV1</v>
      </c>
      <c r="G1991" s="19" t="s">
        <v>5408</v>
      </c>
      <c r="H1991" s="20" t="s">
        <v>4223</v>
      </c>
      <c r="I1991" s="19" t="s">
        <v>5409</v>
      </c>
      <c r="J1991" s="19" t="s">
        <v>5410</v>
      </c>
      <c r="K1991" s="21" t="s">
        <v>5415</v>
      </c>
      <c r="L1991" s="35" t="s">
        <v>6007</v>
      </c>
      <c r="M1991" s="29" t="s">
        <v>4595</v>
      </c>
      <c r="N1991" s="34" t="s">
        <v>5416</v>
      </c>
      <c r="O1991" s="34">
        <v>0.0</v>
      </c>
      <c r="P1991" s="18">
        <f>VLOOKUP($A1991,MasterData!$C$1:$I$3001,1,FALSE)</f>
        <v>8284</v>
      </c>
      <c r="Q1991" s="34" t="str">
        <f t="shared" si="2"/>
        <v>XIIDKV1</v>
      </c>
    </row>
    <row r="1992" ht="15.75" customHeight="1">
      <c r="A1992" s="15">
        <v>8303.0</v>
      </c>
      <c r="B1992" s="18" t="s">
        <v>9441</v>
      </c>
      <c r="C1992" s="29" t="s">
        <v>9442</v>
      </c>
      <c r="D1992" s="18" t="s">
        <v>9441</v>
      </c>
      <c r="E1992" s="34" t="s">
        <v>4598</v>
      </c>
      <c r="F1992" s="19" t="str">
        <f t="shared" si="1"/>
        <v>XIIDKV1</v>
      </c>
      <c r="G1992" s="19" t="s">
        <v>5408</v>
      </c>
      <c r="H1992" s="20" t="s">
        <v>4223</v>
      </c>
      <c r="I1992" s="19" t="s">
        <v>5409</v>
      </c>
      <c r="J1992" s="19" t="s">
        <v>5410</v>
      </c>
      <c r="K1992" s="21" t="s">
        <v>5415</v>
      </c>
      <c r="L1992" s="35" t="s">
        <v>6007</v>
      </c>
      <c r="M1992" s="29" t="s">
        <v>4597</v>
      </c>
      <c r="N1992" s="34" t="s">
        <v>5416</v>
      </c>
      <c r="O1992" s="34">
        <v>0.0</v>
      </c>
      <c r="P1992" s="18">
        <f>VLOOKUP($A1992,MasterData!$C$1:$I$3001,1,FALSE)</f>
        <v>8303</v>
      </c>
      <c r="Q1992" s="34" t="str">
        <f t="shared" si="2"/>
        <v>XIIDKV1</v>
      </c>
    </row>
    <row r="1993" ht="15.75" customHeight="1">
      <c r="A1993" s="15">
        <v>8314.0</v>
      </c>
      <c r="B1993" s="18" t="s">
        <v>9443</v>
      </c>
      <c r="C1993" s="29" t="s">
        <v>9444</v>
      </c>
      <c r="D1993" s="18" t="s">
        <v>9443</v>
      </c>
      <c r="E1993" s="34" t="s">
        <v>4600</v>
      </c>
      <c r="F1993" s="19" t="str">
        <f t="shared" si="1"/>
        <v>XIIDKV1</v>
      </c>
      <c r="G1993" s="19" t="s">
        <v>5408</v>
      </c>
      <c r="H1993" s="20" t="s">
        <v>4223</v>
      </c>
      <c r="I1993" s="19" t="s">
        <v>5409</v>
      </c>
      <c r="J1993" s="19" t="s">
        <v>5410</v>
      </c>
      <c r="K1993" s="21" t="s">
        <v>5415</v>
      </c>
      <c r="L1993" s="35" t="s">
        <v>6007</v>
      </c>
      <c r="M1993" s="29" t="s">
        <v>4599</v>
      </c>
      <c r="N1993" s="34" t="s">
        <v>5416</v>
      </c>
      <c r="O1993" s="34">
        <v>0.0</v>
      </c>
      <c r="P1993" s="18">
        <f>VLOOKUP($A1993,MasterData!$C$1:$I$3001,1,FALSE)</f>
        <v>8314</v>
      </c>
      <c r="Q1993" s="34" t="str">
        <f t="shared" si="2"/>
        <v>XIIDKV1</v>
      </c>
    </row>
    <row r="1994" ht="15.75" customHeight="1">
      <c r="A1994" s="15">
        <v>8317.0</v>
      </c>
      <c r="B1994" s="18" t="s">
        <v>9445</v>
      </c>
      <c r="C1994" s="29" t="s">
        <v>9446</v>
      </c>
      <c r="D1994" s="18" t="s">
        <v>9445</v>
      </c>
      <c r="E1994" s="34" t="s">
        <v>4602</v>
      </c>
      <c r="F1994" s="19" t="str">
        <f t="shared" si="1"/>
        <v>XIIDKV1</v>
      </c>
      <c r="G1994" s="19" t="s">
        <v>5408</v>
      </c>
      <c r="H1994" s="20" t="s">
        <v>4223</v>
      </c>
      <c r="I1994" s="19" t="s">
        <v>5409</v>
      </c>
      <c r="J1994" s="19" t="s">
        <v>5410</v>
      </c>
      <c r="K1994" s="21" t="s">
        <v>5415</v>
      </c>
      <c r="L1994" s="35" t="s">
        <v>6007</v>
      </c>
      <c r="M1994" s="29" t="s">
        <v>4601</v>
      </c>
      <c r="N1994" s="34" t="s">
        <v>5416</v>
      </c>
      <c r="O1994" s="34">
        <v>0.0</v>
      </c>
      <c r="P1994" s="18">
        <f>VLOOKUP($A1994,MasterData!$C$1:$I$3001,1,FALSE)</f>
        <v>8317</v>
      </c>
      <c r="Q1994" s="34" t="str">
        <f t="shared" si="2"/>
        <v>XIIDKV1</v>
      </c>
    </row>
    <row r="1995" ht="15.75" customHeight="1">
      <c r="A1995" s="15">
        <v>8342.0</v>
      </c>
      <c r="B1995" s="18" t="s">
        <v>9447</v>
      </c>
      <c r="C1995" s="29" t="s">
        <v>9448</v>
      </c>
      <c r="D1995" s="18" t="s">
        <v>9447</v>
      </c>
      <c r="E1995" s="34" t="s">
        <v>4604</v>
      </c>
      <c r="F1995" s="19" t="str">
        <f t="shared" si="1"/>
        <v>XIIDKV1</v>
      </c>
      <c r="G1995" s="19" t="s">
        <v>5408</v>
      </c>
      <c r="H1995" s="20" t="s">
        <v>4223</v>
      </c>
      <c r="I1995" s="19" t="s">
        <v>5409</v>
      </c>
      <c r="J1995" s="19" t="s">
        <v>5410</v>
      </c>
      <c r="K1995" s="21" t="s">
        <v>5415</v>
      </c>
      <c r="L1995" s="35" t="s">
        <v>6007</v>
      </c>
      <c r="M1995" s="29" t="s">
        <v>4603</v>
      </c>
      <c r="N1995" s="34" t="s">
        <v>5416</v>
      </c>
      <c r="O1995" s="34">
        <v>0.0</v>
      </c>
      <c r="P1995" s="18">
        <f>VLOOKUP($A1995,MasterData!$C$1:$I$3001,1,FALSE)</f>
        <v>8342</v>
      </c>
      <c r="Q1995" s="34" t="str">
        <f t="shared" si="2"/>
        <v>XIIDKV1</v>
      </c>
    </row>
    <row r="1996" ht="15.75" customHeight="1">
      <c r="A1996" s="15">
        <v>8350.0</v>
      </c>
      <c r="B1996" s="18" t="s">
        <v>9449</v>
      </c>
      <c r="C1996" s="29" t="s">
        <v>9450</v>
      </c>
      <c r="D1996" s="18" t="s">
        <v>9449</v>
      </c>
      <c r="E1996" s="34" t="s">
        <v>4606</v>
      </c>
      <c r="F1996" s="19" t="str">
        <f t="shared" si="1"/>
        <v>XIIDKV1</v>
      </c>
      <c r="G1996" s="19" t="s">
        <v>5408</v>
      </c>
      <c r="H1996" s="20" t="s">
        <v>4223</v>
      </c>
      <c r="I1996" s="19" t="s">
        <v>5409</v>
      </c>
      <c r="J1996" s="19" t="s">
        <v>5410</v>
      </c>
      <c r="K1996" s="21" t="s">
        <v>5415</v>
      </c>
      <c r="L1996" s="35" t="s">
        <v>6007</v>
      </c>
      <c r="M1996" s="29" t="s">
        <v>4605</v>
      </c>
      <c r="N1996" s="34" t="s">
        <v>5416</v>
      </c>
      <c r="O1996" s="34">
        <v>0.0</v>
      </c>
      <c r="P1996" s="18">
        <f>VLOOKUP($A1996,MasterData!$C$1:$I$3001,1,FALSE)</f>
        <v>8350</v>
      </c>
      <c r="Q1996" s="34" t="str">
        <f t="shared" si="2"/>
        <v>XIIDKV1</v>
      </c>
    </row>
    <row r="1997" ht="15.75" customHeight="1">
      <c r="A1997" s="15">
        <v>8391.0</v>
      </c>
      <c r="B1997" s="18" t="s">
        <v>9451</v>
      </c>
      <c r="C1997" s="29" t="s">
        <v>9452</v>
      </c>
      <c r="D1997" s="18" t="s">
        <v>9451</v>
      </c>
      <c r="E1997" s="34" t="s">
        <v>4608</v>
      </c>
      <c r="F1997" s="19" t="str">
        <f t="shared" si="1"/>
        <v>XIIDKV1</v>
      </c>
      <c r="G1997" s="19" t="s">
        <v>5408</v>
      </c>
      <c r="H1997" s="20" t="s">
        <v>4223</v>
      </c>
      <c r="I1997" s="19" t="s">
        <v>5409</v>
      </c>
      <c r="J1997" s="19" t="s">
        <v>5410</v>
      </c>
      <c r="K1997" s="21" t="s">
        <v>5415</v>
      </c>
      <c r="L1997" s="35" t="s">
        <v>6007</v>
      </c>
      <c r="M1997" s="29" t="s">
        <v>4607</v>
      </c>
      <c r="N1997" s="34" t="s">
        <v>5416</v>
      </c>
      <c r="O1997" s="34">
        <v>0.0</v>
      </c>
      <c r="P1997" s="18">
        <f>VLOOKUP($A1997,MasterData!$C$1:$I$3001,1,FALSE)</f>
        <v>8391</v>
      </c>
      <c r="Q1997" s="34" t="str">
        <f t="shared" si="2"/>
        <v>XIIDKV1</v>
      </c>
    </row>
    <row r="1998" ht="15.75" customHeight="1">
      <c r="A1998" s="15">
        <v>8409.0</v>
      </c>
      <c r="B1998" s="18" t="s">
        <v>9453</v>
      </c>
      <c r="C1998" s="29" t="s">
        <v>9454</v>
      </c>
      <c r="D1998" s="18" t="s">
        <v>9453</v>
      </c>
      <c r="E1998" s="34" t="s">
        <v>4610</v>
      </c>
      <c r="F1998" s="19" t="str">
        <f t="shared" si="1"/>
        <v>XIIDKV1</v>
      </c>
      <c r="G1998" s="19" t="s">
        <v>5408</v>
      </c>
      <c r="H1998" s="20" t="s">
        <v>4223</v>
      </c>
      <c r="I1998" s="19" t="s">
        <v>5409</v>
      </c>
      <c r="J1998" s="19" t="s">
        <v>5410</v>
      </c>
      <c r="K1998" s="21" t="s">
        <v>5415</v>
      </c>
      <c r="L1998" s="35" t="s">
        <v>6007</v>
      </c>
      <c r="M1998" s="29" t="s">
        <v>4609</v>
      </c>
      <c r="N1998" s="34" t="s">
        <v>5416</v>
      </c>
      <c r="O1998" s="34">
        <v>0.0</v>
      </c>
      <c r="P1998" s="18">
        <f>VLOOKUP($A1998,MasterData!$C$1:$I$3001,1,FALSE)</f>
        <v>8409</v>
      </c>
      <c r="Q1998" s="34" t="str">
        <f t="shared" si="2"/>
        <v>XIIDKV1</v>
      </c>
    </row>
    <row r="1999" ht="15.75" customHeight="1">
      <c r="A1999" s="15">
        <v>8419.0</v>
      </c>
      <c r="B1999" s="18" t="s">
        <v>9455</v>
      </c>
      <c r="C1999" s="29" t="s">
        <v>9456</v>
      </c>
      <c r="D1999" s="18" t="s">
        <v>9455</v>
      </c>
      <c r="E1999" s="34" t="s">
        <v>4612</v>
      </c>
      <c r="F1999" s="19" t="str">
        <f t="shared" si="1"/>
        <v>XIIDKV1</v>
      </c>
      <c r="G1999" s="19" t="s">
        <v>5408</v>
      </c>
      <c r="H1999" s="20" t="s">
        <v>4223</v>
      </c>
      <c r="I1999" s="19" t="s">
        <v>5409</v>
      </c>
      <c r="J1999" s="19" t="s">
        <v>5410</v>
      </c>
      <c r="K1999" s="21" t="s">
        <v>5415</v>
      </c>
      <c r="L1999" s="35" t="s">
        <v>6007</v>
      </c>
      <c r="M1999" s="29" t="s">
        <v>4611</v>
      </c>
      <c r="N1999" s="34" t="s">
        <v>5416</v>
      </c>
      <c r="O1999" s="34">
        <v>0.0</v>
      </c>
      <c r="P1999" s="18">
        <f>VLOOKUP($A1999,MasterData!$C$1:$I$3001,1,FALSE)</f>
        <v>8419</v>
      </c>
      <c r="Q1999" s="34" t="str">
        <f t="shared" si="2"/>
        <v>XIIDKV1</v>
      </c>
    </row>
    <row r="2000" ht="15.75" customHeight="1">
      <c r="A2000" s="15">
        <v>8445.0</v>
      </c>
      <c r="B2000" s="18" t="s">
        <v>9457</v>
      </c>
      <c r="C2000" s="29" t="s">
        <v>9458</v>
      </c>
      <c r="D2000" s="18" t="s">
        <v>9457</v>
      </c>
      <c r="E2000" s="34" t="s">
        <v>4614</v>
      </c>
      <c r="F2000" s="19" t="str">
        <f t="shared" si="1"/>
        <v>XIIDKV1</v>
      </c>
      <c r="G2000" s="19" t="s">
        <v>5408</v>
      </c>
      <c r="H2000" s="20" t="s">
        <v>4223</v>
      </c>
      <c r="I2000" s="19" t="s">
        <v>5409</v>
      </c>
      <c r="J2000" s="19" t="s">
        <v>5410</v>
      </c>
      <c r="K2000" s="21" t="s">
        <v>5415</v>
      </c>
      <c r="L2000" s="35" t="s">
        <v>6007</v>
      </c>
      <c r="M2000" s="29" t="s">
        <v>4613</v>
      </c>
      <c r="N2000" s="34" t="s">
        <v>5416</v>
      </c>
      <c r="O2000" s="34">
        <v>0.0</v>
      </c>
      <c r="P2000" s="18">
        <f>VLOOKUP($A2000,MasterData!$C$1:$I$3001,1,FALSE)</f>
        <v>8445</v>
      </c>
      <c r="Q2000" s="34" t="str">
        <f t="shared" si="2"/>
        <v>XIIDKV1</v>
      </c>
    </row>
    <row r="2001" ht="15.75" customHeight="1">
      <c r="A2001" s="15">
        <v>8452.0</v>
      </c>
      <c r="B2001" s="18" t="s">
        <v>9459</v>
      </c>
      <c r="C2001" s="29" t="s">
        <v>9460</v>
      </c>
      <c r="D2001" s="18" t="s">
        <v>9459</v>
      </c>
      <c r="E2001" s="34" t="s">
        <v>4616</v>
      </c>
      <c r="F2001" s="19" t="str">
        <f t="shared" si="1"/>
        <v>XIIDKV1</v>
      </c>
      <c r="G2001" s="19" t="s">
        <v>5408</v>
      </c>
      <c r="H2001" s="20" t="s">
        <v>4223</v>
      </c>
      <c r="I2001" s="19" t="s">
        <v>5409</v>
      </c>
      <c r="J2001" s="19" t="s">
        <v>5410</v>
      </c>
      <c r="K2001" s="21" t="s">
        <v>5415</v>
      </c>
      <c r="L2001" s="35" t="s">
        <v>6007</v>
      </c>
      <c r="M2001" s="29" t="s">
        <v>4615</v>
      </c>
      <c r="N2001" s="34" t="s">
        <v>5416</v>
      </c>
      <c r="O2001" s="34">
        <v>0.0</v>
      </c>
      <c r="P2001" s="18">
        <f>VLOOKUP($A2001,MasterData!$C$1:$I$3001,1,FALSE)</f>
        <v>8452</v>
      </c>
      <c r="Q2001" s="34" t="str">
        <f t="shared" si="2"/>
        <v>XIIDKV1</v>
      </c>
    </row>
    <row r="2002" ht="15.75" customHeight="1">
      <c r="A2002" s="15">
        <v>8471.0</v>
      </c>
      <c r="B2002" s="18" t="s">
        <v>9461</v>
      </c>
      <c r="C2002" s="29" t="s">
        <v>9462</v>
      </c>
      <c r="D2002" s="18" t="s">
        <v>9461</v>
      </c>
      <c r="E2002" s="34" t="s">
        <v>4618</v>
      </c>
      <c r="F2002" s="19" t="str">
        <f t="shared" si="1"/>
        <v>XIIDKV1</v>
      </c>
      <c r="G2002" s="19" t="s">
        <v>5408</v>
      </c>
      <c r="H2002" s="20" t="s">
        <v>4223</v>
      </c>
      <c r="I2002" s="19" t="s">
        <v>5409</v>
      </c>
      <c r="J2002" s="19" t="s">
        <v>5410</v>
      </c>
      <c r="K2002" s="21" t="s">
        <v>5415</v>
      </c>
      <c r="L2002" s="35" t="s">
        <v>6007</v>
      </c>
      <c r="M2002" s="29" t="s">
        <v>4617</v>
      </c>
      <c r="N2002" s="34" t="s">
        <v>5416</v>
      </c>
      <c r="O2002" s="34">
        <v>0.0</v>
      </c>
      <c r="P2002" s="18">
        <f>VLOOKUP($A2002,MasterData!$C$1:$I$3001,1,FALSE)</f>
        <v>8471</v>
      </c>
      <c r="Q2002" s="34" t="str">
        <f t="shared" si="2"/>
        <v>XIIDKV1</v>
      </c>
    </row>
    <row r="2003" ht="15.75" customHeight="1">
      <c r="A2003" s="15">
        <v>8481.0</v>
      </c>
      <c r="B2003" s="18" t="s">
        <v>9463</v>
      </c>
      <c r="C2003" s="29" t="s">
        <v>9464</v>
      </c>
      <c r="D2003" s="18" t="s">
        <v>9463</v>
      </c>
      <c r="E2003" s="34" t="s">
        <v>4620</v>
      </c>
      <c r="F2003" s="19" t="str">
        <f t="shared" si="1"/>
        <v>XIIDKV1</v>
      </c>
      <c r="G2003" s="19" t="s">
        <v>5408</v>
      </c>
      <c r="H2003" s="20" t="s">
        <v>4223</v>
      </c>
      <c r="I2003" s="19" t="s">
        <v>5409</v>
      </c>
      <c r="J2003" s="19" t="s">
        <v>5410</v>
      </c>
      <c r="K2003" s="21" t="s">
        <v>5415</v>
      </c>
      <c r="L2003" s="35" t="s">
        <v>6007</v>
      </c>
      <c r="M2003" s="29" t="s">
        <v>4619</v>
      </c>
      <c r="N2003" s="34" t="s">
        <v>5416</v>
      </c>
      <c r="O2003" s="34">
        <v>0.0</v>
      </c>
      <c r="P2003" s="18">
        <f>VLOOKUP($A2003,MasterData!$C$1:$I$3001,1,FALSE)</f>
        <v>8481</v>
      </c>
      <c r="Q2003" s="34" t="str">
        <f t="shared" si="2"/>
        <v>XIIDKV1</v>
      </c>
    </row>
    <row r="2004" ht="15.75" customHeight="1">
      <c r="A2004" s="15">
        <v>8511.0</v>
      </c>
      <c r="B2004" s="18" t="s">
        <v>9465</v>
      </c>
      <c r="C2004" s="29" t="s">
        <v>9466</v>
      </c>
      <c r="D2004" s="18" t="s">
        <v>9465</v>
      </c>
      <c r="E2004" s="34" t="s">
        <v>4622</v>
      </c>
      <c r="F2004" s="19" t="str">
        <f t="shared" si="1"/>
        <v>XIIDKV1</v>
      </c>
      <c r="G2004" s="19" t="s">
        <v>5408</v>
      </c>
      <c r="H2004" s="20" t="s">
        <v>4223</v>
      </c>
      <c r="I2004" s="19" t="s">
        <v>5409</v>
      </c>
      <c r="J2004" s="19" t="s">
        <v>5410</v>
      </c>
      <c r="K2004" s="21" t="s">
        <v>5415</v>
      </c>
      <c r="L2004" s="35" t="s">
        <v>6007</v>
      </c>
      <c r="M2004" s="29" t="s">
        <v>4621</v>
      </c>
      <c r="N2004" s="34" t="s">
        <v>5416</v>
      </c>
      <c r="O2004" s="34">
        <v>0.0</v>
      </c>
      <c r="P2004" s="18">
        <f>VLOOKUP($A2004,MasterData!$C$1:$I$3001,1,FALSE)</f>
        <v>8511</v>
      </c>
      <c r="Q2004" s="34" t="str">
        <f t="shared" si="2"/>
        <v>XIIDKV1</v>
      </c>
    </row>
    <row r="2005" ht="15.75" customHeight="1">
      <c r="A2005" s="15">
        <v>8512.0</v>
      </c>
      <c r="B2005" s="18" t="s">
        <v>9467</v>
      </c>
      <c r="C2005" s="29" t="s">
        <v>9468</v>
      </c>
      <c r="D2005" s="18" t="s">
        <v>9467</v>
      </c>
      <c r="E2005" s="34" t="s">
        <v>4624</v>
      </c>
      <c r="F2005" s="19" t="str">
        <f t="shared" si="1"/>
        <v>XIIDKV1</v>
      </c>
      <c r="G2005" s="19" t="s">
        <v>5408</v>
      </c>
      <c r="H2005" s="20" t="s">
        <v>4223</v>
      </c>
      <c r="I2005" s="19" t="s">
        <v>5409</v>
      </c>
      <c r="J2005" s="19" t="s">
        <v>5410</v>
      </c>
      <c r="K2005" s="21" t="s">
        <v>5415</v>
      </c>
      <c r="L2005" s="35" t="s">
        <v>6007</v>
      </c>
      <c r="M2005" s="29" t="s">
        <v>4623</v>
      </c>
      <c r="N2005" s="34" t="s">
        <v>5416</v>
      </c>
      <c r="O2005" s="34">
        <v>0.0</v>
      </c>
      <c r="P2005" s="18">
        <f>VLOOKUP($A2005,MasterData!$C$1:$I$3001,1,FALSE)</f>
        <v>8512</v>
      </c>
      <c r="Q2005" s="34" t="str">
        <f t="shared" si="2"/>
        <v>XIIDKV1</v>
      </c>
    </row>
    <row r="2006" ht="15.75" customHeight="1">
      <c r="A2006" s="15">
        <v>8561.0</v>
      </c>
      <c r="B2006" s="18" t="s">
        <v>9469</v>
      </c>
      <c r="C2006" s="29" t="s">
        <v>9470</v>
      </c>
      <c r="D2006" s="18" t="s">
        <v>9469</v>
      </c>
      <c r="E2006" s="34" t="s">
        <v>4626</v>
      </c>
      <c r="F2006" s="19" t="str">
        <f t="shared" si="1"/>
        <v>XIIDKV1</v>
      </c>
      <c r="G2006" s="19" t="s">
        <v>5408</v>
      </c>
      <c r="H2006" s="20" t="s">
        <v>4223</v>
      </c>
      <c r="I2006" s="19" t="s">
        <v>5409</v>
      </c>
      <c r="J2006" s="19" t="s">
        <v>5410</v>
      </c>
      <c r="K2006" s="21" t="s">
        <v>5415</v>
      </c>
      <c r="L2006" s="35" t="s">
        <v>6007</v>
      </c>
      <c r="M2006" s="29" t="s">
        <v>4625</v>
      </c>
      <c r="N2006" s="34" t="s">
        <v>5416</v>
      </c>
      <c r="O2006" s="34">
        <v>0.0</v>
      </c>
      <c r="P2006" s="18">
        <f>VLOOKUP($A2006,MasterData!$C$1:$I$3001,1,FALSE)</f>
        <v>8561</v>
      </c>
      <c r="Q2006" s="34" t="str">
        <f t="shared" si="2"/>
        <v>XIIDKV1</v>
      </c>
    </row>
    <row r="2007" ht="15.75" customHeight="1">
      <c r="A2007" s="15">
        <v>8579.0</v>
      </c>
      <c r="B2007" s="18" t="s">
        <v>9471</v>
      </c>
      <c r="C2007" s="29" t="s">
        <v>9472</v>
      </c>
      <c r="D2007" s="18" t="s">
        <v>9471</v>
      </c>
      <c r="E2007" s="34" t="s">
        <v>4628</v>
      </c>
      <c r="F2007" s="19" t="str">
        <f t="shared" si="1"/>
        <v>XIIDKV1</v>
      </c>
      <c r="G2007" s="19" t="s">
        <v>5408</v>
      </c>
      <c r="H2007" s="20" t="s">
        <v>4223</v>
      </c>
      <c r="I2007" s="19" t="s">
        <v>5409</v>
      </c>
      <c r="J2007" s="19" t="s">
        <v>5410</v>
      </c>
      <c r="K2007" s="21" t="s">
        <v>5415</v>
      </c>
      <c r="L2007" s="35" t="s">
        <v>6007</v>
      </c>
      <c r="M2007" s="29" t="s">
        <v>4627</v>
      </c>
      <c r="N2007" s="34" t="s">
        <v>5416</v>
      </c>
      <c r="O2007" s="34">
        <v>0.0</v>
      </c>
      <c r="P2007" s="18">
        <f>VLOOKUP($A2007,MasterData!$C$1:$I$3001,1,FALSE)</f>
        <v>8579</v>
      </c>
      <c r="Q2007" s="34" t="str">
        <f t="shared" si="2"/>
        <v>XIIDKV1</v>
      </c>
    </row>
    <row r="2008" ht="15.75" customHeight="1">
      <c r="A2008" s="15">
        <v>8588.0</v>
      </c>
      <c r="B2008" s="18" t="s">
        <v>9473</v>
      </c>
      <c r="C2008" s="29" t="s">
        <v>9474</v>
      </c>
      <c r="D2008" s="18" t="s">
        <v>9473</v>
      </c>
      <c r="E2008" s="34" t="s">
        <v>4630</v>
      </c>
      <c r="F2008" s="19" t="str">
        <f t="shared" si="1"/>
        <v>XIIDKV1</v>
      </c>
      <c r="G2008" s="19" t="s">
        <v>5408</v>
      </c>
      <c r="H2008" s="20" t="s">
        <v>4223</v>
      </c>
      <c r="I2008" s="19" t="s">
        <v>5409</v>
      </c>
      <c r="J2008" s="19" t="s">
        <v>5410</v>
      </c>
      <c r="K2008" s="21" t="s">
        <v>5415</v>
      </c>
      <c r="L2008" s="35" t="s">
        <v>6007</v>
      </c>
      <c r="M2008" s="29" t="s">
        <v>4629</v>
      </c>
      <c r="N2008" s="34" t="s">
        <v>5416</v>
      </c>
      <c r="O2008" s="34">
        <v>0.0</v>
      </c>
      <c r="P2008" s="18">
        <f>VLOOKUP($A2008,MasterData!$C$1:$I$3001,1,FALSE)</f>
        <v>8588</v>
      </c>
      <c r="Q2008" s="34" t="str">
        <f t="shared" si="2"/>
        <v>XIIDKV1</v>
      </c>
    </row>
    <row r="2009" ht="15.75" customHeight="1">
      <c r="A2009" s="15">
        <v>8599.0</v>
      </c>
      <c r="B2009" s="18" t="s">
        <v>9475</v>
      </c>
      <c r="C2009" s="29" t="s">
        <v>9476</v>
      </c>
      <c r="D2009" s="18" t="s">
        <v>9475</v>
      </c>
      <c r="E2009" s="34" t="s">
        <v>4632</v>
      </c>
      <c r="F2009" s="19" t="str">
        <f t="shared" si="1"/>
        <v>XIIDKV1</v>
      </c>
      <c r="G2009" s="19" t="s">
        <v>5408</v>
      </c>
      <c r="H2009" s="20" t="s">
        <v>4223</v>
      </c>
      <c r="I2009" s="19" t="s">
        <v>5409</v>
      </c>
      <c r="J2009" s="19" t="s">
        <v>5410</v>
      </c>
      <c r="K2009" s="21" t="s">
        <v>5415</v>
      </c>
      <c r="L2009" s="35" t="s">
        <v>6007</v>
      </c>
      <c r="M2009" s="29" t="s">
        <v>4631</v>
      </c>
      <c r="N2009" s="34" t="s">
        <v>5416</v>
      </c>
      <c r="O2009" s="34">
        <v>0.0</v>
      </c>
      <c r="P2009" s="18">
        <f>VLOOKUP($A2009,MasterData!$C$1:$I$3001,1,FALSE)</f>
        <v>8599</v>
      </c>
      <c r="Q2009" s="34" t="str">
        <f t="shared" si="2"/>
        <v>XIIDKV1</v>
      </c>
    </row>
    <row r="2010" ht="15.75" customHeight="1">
      <c r="A2010" s="15">
        <v>8603.0</v>
      </c>
      <c r="B2010" s="18" t="s">
        <v>9477</v>
      </c>
      <c r="C2010" s="29" t="s">
        <v>9478</v>
      </c>
      <c r="D2010" s="18" t="s">
        <v>9477</v>
      </c>
      <c r="E2010" s="34" t="s">
        <v>4634</v>
      </c>
      <c r="F2010" s="19" t="str">
        <f t="shared" si="1"/>
        <v>XIIDKV1</v>
      </c>
      <c r="G2010" s="19" t="s">
        <v>5408</v>
      </c>
      <c r="H2010" s="20" t="s">
        <v>4223</v>
      </c>
      <c r="I2010" s="19" t="s">
        <v>5409</v>
      </c>
      <c r="J2010" s="19" t="s">
        <v>5410</v>
      </c>
      <c r="K2010" s="21" t="s">
        <v>5415</v>
      </c>
      <c r="L2010" s="35" t="s">
        <v>6007</v>
      </c>
      <c r="M2010" s="29" t="s">
        <v>4633</v>
      </c>
      <c r="N2010" s="34" t="s">
        <v>5416</v>
      </c>
      <c r="O2010" s="34">
        <v>0.0</v>
      </c>
      <c r="P2010" s="18">
        <f>VLOOKUP($A2010,MasterData!$C$1:$I$3001,1,FALSE)</f>
        <v>8603</v>
      </c>
      <c r="Q2010" s="34" t="str">
        <f t="shared" si="2"/>
        <v>XIIDKV1</v>
      </c>
    </row>
    <row r="2011" ht="15.75" customHeight="1">
      <c r="A2011" s="15">
        <v>8617.0</v>
      </c>
      <c r="B2011" s="18" t="s">
        <v>9479</v>
      </c>
      <c r="C2011" s="29" t="s">
        <v>9480</v>
      </c>
      <c r="D2011" s="18" t="s">
        <v>9479</v>
      </c>
      <c r="E2011" s="34" t="s">
        <v>4636</v>
      </c>
      <c r="F2011" s="19" t="str">
        <f t="shared" si="1"/>
        <v>XIIDKV1</v>
      </c>
      <c r="G2011" s="19" t="s">
        <v>5408</v>
      </c>
      <c r="H2011" s="20" t="s">
        <v>4223</v>
      </c>
      <c r="I2011" s="19" t="s">
        <v>5409</v>
      </c>
      <c r="J2011" s="19" t="s">
        <v>5410</v>
      </c>
      <c r="K2011" s="21" t="s">
        <v>5415</v>
      </c>
      <c r="L2011" s="35" t="s">
        <v>6007</v>
      </c>
      <c r="M2011" s="29" t="s">
        <v>4635</v>
      </c>
      <c r="N2011" s="34" t="s">
        <v>5416</v>
      </c>
      <c r="O2011" s="34">
        <v>0.0</v>
      </c>
      <c r="P2011" s="18">
        <f>VLOOKUP($A2011,MasterData!$C$1:$I$3001,1,FALSE)</f>
        <v>8617</v>
      </c>
      <c r="Q2011" s="34" t="str">
        <f t="shared" si="2"/>
        <v>XIIDKV1</v>
      </c>
    </row>
    <row r="2012" ht="15.75" customHeight="1">
      <c r="A2012" s="15">
        <v>8631.0</v>
      </c>
      <c r="B2012" s="18" t="s">
        <v>9481</v>
      </c>
      <c r="C2012" s="29" t="s">
        <v>9482</v>
      </c>
      <c r="D2012" s="18" t="s">
        <v>9481</v>
      </c>
      <c r="E2012" s="34" t="s">
        <v>4638</v>
      </c>
      <c r="F2012" s="19" t="str">
        <f t="shared" si="1"/>
        <v>XIIDKV1</v>
      </c>
      <c r="G2012" s="19" t="s">
        <v>5408</v>
      </c>
      <c r="H2012" s="20" t="s">
        <v>4223</v>
      </c>
      <c r="I2012" s="19" t="s">
        <v>5409</v>
      </c>
      <c r="J2012" s="19" t="s">
        <v>5410</v>
      </c>
      <c r="K2012" s="21" t="s">
        <v>5415</v>
      </c>
      <c r="L2012" s="35" t="s">
        <v>6007</v>
      </c>
      <c r="M2012" s="29" t="s">
        <v>4637</v>
      </c>
      <c r="N2012" s="34" t="s">
        <v>5416</v>
      </c>
      <c r="O2012" s="34">
        <v>0.0</v>
      </c>
      <c r="P2012" s="18">
        <f>VLOOKUP($A2012,MasterData!$C$1:$I$3001,1,FALSE)</f>
        <v>8631</v>
      </c>
      <c r="Q2012" s="34" t="str">
        <f t="shared" si="2"/>
        <v>XIIDKV1</v>
      </c>
    </row>
    <row r="2013" ht="15.75" customHeight="1">
      <c r="A2013" s="15">
        <v>8036.0</v>
      </c>
      <c r="B2013" s="18" t="s">
        <v>9483</v>
      </c>
      <c r="C2013" s="29" t="s">
        <v>9484</v>
      </c>
      <c r="D2013" s="18" t="s">
        <v>9483</v>
      </c>
      <c r="E2013" s="34" t="s">
        <v>4640</v>
      </c>
      <c r="F2013" s="19" t="str">
        <f t="shared" si="1"/>
        <v>XIIDKV2</v>
      </c>
      <c r="G2013" s="19" t="s">
        <v>5408</v>
      </c>
      <c r="H2013" s="20" t="s">
        <v>4223</v>
      </c>
      <c r="I2013" s="19" t="s">
        <v>5409</v>
      </c>
      <c r="J2013" s="19" t="s">
        <v>5410</v>
      </c>
      <c r="K2013" s="21" t="s">
        <v>5415</v>
      </c>
      <c r="L2013" s="35" t="s">
        <v>6116</v>
      </c>
      <c r="M2013" s="29" t="s">
        <v>4639</v>
      </c>
      <c r="N2013" s="34" t="s">
        <v>5416</v>
      </c>
      <c r="O2013" s="34">
        <v>0.0</v>
      </c>
      <c r="P2013" s="18">
        <f>VLOOKUP($A2013,MasterData!$C$1:$I$3001,1,FALSE)</f>
        <v>8036</v>
      </c>
      <c r="Q2013" s="34" t="str">
        <f t="shared" si="2"/>
        <v>XIIDKV2</v>
      </c>
    </row>
    <row r="2014" ht="15.75" customHeight="1">
      <c r="A2014" s="15">
        <v>8041.0</v>
      </c>
      <c r="B2014" s="18" t="s">
        <v>9485</v>
      </c>
      <c r="C2014" s="29" t="s">
        <v>9486</v>
      </c>
      <c r="D2014" s="18" t="s">
        <v>9485</v>
      </c>
      <c r="E2014" s="34" t="s">
        <v>4642</v>
      </c>
      <c r="F2014" s="19" t="str">
        <f t="shared" si="1"/>
        <v>XIIDKV2</v>
      </c>
      <c r="G2014" s="19" t="s">
        <v>5408</v>
      </c>
      <c r="H2014" s="20" t="s">
        <v>4223</v>
      </c>
      <c r="I2014" s="19" t="s">
        <v>5409</v>
      </c>
      <c r="J2014" s="19" t="s">
        <v>5410</v>
      </c>
      <c r="K2014" s="21" t="s">
        <v>5415</v>
      </c>
      <c r="L2014" s="35" t="s">
        <v>6116</v>
      </c>
      <c r="M2014" s="29" t="s">
        <v>4641</v>
      </c>
      <c r="N2014" s="34" t="s">
        <v>5416</v>
      </c>
      <c r="O2014" s="34">
        <v>0.0</v>
      </c>
      <c r="P2014" s="18">
        <f>VLOOKUP($A2014,MasterData!$C$1:$I$3001,1,FALSE)</f>
        <v>8041</v>
      </c>
      <c r="Q2014" s="34" t="str">
        <f t="shared" si="2"/>
        <v>XIIDKV2</v>
      </c>
    </row>
    <row r="2015" ht="15.75" customHeight="1">
      <c r="A2015" s="15">
        <v>8054.0</v>
      </c>
      <c r="B2015" s="18" t="s">
        <v>9487</v>
      </c>
      <c r="C2015" s="29" t="s">
        <v>9488</v>
      </c>
      <c r="D2015" s="18" t="s">
        <v>9487</v>
      </c>
      <c r="E2015" s="34" t="s">
        <v>4644</v>
      </c>
      <c r="F2015" s="19" t="str">
        <f t="shared" si="1"/>
        <v>XIIDKV2</v>
      </c>
      <c r="G2015" s="19" t="s">
        <v>5408</v>
      </c>
      <c r="H2015" s="20" t="s">
        <v>4223</v>
      </c>
      <c r="I2015" s="19" t="s">
        <v>5409</v>
      </c>
      <c r="J2015" s="19" t="s">
        <v>5410</v>
      </c>
      <c r="K2015" s="21" t="s">
        <v>5415</v>
      </c>
      <c r="L2015" s="35" t="s">
        <v>6116</v>
      </c>
      <c r="M2015" s="29" t="s">
        <v>4643</v>
      </c>
      <c r="N2015" s="34" t="s">
        <v>5416</v>
      </c>
      <c r="O2015" s="34">
        <v>0.0</v>
      </c>
      <c r="P2015" s="18">
        <f>VLOOKUP($A2015,MasterData!$C$1:$I$3001,1,FALSE)</f>
        <v>8054</v>
      </c>
      <c r="Q2015" s="34" t="str">
        <f t="shared" si="2"/>
        <v>XIIDKV2</v>
      </c>
    </row>
    <row r="2016" ht="15.75" customHeight="1">
      <c r="A2016" s="15">
        <v>8058.0</v>
      </c>
      <c r="B2016" s="18" t="s">
        <v>9489</v>
      </c>
      <c r="C2016" s="29" t="s">
        <v>9490</v>
      </c>
      <c r="D2016" s="18" t="s">
        <v>9489</v>
      </c>
      <c r="E2016" s="34" t="s">
        <v>4646</v>
      </c>
      <c r="F2016" s="19" t="str">
        <f t="shared" si="1"/>
        <v>XIIDKV2</v>
      </c>
      <c r="G2016" s="19" t="s">
        <v>5408</v>
      </c>
      <c r="H2016" s="20" t="s">
        <v>4223</v>
      </c>
      <c r="I2016" s="19" t="s">
        <v>5409</v>
      </c>
      <c r="J2016" s="19" t="s">
        <v>5410</v>
      </c>
      <c r="K2016" s="21" t="s">
        <v>5415</v>
      </c>
      <c r="L2016" s="35" t="s">
        <v>6116</v>
      </c>
      <c r="M2016" s="29" t="s">
        <v>4645</v>
      </c>
      <c r="N2016" s="34" t="s">
        <v>5416</v>
      </c>
      <c r="O2016" s="34">
        <v>0.0</v>
      </c>
      <c r="P2016" s="18">
        <f>VLOOKUP($A2016,MasterData!$C$1:$I$3001,1,FALSE)</f>
        <v>8058</v>
      </c>
      <c r="Q2016" s="34" t="str">
        <f t="shared" si="2"/>
        <v>XIIDKV2</v>
      </c>
    </row>
    <row r="2017" ht="15.75" customHeight="1">
      <c r="A2017" s="15">
        <v>8085.0</v>
      </c>
      <c r="B2017" s="18" t="s">
        <v>9491</v>
      </c>
      <c r="C2017" s="29" t="s">
        <v>9492</v>
      </c>
      <c r="D2017" s="18" t="s">
        <v>9491</v>
      </c>
      <c r="E2017" s="34" t="s">
        <v>4648</v>
      </c>
      <c r="F2017" s="19" t="str">
        <f t="shared" si="1"/>
        <v>XIIDKV2</v>
      </c>
      <c r="G2017" s="19" t="s">
        <v>5408</v>
      </c>
      <c r="H2017" s="20" t="s">
        <v>4223</v>
      </c>
      <c r="I2017" s="19" t="s">
        <v>5409</v>
      </c>
      <c r="J2017" s="19" t="s">
        <v>5410</v>
      </c>
      <c r="K2017" s="21" t="s">
        <v>5415</v>
      </c>
      <c r="L2017" s="35" t="s">
        <v>6116</v>
      </c>
      <c r="M2017" s="29" t="s">
        <v>4647</v>
      </c>
      <c r="N2017" s="34" t="s">
        <v>5416</v>
      </c>
      <c r="O2017" s="34">
        <v>0.0</v>
      </c>
      <c r="P2017" s="18">
        <f>VLOOKUP($A2017,MasterData!$C$1:$I$3001,1,FALSE)</f>
        <v>8085</v>
      </c>
      <c r="Q2017" s="34" t="str">
        <f t="shared" si="2"/>
        <v>XIIDKV2</v>
      </c>
    </row>
    <row r="2018" ht="15.75" customHeight="1">
      <c r="A2018" s="15">
        <v>8141.0</v>
      </c>
      <c r="B2018" s="18" t="s">
        <v>9493</v>
      </c>
      <c r="C2018" s="29" t="s">
        <v>9494</v>
      </c>
      <c r="D2018" s="18" t="s">
        <v>9493</v>
      </c>
      <c r="E2018" s="34" t="s">
        <v>4650</v>
      </c>
      <c r="F2018" s="19" t="str">
        <f t="shared" si="1"/>
        <v>XIIDKV2</v>
      </c>
      <c r="G2018" s="19" t="s">
        <v>5408</v>
      </c>
      <c r="H2018" s="20" t="s">
        <v>4223</v>
      </c>
      <c r="I2018" s="19" t="s">
        <v>5409</v>
      </c>
      <c r="J2018" s="19" t="s">
        <v>5410</v>
      </c>
      <c r="K2018" s="21" t="s">
        <v>5415</v>
      </c>
      <c r="L2018" s="35" t="s">
        <v>6116</v>
      </c>
      <c r="M2018" s="29" t="s">
        <v>4649</v>
      </c>
      <c r="N2018" s="34" t="s">
        <v>5416</v>
      </c>
      <c r="O2018" s="34">
        <v>0.0</v>
      </c>
      <c r="P2018" s="18">
        <f>VLOOKUP($A2018,MasterData!$C$1:$I$3001,1,FALSE)</f>
        <v>8141</v>
      </c>
      <c r="Q2018" s="34" t="str">
        <f t="shared" si="2"/>
        <v>XIIDKV2</v>
      </c>
    </row>
    <row r="2019" ht="15.75" customHeight="1">
      <c r="A2019" s="15">
        <v>8146.0</v>
      </c>
      <c r="B2019" s="18" t="s">
        <v>9495</v>
      </c>
      <c r="C2019" s="29" t="s">
        <v>9496</v>
      </c>
      <c r="D2019" s="18" t="s">
        <v>9495</v>
      </c>
      <c r="E2019" s="34" t="s">
        <v>4652</v>
      </c>
      <c r="F2019" s="19" t="str">
        <f t="shared" si="1"/>
        <v>XIIDKV2</v>
      </c>
      <c r="G2019" s="19" t="s">
        <v>5408</v>
      </c>
      <c r="H2019" s="20" t="s">
        <v>4223</v>
      </c>
      <c r="I2019" s="19" t="s">
        <v>5409</v>
      </c>
      <c r="J2019" s="19" t="s">
        <v>5410</v>
      </c>
      <c r="K2019" s="21" t="s">
        <v>5415</v>
      </c>
      <c r="L2019" s="35" t="s">
        <v>6116</v>
      </c>
      <c r="M2019" s="29" t="s">
        <v>4651</v>
      </c>
      <c r="N2019" s="34" t="s">
        <v>5416</v>
      </c>
      <c r="O2019" s="34">
        <v>0.0</v>
      </c>
      <c r="P2019" s="18">
        <f>VLOOKUP($A2019,MasterData!$C$1:$I$3001,1,FALSE)</f>
        <v>8146</v>
      </c>
      <c r="Q2019" s="34" t="str">
        <f t="shared" si="2"/>
        <v>XIIDKV2</v>
      </c>
    </row>
    <row r="2020" ht="15.75" customHeight="1">
      <c r="A2020" s="15">
        <v>8189.0</v>
      </c>
      <c r="B2020" s="18" t="s">
        <v>9497</v>
      </c>
      <c r="C2020" s="29" t="s">
        <v>9498</v>
      </c>
      <c r="D2020" s="18" t="s">
        <v>9497</v>
      </c>
      <c r="E2020" s="34" t="s">
        <v>4654</v>
      </c>
      <c r="F2020" s="19" t="str">
        <f t="shared" si="1"/>
        <v>XIIDKV2</v>
      </c>
      <c r="G2020" s="19" t="s">
        <v>5408</v>
      </c>
      <c r="H2020" s="20" t="s">
        <v>4223</v>
      </c>
      <c r="I2020" s="19" t="s">
        <v>5409</v>
      </c>
      <c r="J2020" s="19" t="s">
        <v>5410</v>
      </c>
      <c r="K2020" s="21" t="s">
        <v>5415</v>
      </c>
      <c r="L2020" s="35" t="s">
        <v>6116</v>
      </c>
      <c r="M2020" s="29" t="s">
        <v>4653</v>
      </c>
      <c r="N2020" s="34" t="s">
        <v>5416</v>
      </c>
      <c r="O2020" s="34">
        <v>0.0</v>
      </c>
      <c r="P2020" s="18">
        <f>VLOOKUP($A2020,MasterData!$C$1:$I$3001,1,FALSE)</f>
        <v>8189</v>
      </c>
      <c r="Q2020" s="34" t="str">
        <f t="shared" si="2"/>
        <v>XIIDKV2</v>
      </c>
    </row>
    <row r="2021" ht="15.75" customHeight="1">
      <c r="A2021" s="15">
        <v>8204.0</v>
      </c>
      <c r="B2021" s="18" t="s">
        <v>9499</v>
      </c>
      <c r="C2021" s="29" t="s">
        <v>9500</v>
      </c>
      <c r="D2021" s="18" t="s">
        <v>9499</v>
      </c>
      <c r="E2021" s="34" t="s">
        <v>4656</v>
      </c>
      <c r="F2021" s="19" t="str">
        <f t="shared" si="1"/>
        <v>XIIDKV2</v>
      </c>
      <c r="G2021" s="19" t="s">
        <v>5408</v>
      </c>
      <c r="H2021" s="20" t="s">
        <v>4223</v>
      </c>
      <c r="I2021" s="19" t="s">
        <v>5409</v>
      </c>
      <c r="J2021" s="19" t="s">
        <v>5410</v>
      </c>
      <c r="K2021" s="21" t="s">
        <v>5415</v>
      </c>
      <c r="L2021" s="35" t="s">
        <v>6116</v>
      </c>
      <c r="M2021" s="29" t="s">
        <v>4655</v>
      </c>
      <c r="N2021" s="34" t="s">
        <v>5416</v>
      </c>
      <c r="O2021" s="34">
        <v>0.0</v>
      </c>
      <c r="P2021" s="18">
        <f>VLOOKUP($A2021,MasterData!$C$1:$I$3001,1,FALSE)</f>
        <v>8204</v>
      </c>
      <c r="Q2021" s="34" t="str">
        <f t="shared" si="2"/>
        <v>XIIDKV2</v>
      </c>
    </row>
    <row r="2022" ht="15.75" customHeight="1">
      <c r="A2022" s="15">
        <v>8215.0</v>
      </c>
      <c r="B2022" s="18" t="s">
        <v>9501</v>
      </c>
      <c r="C2022" s="29" t="s">
        <v>9502</v>
      </c>
      <c r="D2022" s="18" t="s">
        <v>9501</v>
      </c>
      <c r="E2022" s="34" t="s">
        <v>4658</v>
      </c>
      <c r="F2022" s="19" t="str">
        <f t="shared" si="1"/>
        <v>XIIDKV2</v>
      </c>
      <c r="G2022" s="19" t="s">
        <v>5408</v>
      </c>
      <c r="H2022" s="20" t="s">
        <v>4223</v>
      </c>
      <c r="I2022" s="19" t="s">
        <v>5409</v>
      </c>
      <c r="J2022" s="19" t="s">
        <v>5410</v>
      </c>
      <c r="K2022" s="21" t="s">
        <v>5415</v>
      </c>
      <c r="L2022" s="35" t="s">
        <v>6116</v>
      </c>
      <c r="M2022" s="29" t="s">
        <v>4657</v>
      </c>
      <c r="N2022" s="34" t="s">
        <v>5416</v>
      </c>
      <c r="O2022" s="34">
        <v>0.0</v>
      </c>
      <c r="P2022" s="18">
        <f>VLOOKUP($A2022,MasterData!$C$1:$I$3001,1,FALSE)</f>
        <v>8215</v>
      </c>
      <c r="Q2022" s="34" t="str">
        <f t="shared" si="2"/>
        <v>XIIDKV2</v>
      </c>
    </row>
    <row r="2023" ht="15.75" customHeight="1">
      <c r="A2023" s="15">
        <v>8244.0</v>
      </c>
      <c r="B2023" s="18" t="s">
        <v>9503</v>
      </c>
      <c r="C2023" s="29" t="s">
        <v>9504</v>
      </c>
      <c r="D2023" s="18" t="s">
        <v>9503</v>
      </c>
      <c r="E2023" s="34" t="s">
        <v>4660</v>
      </c>
      <c r="F2023" s="19" t="str">
        <f t="shared" si="1"/>
        <v>XIIDKV2</v>
      </c>
      <c r="G2023" s="19" t="s">
        <v>5408</v>
      </c>
      <c r="H2023" s="20" t="s">
        <v>4223</v>
      </c>
      <c r="I2023" s="19" t="s">
        <v>5409</v>
      </c>
      <c r="J2023" s="19" t="s">
        <v>5410</v>
      </c>
      <c r="K2023" s="21" t="s">
        <v>5415</v>
      </c>
      <c r="L2023" s="35" t="s">
        <v>6116</v>
      </c>
      <c r="M2023" s="29" t="s">
        <v>4659</v>
      </c>
      <c r="N2023" s="34" t="s">
        <v>5416</v>
      </c>
      <c r="O2023" s="34">
        <v>0.0</v>
      </c>
      <c r="P2023" s="18">
        <f>VLOOKUP($A2023,MasterData!$C$1:$I$3001,1,FALSE)</f>
        <v>8244</v>
      </c>
      <c r="Q2023" s="34" t="str">
        <f t="shared" si="2"/>
        <v>XIIDKV2</v>
      </c>
    </row>
    <row r="2024" ht="15.75" customHeight="1">
      <c r="A2024" s="15">
        <v>8245.0</v>
      </c>
      <c r="B2024" s="18" t="s">
        <v>9505</v>
      </c>
      <c r="C2024" s="29" t="s">
        <v>9506</v>
      </c>
      <c r="D2024" s="18" t="s">
        <v>9505</v>
      </c>
      <c r="E2024" s="34" t="s">
        <v>4662</v>
      </c>
      <c r="F2024" s="19" t="str">
        <f t="shared" si="1"/>
        <v>XIIDKV2</v>
      </c>
      <c r="G2024" s="19" t="s">
        <v>5408</v>
      </c>
      <c r="H2024" s="20" t="s">
        <v>4223</v>
      </c>
      <c r="I2024" s="19" t="s">
        <v>5409</v>
      </c>
      <c r="J2024" s="19" t="s">
        <v>5410</v>
      </c>
      <c r="K2024" s="21" t="s">
        <v>5415</v>
      </c>
      <c r="L2024" s="35" t="s">
        <v>6116</v>
      </c>
      <c r="M2024" s="29" t="s">
        <v>4661</v>
      </c>
      <c r="N2024" s="34" t="s">
        <v>5416</v>
      </c>
      <c r="O2024" s="34">
        <v>0.0</v>
      </c>
      <c r="P2024" s="18">
        <f>VLOOKUP($A2024,MasterData!$C$1:$I$3001,1,FALSE)</f>
        <v>8245</v>
      </c>
      <c r="Q2024" s="34" t="str">
        <f t="shared" si="2"/>
        <v>XIIDKV2</v>
      </c>
    </row>
    <row r="2025" ht="15.75" customHeight="1">
      <c r="A2025" s="15">
        <v>8276.0</v>
      </c>
      <c r="B2025" s="18" t="s">
        <v>9507</v>
      </c>
      <c r="C2025" s="29" t="s">
        <v>9508</v>
      </c>
      <c r="D2025" s="18" t="s">
        <v>9507</v>
      </c>
      <c r="E2025" s="34" t="s">
        <v>4663</v>
      </c>
      <c r="F2025" s="19" t="str">
        <f t="shared" si="1"/>
        <v>XIIDKV2</v>
      </c>
      <c r="G2025" s="19" t="s">
        <v>5408</v>
      </c>
      <c r="H2025" s="20" t="s">
        <v>4223</v>
      </c>
      <c r="I2025" s="19" t="s">
        <v>5409</v>
      </c>
      <c r="J2025" s="19" t="s">
        <v>5410</v>
      </c>
      <c r="K2025" s="21" t="s">
        <v>5415</v>
      </c>
      <c r="L2025" s="35" t="s">
        <v>6116</v>
      </c>
      <c r="M2025" s="29" t="s">
        <v>9509</v>
      </c>
      <c r="N2025" s="34" t="s">
        <v>5416</v>
      </c>
      <c r="O2025" s="34">
        <v>0.0</v>
      </c>
      <c r="P2025" s="18">
        <f>VLOOKUP($A2025,MasterData!$C$1:$I$3001,1,FALSE)</f>
        <v>8276</v>
      </c>
      <c r="Q2025" s="34" t="str">
        <f t="shared" si="2"/>
        <v>XIIDKV2</v>
      </c>
    </row>
    <row r="2026" ht="15.75" customHeight="1">
      <c r="A2026" s="15">
        <v>8298.0</v>
      </c>
      <c r="B2026" s="18" t="s">
        <v>9510</v>
      </c>
      <c r="C2026" s="29" t="s">
        <v>9511</v>
      </c>
      <c r="D2026" s="18" t="s">
        <v>9510</v>
      </c>
      <c r="E2026" s="34" t="s">
        <v>4665</v>
      </c>
      <c r="F2026" s="19" t="str">
        <f t="shared" si="1"/>
        <v>XIIDKV2</v>
      </c>
      <c r="G2026" s="19" t="s">
        <v>5408</v>
      </c>
      <c r="H2026" s="20" t="s">
        <v>4223</v>
      </c>
      <c r="I2026" s="19" t="s">
        <v>5409</v>
      </c>
      <c r="J2026" s="19" t="s">
        <v>5410</v>
      </c>
      <c r="K2026" s="21" t="s">
        <v>5415</v>
      </c>
      <c r="L2026" s="35" t="s">
        <v>6116</v>
      </c>
      <c r="M2026" s="29" t="s">
        <v>4664</v>
      </c>
      <c r="N2026" s="34" t="s">
        <v>5416</v>
      </c>
      <c r="O2026" s="34">
        <v>0.0</v>
      </c>
      <c r="P2026" s="18">
        <f>VLOOKUP($A2026,MasterData!$C$1:$I$3001,1,FALSE)</f>
        <v>8298</v>
      </c>
      <c r="Q2026" s="34" t="str">
        <f t="shared" si="2"/>
        <v>XIIDKV2</v>
      </c>
    </row>
    <row r="2027" ht="15.75" customHeight="1">
      <c r="A2027" s="15">
        <v>8308.0</v>
      </c>
      <c r="B2027" s="18" t="s">
        <v>9512</v>
      </c>
      <c r="C2027" s="29" t="s">
        <v>9513</v>
      </c>
      <c r="D2027" s="18" t="s">
        <v>9512</v>
      </c>
      <c r="E2027" s="34" t="s">
        <v>4667</v>
      </c>
      <c r="F2027" s="19" t="str">
        <f t="shared" si="1"/>
        <v>XIIDKV2</v>
      </c>
      <c r="G2027" s="19" t="s">
        <v>5408</v>
      </c>
      <c r="H2027" s="20" t="s">
        <v>4223</v>
      </c>
      <c r="I2027" s="19" t="s">
        <v>5409</v>
      </c>
      <c r="J2027" s="19" t="s">
        <v>5410</v>
      </c>
      <c r="K2027" s="21" t="s">
        <v>5415</v>
      </c>
      <c r="L2027" s="35" t="s">
        <v>6116</v>
      </c>
      <c r="M2027" s="29" t="s">
        <v>4666</v>
      </c>
      <c r="N2027" s="34" t="s">
        <v>5416</v>
      </c>
      <c r="O2027" s="34">
        <v>0.0</v>
      </c>
      <c r="P2027" s="18">
        <f>VLOOKUP($A2027,MasterData!$C$1:$I$3001,1,FALSE)</f>
        <v>8308</v>
      </c>
      <c r="Q2027" s="34" t="str">
        <f t="shared" si="2"/>
        <v>XIIDKV2</v>
      </c>
    </row>
    <row r="2028" ht="15.75" customHeight="1">
      <c r="A2028" s="15">
        <v>8316.0</v>
      </c>
      <c r="B2028" s="18" t="s">
        <v>9514</v>
      </c>
      <c r="C2028" s="29" t="s">
        <v>9515</v>
      </c>
      <c r="D2028" s="18" t="s">
        <v>9514</v>
      </c>
      <c r="E2028" s="34" t="s">
        <v>4669</v>
      </c>
      <c r="F2028" s="19" t="str">
        <f t="shared" si="1"/>
        <v>XIIDKV2</v>
      </c>
      <c r="G2028" s="19" t="s">
        <v>5408</v>
      </c>
      <c r="H2028" s="20" t="s">
        <v>4223</v>
      </c>
      <c r="I2028" s="19" t="s">
        <v>5409</v>
      </c>
      <c r="J2028" s="19" t="s">
        <v>5410</v>
      </c>
      <c r="K2028" s="21" t="s">
        <v>5415</v>
      </c>
      <c r="L2028" s="35" t="s">
        <v>6116</v>
      </c>
      <c r="M2028" s="29" t="s">
        <v>4668</v>
      </c>
      <c r="N2028" s="34" t="s">
        <v>5416</v>
      </c>
      <c r="O2028" s="34">
        <v>0.0</v>
      </c>
      <c r="P2028" s="18">
        <f>VLOOKUP($A2028,MasterData!$C$1:$I$3001,1,FALSE)</f>
        <v>8316</v>
      </c>
      <c r="Q2028" s="34" t="str">
        <f t="shared" si="2"/>
        <v>XIIDKV2</v>
      </c>
    </row>
    <row r="2029" ht="15.75" customHeight="1">
      <c r="A2029" s="15">
        <v>8322.0</v>
      </c>
      <c r="B2029" s="18" t="s">
        <v>9516</v>
      </c>
      <c r="C2029" s="29" t="s">
        <v>9517</v>
      </c>
      <c r="D2029" s="18" t="s">
        <v>9516</v>
      </c>
      <c r="E2029" s="34" t="s">
        <v>4671</v>
      </c>
      <c r="F2029" s="19" t="str">
        <f t="shared" si="1"/>
        <v>XIIDKV2</v>
      </c>
      <c r="G2029" s="19" t="s">
        <v>5408</v>
      </c>
      <c r="H2029" s="20" t="s">
        <v>4223</v>
      </c>
      <c r="I2029" s="19" t="s">
        <v>5409</v>
      </c>
      <c r="J2029" s="19" t="s">
        <v>5410</v>
      </c>
      <c r="K2029" s="21" t="s">
        <v>5415</v>
      </c>
      <c r="L2029" s="35" t="s">
        <v>6116</v>
      </c>
      <c r="M2029" s="29" t="s">
        <v>4670</v>
      </c>
      <c r="N2029" s="34" t="s">
        <v>5416</v>
      </c>
      <c r="O2029" s="34">
        <v>0.0</v>
      </c>
      <c r="P2029" s="18">
        <f>VLOOKUP($A2029,MasterData!$C$1:$I$3001,1,FALSE)</f>
        <v>8322</v>
      </c>
      <c r="Q2029" s="34" t="str">
        <f t="shared" si="2"/>
        <v>XIIDKV2</v>
      </c>
    </row>
    <row r="2030" ht="15.75" customHeight="1">
      <c r="A2030" s="15">
        <v>8326.0</v>
      </c>
      <c r="B2030" s="18" t="s">
        <v>9518</v>
      </c>
      <c r="C2030" s="29" t="s">
        <v>9519</v>
      </c>
      <c r="D2030" s="18" t="s">
        <v>9518</v>
      </c>
      <c r="E2030" s="34" t="s">
        <v>4673</v>
      </c>
      <c r="F2030" s="19" t="str">
        <f t="shared" si="1"/>
        <v>XIIDKV2</v>
      </c>
      <c r="G2030" s="19" t="s">
        <v>5408</v>
      </c>
      <c r="H2030" s="20" t="s">
        <v>4223</v>
      </c>
      <c r="I2030" s="19" t="s">
        <v>5409</v>
      </c>
      <c r="J2030" s="19" t="s">
        <v>5410</v>
      </c>
      <c r="K2030" s="21" t="s">
        <v>5415</v>
      </c>
      <c r="L2030" s="35" t="s">
        <v>6116</v>
      </c>
      <c r="M2030" s="29" t="s">
        <v>4672</v>
      </c>
      <c r="N2030" s="34" t="s">
        <v>5416</v>
      </c>
      <c r="O2030" s="34">
        <v>0.0</v>
      </c>
      <c r="P2030" s="18">
        <f>VLOOKUP($A2030,MasterData!$C$1:$I$3001,1,FALSE)</f>
        <v>8326</v>
      </c>
      <c r="Q2030" s="34" t="str">
        <f t="shared" si="2"/>
        <v>XIIDKV2</v>
      </c>
    </row>
    <row r="2031" ht="15.75" customHeight="1">
      <c r="A2031" s="15">
        <v>8343.0</v>
      </c>
      <c r="B2031" s="18" t="s">
        <v>9520</v>
      </c>
      <c r="C2031" s="29" t="s">
        <v>9521</v>
      </c>
      <c r="D2031" s="18" t="s">
        <v>9520</v>
      </c>
      <c r="E2031" s="34" t="s">
        <v>4675</v>
      </c>
      <c r="F2031" s="19" t="str">
        <f t="shared" si="1"/>
        <v>XIIDKV2</v>
      </c>
      <c r="G2031" s="19" t="s">
        <v>5408</v>
      </c>
      <c r="H2031" s="20" t="s">
        <v>4223</v>
      </c>
      <c r="I2031" s="19" t="s">
        <v>5409</v>
      </c>
      <c r="J2031" s="19" t="s">
        <v>5410</v>
      </c>
      <c r="K2031" s="21" t="s">
        <v>5415</v>
      </c>
      <c r="L2031" s="35" t="s">
        <v>6116</v>
      </c>
      <c r="M2031" s="29" t="s">
        <v>4674</v>
      </c>
      <c r="N2031" s="34" t="s">
        <v>5416</v>
      </c>
      <c r="O2031" s="34">
        <v>0.0</v>
      </c>
      <c r="P2031" s="18">
        <f>VLOOKUP($A2031,MasterData!$C$1:$I$3001,1,FALSE)</f>
        <v>8343</v>
      </c>
      <c r="Q2031" s="34" t="str">
        <f t="shared" si="2"/>
        <v>XIIDKV2</v>
      </c>
    </row>
    <row r="2032" ht="15.75" customHeight="1">
      <c r="A2032" s="15">
        <v>8351.0</v>
      </c>
      <c r="B2032" s="18" t="s">
        <v>9522</v>
      </c>
      <c r="C2032" s="29" t="s">
        <v>9523</v>
      </c>
      <c r="D2032" s="18" t="s">
        <v>9522</v>
      </c>
      <c r="E2032" s="34" t="s">
        <v>4677</v>
      </c>
      <c r="F2032" s="19" t="str">
        <f t="shared" si="1"/>
        <v>XIIDKV2</v>
      </c>
      <c r="G2032" s="19" t="s">
        <v>5408</v>
      </c>
      <c r="H2032" s="20" t="s">
        <v>4223</v>
      </c>
      <c r="I2032" s="19" t="s">
        <v>5409</v>
      </c>
      <c r="J2032" s="19" t="s">
        <v>5410</v>
      </c>
      <c r="K2032" s="21" t="s">
        <v>5415</v>
      </c>
      <c r="L2032" s="35" t="s">
        <v>6116</v>
      </c>
      <c r="M2032" s="29" t="s">
        <v>4676</v>
      </c>
      <c r="N2032" s="34" t="s">
        <v>5416</v>
      </c>
      <c r="O2032" s="34">
        <v>0.0</v>
      </c>
      <c r="P2032" s="18">
        <f>VLOOKUP($A2032,MasterData!$C$1:$I$3001,1,FALSE)</f>
        <v>8351</v>
      </c>
      <c r="Q2032" s="34" t="str">
        <f t="shared" si="2"/>
        <v>XIIDKV2</v>
      </c>
    </row>
    <row r="2033" ht="15.75" customHeight="1">
      <c r="A2033" s="15">
        <v>8404.0</v>
      </c>
      <c r="B2033" s="18" t="s">
        <v>9524</v>
      </c>
      <c r="C2033" s="29" t="s">
        <v>9525</v>
      </c>
      <c r="D2033" s="18" t="s">
        <v>9524</v>
      </c>
      <c r="E2033" s="34" t="s">
        <v>4679</v>
      </c>
      <c r="F2033" s="19" t="str">
        <f t="shared" si="1"/>
        <v>XIIDKV2</v>
      </c>
      <c r="G2033" s="19" t="s">
        <v>5408</v>
      </c>
      <c r="H2033" s="20" t="s">
        <v>4223</v>
      </c>
      <c r="I2033" s="19" t="s">
        <v>5409</v>
      </c>
      <c r="J2033" s="19" t="s">
        <v>5410</v>
      </c>
      <c r="K2033" s="21" t="s">
        <v>5415</v>
      </c>
      <c r="L2033" s="35" t="s">
        <v>6116</v>
      </c>
      <c r="M2033" s="29" t="s">
        <v>4678</v>
      </c>
      <c r="N2033" s="34" t="s">
        <v>5416</v>
      </c>
      <c r="O2033" s="34">
        <v>0.0</v>
      </c>
      <c r="P2033" s="18">
        <f>VLOOKUP($A2033,MasterData!$C$1:$I$3001,1,FALSE)</f>
        <v>8404</v>
      </c>
      <c r="Q2033" s="34" t="str">
        <f t="shared" si="2"/>
        <v>XIIDKV2</v>
      </c>
    </row>
    <row r="2034" ht="15.75" customHeight="1">
      <c r="A2034" s="15">
        <v>8411.0</v>
      </c>
      <c r="B2034" s="18" t="s">
        <v>9526</v>
      </c>
      <c r="C2034" s="29" t="s">
        <v>9527</v>
      </c>
      <c r="D2034" s="18" t="s">
        <v>9526</v>
      </c>
      <c r="E2034" s="34" t="s">
        <v>4681</v>
      </c>
      <c r="F2034" s="19" t="str">
        <f t="shared" si="1"/>
        <v>XIIDKV2</v>
      </c>
      <c r="G2034" s="19" t="s">
        <v>5408</v>
      </c>
      <c r="H2034" s="20" t="s">
        <v>4223</v>
      </c>
      <c r="I2034" s="19" t="s">
        <v>5409</v>
      </c>
      <c r="J2034" s="19" t="s">
        <v>5410</v>
      </c>
      <c r="K2034" s="21" t="s">
        <v>5415</v>
      </c>
      <c r="L2034" s="35" t="s">
        <v>6116</v>
      </c>
      <c r="M2034" s="29" t="s">
        <v>4680</v>
      </c>
      <c r="N2034" s="34" t="s">
        <v>5416</v>
      </c>
      <c r="O2034" s="34">
        <v>0.0</v>
      </c>
      <c r="P2034" s="18">
        <f>VLOOKUP($A2034,MasterData!$C$1:$I$3001,1,FALSE)</f>
        <v>8411</v>
      </c>
      <c r="Q2034" s="34" t="str">
        <f t="shared" si="2"/>
        <v>XIIDKV2</v>
      </c>
    </row>
    <row r="2035" ht="15.75" customHeight="1">
      <c r="A2035" s="15">
        <v>8422.0</v>
      </c>
      <c r="B2035" s="18" t="s">
        <v>9528</v>
      </c>
      <c r="C2035" s="29" t="s">
        <v>9529</v>
      </c>
      <c r="D2035" s="18" t="s">
        <v>9528</v>
      </c>
      <c r="E2035" s="34" t="s">
        <v>4683</v>
      </c>
      <c r="F2035" s="19" t="str">
        <f t="shared" si="1"/>
        <v>XIIDKV2</v>
      </c>
      <c r="G2035" s="19" t="s">
        <v>5408</v>
      </c>
      <c r="H2035" s="20" t="s">
        <v>4223</v>
      </c>
      <c r="I2035" s="19" t="s">
        <v>5409</v>
      </c>
      <c r="J2035" s="19" t="s">
        <v>5410</v>
      </c>
      <c r="K2035" s="21" t="s">
        <v>5415</v>
      </c>
      <c r="L2035" s="35" t="s">
        <v>6116</v>
      </c>
      <c r="M2035" s="29" t="s">
        <v>4682</v>
      </c>
      <c r="N2035" s="34" t="s">
        <v>5416</v>
      </c>
      <c r="O2035" s="34">
        <v>0.0</v>
      </c>
      <c r="P2035" s="18">
        <f>VLOOKUP($A2035,MasterData!$C$1:$I$3001,1,FALSE)</f>
        <v>8422</v>
      </c>
      <c r="Q2035" s="34" t="str">
        <f t="shared" si="2"/>
        <v>XIIDKV2</v>
      </c>
    </row>
    <row r="2036" ht="15.75" customHeight="1">
      <c r="A2036" s="15">
        <v>8437.0</v>
      </c>
      <c r="B2036" s="18" t="s">
        <v>9530</v>
      </c>
      <c r="C2036" s="29" t="s">
        <v>9531</v>
      </c>
      <c r="D2036" s="18" t="s">
        <v>9530</v>
      </c>
      <c r="E2036" s="34" t="s">
        <v>4685</v>
      </c>
      <c r="F2036" s="19" t="str">
        <f t="shared" si="1"/>
        <v>XIIDKV2</v>
      </c>
      <c r="G2036" s="19" t="s">
        <v>5408</v>
      </c>
      <c r="H2036" s="20" t="s">
        <v>4223</v>
      </c>
      <c r="I2036" s="19" t="s">
        <v>5409</v>
      </c>
      <c r="J2036" s="19" t="s">
        <v>5410</v>
      </c>
      <c r="K2036" s="21" t="s">
        <v>5415</v>
      </c>
      <c r="L2036" s="35" t="s">
        <v>6116</v>
      </c>
      <c r="M2036" s="29" t="s">
        <v>4684</v>
      </c>
      <c r="N2036" s="34" t="s">
        <v>5416</v>
      </c>
      <c r="O2036" s="34">
        <v>0.0</v>
      </c>
      <c r="P2036" s="18">
        <f>VLOOKUP($A2036,MasterData!$C$1:$I$3001,1,FALSE)</f>
        <v>8437</v>
      </c>
      <c r="Q2036" s="34" t="str">
        <f t="shared" si="2"/>
        <v>XIIDKV2</v>
      </c>
    </row>
    <row r="2037" ht="15.75" customHeight="1">
      <c r="A2037" s="15">
        <v>8451.0</v>
      </c>
      <c r="B2037" s="18" t="s">
        <v>9532</v>
      </c>
      <c r="C2037" s="29" t="s">
        <v>9533</v>
      </c>
      <c r="D2037" s="18" t="s">
        <v>9532</v>
      </c>
      <c r="E2037" s="34" t="s">
        <v>4687</v>
      </c>
      <c r="F2037" s="19" t="str">
        <f t="shared" si="1"/>
        <v>XIIDKV2</v>
      </c>
      <c r="G2037" s="19" t="s">
        <v>5408</v>
      </c>
      <c r="H2037" s="20" t="s">
        <v>4223</v>
      </c>
      <c r="I2037" s="19" t="s">
        <v>5409</v>
      </c>
      <c r="J2037" s="19" t="s">
        <v>5410</v>
      </c>
      <c r="K2037" s="21" t="s">
        <v>5415</v>
      </c>
      <c r="L2037" s="35" t="s">
        <v>6116</v>
      </c>
      <c r="M2037" s="29" t="s">
        <v>4686</v>
      </c>
      <c r="N2037" s="34" t="s">
        <v>5416</v>
      </c>
      <c r="O2037" s="34">
        <v>0.0</v>
      </c>
      <c r="P2037" s="18">
        <f>VLOOKUP($A2037,MasterData!$C$1:$I$3001,1,FALSE)</f>
        <v>8451</v>
      </c>
      <c r="Q2037" s="34" t="str">
        <f t="shared" si="2"/>
        <v>XIIDKV2</v>
      </c>
    </row>
    <row r="2038" ht="15.75" customHeight="1">
      <c r="A2038" s="15">
        <v>8453.0</v>
      </c>
      <c r="B2038" s="18" t="s">
        <v>9534</v>
      </c>
      <c r="C2038" s="29" t="s">
        <v>9535</v>
      </c>
      <c r="D2038" s="18" t="s">
        <v>9534</v>
      </c>
      <c r="E2038" s="34" t="s">
        <v>4689</v>
      </c>
      <c r="F2038" s="19" t="str">
        <f t="shared" si="1"/>
        <v>XIIDKV2</v>
      </c>
      <c r="G2038" s="19" t="s">
        <v>5408</v>
      </c>
      <c r="H2038" s="20" t="s">
        <v>4223</v>
      </c>
      <c r="I2038" s="19" t="s">
        <v>5409</v>
      </c>
      <c r="J2038" s="19" t="s">
        <v>5410</v>
      </c>
      <c r="K2038" s="21" t="s">
        <v>5415</v>
      </c>
      <c r="L2038" s="35" t="s">
        <v>6116</v>
      </c>
      <c r="M2038" s="29" t="s">
        <v>4688</v>
      </c>
      <c r="N2038" s="34" t="s">
        <v>5416</v>
      </c>
      <c r="O2038" s="34">
        <v>0.0</v>
      </c>
      <c r="P2038" s="18">
        <f>VLOOKUP($A2038,MasterData!$C$1:$I$3001,1,FALSE)</f>
        <v>8453</v>
      </c>
      <c r="Q2038" s="34" t="str">
        <f t="shared" si="2"/>
        <v>XIIDKV2</v>
      </c>
    </row>
    <row r="2039" ht="15.75" customHeight="1">
      <c r="A2039" s="15">
        <v>8484.0</v>
      </c>
      <c r="B2039" s="18" t="s">
        <v>9536</v>
      </c>
      <c r="C2039" s="29" t="s">
        <v>9537</v>
      </c>
      <c r="D2039" s="18" t="s">
        <v>9536</v>
      </c>
      <c r="E2039" s="34" t="s">
        <v>4691</v>
      </c>
      <c r="F2039" s="19" t="str">
        <f t="shared" si="1"/>
        <v>XIIDKV2</v>
      </c>
      <c r="G2039" s="19" t="s">
        <v>5408</v>
      </c>
      <c r="H2039" s="20" t="s">
        <v>4223</v>
      </c>
      <c r="I2039" s="19" t="s">
        <v>5409</v>
      </c>
      <c r="J2039" s="19" t="s">
        <v>5410</v>
      </c>
      <c r="K2039" s="21" t="s">
        <v>5415</v>
      </c>
      <c r="L2039" s="35" t="s">
        <v>6116</v>
      </c>
      <c r="M2039" s="29" t="s">
        <v>4690</v>
      </c>
      <c r="N2039" s="34" t="s">
        <v>5416</v>
      </c>
      <c r="O2039" s="34">
        <v>0.0</v>
      </c>
      <c r="P2039" s="18">
        <f>VLOOKUP($A2039,MasterData!$C$1:$I$3001,1,FALSE)</f>
        <v>8484</v>
      </c>
      <c r="Q2039" s="34" t="str">
        <f t="shared" si="2"/>
        <v>XIIDKV2</v>
      </c>
    </row>
    <row r="2040" ht="15.75" customHeight="1">
      <c r="A2040" s="15">
        <v>8510.0</v>
      </c>
      <c r="B2040" s="18" t="s">
        <v>9538</v>
      </c>
      <c r="C2040" s="29" t="s">
        <v>9539</v>
      </c>
      <c r="D2040" s="18" t="s">
        <v>9538</v>
      </c>
      <c r="E2040" s="34" t="s">
        <v>4693</v>
      </c>
      <c r="F2040" s="19" t="str">
        <f t="shared" si="1"/>
        <v>XIIDKV2</v>
      </c>
      <c r="G2040" s="19" t="s">
        <v>5408</v>
      </c>
      <c r="H2040" s="20" t="s">
        <v>4223</v>
      </c>
      <c r="I2040" s="19" t="s">
        <v>5409</v>
      </c>
      <c r="J2040" s="19" t="s">
        <v>5410</v>
      </c>
      <c r="K2040" s="21" t="s">
        <v>5415</v>
      </c>
      <c r="L2040" s="35" t="s">
        <v>6116</v>
      </c>
      <c r="M2040" s="29" t="s">
        <v>4692</v>
      </c>
      <c r="N2040" s="34" t="s">
        <v>5416</v>
      </c>
      <c r="O2040" s="34">
        <v>0.0</v>
      </c>
      <c r="P2040" s="18">
        <f>VLOOKUP($A2040,MasterData!$C$1:$I$3001,1,FALSE)</f>
        <v>8510</v>
      </c>
      <c r="Q2040" s="34" t="str">
        <f t="shared" si="2"/>
        <v>XIIDKV2</v>
      </c>
    </row>
    <row r="2041" ht="15.75" customHeight="1">
      <c r="A2041" s="15">
        <v>8514.0</v>
      </c>
      <c r="B2041" s="18" t="s">
        <v>9540</v>
      </c>
      <c r="C2041" s="29" t="s">
        <v>9541</v>
      </c>
      <c r="D2041" s="18" t="s">
        <v>9540</v>
      </c>
      <c r="E2041" s="34" t="s">
        <v>4695</v>
      </c>
      <c r="F2041" s="19" t="str">
        <f t="shared" si="1"/>
        <v>XIIDKV2</v>
      </c>
      <c r="G2041" s="19" t="s">
        <v>5408</v>
      </c>
      <c r="H2041" s="20" t="s">
        <v>4223</v>
      </c>
      <c r="I2041" s="19" t="s">
        <v>5409</v>
      </c>
      <c r="J2041" s="19" t="s">
        <v>5410</v>
      </c>
      <c r="K2041" s="21" t="s">
        <v>5415</v>
      </c>
      <c r="L2041" s="35" t="s">
        <v>6116</v>
      </c>
      <c r="M2041" s="29" t="s">
        <v>4694</v>
      </c>
      <c r="N2041" s="34" t="s">
        <v>5416</v>
      </c>
      <c r="O2041" s="34">
        <v>0.0</v>
      </c>
      <c r="P2041" s="18">
        <f>VLOOKUP($A2041,MasterData!$C$1:$I$3001,1,FALSE)</f>
        <v>8514</v>
      </c>
      <c r="Q2041" s="34" t="str">
        <f t="shared" si="2"/>
        <v>XIIDKV2</v>
      </c>
    </row>
    <row r="2042" ht="15.75" customHeight="1">
      <c r="A2042" s="15">
        <v>8544.0</v>
      </c>
      <c r="B2042" s="18" t="s">
        <v>9542</v>
      </c>
      <c r="C2042" s="29" t="s">
        <v>9543</v>
      </c>
      <c r="D2042" s="18" t="s">
        <v>9542</v>
      </c>
      <c r="E2042" s="34" t="s">
        <v>4697</v>
      </c>
      <c r="F2042" s="19" t="str">
        <f t="shared" si="1"/>
        <v>XIIDKV2</v>
      </c>
      <c r="G2042" s="19" t="s">
        <v>5408</v>
      </c>
      <c r="H2042" s="20" t="s">
        <v>4223</v>
      </c>
      <c r="I2042" s="19" t="s">
        <v>5409</v>
      </c>
      <c r="J2042" s="19" t="s">
        <v>5410</v>
      </c>
      <c r="K2042" s="21" t="s">
        <v>5415</v>
      </c>
      <c r="L2042" s="35" t="s">
        <v>6116</v>
      </c>
      <c r="M2042" s="29" t="s">
        <v>4696</v>
      </c>
      <c r="N2042" s="34" t="s">
        <v>5416</v>
      </c>
      <c r="O2042" s="34">
        <v>0.0</v>
      </c>
      <c r="P2042" s="18">
        <f>VLOOKUP($A2042,MasterData!$C$1:$I$3001,1,FALSE)</f>
        <v>8544</v>
      </c>
      <c r="Q2042" s="34" t="str">
        <f t="shared" si="2"/>
        <v>XIIDKV2</v>
      </c>
    </row>
    <row r="2043" ht="15.75" customHeight="1">
      <c r="A2043" s="15">
        <v>8575.0</v>
      </c>
      <c r="B2043" s="18" t="s">
        <v>9544</v>
      </c>
      <c r="C2043" s="29" t="s">
        <v>9545</v>
      </c>
      <c r="D2043" s="18" t="s">
        <v>9544</v>
      </c>
      <c r="E2043" s="34" t="s">
        <v>4699</v>
      </c>
      <c r="F2043" s="19" t="str">
        <f t="shared" si="1"/>
        <v>XIIDKV2</v>
      </c>
      <c r="G2043" s="19" t="s">
        <v>5408</v>
      </c>
      <c r="H2043" s="20" t="s">
        <v>4223</v>
      </c>
      <c r="I2043" s="19" t="s">
        <v>5409</v>
      </c>
      <c r="J2043" s="19" t="s">
        <v>5410</v>
      </c>
      <c r="K2043" s="21" t="s">
        <v>5415</v>
      </c>
      <c r="L2043" s="35" t="s">
        <v>6116</v>
      </c>
      <c r="M2043" s="29" t="s">
        <v>4698</v>
      </c>
      <c r="N2043" s="34" t="s">
        <v>5416</v>
      </c>
      <c r="O2043" s="34">
        <v>0.0</v>
      </c>
      <c r="P2043" s="18">
        <f>VLOOKUP($A2043,MasterData!$C$1:$I$3001,1,FALSE)</f>
        <v>8575</v>
      </c>
      <c r="Q2043" s="34" t="str">
        <f t="shared" si="2"/>
        <v>XIIDKV2</v>
      </c>
    </row>
    <row r="2044" ht="15.75" customHeight="1">
      <c r="A2044" s="15">
        <v>8580.0</v>
      </c>
      <c r="B2044" s="18" t="s">
        <v>9546</v>
      </c>
      <c r="C2044" s="29" t="s">
        <v>9547</v>
      </c>
      <c r="D2044" s="18" t="s">
        <v>9546</v>
      </c>
      <c r="E2044" s="34" t="s">
        <v>4701</v>
      </c>
      <c r="F2044" s="19" t="str">
        <f t="shared" si="1"/>
        <v>XIIDKV2</v>
      </c>
      <c r="G2044" s="19" t="s">
        <v>5408</v>
      </c>
      <c r="H2044" s="20" t="s">
        <v>4223</v>
      </c>
      <c r="I2044" s="19" t="s">
        <v>5409</v>
      </c>
      <c r="J2044" s="19" t="s">
        <v>5410</v>
      </c>
      <c r="K2044" s="21" t="s">
        <v>5415</v>
      </c>
      <c r="L2044" s="35" t="s">
        <v>6116</v>
      </c>
      <c r="M2044" s="29" t="s">
        <v>4700</v>
      </c>
      <c r="N2044" s="34" t="s">
        <v>5416</v>
      </c>
      <c r="O2044" s="34">
        <v>0.0</v>
      </c>
      <c r="P2044" s="18">
        <f>VLOOKUP($A2044,MasterData!$C$1:$I$3001,1,FALSE)</f>
        <v>8580</v>
      </c>
      <c r="Q2044" s="34" t="str">
        <f t="shared" si="2"/>
        <v>XIIDKV2</v>
      </c>
    </row>
    <row r="2045" ht="15.75" customHeight="1">
      <c r="A2045" s="15">
        <v>8589.0</v>
      </c>
      <c r="B2045" s="18" t="s">
        <v>9548</v>
      </c>
      <c r="C2045" s="29" t="s">
        <v>9549</v>
      </c>
      <c r="D2045" s="18" t="s">
        <v>9548</v>
      </c>
      <c r="E2045" s="3" t="s">
        <v>4703</v>
      </c>
      <c r="F2045" s="19" t="str">
        <f t="shared" si="1"/>
        <v>XIIDKV2</v>
      </c>
      <c r="G2045" s="19" t="s">
        <v>5408</v>
      </c>
      <c r="H2045" s="20" t="s">
        <v>4223</v>
      </c>
      <c r="I2045" s="19" t="s">
        <v>5409</v>
      </c>
      <c r="J2045" s="19" t="s">
        <v>5410</v>
      </c>
      <c r="K2045" s="21" t="s">
        <v>5415</v>
      </c>
      <c r="L2045" s="35" t="s">
        <v>6116</v>
      </c>
      <c r="M2045" s="29" t="s">
        <v>4702</v>
      </c>
      <c r="N2045" s="34" t="s">
        <v>5416</v>
      </c>
      <c r="O2045" s="34">
        <v>0.0</v>
      </c>
      <c r="P2045" s="18">
        <f>VLOOKUP($A2045,MasterData!$C$1:$I$3001,1,FALSE)</f>
        <v>8589</v>
      </c>
      <c r="Q2045" s="34" t="str">
        <f t="shared" si="2"/>
        <v>XIIDKV2</v>
      </c>
    </row>
    <row r="2046" ht="15.75" customHeight="1">
      <c r="A2046" s="15">
        <v>8611.0</v>
      </c>
      <c r="B2046" s="18" t="s">
        <v>9550</v>
      </c>
      <c r="C2046" s="29" t="s">
        <v>9551</v>
      </c>
      <c r="D2046" s="18" t="s">
        <v>9550</v>
      </c>
      <c r="E2046" s="34" t="s">
        <v>4705</v>
      </c>
      <c r="F2046" s="19" t="str">
        <f t="shared" si="1"/>
        <v>XIIDKV2</v>
      </c>
      <c r="G2046" s="19" t="s">
        <v>5408</v>
      </c>
      <c r="H2046" s="20" t="s">
        <v>4223</v>
      </c>
      <c r="I2046" s="19" t="s">
        <v>5409</v>
      </c>
      <c r="J2046" s="19" t="s">
        <v>5410</v>
      </c>
      <c r="K2046" s="21" t="s">
        <v>5415</v>
      </c>
      <c r="L2046" s="35" t="s">
        <v>6116</v>
      </c>
      <c r="M2046" s="29" t="s">
        <v>4704</v>
      </c>
      <c r="N2046" s="34" t="s">
        <v>5416</v>
      </c>
      <c r="O2046" s="34">
        <v>0.0</v>
      </c>
      <c r="P2046" s="18">
        <f>VLOOKUP($A2046,MasterData!$C$1:$I$3001,1,FALSE)</f>
        <v>8611</v>
      </c>
      <c r="Q2046" s="34" t="str">
        <f t="shared" si="2"/>
        <v>XIIDKV2</v>
      </c>
    </row>
    <row r="2047" ht="15.75" customHeight="1">
      <c r="A2047" s="15">
        <v>8614.0</v>
      </c>
      <c r="B2047" s="18" t="s">
        <v>9552</v>
      </c>
      <c r="C2047" s="29" t="s">
        <v>9553</v>
      </c>
      <c r="D2047" s="18" t="s">
        <v>9552</v>
      </c>
      <c r="E2047" s="34" t="s">
        <v>4707</v>
      </c>
      <c r="F2047" s="19" t="str">
        <f t="shared" si="1"/>
        <v>XIIDKV2</v>
      </c>
      <c r="G2047" s="19" t="s">
        <v>5408</v>
      </c>
      <c r="H2047" s="20" t="s">
        <v>4223</v>
      </c>
      <c r="I2047" s="19" t="s">
        <v>5409</v>
      </c>
      <c r="J2047" s="19" t="s">
        <v>5410</v>
      </c>
      <c r="K2047" s="21" t="s">
        <v>5415</v>
      </c>
      <c r="L2047" s="35" t="s">
        <v>6116</v>
      </c>
      <c r="M2047" s="29" t="s">
        <v>4706</v>
      </c>
      <c r="N2047" s="34" t="s">
        <v>5416</v>
      </c>
      <c r="O2047" s="34">
        <v>0.0</v>
      </c>
      <c r="P2047" s="18">
        <f>VLOOKUP($A2047,MasterData!$C$1:$I$3001,1,FALSE)</f>
        <v>8614</v>
      </c>
      <c r="Q2047" s="34" t="str">
        <f t="shared" si="2"/>
        <v>XIIDKV2</v>
      </c>
    </row>
    <row r="2048" ht="15.75" customHeight="1">
      <c r="A2048" s="15">
        <v>8621.0</v>
      </c>
      <c r="B2048" s="18" t="s">
        <v>9554</v>
      </c>
      <c r="C2048" s="29" t="s">
        <v>9555</v>
      </c>
      <c r="D2048" s="18" t="s">
        <v>9554</v>
      </c>
      <c r="E2048" s="34" t="s">
        <v>4709</v>
      </c>
      <c r="F2048" s="19" t="str">
        <f t="shared" si="1"/>
        <v>XIIDKV2</v>
      </c>
      <c r="G2048" s="19" t="s">
        <v>5408</v>
      </c>
      <c r="H2048" s="20" t="s">
        <v>4223</v>
      </c>
      <c r="I2048" s="19" t="s">
        <v>5409</v>
      </c>
      <c r="J2048" s="19" t="s">
        <v>5410</v>
      </c>
      <c r="K2048" s="21" t="s">
        <v>5415</v>
      </c>
      <c r="L2048" s="35" t="s">
        <v>6116</v>
      </c>
      <c r="M2048" s="29" t="s">
        <v>4708</v>
      </c>
      <c r="N2048" s="34" t="s">
        <v>5416</v>
      </c>
      <c r="O2048" s="34">
        <v>0.0</v>
      </c>
      <c r="P2048" s="18">
        <f>VLOOKUP($A2048,MasterData!$C$1:$I$3001,1,FALSE)</f>
        <v>8621</v>
      </c>
      <c r="Q2048" s="34" t="str">
        <f t="shared" si="2"/>
        <v>XIIDKV2</v>
      </c>
    </row>
    <row r="2049" ht="15.75" customHeight="1">
      <c r="A2049" s="15">
        <v>8026.0</v>
      </c>
      <c r="B2049" s="18" t="s">
        <v>9556</v>
      </c>
      <c r="C2049" s="29" t="s">
        <v>9557</v>
      </c>
      <c r="D2049" s="18" t="s">
        <v>9556</v>
      </c>
      <c r="E2049" s="34" t="s">
        <v>4711</v>
      </c>
      <c r="F2049" s="19" t="str">
        <f t="shared" si="1"/>
        <v>XIIJKT1</v>
      </c>
      <c r="G2049" s="19" t="s">
        <v>5408</v>
      </c>
      <c r="H2049" s="20" t="s">
        <v>4223</v>
      </c>
      <c r="I2049" s="19" t="s">
        <v>5409</v>
      </c>
      <c r="J2049" s="19" t="s">
        <v>5410</v>
      </c>
      <c r="K2049" s="21" t="s">
        <v>5415</v>
      </c>
      <c r="L2049" s="35" t="s">
        <v>6226</v>
      </c>
      <c r="M2049" s="29" t="s">
        <v>4710</v>
      </c>
      <c r="N2049" s="34" t="s">
        <v>5416</v>
      </c>
      <c r="O2049" s="34">
        <v>0.0</v>
      </c>
      <c r="P2049" s="18">
        <f>VLOOKUP($A2049,MasterData!$C$1:$I$3001,1,FALSE)</f>
        <v>8026</v>
      </c>
      <c r="Q2049" s="34" t="str">
        <f t="shared" si="2"/>
        <v>XIIJKT1</v>
      </c>
    </row>
    <row r="2050" ht="15.75" customHeight="1">
      <c r="A2050" s="15">
        <v>8039.0</v>
      </c>
      <c r="B2050" s="18" t="s">
        <v>9558</v>
      </c>
      <c r="C2050" s="29" t="s">
        <v>9559</v>
      </c>
      <c r="D2050" s="18" t="s">
        <v>9558</v>
      </c>
      <c r="E2050" s="34" t="s">
        <v>4713</v>
      </c>
      <c r="F2050" s="19" t="str">
        <f t="shared" si="1"/>
        <v>XIIJKT1</v>
      </c>
      <c r="G2050" s="19" t="s">
        <v>5408</v>
      </c>
      <c r="H2050" s="20" t="s">
        <v>4223</v>
      </c>
      <c r="I2050" s="19" t="s">
        <v>5409</v>
      </c>
      <c r="J2050" s="19" t="s">
        <v>5410</v>
      </c>
      <c r="K2050" s="21" t="s">
        <v>5415</v>
      </c>
      <c r="L2050" s="35" t="s">
        <v>6226</v>
      </c>
      <c r="M2050" s="29" t="s">
        <v>4712</v>
      </c>
      <c r="N2050" s="34" t="s">
        <v>5416</v>
      </c>
      <c r="O2050" s="34">
        <v>0.0</v>
      </c>
      <c r="P2050" s="18">
        <f>VLOOKUP($A2050,MasterData!$C$1:$I$3001,1,FALSE)</f>
        <v>8039</v>
      </c>
      <c r="Q2050" s="34" t="str">
        <f t="shared" si="2"/>
        <v>XIIJKT1</v>
      </c>
    </row>
    <row r="2051" ht="15.75" customHeight="1">
      <c r="A2051" s="15">
        <v>8063.0</v>
      </c>
      <c r="B2051" s="18" t="s">
        <v>9560</v>
      </c>
      <c r="C2051" s="29" t="s">
        <v>9561</v>
      </c>
      <c r="D2051" s="18" t="s">
        <v>9560</v>
      </c>
      <c r="E2051" s="34" t="s">
        <v>4715</v>
      </c>
      <c r="F2051" s="19" t="str">
        <f t="shared" si="1"/>
        <v>XIIJKT1</v>
      </c>
      <c r="G2051" s="19" t="s">
        <v>5408</v>
      </c>
      <c r="H2051" s="20" t="s">
        <v>4223</v>
      </c>
      <c r="I2051" s="19" t="s">
        <v>5409</v>
      </c>
      <c r="J2051" s="19" t="s">
        <v>5410</v>
      </c>
      <c r="K2051" s="21" t="s">
        <v>5415</v>
      </c>
      <c r="L2051" s="35" t="s">
        <v>6226</v>
      </c>
      <c r="M2051" s="29" t="s">
        <v>4714</v>
      </c>
      <c r="N2051" s="34" t="s">
        <v>5416</v>
      </c>
      <c r="O2051" s="34">
        <v>0.0</v>
      </c>
      <c r="P2051" s="18">
        <f>VLOOKUP($A2051,MasterData!$C$1:$I$3001,1,FALSE)</f>
        <v>8063</v>
      </c>
      <c r="Q2051" s="34" t="str">
        <f t="shared" si="2"/>
        <v>XIIJKT1</v>
      </c>
    </row>
    <row r="2052" ht="15.75" customHeight="1">
      <c r="A2052" s="15">
        <v>8104.0</v>
      </c>
      <c r="B2052" s="18" t="s">
        <v>9562</v>
      </c>
      <c r="C2052" s="29" t="s">
        <v>9563</v>
      </c>
      <c r="D2052" s="18" t="s">
        <v>9562</v>
      </c>
      <c r="E2052" s="34" t="s">
        <v>4717</v>
      </c>
      <c r="F2052" s="19" t="str">
        <f t="shared" si="1"/>
        <v>XIIJKT1</v>
      </c>
      <c r="G2052" s="19" t="s">
        <v>5408</v>
      </c>
      <c r="H2052" s="20" t="s">
        <v>4223</v>
      </c>
      <c r="I2052" s="19" t="s">
        <v>5409</v>
      </c>
      <c r="J2052" s="19" t="s">
        <v>5410</v>
      </c>
      <c r="K2052" s="21" t="s">
        <v>5415</v>
      </c>
      <c r="L2052" s="35" t="s">
        <v>6226</v>
      </c>
      <c r="M2052" s="29" t="s">
        <v>4716</v>
      </c>
      <c r="N2052" s="34" t="s">
        <v>5416</v>
      </c>
      <c r="O2052" s="34">
        <v>0.0</v>
      </c>
      <c r="P2052" s="18">
        <f>VLOOKUP($A2052,MasterData!$C$1:$I$3001,1,FALSE)</f>
        <v>8104</v>
      </c>
      <c r="Q2052" s="34" t="str">
        <f t="shared" si="2"/>
        <v>XIIJKT1</v>
      </c>
    </row>
    <row r="2053" ht="15.75" customHeight="1">
      <c r="A2053" s="15">
        <v>8156.0</v>
      </c>
      <c r="B2053" s="18" t="s">
        <v>9564</v>
      </c>
      <c r="C2053" s="37" t="s">
        <v>9565</v>
      </c>
      <c r="D2053" s="18" t="s">
        <v>9564</v>
      </c>
      <c r="E2053" s="34" t="s">
        <v>4719</v>
      </c>
      <c r="F2053" s="19" t="str">
        <f t="shared" si="1"/>
        <v>XIIJKT1</v>
      </c>
      <c r="G2053" s="19" t="s">
        <v>5408</v>
      </c>
      <c r="H2053" s="20" t="s">
        <v>4223</v>
      </c>
      <c r="I2053" s="19" t="s">
        <v>5409</v>
      </c>
      <c r="J2053" s="19" t="s">
        <v>5410</v>
      </c>
      <c r="K2053" s="21" t="s">
        <v>5415</v>
      </c>
      <c r="L2053" s="35" t="s">
        <v>6226</v>
      </c>
      <c r="M2053" s="29" t="s">
        <v>4718</v>
      </c>
      <c r="N2053" s="34" t="s">
        <v>9566</v>
      </c>
      <c r="O2053" s="34" t="s">
        <v>9567</v>
      </c>
      <c r="P2053" s="18">
        <f>VLOOKUP($A2053,MasterData!$C$1:$I$3001,1,FALSE)</f>
        <v>8156</v>
      </c>
      <c r="Q2053" s="34" t="str">
        <f t="shared" si="2"/>
        <v>XIIJKT1</v>
      </c>
    </row>
    <row r="2054" ht="15.75" customHeight="1">
      <c r="A2054" s="15">
        <v>8170.0</v>
      </c>
      <c r="B2054" s="18" t="s">
        <v>9568</v>
      </c>
      <c r="C2054" s="29" t="s">
        <v>9569</v>
      </c>
      <c r="D2054" s="18" t="s">
        <v>9568</v>
      </c>
      <c r="E2054" s="34" t="s">
        <v>4721</v>
      </c>
      <c r="F2054" s="19" t="str">
        <f t="shared" si="1"/>
        <v>XIIJKT1</v>
      </c>
      <c r="G2054" s="19" t="s">
        <v>5408</v>
      </c>
      <c r="H2054" s="20" t="s">
        <v>4223</v>
      </c>
      <c r="I2054" s="19" t="s">
        <v>5409</v>
      </c>
      <c r="J2054" s="19" t="s">
        <v>5410</v>
      </c>
      <c r="K2054" s="21" t="s">
        <v>5415</v>
      </c>
      <c r="L2054" s="35" t="s">
        <v>6226</v>
      </c>
      <c r="M2054" s="29" t="s">
        <v>4720</v>
      </c>
      <c r="N2054" s="34" t="s">
        <v>5416</v>
      </c>
      <c r="O2054" s="34">
        <v>0.0</v>
      </c>
      <c r="P2054" s="18">
        <f>VLOOKUP($A2054,MasterData!$C$1:$I$3001,1,FALSE)</f>
        <v>8170</v>
      </c>
      <c r="Q2054" s="34" t="str">
        <f t="shared" si="2"/>
        <v>XIIJKT1</v>
      </c>
    </row>
    <row r="2055" ht="15.75" customHeight="1">
      <c r="A2055" s="15">
        <v>8177.0</v>
      </c>
      <c r="B2055" s="18" t="s">
        <v>9570</v>
      </c>
      <c r="C2055" s="29" t="s">
        <v>9571</v>
      </c>
      <c r="D2055" s="18" t="s">
        <v>9570</v>
      </c>
      <c r="E2055" s="34" t="s">
        <v>4723</v>
      </c>
      <c r="F2055" s="19" t="str">
        <f t="shared" si="1"/>
        <v>XIIJKT1</v>
      </c>
      <c r="G2055" s="19" t="s">
        <v>5408</v>
      </c>
      <c r="H2055" s="20" t="s">
        <v>4223</v>
      </c>
      <c r="I2055" s="19" t="s">
        <v>5409</v>
      </c>
      <c r="J2055" s="19" t="s">
        <v>5410</v>
      </c>
      <c r="K2055" s="21" t="s">
        <v>5415</v>
      </c>
      <c r="L2055" s="35" t="s">
        <v>6226</v>
      </c>
      <c r="M2055" s="29" t="s">
        <v>4722</v>
      </c>
      <c r="N2055" s="34" t="s">
        <v>5416</v>
      </c>
      <c r="O2055" s="34">
        <v>0.0</v>
      </c>
      <c r="P2055" s="18">
        <f>VLOOKUP($A2055,MasterData!$C$1:$I$3001,1,FALSE)</f>
        <v>8177</v>
      </c>
      <c r="Q2055" s="34" t="str">
        <f t="shared" si="2"/>
        <v>XIIJKT1</v>
      </c>
    </row>
    <row r="2056" ht="15.75" customHeight="1">
      <c r="A2056" s="15">
        <v>8190.0</v>
      </c>
      <c r="B2056" s="18" t="s">
        <v>9572</v>
      </c>
      <c r="C2056" s="29" t="s">
        <v>9573</v>
      </c>
      <c r="D2056" s="18" t="s">
        <v>9572</v>
      </c>
      <c r="E2056" s="34" t="s">
        <v>4725</v>
      </c>
      <c r="F2056" s="19" t="str">
        <f t="shared" si="1"/>
        <v>XIIJKT1</v>
      </c>
      <c r="G2056" s="19" t="s">
        <v>5408</v>
      </c>
      <c r="H2056" s="20" t="s">
        <v>4223</v>
      </c>
      <c r="I2056" s="19" t="s">
        <v>5409</v>
      </c>
      <c r="J2056" s="19" t="s">
        <v>5410</v>
      </c>
      <c r="K2056" s="21" t="s">
        <v>5415</v>
      </c>
      <c r="L2056" s="35" t="s">
        <v>6226</v>
      </c>
      <c r="M2056" s="29" t="s">
        <v>4724</v>
      </c>
      <c r="N2056" s="34" t="s">
        <v>5416</v>
      </c>
      <c r="O2056" s="34">
        <v>0.0</v>
      </c>
      <c r="P2056" s="18">
        <f>VLOOKUP($A2056,MasterData!$C$1:$I$3001,1,FALSE)</f>
        <v>8190</v>
      </c>
      <c r="Q2056" s="34" t="str">
        <f t="shared" si="2"/>
        <v>XIIJKT1</v>
      </c>
    </row>
    <row r="2057" ht="15.75" customHeight="1">
      <c r="A2057" s="15">
        <v>8211.0</v>
      </c>
      <c r="B2057" s="18" t="s">
        <v>9574</v>
      </c>
      <c r="C2057" s="29" t="s">
        <v>9575</v>
      </c>
      <c r="D2057" s="18" t="s">
        <v>9574</v>
      </c>
      <c r="E2057" s="34" t="s">
        <v>4727</v>
      </c>
      <c r="F2057" s="19" t="str">
        <f t="shared" si="1"/>
        <v>XIIJKT1</v>
      </c>
      <c r="G2057" s="19" t="s">
        <v>5408</v>
      </c>
      <c r="H2057" s="20" t="s">
        <v>4223</v>
      </c>
      <c r="I2057" s="19" t="s">
        <v>5409</v>
      </c>
      <c r="J2057" s="19" t="s">
        <v>5410</v>
      </c>
      <c r="K2057" s="21" t="s">
        <v>5415</v>
      </c>
      <c r="L2057" s="35" t="s">
        <v>6226</v>
      </c>
      <c r="M2057" s="29" t="s">
        <v>4726</v>
      </c>
      <c r="N2057" s="34" t="s">
        <v>5416</v>
      </c>
      <c r="O2057" s="34">
        <v>0.0</v>
      </c>
      <c r="P2057" s="18">
        <f>VLOOKUP($A2057,MasterData!$C$1:$I$3001,1,FALSE)</f>
        <v>8211</v>
      </c>
      <c r="Q2057" s="34" t="str">
        <f t="shared" si="2"/>
        <v>XIIJKT1</v>
      </c>
    </row>
    <row r="2058" ht="15.75" customHeight="1">
      <c r="A2058" s="15">
        <v>8228.0</v>
      </c>
      <c r="B2058" s="18" t="s">
        <v>9576</v>
      </c>
      <c r="C2058" s="29" t="s">
        <v>9577</v>
      </c>
      <c r="D2058" s="18" t="s">
        <v>9576</v>
      </c>
      <c r="E2058" s="34" t="s">
        <v>4729</v>
      </c>
      <c r="F2058" s="19" t="str">
        <f t="shared" si="1"/>
        <v>XIIJKT1</v>
      </c>
      <c r="G2058" s="19" t="s">
        <v>5408</v>
      </c>
      <c r="H2058" s="20" t="s">
        <v>4223</v>
      </c>
      <c r="I2058" s="19" t="s">
        <v>5409</v>
      </c>
      <c r="J2058" s="19" t="s">
        <v>5410</v>
      </c>
      <c r="K2058" s="21" t="s">
        <v>5415</v>
      </c>
      <c r="L2058" s="35" t="s">
        <v>6226</v>
      </c>
      <c r="M2058" s="29" t="s">
        <v>4728</v>
      </c>
      <c r="N2058" s="34" t="s">
        <v>5416</v>
      </c>
      <c r="O2058" s="34">
        <v>0.0</v>
      </c>
      <c r="P2058" s="18">
        <f>VLOOKUP($A2058,MasterData!$C$1:$I$3001,1,FALSE)</f>
        <v>8228</v>
      </c>
      <c r="Q2058" s="34" t="str">
        <f t="shared" si="2"/>
        <v>XIIJKT1</v>
      </c>
    </row>
    <row r="2059" ht="15.75" customHeight="1">
      <c r="A2059" s="15">
        <v>8257.0</v>
      </c>
      <c r="B2059" s="18" t="s">
        <v>9578</v>
      </c>
      <c r="C2059" s="29" t="s">
        <v>9579</v>
      </c>
      <c r="D2059" s="18" t="s">
        <v>9578</v>
      </c>
      <c r="E2059" s="34" t="s">
        <v>4731</v>
      </c>
      <c r="F2059" s="19" t="str">
        <f t="shared" si="1"/>
        <v>XIIJKT1</v>
      </c>
      <c r="G2059" s="19" t="s">
        <v>5408</v>
      </c>
      <c r="H2059" s="20" t="s">
        <v>4223</v>
      </c>
      <c r="I2059" s="19" t="s">
        <v>5409</v>
      </c>
      <c r="J2059" s="19" t="s">
        <v>5410</v>
      </c>
      <c r="K2059" s="21" t="s">
        <v>5415</v>
      </c>
      <c r="L2059" s="35" t="s">
        <v>6226</v>
      </c>
      <c r="M2059" s="29" t="s">
        <v>4730</v>
      </c>
      <c r="N2059" s="34" t="s">
        <v>9580</v>
      </c>
      <c r="O2059" s="34" t="s">
        <v>9581</v>
      </c>
      <c r="P2059" s="18">
        <f>VLOOKUP($A2059,MasterData!$C$1:$I$3001,1,FALSE)</f>
        <v>8257</v>
      </c>
      <c r="Q2059" s="34" t="str">
        <f t="shared" si="2"/>
        <v>XIIJKT1</v>
      </c>
    </row>
    <row r="2060" ht="15.75" customHeight="1">
      <c r="A2060" s="15">
        <v>8283.0</v>
      </c>
      <c r="B2060" s="18" t="s">
        <v>9582</v>
      </c>
      <c r="C2060" s="29" t="s">
        <v>9583</v>
      </c>
      <c r="D2060" s="18" t="s">
        <v>9582</v>
      </c>
      <c r="E2060" s="34" t="s">
        <v>4733</v>
      </c>
      <c r="F2060" s="19" t="str">
        <f t="shared" si="1"/>
        <v>XIIJKT1</v>
      </c>
      <c r="G2060" s="19" t="s">
        <v>5408</v>
      </c>
      <c r="H2060" s="20" t="s">
        <v>4223</v>
      </c>
      <c r="I2060" s="19" t="s">
        <v>5409</v>
      </c>
      <c r="J2060" s="19" t="s">
        <v>5410</v>
      </c>
      <c r="K2060" s="21" t="s">
        <v>5415</v>
      </c>
      <c r="L2060" s="35" t="s">
        <v>6226</v>
      </c>
      <c r="M2060" s="29" t="s">
        <v>4732</v>
      </c>
      <c r="N2060" s="34" t="s">
        <v>5416</v>
      </c>
      <c r="O2060" s="34">
        <v>0.0</v>
      </c>
      <c r="P2060" s="18">
        <f>VLOOKUP($A2060,MasterData!$C$1:$I$3001,1,FALSE)</f>
        <v>8283</v>
      </c>
      <c r="Q2060" s="34" t="str">
        <f t="shared" si="2"/>
        <v>XIIJKT1</v>
      </c>
    </row>
    <row r="2061" ht="15.75" customHeight="1">
      <c r="A2061" s="15">
        <v>8330.0</v>
      </c>
      <c r="B2061" s="18" t="s">
        <v>9584</v>
      </c>
      <c r="C2061" s="29" t="s">
        <v>9585</v>
      </c>
      <c r="D2061" s="18" t="s">
        <v>9584</v>
      </c>
      <c r="E2061" s="34" t="s">
        <v>4735</v>
      </c>
      <c r="F2061" s="19" t="str">
        <f t="shared" si="1"/>
        <v>XIIJKT1</v>
      </c>
      <c r="G2061" s="19" t="s">
        <v>5408</v>
      </c>
      <c r="H2061" s="20" t="s">
        <v>4223</v>
      </c>
      <c r="I2061" s="19" t="s">
        <v>5409</v>
      </c>
      <c r="J2061" s="19" t="s">
        <v>5410</v>
      </c>
      <c r="K2061" s="21" t="s">
        <v>5415</v>
      </c>
      <c r="L2061" s="35" t="s">
        <v>6226</v>
      </c>
      <c r="M2061" s="29" t="s">
        <v>4734</v>
      </c>
      <c r="N2061" s="34" t="s">
        <v>5416</v>
      </c>
      <c r="O2061" s="34">
        <v>0.0</v>
      </c>
      <c r="P2061" s="18">
        <f>VLOOKUP($A2061,MasterData!$C$1:$I$3001,1,FALSE)</f>
        <v>8330</v>
      </c>
      <c r="Q2061" s="34" t="str">
        <f t="shared" si="2"/>
        <v>XIIJKT1</v>
      </c>
    </row>
    <row r="2062" ht="15.75" customHeight="1">
      <c r="A2062" s="15">
        <v>8341.0</v>
      </c>
      <c r="B2062" s="18" t="s">
        <v>9586</v>
      </c>
      <c r="C2062" s="29" t="s">
        <v>9587</v>
      </c>
      <c r="D2062" s="18" t="s">
        <v>9586</v>
      </c>
      <c r="E2062" s="34" t="s">
        <v>4737</v>
      </c>
      <c r="F2062" s="19" t="str">
        <f t="shared" si="1"/>
        <v>XIIJKT1</v>
      </c>
      <c r="G2062" s="19" t="s">
        <v>5408</v>
      </c>
      <c r="H2062" s="20" t="s">
        <v>4223</v>
      </c>
      <c r="I2062" s="19" t="s">
        <v>5409</v>
      </c>
      <c r="J2062" s="19" t="s">
        <v>5410</v>
      </c>
      <c r="K2062" s="21" t="s">
        <v>5415</v>
      </c>
      <c r="L2062" s="35" t="s">
        <v>6226</v>
      </c>
      <c r="M2062" s="29" t="s">
        <v>4736</v>
      </c>
      <c r="N2062" s="36">
        <v>39335.0</v>
      </c>
      <c r="O2062" s="34" t="s">
        <v>9588</v>
      </c>
      <c r="P2062" s="18">
        <f>VLOOKUP($A2062,MasterData!$C$1:$I$3001,1,FALSE)</f>
        <v>8341</v>
      </c>
      <c r="Q2062" s="34" t="str">
        <f t="shared" si="2"/>
        <v>XIIJKT1</v>
      </c>
    </row>
    <row r="2063" ht="15.75" customHeight="1">
      <c r="A2063" s="15">
        <v>8359.0</v>
      </c>
      <c r="B2063" s="18" t="s">
        <v>9589</v>
      </c>
      <c r="C2063" s="29" t="s">
        <v>9590</v>
      </c>
      <c r="D2063" s="18" t="s">
        <v>9589</v>
      </c>
      <c r="E2063" s="34" t="s">
        <v>4739</v>
      </c>
      <c r="F2063" s="19" t="str">
        <f t="shared" si="1"/>
        <v>XIIJKT1</v>
      </c>
      <c r="G2063" s="19" t="s">
        <v>5408</v>
      </c>
      <c r="H2063" s="20" t="s">
        <v>4223</v>
      </c>
      <c r="I2063" s="19" t="s">
        <v>5409</v>
      </c>
      <c r="J2063" s="19" t="s">
        <v>5410</v>
      </c>
      <c r="K2063" s="21" t="s">
        <v>5415</v>
      </c>
      <c r="L2063" s="35" t="s">
        <v>6226</v>
      </c>
      <c r="M2063" s="29" t="s">
        <v>4738</v>
      </c>
      <c r="N2063" s="34" t="s">
        <v>5416</v>
      </c>
      <c r="O2063" s="34">
        <v>0.0</v>
      </c>
      <c r="P2063" s="18">
        <f>VLOOKUP($A2063,MasterData!$C$1:$I$3001,1,FALSE)</f>
        <v>8359</v>
      </c>
      <c r="Q2063" s="34" t="str">
        <f t="shared" si="2"/>
        <v>XIIJKT1</v>
      </c>
    </row>
    <row r="2064" ht="15.75" customHeight="1">
      <c r="A2064" s="15">
        <v>8375.0</v>
      </c>
      <c r="B2064" s="18" t="s">
        <v>9591</v>
      </c>
      <c r="C2064" s="29" t="s">
        <v>9592</v>
      </c>
      <c r="D2064" s="18" t="s">
        <v>9591</v>
      </c>
      <c r="E2064" s="34" t="s">
        <v>4741</v>
      </c>
      <c r="F2064" s="19" t="str">
        <f t="shared" si="1"/>
        <v>XIIJKT1</v>
      </c>
      <c r="G2064" s="19" t="s">
        <v>5408</v>
      </c>
      <c r="H2064" s="20" t="s">
        <v>4223</v>
      </c>
      <c r="I2064" s="19" t="s">
        <v>5409</v>
      </c>
      <c r="J2064" s="19" t="s">
        <v>5410</v>
      </c>
      <c r="K2064" s="21" t="s">
        <v>5415</v>
      </c>
      <c r="L2064" s="35" t="s">
        <v>6226</v>
      </c>
      <c r="M2064" s="29" t="s">
        <v>4740</v>
      </c>
      <c r="N2064" s="34" t="s">
        <v>5416</v>
      </c>
      <c r="O2064" s="34">
        <v>0.0</v>
      </c>
      <c r="P2064" s="18">
        <f>VLOOKUP($A2064,MasterData!$C$1:$I$3001,1,FALSE)</f>
        <v>8375</v>
      </c>
      <c r="Q2064" s="34" t="str">
        <f t="shared" si="2"/>
        <v>XIIJKT1</v>
      </c>
    </row>
    <row r="2065" ht="15.75" customHeight="1">
      <c r="A2065" s="15">
        <v>8416.0</v>
      </c>
      <c r="B2065" s="18" t="s">
        <v>9593</v>
      </c>
      <c r="C2065" s="29" t="s">
        <v>9594</v>
      </c>
      <c r="D2065" s="18" t="s">
        <v>9593</v>
      </c>
      <c r="E2065" s="34" t="s">
        <v>4743</v>
      </c>
      <c r="F2065" s="19" t="str">
        <f t="shared" si="1"/>
        <v>XIIJKT1</v>
      </c>
      <c r="G2065" s="19" t="s">
        <v>5408</v>
      </c>
      <c r="H2065" s="20" t="s">
        <v>4223</v>
      </c>
      <c r="I2065" s="19" t="s">
        <v>5409</v>
      </c>
      <c r="J2065" s="19" t="s">
        <v>5410</v>
      </c>
      <c r="K2065" s="21" t="s">
        <v>5415</v>
      </c>
      <c r="L2065" s="35" t="s">
        <v>6226</v>
      </c>
      <c r="M2065" s="29" t="s">
        <v>4742</v>
      </c>
      <c r="N2065" s="34" t="s">
        <v>9595</v>
      </c>
      <c r="O2065" s="34" t="s">
        <v>9596</v>
      </c>
      <c r="P2065" s="18">
        <f>VLOOKUP($A2065,MasterData!$C$1:$I$3001,1,FALSE)</f>
        <v>8416</v>
      </c>
      <c r="Q2065" s="34" t="str">
        <f t="shared" si="2"/>
        <v>XIIJKT1</v>
      </c>
    </row>
    <row r="2066" ht="15.75" customHeight="1">
      <c r="A2066" s="15">
        <v>8408.0</v>
      </c>
      <c r="B2066" s="18" t="s">
        <v>9597</v>
      </c>
      <c r="C2066" s="29" t="s">
        <v>9598</v>
      </c>
      <c r="D2066" s="18" t="s">
        <v>9597</v>
      </c>
      <c r="E2066" s="34" t="s">
        <v>4745</v>
      </c>
      <c r="F2066" s="19" t="str">
        <f t="shared" si="1"/>
        <v>XIIJKT1</v>
      </c>
      <c r="G2066" s="19" t="s">
        <v>5408</v>
      </c>
      <c r="H2066" s="20" t="s">
        <v>4223</v>
      </c>
      <c r="I2066" s="19" t="s">
        <v>5409</v>
      </c>
      <c r="J2066" s="19" t="s">
        <v>5410</v>
      </c>
      <c r="K2066" s="21" t="s">
        <v>5415</v>
      </c>
      <c r="L2066" s="35" t="s">
        <v>6226</v>
      </c>
      <c r="M2066" s="29" t="s">
        <v>4744</v>
      </c>
      <c r="N2066" s="34" t="s">
        <v>5416</v>
      </c>
      <c r="O2066" s="34">
        <v>0.0</v>
      </c>
      <c r="P2066" s="18">
        <f>VLOOKUP($A2066,MasterData!$C$1:$I$3001,1,FALSE)</f>
        <v>8408</v>
      </c>
      <c r="Q2066" s="34" t="str">
        <f t="shared" si="2"/>
        <v>XIIJKT1</v>
      </c>
    </row>
    <row r="2067" ht="15.75" customHeight="1">
      <c r="A2067" s="15">
        <v>8417.0</v>
      </c>
      <c r="B2067" s="18" t="s">
        <v>9599</v>
      </c>
      <c r="C2067" s="29" t="s">
        <v>9600</v>
      </c>
      <c r="D2067" s="18" t="s">
        <v>9599</v>
      </c>
      <c r="E2067" s="34" t="s">
        <v>4747</v>
      </c>
      <c r="F2067" s="19" t="str">
        <f t="shared" si="1"/>
        <v>XIIJKT1</v>
      </c>
      <c r="G2067" s="19" t="s">
        <v>5408</v>
      </c>
      <c r="H2067" s="20" t="s">
        <v>4223</v>
      </c>
      <c r="I2067" s="19" t="s">
        <v>5409</v>
      </c>
      <c r="J2067" s="19" t="s">
        <v>5410</v>
      </c>
      <c r="K2067" s="21" t="s">
        <v>5415</v>
      </c>
      <c r="L2067" s="35" t="s">
        <v>6226</v>
      </c>
      <c r="M2067" s="29" t="s">
        <v>4746</v>
      </c>
      <c r="N2067" s="34" t="s">
        <v>5416</v>
      </c>
      <c r="O2067" s="34">
        <v>0.0</v>
      </c>
      <c r="P2067" s="18">
        <f>VLOOKUP($A2067,MasterData!$C$1:$I$3001,1,FALSE)</f>
        <v>8417</v>
      </c>
      <c r="Q2067" s="34" t="str">
        <f t="shared" si="2"/>
        <v>XIIJKT1</v>
      </c>
    </row>
    <row r="2068" ht="15.75" customHeight="1">
      <c r="A2068" s="15">
        <v>8418.0</v>
      </c>
      <c r="B2068" s="18" t="s">
        <v>9601</v>
      </c>
      <c r="C2068" s="29" t="s">
        <v>9602</v>
      </c>
      <c r="D2068" s="18" t="s">
        <v>9601</v>
      </c>
      <c r="E2068" s="34" t="s">
        <v>4749</v>
      </c>
      <c r="F2068" s="19" t="str">
        <f t="shared" si="1"/>
        <v>XIIJKT1</v>
      </c>
      <c r="G2068" s="19" t="s">
        <v>5408</v>
      </c>
      <c r="H2068" s="20" t="s">
        <v>4223</v>
      </c>
      <c r="I2068" s="19" t="s">
        <v>5409</v>
      </c>
      <c r="J2068" s="19" t="s">
        <v>5410</v>
      </c>
      <c r="K2068" s="21" t="s">
        <v>5415</v>
      </c>
      <c r="L2068" s="35" t="s">
        <v>6226</v>
      </c>
      <c r="M2068" s="29" t="s">
        <v>4748</v>
      </c>
      <c r="N2068" s="34" t="s">
        <v>9315</v>
      </c>
      <c r="O2068" s="34" t="s">
        <v>9603</v>
      </c>
      <c r="P2068" s="18">
        <f>VLOOKUP($A2068,MasterData!$C$1:$I$3001,1,FALSE)</f>
        <v>8418</v>
      </c>
      <c r="Q2068" s="34" t="str">
        <f t="shared" si="2"/>
        <v>XIIJKT1</v>
      </c>
    </row>
    <row r="2069" ht="15.75" customHeight="1">
      <c r="A2069" s="15">
        <v>8337.0</v>
      </c>
      <c r="B2069" s="18" t="s">
        <v>9604</v>
      </c>
      <c r="C2069" s="29" t="s">
        <v>9605</v>
      </c>
      <c r="D2069" s="18" t="s">
        <v>9604</v>
      </c>
      <c r="E2069" s="3" t="s">
        <v>4751</v>
      </c>
      <c r="F2069" s="19" t="str">
        <f t="shared" si="1"/>
        <v>XIIJKT1</v>
      </c>
      <c r="G2069" s="19" t="s">
        <v>5408</v>
      </c>
      <c r="H2069" s="20" t="s">
        <v>4223</v>
      </c>
      <c r="I2069" s="19" t="s">
        <v>5409</v>
      </c>
      <c r="J2069" s="19" t="s">
        <v>5410</v>
      </c>
      <c r="K2069" s="21" t="s">
        <v>5415</v>
      </c>
      <c r="L2069" s="35" t="s">
        <v>6226</v>
      </c>
      <c r="M2069" s="29" t="s">
        <v>4750</v>
      </c>
      <c r="N2069" s="34" t="s">
        <v>5416</v>
      </c>
      <c r="O2069" s="34">
        <v>0.0</v>
      </c>
      <c r="P2069" s="18">
        <f>VLOOKUP($A2069,MasterData!$C$1:$I$3001,1,FALSE)</f>
        <v>8337</v>
      </c>
      <c r="Q2069" s="34" t="str">
        <f t="shared" si="2"/>
        <v>XIIJKT1</v>
      </c>
    </row>
    <row r="2070" ht="15.75" customHeight="1">
      <c r="A2070" s="15">
        <v>8428.0</v>
      </c>
      <c r="B2070" s="18" t="s">
        <v>9606</v>
      </c>
      <c r="C2070" s="29" t="s">
        <v>9607</v>
      </c>
      <c r="D2070" s="18" t="s">
        <v>9606</v>
      </c>
      <c r="E2070" s="34" t="s">
        <v>4753</v>
      </c>
      <c r="F2070" s="19" t="str">
        <f t="shared" si="1"/>
        <v>XIIJKT1</v>
      </c>
      <c r="G2070" s="19" t="s">
        <v>5408</v>
      </c>
      <c r="H2070" s="20" t="s">
        <v>4223</v>
      </c>
      <c r="I2070" s="19" t="s">
        <v>5409</v>
      </c>
      <c r="J2070" s="19" t="s">
        <v>5410</v>
      </c>
      <c r="K2070" s="21" t="s">
        <v>5415</v>
      </c>
      <c r="L2070" s="35" t="s">
        <v>6226</v>
      </c>
      <c r="M2070" s="29" t="s">
        <v>4752</v>
      </c>
      <c r="N2070" s="34" t="s">
        <v>9608</v>
      </c>
      <c r="O2070" s="34" t="s">
        <v>9609</v>
      </c>
      <c r="P2070" s="18">
        <f>VLOOKUP($A2070,MasterData!$C$1:$I$3001,1,FALSE)</f>
        <v>8428</v>
      </c>
      <c r="Q2070" s="34" t="str">
        <f t="shared" si="2"/>
        <v>XIIJKT1</v>
      </c>
    </row>
    <row r="2071" ht="15.75" customHeight="1">
      <c r="A2071" s="15">
        <v>8429.0</v>
      </c>
      <c r="B2071" s="18" t="s">
        <v>9610</v>
      </c>
      <c r="C2071" s="29" t="s">
        <v>9611</v>
      </c>
      <c r="D2071" s="18" t="s">
        <v>9610</v>
      </c>
      <c r="E2071" s="34" t="s">
        <v>4755</v>
      </c>
      <c r="F2071" s="19" t="str">
        <f t="shared" si="1"/>
        <v>XIIJKT1</v>
      </c>
      <c r="G2071" s="19" t="s">
        <v>5408</v>
      </c>
      <c r="H2071" s="20" t="s">
        <v>4223</v>
      </c>
      <c r="I2071" s="19" t="s">
        <v>5409</v>
      </c>
      <c r="J2071" s="19" t="s">
        <v>5410</v>
      </c>
      <c r="K2071" s="21" t="s">
        <v>5415</v>
      </c>
      <c r="L2071" s="35" t="s">
        <v>6226</v>
      </c>
      <c r="M2071" s="29" t="s">
        <v>4754</v>
      </c>
      <c r="N2071" s="34" t="s">
        <v>5416</v>
      </c>
      <c r="O2071" s="34">
        <v>0.0</v>
      </c>
      <c r="P2071" s="18">
        <f>VLOOKUP($A2071,MasterData!$C$1:$I$3001,1,FALSE)</f>
        <v>8429</v>
      </c>
      <c r="Q2071" s="34" t="str">
        <f t="shared" si="2"/>
        <v>XIIJKT1</v>
      </c>
    </row>
    <row r="2072" ht="15.75" customHeight="1">
      <c r="A2072" s="15">
        <v>8459.0</v>
      </c>
      <c r="B2072" s="18" t="s">
        <v>9612</v>
      </c>
      <c r="C2072" s="29" t="s">
        <v>9613</v>
      </c>
      <c r="D2072" s="18" t="s">
        <v>9612</v>
      </c>
      <c r="E2072" s="34" t="s">
        <v>4757</v>
      </c>
      <c r="F2072" s="19" t="str">
        <f t="shared" si="1"/>
        <v>XIIJKT1</v>
      </c>
      <c r="G2072" s="19" t="s">
        <v>5408</v>
      </c>
      <c r="H2072" s="20" t="s">
        <v>4223</v>
      </c>
      <c r="I2072" s="19" t="s">
        <v>5409</v>
      </c>
      <c r="J2072" s="19" t="s">
        <v>5410</v>
      </c>
      <c r="K2072" s="21" t="s">
        <v>5415</v>
      </c>
      <c r="L2072" s="35" t="s">
        <v>6226</v>
      </c>
      <c r="M2072" s="29" t="s">
        <v>4756</v>
      </c>
      <c r="N2072" s="34" t="s">
        <v>5416</v>
      </c>
      <c r="O2072" s="34">
        <v>0.0</v>
      </c>
      <c r="P2072" s="18">
        <f>VLOOKUP($A2072,MasterData!$C$1:$I$3001,1,FALSE)</f>
        <v>8459</v>
      </c>
      <c r="Q2072" s="34" t="str">
        <f t="shared" si="2"/>
        <v>XIIJKT1</v>
      </c>
    </row>
    <row r="2073" ht="15.75" customHeight="1">
      <c r="A2073" s="15">
        <v>8460.0</v>
      </c>
      <c r="B2073" s="18" t="s">
        <v>9614</v>
      </c>
      <c r="C2073" s="29" t="s">
        <v>9615</v>
      </c>
      <c r="D2073" s="18" t="s">
        <v>9614</v>
      </c>
      <c r="E2073" s="34" t="s">
        <v>4759</v>
      </c>
      <c r="F2073" s="19" t="str">
        <f t="shared" si="1"/>
        <v>XIIJKT1</v>
      </c>
      <c r="G2073" s="19" t="s">
        <v>5408</v>
      </c>
      <c r="H2073" s="20" t="s">
        <v>4223</v>
      </c>
      <c r="I2073" s="19" t="s">
        <v>5409</v>
      </c>
      <c r="J2073" s="19" t="s">
        <v>5410</v>
      </c>
      <c r="K2073" s="21" t="s">
        <v>5415</v>
      </c>
      <c r="L2073" s="35" t="s">
        <v>6226</v>
      </c>
      <c r="M2073" s="29" t="s">
        <v>4758</v>
      </c>
      <c r="N2073" s="34" t="s">
        <v>9616</v>
      </c>
      <c r="O2073" s="34" t="s">
        <v>9617</v>
      </c>
      <c r="P2073" s="18">
        <f>VLOOKUP($A2073,MasterData!$C$1:$I$3001,1,FALSE)</f>
        <v>8460</v>
      </c>
      <c r="Q2073" s="34" t="str">
        <f t="shared" si="2"/>
        <v>XIIJKT1</v>
      </c>
    </row>
    <row r="2074" ht="15.75" customHeight="1">
      <c r="A2074" s="15">
        <v>8480.0</v>
      </c>
      <c r="B2074" s="18" t="s">
        <v>9618</v>
      </c>
      <c r="C2074" s="29" t="s">
        <v>9619</v>
      </c>
      <c r="D2074" s="18" t="s">
        <v>9618</v>
      </c>
      <c r="E2074" s="34" t="s">
        <v>4761</v>
      </c>
      <c r="F2074" s="19" t="str">
        <f t="shared" si="1"/>
        <v>XIIJKT1</v>
      </c>
      <c r="G2074" s="19" t="s">
        <v>5408</v>
      </c>
      <c r="H2074" s="20" t="s">
        <v>4223</v>
      </c>
      <c r="I2074" s="19" t="s">
        <v>5409</v>
      </c>
      <c r="J2074" s="19" t="s">
        <v>5410</v>
      </c>
      <c r="K2074" s="21" t="s">
        <v>5415</v>
      </c>
      <c r="L2074" s="35" t="s">
        <v>6226</v>
      </c>
      <c r="M2074" s="29" t="s">
        <v>4760</v>
      </c>
      <c r="N2074" s="34" t="s">
        <v>5416</v>
      </c>
      <c r="O2074" s="34">
        <v>0.0</v>
      </c>
      <c r="P2074" s="18">
        <f>VLOOKUP($A2074,MasterData!$C$1:$I$3001,1,FALSE)</f>
        <v>8480</v>
      </c>
      <c r="Q2074" s="34" t="str">
        <f t="shared" si="2"/>
        <v>XIIJKT1</v>
      </c>
    </row>
    <row r="2075" ht="15.75" customHeight="1">
      <c r="A2075" s="15">
        <v>8499.0</v>
      </c>
      <c r="B2075" s="18" t="s">
        <v>9620</v>
      </c>
      <c r="C2075" s="29" t="s">
        <v>9621</v>
      </c>
      <c r="D2075" s="18" t="s">
        <v>9620</v>
      </c>
      <c r="E2075" s="34" t="s">
        <v>4763</v>
      </c>
      <c r="F2075" s="19" t="str">
        <f t="shared" si="1"/>
        <v>XIIJKT1</v>
      </c>
      <c r="G2075" s="19" t="s">
        <v>5408</v>
      </c>
      <c r="H2075" s="20" t="s">
        <v>4223</v>
      </c>
      <c r="I2075" s="19" t="s">
        <v>5409</v>
      </c>
      <c r="J2075" s="19" t="s">
        <v>5410</v>
      </c>
      <c r="K2075" s="21" t="s">
        <v>5415</v>
      </c>
      <c r="L2075" s="35" t="s">
        <v>6226</v>
      </c>
      <c r="M2075" s="29" t="s">
        <v>4762</v>
      </c>
      <c r="N2075" s="34" t="s">
        <v>5416</v>
      </c>
      <c r="O2075" s="34">
        <v>0.0</v>
      </c>
      <c r="P2075" s="18">
        <f>VLOOKUP($A2075,MasterData!$C$1:$I$3001,1,FALSE)</f>
        <v>8499</v>
      </c>
      <c r="Q2075" s="34" t="str">
        <f t="shared" si="2"/>
        <v>XIIJKT1</v>
      </c>
    </row>
    <row r="2076" ht="15.75" customHeight="1">
      <c r="A2076" s="15">
        <v>8539.0</v>
      </c>
      <c r="B2076" s="18" t="s">
        <v>9622</v>
      </c>
      <c r="C2076" s="29" t="s">
        <v>9623</v>
      </c>
      <c r="D2076" s="18" t="s">
        <v>9622</v>
      </c>
      <c r="E2076" s="34" t="s">
        <v>4765</v>
      </c>
      <c r="F2076" s="19" t="str">
        <f t="shared" si="1"/>
        <v>XIIJKT1</v>
      </c>
      <c r="G2076" s="19" t="s">
        <v>5408</v>
      </c>
      <c r="H2076" s="20" t="s">
        <v>4223</v>
      </c>
      <c r="I2076" s="19" t="s">
        <v>5409</v>
      </c>
      <c r="J2076" s="19" t="s">
        <v>5410</v>
      </c>
      <c r="K2076" s="21" t="s">
        <v>5415</v>
      </c>
      <c r="L2076" s="35" t="s">
        <v>6226</v>
      </c>
      <c r="M2076" s="29" t="s">
        <v>4764</v>
      </c>
      <c r="N2076" s="34" t="s">
        <v>5416</v>
      </c>
      <c r="O2076" s="34">
        <v>0.0</v>
      </c>
      <c r="P2076" s="18">
        <f>VLOOKUP($A2076,MasterData!$C$1:$I$3001,1,FALSE)</f>
        <v>8539</v>
      </c>
      <c r="Q2076" s="34" t="str">
        <f t="shared" si="2"/>
        <v>XIIJKT1</v>
      </c>
    </row>
    <row r="2077" ht="15.75" customHeight="1">
      <c r="A2077" s="15">
        <v>8540.0</v>
      </c>
      <c r="B2077" s="18" t="s">
        <v>9624</v>
      </c>
      <c r="C2077" s="37" t="s">
        <v>9625</v>
      </c>
      <c r="D2077" s="18" t="s">
        <v>9624</v>
      </c>
      <c r="E2077" s="34" t="s">
        <v>4767</v>
      </c>
      <c r="F2077" s="19" t="str">
        <f t="shared" si="1"/>
        <v>XIIJKT1</v>
      </c>
      <c r="G2077" s="19" t="s">
        <v>5408</v>
      </c>
      <c r="H2077" s="20" t="s">
        <v>4223</v>
      </c>
      <c r="I2077" s="19" t="s">
        <v>5409</v>
      </c>
      <c r="J2077" s="19" t="s">
        <v>5410</v>
      </c>
      <c r="K2077" s="21" t="s">
        <v>5415</v>
      </c>
      <c r="L2077" s="35" t="s">
        <v>6226</v>
      </c>
      <c r="M2077" s="29" t="s">
        <v>4766</v>
      </c>
      <c r="N2077" s="34" t="s">
        <v>5416</v>
      </c>
      <c r="O2077" s="34">
        <v>0.0</v>
      </c>
      <c r="P2077" s="18">
        <f>VLOOKUP($A2077,MasterData!$C$1:$I$3001,1,FALSE)</f>
        <v>8540</v>
      </c>
      <c r="Q2077" s="34" t="str">
        <f t="shared" si="2"/>
        <v>XIIJKT1</v>
      </c>
    </row>
    <row r="2078" ht="15.75" customHeight="1">
      <c r="A2078" s="15">
        <v>8541.0</v>
      </c>
      <c r="B2078" s="18" t="s">
        <v>9626</v>
      </c>
      <c r="C2078" s="29" t="s">
        <v>9627</v>
      </c>
      <c r="D2078" s="18" t="s">
        <v>9626</v>
      </c>
      <c r="E2078" s="34" t="s">
        <v>4769</v>
      </c>
      <c r="F2078" s="19" t="str">
        <f t="shared" si="1"/>
        <v>XIIJKT1</v>
      </c>
      <c r="G2078" s="19" t="s">
        <v>5408</v>
      </c>
      <c r="H2078" s="20" t="s">
        <v>4223</v>
      </c>
      <c r="I2078" s="19" t="s">
        <v>5409</v>
      </c>
      <c r="J2078" s="19" t="s">
        <v>5410</v>
      </c>
      <c r="K2078" s="21" t="s">
        <v>5415</v>
      </c>
      <c r="L2078" s="35" t="s">
        <v>6226</v>
      </c>
      <c r="M2078" s="29" t="s">
        <v>4768</v>
      </c>
      <c r="N2078" s="36">
        <v>39345.0</v>
      </c>
      <c r="O2078" s="34" t="s">
        <v>9628</v>
      </c>
      <c r="P2078" s="18">
        <f>VLOOKUP($A2078,MasterData!$C$1:$I$3001,1,FALSE)</f>
        <v>8541</v>
      </c>
      <c r="Q2078" s="34" t="str">
        <f t="shared" si="2"/>
        <v>XIIJKT1</v>
      </c>
    </row>
    <row r="2079" ht="15.75" customHeight="1">
      <c r="A2079" s="15">
        <v>8587.0</v>
      </c>
      <c r="B2079" s="18" t="s">
        <v>9629</v>
      </c>
      <c r="C2079" s="29" t="s">
        <v>9630</v>
      </c>
      <c r="D2079" s="18" t="s">
        <v>9629</v>
      </c>
      <c r="E2079" s="34" t="s">
        <v>4771</v>
      </c>
      <c r="F2079" s="19" t="str">
        <f t="shared" si="1"/>
        <v>XIIJKT1</v>
      </c>
      <c r="G2079" s="19" t="s">
        <v>5408</v>
      </c>
      <c r="H2079" s="20" t="s">
        <v>4223</v>
      </c>
      <c r="I2079" s="19" t="s">
        <v>5409</v>
      </c>
      <c r="J2079" s="19" t="s">
        <v>5410</v>
      </c>
      <c r="K2079" s="21" t="s">
        <v>5415</v>
      </c>
      <c r="L2079" s="35" t="s">
        <v>6226</v>
      </c>
      <c r="M2079" s="29" t="s">
        <v>4770</v>
      </c>
      <c r="N2079" s="34" t="s">
        <v>5416</v>
      </c>
      <c r="O2079" s="34">
        <v>0.0</v>
      </c>
      <c r="P2079" s="18">
        <f>VLOOKUP($A2079,MasterData!$C$1:$I$3001,1,FALSE)</f>
        <v>8587</v>
      </c>
      <c r="Q2079" s="34" t="str">
        <f t="shared" si="2"/>
        <v>XIIJKT1</v>
      </c>
    </row>
    <row r="2080" ht="15.75" customHeight="1">
      <c r="A2080" s="15">
        <v>8605.0</v>
      </c>
      <c r="B2080" s="18" t="s">
        <v>9631</v>
      </c>
      <c r="C2080" s="29" t="s">
        <v>9632</v>
      </c>
      <c r="D2080" s="18" t="s">
        <v>9631</v>
      </c>
      <c r="E2080" s="34" t="s">
        <v>4773</v>
      </c>
      <c r="F2080" s="19" t="str">
        <f t="shared" si="1"/>
        <v>XIIJKT1</v>
      </c>
      <c r="G2080" s="19" t="s">
        <v>5408</v>
      </c>
      <c r="H2080" s="20" t="s">
        <v>4223</v>
      </c>
      <c r="I2080" s="19" t="s">
        <v>5409</v>
      </c>
      <c r="J2080" s="19" t="s">
        <v>5410</v>
      </c>
      <c r="K2080" s="21" t="s">
        <v>5415</v>
      </c>
      <c r="L2080" s="35" t="s">
        <v>6226</v>
      </c>
      <c r="M2080" s="29" t="s">
        <v>4772</v>
      </c>
      <c r="N2080" s="34" t="s">
        <v>5416</v>
      </c>
      <c r="O2080" s="34">
        <v>0.0</v>
      </c>
      <c r="P2080" s="18">
        <f>VLOOKUP($A2080,MasterData!$C$1:$I$3001,1,FALSE)</f>
        <v>8605</v>
      </c>
      <c r="Q2080" s="34" t="str">
        <f t="shared" si="2"/>
        <v>XIIJKT1</v>
      </c>
    </row>
    <row r="2081" ht="15.75" customHeight="1">
      <c r="A2081" s="15">
        <v>8613.0</v>
      </c>
      <c r="B2081" s="18" t="s">
        <v>9633</v>
      </c>
      <c r="C2081" s="29" t="s">
        <v>9634</v>
      </c>
      <c r="D2081" s="18" t="s">
        <v>9633</v>
      </c>
      <c r="E2081" s="34" t="s">
        <v>4775</v>
      </c>
      <c r="F2081" s="19" t="str">
        <f t="shared" si="1"/>
        <v>XIIJKT1</v>
      </c>
      <c r="G2081" s="19" t="s">
        <v>5408</v>
      </c>
      <c r="H2081" s="20" t="s">
        <v>4223</v>
      </c>
      <c r="I2081" s="19" t="s">
        <v>5409</v>
      </c>
      <c r="J2081" s="19" t="s">
        <v>5410</v>
      </c>
      <c r="K2081" s="21" t="s">
        <v>5415</v>
      </c>
      <c r="L2081" s="35" t="s">
        <v>6226</v>
      </c>
      <c r="M2081" s="29" t="s">
        <v>4774</v>
      </c>
      <c r="N2081" s="34" t="s">
        <v>5416</v>
      </c>
      <c r="O2081" s="34">
        <v>0.0</v>
      </c>
      <c r="P2081" s="18">
        <f>VLOOKUP($A2081,MasterData!$C$1:$I$3001,1,FALSE)</f>
        <v>8613</v>
      </c>
      <c r="Q2081" s="34" t="str">
        <f t="shared" si="2"/>
        <v>XIIJKT1</v>
      </c>
    </row>
    <row r="2082" ht="15.75" customHeight="1">
      <c r="A2082" s="15">
        <v>8044.0</v>
      </c>
      <c r="B2082" s="18" t="s">
        <v>9635</v>
      </c>
      <c r="C2082" s="29" t="s">
        <v>9636</v>
      </c>
      <c r="D2082" s="18" t="s">
        <v>9635</v>
      </c>
      <c r="E2082" s="34" t="s">
        <v>4777</v>
      </c>
      <c r="F2082" s="19" t="str">
        <f t="shared" si="1"/>
        <v>XIIJKT2</v>
      </c>
      <c r="G2082" s="19" t="s">
        <v>5408</v>
      </c>
      <c r="H2082" s="20" t="s">
        <v>4223</v>
      </c>
      <c r="I2082" s="19" t="s">
        <v>5409</v>
      </c>
      <c r="J2082" s="19" t="s">
        <v>5410</v>
      </c>
      <c r="K2082" s="21" t="s">
        <v>5415</v>
      </c>
      <c r="L2082" s="35" t="s">
        <v>6336</v>
      </c>
      <c r="M2082" s="29" t="s">
        <v>4776</v>
      </c>
      <c r="N2082" s="34" t="s">
        <v>5416</v>
      </c>
      <c r="O2082" s="34">
        <v>0.0</v>
      </c>
      <c r="P2082" s="18">
        <f>VLOOKUP($A2082,MasterData!$C$1:$I$3001,1,FALSE)</f>
        <v>8044</v>
      </c>
      <c r="Q2082" s="34" t="str">
        <f t="shared" si="2"/>
        <v>XIIJKT2</v>
      </c>
    </row>
    <row r="2083" ht="15.75" customHeight="1">
      <c r="A2083" s="15">
        <v>8047.0</v>
      </c>
      <c r="B2083" s="18" t="s">
        <v>9637</v>
      </c>
      <c r="C2083" s="29" t="s">
        <v>9638</v>
      </c>
      <c r="D2083" s="18" t="s">
        <v>9637</v>
      </c>
      <c r="E2083" s="34" t="s">
        <v>4779</v>
      </c>
      <c r="F2083" s="19" t="str">
        <f t="shared" si="1"/>
        <v>XIIJKT2</v>
      </c>
      <c r="G2083" s="19" t="s">
        <v>5408</v>
      </c>
      <c r="H2083" s="20" t="s">
        <v>4223</v>
      </c>
      <c r="I2083" s="19" t="s">
        <v>5409</v>
      </c>
      <c r="J2083" s="19" t="s">
        <v>5410</v>
      </c>
      <c r="K2083" s="21" t="s">
        <v>5415</v>
      </c>
      <c r="L2083" s="35" t="s">
        <v>6336</v>
      </c>
      <c r="M2083" s="29" t="s">
        <v>4778</v>
      </c>
      <c r="N2083" s="34" t="s">
        <v>9639</v>
      </c>
      <c r="O2083" s="34" t="s">
        <v>9640</v>
      </c>
      <c r="P2083" s="18">
        <f>VLOOKUP($A2083,MasterData!$C$1:$I$3001,1,FALSE)</f>
        <v>8047</v>
      </c>
      <c r="Q2083" s="34" t="str">
        <f t="shared" si="2"/>
        <v>XIIJKT2</v>
      </c>
    </row>
    <row r="2084" ht="15.75" customHeight="1">
      <c r="A2084" s="15">
        <v>8074.0</v>
      </c>
      <c r="B2084" s="18" t="s">
        <v>9641</v>
      </c>
      <c r="C2084" s="29" t="s">
        <v>9642</v>
      </c>
      <c r="D2084" s="18" t="s">
        <v>9641</v>
      </c>
      <c r="E2084" s="34" t="s">
        <v>4781</v>
      </c>
      <c r="F2084" s="19" t="str">
        <f t="shared" si="1"/>
        <v>XIIJKT2</v>
      </c>
      <c r="G2084" s="19" t="s">
        <v>5408</v>
      </c>
      <c r="H2084" s="20" t="s">
        <v>4223</v>
      </c>
      <c r="I2084" s="19" t="s">
        <v>5409</v>
      </c>
      <c r="J2084" s="19" t="s">
        <v>5410</v>
      </c>
      <c r="K2084" s="21" t="s">
        <v>5415</v>
      </c>
      <c r="L2084" s="35" t="s">
        <v>6336</v>
      </c>
      <c r="M2084" s="29" t="s">
        <v>4780</v>
      </c>
      <c r="N2084" s="34" t="s">
        <v>9643</v>
      </c>
      <c r="O2084" s="34" t="s">
        <v>9644</v>
      </c>
      <c r="P2084" s="18">
        <f>VLOOKUP($A2084,MasterData!$C$1:$I$3001,1,FALSE)</f>
        <v>8074</v>
      </c>
      <c r="Q2084" s="34" t="str">
        <f t="shared" si="2"/>
        <v>XIIJKT2</v>
      </c>
    </row>
    <row r="2085" ht="15.75" customHeight="1">
      <c r="A2085" s="15">
        <v>8080.0</v>
      </c>
      <c r="B2085" s="18" t="s">
        <v>9645</v>
      </c>
      <c r="C2085" s="29" t="s">
        <v>9646</v>
      </c>
      <c r="D2085" s="18" t="s">
        <v>9645</v>
      </c>
      <c r="E2085" s="34" t="s">
        <v>4783</v>
      </c>
      <c r="F2085" s="19" t="str">
        <f t="shared" si="1"/>
        <v>XIIJKT2</v>
      </c>
      <c r="G2085" s="19" t="s">
        <v>5408</v>
      </c>
      <c r="H2085" s="20" t="s">
        <v>4223</v>
      </c>
      <c r="I2085" s="19" t="s">
        <v>5409</v>
      </c>
      <c r="J2085" s="19" t="s">
        <v>5410</v>
      </c>
      <c r="K2085" s="21" t="s">
        <v>5415</v>
      </c>
      <c r="L2085" s="35" t="s">
        <v>6336</v>
      </c>
      <c r="M2085" s="29" t="s">
        <v>4782</v>
      </c>
      <c r="N2085" s="34" t="s">
        <v>5416</v>
      </c>
      <c r="O2085" s="34">
        <v>0.0</v>
      </c>
      <c r="P2085" s="18">
        <f>VLOOKUP($A2085,MasterData!$C$1:$I$3001,1,FALSE)</f>
        <v>8080</v>
      </c>
      <c r="Q2085" s="34" t="str">
        <f t="shared" si="2"/>
        <v>XIIJKT2</v>
      </c>
    </row>
    <row r="2086" ht="15.75" customHeight="1">
      <c r="A2086" s="15">
        <v>8089.0</v>
      </c>
      <c r="B2086" s="18" t="s">
        <v>9647</v>
      </c>
      <c r="C2086" s="29" t="s">
        <v>9648</v>
      </c>
      <c r="D2086" s="18" t="s">
        <v>9647</v>
      </c>
      <c r="E2086" s="34" t="s">
        <v>4785</v>
      </c>
      <c r="F2086" s="19" t="str">
        <f t="shared" si="1"/>
        <v>XIIJKT2</v>
      </c>
      <c r="G2086" s="19" t="s">
        <v>5408</v>
      </c>
      <c r="H2086" s="20" t="s">
        <v>4223</v>
      </c>
      <c r="I2086" s="19" t="s">
        <v>5409</v>
      </c>
      <c r="J2086" s="19" t="s">
        <v>5410</v>
      </c>
      <c r="K2086" s="21" t="s">
        <v>5415</v>
      </c>
      <c r="L2086" s="35" t="s">
        <v>6336</v>
      </c>
      <c r="M2086" s="29" t="s">
        <v>4784</v>
      </c>
      <c r="N2086" s="34" t="s">
        <v>5416</v>
      </c>
      <c r="O2086" s="34">
        <v>0.0</v>
      </c>
      <c r="P2086" s="18">
        <f>VLOOKUP($A2086,MasterData!$C$1:$I$3001,1,FALSE)</f>
        <v>8089</v>
      </c>
      <c r="Q2086" s="34" t="str">
        <f t="shared" si="2"/>
        <v>XIIJKT2</v>
      </c>
    </row>
    <row r="2087" ht="15.75" customHeight="1">
      <c r="A2087" s="15">
        <v>8103.0</v>
      </c>
      <c r="B2087" s="18" t="s">
        <v>9649</v>
      </c>
      <c r="C2087" s="29" t="s">
        <v>9650</v>
      </c>
      <c r="D2087" s="18" t="s">
        <v>9649</v>
      </c>
      <c r="E2087" s="34" t="s">
        <v>4787</v>
      </c>
      <c r="F2087" s="19" t="str">
        <f t="shared" si="1"/>
        <v>XIIJKT2</v>
      </c>
      <c r="G2087" s="19" t="s">
        <v>5408</v>
      </c>
      <c r="H2087" s="20" t="s">
        <v>4223</v>
      </c>
      <c r="I2087" s="19" t="s">
        <v>5409</v>
      </c>
      <c r="J2087" s="19" t="s">
        <v>5410</v>
      </c>
      <c r="K2087" s="21" t="s">
        <v>5415</v>
      </c>
      <c r="L2087" s="35" t="s">
        <v>6336</v>
      </c>
      <c r="M2087" s="29" t="s">
        <v>4786</v>
      </c>
      <c r="N2087" s="34" t="s">
        <v>9651</v>
      </c>
      <c r="O2087" s="34" t="s">
        <v>9652</v>
      </c>
      <c r="P2087" s="18">
        <f>VLOOKUP($A2087,MasterData!$C$1:$I$3001,1,FALSE)</f>
        <v>8103</v>
      </c>
      <c r="Q2087" s="34" t="str">
        <f t="shared" si="2"/>
        <v>XIIJKT2</v>
      </c>
    </row>
    <row r="2088" ht="15.75" customHeight="1">
      <c r="A2088" s="15">
        <v>8137.0</v>
      </c>
      <c r="B2088" s="18" t="s">
        <v>9653</v>
      </c>
      <c r="C2088" s="29" t="s">
        <v>9654</v>
      </c>
      <c r="D2088" s="18" t="s">
        <v>9653</v>
      </c>
      <c r="E2088" s="34" t="s">
        <v>4789</v>
      </c>
      <c r="F2088" s="19" t="str">
        <f t="shared" si="1"/>
        <v>XIIJKT2</v>
      </c>
      <c r="G2088" s="19" t="s">
        <v>5408</v>
      </c>
      <c r="H2088" s="20" t="s">
        <v>4223</v>
      </c>
      <c r="I2088" s="19" t="s">
        <v>5409</v>
      </c>
      <c r="J2088" s="19" t="s">
        <v>5410</v>
      </c>
      <c r="K2088" s="21" t="s">
        <v>5415</v>
      </c>
      <c r="L2088" s="35" t="s">
        <v>6336</v>
      </c>
      <c r="M2088" s="29" t="s">
        <v>4788</v>
      </c>
      <c r="N2088" s="34" t="s">
        <v>9655</v>
      </c>
      <c r="O2088" s="34" t="s">
        <v>9656</v>
      </c>
      <c r="P2088" s="18">
        <f>VLOOKUP($A2088,MasterData!$C$1:$I$3001,1,FALSE)</f>
        <v>8137</v>
      </c>
      <c r="Q2088" s="34" t="str">
        <f t="shared" si="2"/>
        <v>XIIJKT2</v>
      </c>
    </row>
    <row r="2089" ht="15.75" customHeight="1">
      <c r="A2089" s="15">
        <v>8154.0</v>
      </c>
      <c r="B2089" s="18" t="s">
        <v>9657</v>
      </c>
      <c r="C2089" s="29" t="s">
        <v>9658</v>
      </c>
      <c r="D2089" s="18" t="s">
        <v>9657</v>
      </c>
      <c r="E2089" s="34" t="s">
        <v>4791</v>
      </c>
      <c r="F2089" s="19" t="str">
        <f t="shared" si="1"/>
        <v>XIIJKT2</v>
      </c>
      <c r="G2089" s="19" t="s">
        <v>5408</v>
      </c>
      <c r="H2089" s="20" t="s">
        <v>4223</v>
      </c>
      <c r="I2089" s="19" t="s">
        <v>5409</v>
      </c>
      <c r="J2089" s="19" t="s">
        <v>5410</v>
      </c>
      <c r="K2089" s="21" t="s">
        <v>5415</v>
      </c>
      <c r="L2089" s="35" t="s">
        <v>6336</v>
      </c>
      <c r="M2089" s="29" t="s">
        <v>4790</v>
      </c>
      <c r="N2089" s="34" t="s">
        <v>5416</v>
      </c>
      <c r="O2089" s="34">
        <v>0.0</v>
      </c>
      <c r="P2089" s="18">
        <f>VLOOKUP($A2089,MasterData!$C$1:$I$3001,1,FALSE)</f>
        <v>8154</v>
      </c>
      <c r="Q2089" s="34" t="str">
        <f t="shared" si="2"/>
        <v>XIIJKT2</v>
      </c>
    </row>
    <row r="2090" ht="15.75" customHeight="1">
      <c r="A2090" s="15">
        <v>8191.0</v>
      </c>
      <c r="B2090" s="18" t="s">
        <v>9659</v>
      </c>
      <c r="C2090" s="29" t="s">
        <v>9660</v>
      </c>
      <c r="D2090" s="18" t="s">
        <v>9659</v>
      </c>
      <c r="E2090" s="34" t="s">
        <v>4793</v>
      </c>
      <c r="F2090" s="19" t="str">
        <f t="shared" si="1"/>
        <v>XIIJKT2</v>
      </c>
      <c r="G2090" s="19" t="s">
        <v>5408</v>
      </c>
      <c r="H2090" s="20" t="s">
        <v>4223</v>
      </c>
      <c r="I2090" s="19" t="s">
        <v>5409</v>
      </c>
      <c r="J2090" s="19" t="s">
        <v>5410</v>
      </c>
      <c r="K2090" s="21" t="s">
        <v>5415</v>
      </c>
      <c r="L2090" s="35" t="s">
        <v>6336</v>
      </c>
      <c r="M2090" s="29" t="s">
        <v>4792</v>
      </c>
      <c r="N2090" s="34" t="s">
        <v>9661</v>
      </c>
      <c r="O2090" s="34" t="s">
        <v>9662</v>
      </c>
      <c r="P2090" s="18">
        <f>VLOOKUP($A2090,MasterData!$C$1:$I$3001,1,FALSE)</f>
        <v>8191</v>
      </c>
      <c r="Q2090" s="34" t="str">
        <f t="shared" si="2"/>
        <v>XIIJKT2</v>
      </c>
    </row>
    <row r="2091" ht="15.75" customHeight="1">
      <c r="A2091" s="15">
        <v>8208.0</v>
      </c>
      <c r="B2091" s="18" t="s">
        <v>9663</v>
      </c>
      <c r="C2091" s="29" t="s">
        <v>9664</v>
      </c>
      <c r="D2091" s="18" t="s">
        <v>9663</v>
      </c>
      <c r="E2091" s="34" t="s">
        <v>4795</v>
      </c>
      <c r="F2091" s="19" t="str">
        <f t="shared" si="1"/>
        <v>XIIJKT2</v>
      </c>
      <c r="G2091" s="19" t="s">
        <v>5408</v>
      </c>
      <c r="H2091" s="20" t="s">
        <v>4223</v>
      </c>
      <c r="I2091" s="19" t="s">
        <v>5409</v>
      </c>
      <c r="J2091" s="19" t="s">
        <v>5410</v>
      </c>
      <c r="K2091" s="21" t="s">
        <v>5415</v>
      </c>
      <c r="L2091" s="35" t="s">
        <v>6336</v>
      </c>
      <c r="M2091" s="29" t="s">
        <v>4794</v>
      </c>
      <c r="N2091" s="36">
        <v>39549.0</v>
      </c>
      <c r="O2091" s="34" t="s">
        <v>9665</v>
      </c>
      <c r="P2091" s="18">
        <f>VLOOKUP($A2091,MasterData!$C$1:$I$3001,1,FALSE)</f>
        <v>8208</v>
      </c>
      <c r="Q2091" s="34" t="str">
        <f t="shared" si="2"/>
        <v>XIIJKT2</v>
      </c>
    </row>
    <row r="2092" ht="15.75" hidden="1" customHeight="1">
      <c r="A2092" s="15">
        <v>8235.0</v>
      </c>
      <c r="B2092" s="18" t="s">
        <v>9666</v>
      </c>
      <c r="C2092" s="29" t="s">
        <v>9667</v>
      </c>
      <c r="D2092" s="18" t="s">
        <v>9666</v>
      </c>
      <c r="E2092" s="34" t="s">
        <v>4797</v>
      </c>
      <c r="F2092" s="19" t="str">
        <f t="shared" si="1"/>
        <v>DROPOUT</v>
      </c>
      <c r="G2092" s="19" t="s">
        <v>5408</v>
      </c>
      <c r="H2092" s="20" t="s">
        <v>1166</v>
      </c>
      <c r="I2092" s="19" t="s">
        <v>5409</v>
      </c>
      <c r="J2092" s="19" t="s">
        <v>5410</v>
      </c>
      <c r="K2092" s="21" t="s">
        <v>5415</v>
      </c>
      <c r="L2092" s="38" t="s">
        <v>5412</v>
      </c>
      <c r="M2092" s="29" t="s">
        <v>4796</v>
      </c>
      <c r="N2092" s="34" t="s">
        <v>9269</v>
      </c>
      <c r="O2092" s="34" t="s">
        <v>9668</v>
      </c>
      <c r="P2092" s="18">
        <f>VLOOKUP($A2092,MasterData!$C$1:$I$3001,1,FALSE)</f>
        <v>8235</v>
      </c>
      <c r="Q2092" s="34" t="str">
        <f t="shared" si="2"/>
        <v>DROPOUT</v>
      </c>
    </row>
    <row r="2093" ht="15.75" customHeight="1">
      <c r="A2093" s="15">
        <v>8238.0</v>
      </c>
      <c r="B2093" s="18" t="s">
        <v>9669</v>
      </c>
      <c r="C2093" s="29" t="s">
        <v>9670</v>
      </c>
      <c r="D2093" s="18" t="s">
        <v>9669</v>
      </c>
      <c r="E2093" s="34" t="s">
        <v>4799</v>
      </c>
      <c r="F2093" s="19" t="str">
        <f t="shared" si="1"/>
        <v>XIIJKT2</v>
      </c>
      <c r="G2093" s="19" t="s">
        <v>5408</v>
      </c>
      <c r="H2093" s="20" t="s">
        <v>4223</v>
      </c>
      <c r="I2093" s="19" t="s">
        <v>5409</v>
      </c>
      <c r="J2093" s="19" t="s">
        <v>5410</v>
      </c>
      <c r="K2093" s="21" t="s">
        <v>5415</v>
      </c>
      <c r="L2093" s="35" t="s">
        <v>6336</v>
      </c>
      <c r="M2093" s="29" t="s">
        <v>4798</v>
      </c>
      <c r="N2093" s="34" t="s">
        <v>9671</v>
      </c>
      <c r="O2093" s="34" t="s">
        <v>9672</v>
      </c>
      <c r="P2093" s="18">
        <f>VLOOKUP($A2093,MasterData!$C$1:$I$3001,1,FALSE)</f>
        <v>8238</v>
      </c>
      <c r="Q2093" s="34" t="str">
        <f t="shared" si="2"/>
        <v>XIIJKT2</v>
      </c>
    </row>
    <row r="2094" ht="15.75" customHeight="1">
      <c r="A2094" s="15">
        <v>8242.0</v>
      </c>
      <c r="B2094" s="18" t="s">
        <v>9673</v>
      </c>
      <c r="C2094" s="29" t="s">
        <v>9674</v>
      </c>
      <c r="D2094" s="18" t="s">
        <v>9673</v>
      </c>
      <c r="E2094" s="3" t="s">
        <v>4801</v>
      </c>
      <c r="F2094" s="19" t="str">
        <f t="shared" si="1"/>
        <v>XIIJKT2</v>
      </c>
      <c r="G2094" s="19" t="s">
        <v>5408</v>
      </c>
      <c r="H2094" s="20" t="s">
        <v>4223</v>
      </c>
      <c r="I2094" s="19" t="s">
        <v>5409</v>
      </c>
      <c r="J2094" s="19" t="s">
        <v>5410</v>
      </c>
      <c r="K2094" s="21" t="s">
        <v>5415</v>
      </c>
      <c r="L2094" s="35" t="s">
        <v>6336</v>
      </c>
      <c r="M2094" s="29" t="s">
        <v>4800</v>
      </c>
      <c r="N2094" s="34" t="s">
        <v>5416</v>
      </c>
      <c r="O2094" s="34">
        <v>0.0</v>
      </c>
      <c r="P2094" s="18">
        <f>VLOOKUP($A2094,MasterData!$C$1:$I$3001,1,FALSE)</f>
        <v>8242</v>
      </c>
      <c r="Q2094" s="34" t="str">
        <f t="shared" si="2"/>
        <v>XIIJKT2</v>
      </c>
    </row>
    <row r="2095" ht="15.75" customHeight="1">
      <c r="A2095" s="15">
        <v>8300.0</v>
      </c>
      <c r="B2095" s="18" t="s">
        <v>9675</v>
      </c>
      <c r="C2095" s="29" t="s">
        <v>9676</v>
      </c>
      <c r="D2095" s="18" t="s">
        <v>9675</v>
      </c>
      <c r="E2095" s="34" t="s">
        <v>4803</v>
      </c>
      <c r="F2095" s="19" t="str">
        <f t="shared" si="1"/>
        <v>XIIJKT2</v>
      </c>
      <c r="G2095" s="19" t="s">
        <v>5408</v>
      </c>
      <c r="H2095" s="20" t="s">
        <v>4223</v>
      </c>
      <c r="I2095" s="19" t="s">
        <v>5409</v>
      </c>
      <c r="J2095" s="19" t="s">
        <v>5410</v>
      </c>
      <c r="K2095" s="21" t="s">
        <v>5415</v>
      </c>
      <c r="L2095" s="35" t="s">
        <v>6336</v>
      </c>
      <c r="M2095" s="29" t="s">
        <v>4802</v>
      </c>
      <c r="N2095" s="34" t="s">
        <v>9677</v>
      </c>
      <c r="O2095" s="34" t="s">
        <v>9678</v>
      </c>
      <c r="P2095" s="18">
        <f>VLOOKUP($A2095,MasterData!$C$1:$I$3001,1,FALSE)</f>
        <v>8300</v>
      </c>
      <c r="Q2095" s="34" t="str">
        <f t="shared" si="2"/>
        <v>XIIJKT2</v>
      </c>
    </row>
    <row r="2096" ht="15.75" customHeight="1">
      <c r="A2096" s="15">
        <v>8301.0</v>
      </c>
      <c r="B2096" s="18" t="s">
        <v>9679</v>
      </c>
      <c r="C2096" s="29" t="s">
        <v>9680</v>
      </c>
      <c r="D2096" s="18" t="s">
        <v>9679</v>
      </c>
      <c r="E2096" s="34" t="s">
        <v>4805</v>
      </c>
      <c r="F2096" s="19" t="str">
        <f t="shared" si="1"/>
        <v>XIIJKT2</v>
      </c>
      <c r="G2096" s="19" t="s">
        <v>5408</v>
      </c>
      <c r="H2096" s="20" t="s">
        <v>4223</v>
      </c>
      <c r="I2096" s="19" t="s">
        <v>5409</v>
      </c>
      <c r="J2096" s="19" t="s">
        <v>5410</v>
      </c>
      <c r="K2096" s="21" t="s">
        <v>5415</v>
      </c>
      <c r="L2096" s="35" t="s">
        <v>6336</v>
      </c>
      <c r="M2096" s="29" t="s">
        <v>4804</v>
      </c>
      <c r="N2096" s="34" t="s">
        <v>5416</v>
      </c>
      <c r="O2096" s="34">
        <v>0.0</v>
      </c>
      <c r="P2096" s="18">
        <f>VLOOKUP($A2096,MasterData!$C$1:$I$3001,1,FALSE)</f>
        <v>8301</v>
      </c>
      <c r="Q2096" s="34" t="str">
        <f t="shared" si="2"/>
        <v>XIIJKT2</v>
      </c>
    </row>
    <row r="2097" ht="15.75" customHeight="1">
      <c r="A2097" s="15">
        <v>8309.0</v>
      </c>
      <c r="B2097" s="18" t="s">
        <v>9681</v>
      </c>
      <c r="C2097" s="29" t="s">
        <v>9682</v>
      </c>
      <c r="D2097" s="18" t="s">
        <v>9681</v>
      </c>
      <c r="E2097" s="34" t="s">
        <v>4807</v>
      </c>
      <c r="F2097" s="19" t="str">
        <f t="shared" si="1"/>
        <v>XIIJKT2</v>
      </c>
      <c r="G2097" s="19" t="s">
        <v>5408</v>
      </c>
      <c r="H2097" s="20" t="s">
        <v>4223</v>
      </c>
      <c r="I2097" s="19" t="s">
        <v>5409</v>
      </c>
      <c r="J2097" s="19" t="s">
        <v>5410</v>
      </c>
      <c r="K2097" s="21" t="s">
        <v>5415</v>
      </c>
      <c r="L2097" s="35" t="s">
        <v>6336</v>
      </c>
      <c r="M2097" s="29" t="s">
        <v>4806</v>
      </c>
      <c r="N2097" s="34" t="s">
        <v>9616</v>
      </c>
      <c r="O2097" s="34" t="s">
        <v>9683</v>
      </c>
      <c r="P2097" s="18">
        <f>VLOOKUP($A2097,MasterData!$C$1:$I$3001,1,FALSE)</f>
        <v>8309</v>
      </c>
      <c r="Q2097" s="34" t="str">
        <f t="shared" si="2"/>
        <v>XIIJKT2</v>
      </c>
    </row>
    <row r="2098" ht="15.75" customHeight="1">
      <c r="A2098" s="15">
        <v>8319.0</v>
      </c>
      <c r="B2098" s="18" t="s">
        <v>9684</v>
      </c>
      <c r="C2098" s="29" t="s">
        <v>9685</v>
      </c>
      <c r="D2098" s="18" t="s">
        <v>9684</v>
      </c>
      <c r="E2098" s="34" t="s">
        <v>4809</v>
      </c>
      <c r="F2098" s="19" t="str">
        <f t="shared" si="1"/>
        <v>XIIJKT2</v>
      </c>
      <c r="G2098" s="19" t="s">
        <v>5408</v>
      </c>
      <c r="H2098" s="20" t="s">
        <v>4223</v>
      </c>
      <c r="I2098" s="19" t="s">
        <v>5409</v>
      </c>
      <c r="J2098" s="19" t="s">
        <v>5410</v>
      </c>
      <c r="K2098" s="21" t="s">
        <v>5415</v>
      </c>
      <c r="L2098" s="35" t="s">
        <v>6336</v>
      </c>
      <c r="M2098" s="29" t="s">
        <v>4808</v>
      </c>
      <c r="N2098" s="34" t="s">
        <v>5416</v>
      </c>
      <c r="O2098" s="34">
        <v>0.0</v>
      </c>
      <c r="P2098" s="18">
        <f>VLOOKUP($A2098,MasterData!$C$1:$I$3001,1,FALSE)</f>
        <v>8319</v>
      </c>
      <c r="Q2098" s="34" t="str">
        <f t="shared" si="2"/>
        <v>XIIJKT2</v>
      </c>
    </row>
    <row r="2099" ht="15.75" customHeight="1">
      <c r="A2099" s="15">
        <v>8329.0</v>
      </c>
      <c r="B2099" s="18" t="s">
        <v>9686</v>
      </c>
      <c r="C2099" s="29" t="s">
        <v>9687</v>
      </c>
      <c r="D2099" s="18" t="s">
        <v>9686</v>
      </c>
      <c r="E2099" s="34" t="s">
        <v>4811</v>
      </c>
      <c r="F2099" s="19" t="str">
        <f t="shared" si="1"/>
        <v>XIIJKT2</v>
      </c>
      <c r="G2099" s="19" t="s">
        <v>5408</v>
      </c>
      <c r="H2099" s="20" t="s">
        <v>4223</v>
      </c>
      <c r="I2099" s="19" t="s">
        <v>5409</v>
      </c>
      <c r="J2099" s="19" t="s">
        <v>5410</v>
      </c>
      <c r="K2099" s="21" t="s">
        <v>5415</v>
      </c>
      <c r="L2099" s="35" t="s">
        <v>6336</v>
      </c>
      <c r="M2099" s="29" t="s">
        <v>4810</v>
      </c>
      <c r="N2099" s="34" t="s">
        <v>5416</v>
      </c>
      <c r="O2099" s="34">
        <v>0.0</v>
      </c>
      <c r="P2099" s="18">
        <f>VLOOKUP($A2099,MasterData!$C$1:$I$3001,1,FALSE)</f>
        <v>8329</v>
      </c>
      <c r="Q2099" s="34" t="str">
        <f t="shared" si="2"/>
        <v>XIIJKT2</v>
      </c>
    </row>
    <row r="2100" ht="15.75" customHeight="1">
      <c r="A2100" s="15">
        <v>8357.0</v>
      </c>
      <c r="B2100" s="18" t="s">
        <v>9688</v>
      </c>
      <c r="C2100" s="29" t="s">
        <v>9689</v>
      </c>
      <c r="D2100" s="18" t="s">
        <v>9688</v>
      </c>
      <c r="E2100" s="34" t="s">
        <v>4813</v>
      </c>
      <c r="F2100" s="19" t="str">
        <f t="shared" si="1"/>
        <v>XIIJKT2</v>
      </c>
      <c r="G2100" s="19" t="s">
        <v>5408</v>
      </c>
      <c r="H2100" s="20" t="s">
        <v>4223</v>
      </c>
      <c r="I2100" s="19" t="s">
        <v>5409</v>
      </c>
      <c r="J2100" s="19" t="s">
        <v>5410</v>
      </c>
      <c r="K2100" s="21" t="s">
        <v>5415</v>
      </c>
      <c r="L2100" s="35" t="s">
        <v>6336</v>
      </c>
      <c r="M2100" s="29" t="s">
        <v>4812</v>
      </c>
      <c r="N2100" s="34" t="s">
        <v>9690</v>
      </c>
      <c r="O2100" s="34">
        <v>3.57806021007001E15</v>
      </c>
      <c r="P2100" s="18">
        <f>VLOOKUP($A2100,MasterData!$C$1:$I$3001,1,FALSE)</f>
        <v>8357</v>
      </c>
      <c r="Q2100" s="34" t="str">
        <f t="shared" si="2"/>
        <v>XIIJKT2</v>
      </c>
    </row>
    <row r="2101" ht="15.75" customHeight="1">
      <c r="A2101" s="15">
        <v>8361.0</v>
      </c>
      <c r="B2101" s="18" t="s">
        <v>9691</v>
      </c>
      <c r="C2101" s="29" t="s">
        <v>9692</v>
      </c>
      <c r="D2101" s="18" t="s">
        <v>9691</v>
      </c>
      <c r="E2101" s="34" t="s">
        <v>4815</v>
      </c>
      <c r="F2101" s="19" t="str">
        <f t="shared" si="1"/>
        <v>XIIJKT2</v>
      </c>
      <c r="G2101" s="19" t="s">
        <v>5408</v>
      </c>
      <c r="H2101" s="20" t="s">
        <v>4223</v>
      </c>
      <c r="I2101" s="19" t="s">
        <v>5409</v>
      </c>
      <c r="J2101" s="19" t="s">
        <v>5410</v>
      </c>
      <c r="K2101" s="21" t="s">
        <v>5415</v>
      </c>
      <c r="L2101" s="35" t="s">
        <v>6336</v>
      </c>
      <c r="M2101" s="29" t="s">
        <v>4814</v>
      </c>
      <c r="N2101" s="36">
        <v>39543.0</v>
      </c>
      <c r="O2101" s="34" t="s">
        <v>9693</v>
      </c>
      <c r="P2101" s="18">
        <f>VLOOKUP($A2101,MasterData!$C$1:$I$3001,1,FALSE)</f>
        <v>8361</v>
      </c>
      <c r="Q2101" s="34" t="str">
        <f t="shared" si="2"/>
        <v>XIIJKT2</v>
      </c>
    </row>
    <row r="2102" ht="15.75" customHeight="1">
      <c r="A2102" s="15">
        <v>8385.0</v>
      </c>
      <c r="B2102" s="18" t="s">
        <v>9694</v>
      </c>
      <c r="C2102" s="29" t="s">
        <v>9695</v>
      </c>
      <c r="D2102" s="18" t="s">
        <v>9694</v>
      </c>
      <c r="E2102" s="34" t="s">
        <v>4817</v>
      </c>
      <c r="F2102" s="19" t="str">
        <f t="shared" si="1"/>
        <v>XIIJKT2</v>
      </c>
      <c r="G2102" s="19" t="s">
        <v>5408</v>
      </c>
      <c r="H2102" s="20" t="s">
        <v>4223</v>
      </c>
      <c r="I2102" s="19" t="s">
        <v>5409</v>
      </c>
      <c r="J2102" s="19" t="s">
        <v>5410</v>
      </c>
      <c r="K2102" s="21" t="s">
        <v>5415</v>
      </c>
      <c r="L2102" s="35" t="s">
        <v>6336</v>
      </c>
      <c r="M2102" s="29" t="s">
        <v>4816</v>
      </c>
      <c r="N2102" s="36">
        <v>39354.0</v>
      </c>
      <c r="O2102" s="34" t="s">
        <v>9696</v>
      </c>
      <c r="P2102" s="18">
        <f>VLOOKUP($A2102,MasterData!$C$1:$I$3001,1,FALSE)</f>
        <v>8385</v>
      </c>
      <c r="Q2102" s="34" t="str">
        <f t="shared" si="2"/>
        <v>XIIJKT2</v>
      </c>
    </row>
    <row r="2103" ht="15.75" customHeight="1">
      <c r="A2103" s="15">
        <v>8396.0</v>
      </c>
      <c r="B2103" s="18" t="s">
        <v>9697</v>
      </c>
      <c r="C2103" s="29" t="s">
        <v>9698</v>
      </c>
      <c r="D2103" s="18" t="s">
        <v>9697</v>
      </c>
      <c r="E2103" s="34" t="s">
        <v>4819</v>
      </c>
      <c r="F2103" s="19" t="str">
        <f t="shared" si="1"/>
        <v>XIIJKT2</v>
      </c>
      <c r="G2103" s="19" t="s">
        <v>5408</v>
      </c>
      <c r="H2103" s="20" t="s">
        <v>4223</v>
      </c>
      <c r="I2103" s="19" t="s">
        <v>5409</v>
      </c>
      <c r="J2103" s="19" t="s">
        <v>5410</v>
      </c>
      <c r="K2103" s="21" t="s">
        <v>5415</v>
      </c>
      <c r="L2103" s="35" t="s">
        <v>6336</v>
      </c>
      <c r="M2103" s="29" t="s">
        <v>4818</v>
      </c>
      <c r="N2103" s="36">
        <v>39192.0</v>
      </c>
      <c r="O2103" s="34" t="s">
        <v>9699</v>
      </c>
      <c r="P2103" s="18">
        <f>VLOOKUP($A2103,MasterData!$C$1:$I$3001,1,FALSE)</f>
        <v>8396</v>
      </c>
      <c r="Q2103" s="34" t="str">
        <f t="shared" si="2"/>
        <v>XIIJKT2</v>
      </c>
    </row>
    <row r="2104" ht="15.75" customHeight="1">
      <c r="A2104" s="15">
        <v>8470.0</v>
      </c>
      <c r="B2104" s="18" t="s">
        <v>9700</v>
      </c>
      <c r="C2104" s="29" t="s">
        <v>9701</v>
      </c>
      <c r="D2104" s="18" t="s">
        <v>9700</v>
      </c>
      <c r="E2104" s="34" t="s">
        <v>4821</v>
      </c>
      <c r="F2104" s="19" t="str">
        <f t="shared" si="1"/>
        <v>XIIJKT2</v>
      </c>
      <c r="G2104" s="19" t="s">
        <v>5408</v>
      </c>
      <c r="H2104" s="20" t="s">
        <v>4223</v>
      </c>
      <c r="I2104" s="19" t="s">
        <v>5409</v>
      </c>
      <c r="J2104" s="19" t="s">
        <v>5410</v>
      </c>
      <c r="K2104" s="21" t="s">
        <v>5415</v>
      </c>
      <c r="L2104" s="35" t="s">
        <v>6336</v>
      </c>
      <c r="M2104" s="29" t="s">
        <v>4820</v>
      </c>
      <c r="N2104" s="34" t="s">
        <v>9702</v>
      </c>
      <c r="O2104" s="34" t="s">
        <v>9703</v>
      </c>
      <c r="P2104" s="18">
        <f>VLOOKUP($A2104,MasterData!$C$1:$I$3001,1,FALSE)</f>
        <v>8470</v>
      </c>
      <c r="Q2104" s="34" t="str">
        <f t="shared" si="2"/>
        <v>XIIJKT2</v>
      </c>
    </row>
    <row r="2105" ht="15.75" customHeight="1">
      <c r="A2105" s="15">
        <v>8486.0</v>
      </c>
      <c r="B2105" s="18" t="s">
        <v>9704</v>
      </c>
      <c r="C2105" s="29" t="s">
        <v>9705</v>
      </c>
      <c r="D2105" s="18" t="s">
        <v>9704</v>
      </c>
      <c r="E2105" s="34" t="s">
        <v>4823</v>
      </c>
      <c r="F2105" s="19" t="str">
        <f t="shared" si="1"/>
        <v>XIIJKT2</v>
      </c>
      <c r="G2105" s="19" t="s">
        <v>5408</v>
      </c>
      <c r="H2105" s="20" t="s">
        <v>4223</v>
      </c>
      <c r="I2105" s="19" t="s">
        <v>5409</v>
      </c>
      <c r="J2105" s="19" t="s">
        <v>5410</v>
      </c>
      <c r="K2105" s="21" t="s">
        <v>5415</v>
      </c>
      <c r="L2105" s="35" t="s">
        <v>6336</v>
      </c>
      <c r="M2105" s="29" t="s">
        <v>4822</v>
      </c>
      <c r="N2105" s="34" t="s">
        <v>9706</v>
      </c>
      <c r="O2105" s="34" t="s">
        <v>9707</v>
      </c>
      <c r="P2105" s="18">
        <f>VLOOKUP($A2105,MasterData!$C$1:$I$3001,1,FALSE)</f>
        <v>8486</v>
      </c>
      <c r="Q2105" s="34" t="str">
        <f t="shared" si="2"/>
        <v>XIIJKT2</v>
      </c>
    </row>
    <row r="2106" ht="15.75" customHeight="1">
      <c r="A2106" s="15">
        <v>8494.0</v>
      </c>
      <c r="B2106" s="18" t="s">
        <v>9708</v>
      </c>
      <c r="C2106" s="29" t="s">
        <v>9709</v>
      </c>
      <c r="D2106" s="18" t="s">
        <v>9708</v>
      </c>
      <c r="E2106" s="39" t="s">
        <v>4825</v>
      </c>
      <c r="F2106" s="19" t="str">
        <f t="shared" si="1"/>
        <v>XIIJKT2</v>
      </c>
      <c r="G2106" s="19" t="s">
        <v>5408</v>
      </c>
      <c r="H2106" s="20" t="s">
        <v>4223</v>
      </c>
      <c r="I2106" s="19" t="s">
        <v>5409</v>
      </c>
      <c r="J2106" s="19" t="s">
        <v>5410</v>
      </c>
      <c r="K2106" s="21" t="s">
        <v>5415</v>
      </c>
      <c r="L2106" s="35" t="s">
        <v>6336</v>
      </c>
      <c r="M2106" s="29" t="s">
        <v>4824</v>
      </c>
      <c r="N2106" s="34" t="s">
        <v>5416</v>
      </c>
      <c r="O2106" s="34">
        <v>0.0</v>
      </c>
      <c r="P2106" s="18">
        <f>VLOOKUP($A2106,MasterData!$C$1:$I$3001,1,FALSE)</f>
        <v>8494</v>
      </c>
      <c r="Q2106" s="34" t="str">
        <f t="shared" si="2"/>
        <v>XIIJKT2</v>
      </c>
    </row>
    <row r="2107" ht="15.75" customHeight="1">
      <c r="A2107" s="15">
        <v>8500.0</v>
      </c>
      <c r="B2107" s="18" t="s">
        <v>9710</v>
      </c>
      <c r="C2107" s="29" t="s">
        <v>9711</v>
      </c>
      <c r="D2107" s="18" t="s">
        <v>9710</v>
      </c>
      <c r="E2107" s="34" t="s">
        <v>4827</v>
      </c>
      <c r="F2107" s="19" t="str">
        <f t="shared" si="1"/>
        <v>XIIJKT2</v>
      </c>
      <c r="G2107" s="19" t="s">
        <v>5408</v>
      </c>
      <c r="H2107" s="20" t="s">
        <v>4223</v>
      </c>
      <c r="I2107" s="19" t="s">
        <v>5409</v>
      </c>
      <c r="J2107" s="19" t="s">
        <v>5410</v>
      </c>
      <c r="K2107" s="21" t="s">
        <v>5415</v>
      </c>
      <c r="L2107" s="35" t="s">
        <v>6336</v>
      </c>
      <c r="M2107" s="29" t="s">
        <v>4826</v>
      </c>
      <c r="N2107" s="34" t="s">
        <v>9712</v>
      </c>
      <c r="O2107" s="34">
        <v>3.50231712070002E14</v>
      </c>
      <c r="P2107" s="18">
        <f>VLOOKUP($A2107,MasterData!$C$1:$I$3001,1,FALSE)</f>
        <v>8500</v>
      </c>
      <c r="Q2107" s="34" t="str">
        <f t="shared" si="2"/>
        <v>XIIJKT2</v>
      </c>
    </row>
    <row r="2108" ht="15.75" customHeight="1">
      <c r="A2108" s="15">
        <v>8525.0</v>
      </c>
      <c r="B2108" s="18" t="s">
        <v>9713</v>
      </c>
      <c r="C2108" s="29" t="s">
        <v>9714</v>
      </c>
      <c r="D2108" s="18" t="s">
        <v>9713</v>
      </c>
      <c r="E2108" s="34" t="s">
        <v>4829</v>
      </c>
      <c r="F2108" s="19" t="str">
        <f t="shared" si="1"/>
        <v>XIIJKT2</v>
      </c>
      <c r="G2108" s="19" t="s">
        <v>5408</v>
      </c>
      <c r="H2108" s="20" t="s">
        <v>4223</v>
      </c>
      <c r="I2108" s="19" t="s">
        <v>5409</v>
      </c>
      <c r="J2108" s="19" t="s">
        <v>5410</v>
      </c>
      <c r="K2108" s="21" t="s">
        <v>5415</v>
      </c>
      <c r="L2108" s="35" t="s">
        <v>6336</v>
      </c>
      <c r="M2108" s="29" t="s">
        <v>4828</v>
      </c>
      <c r="N2108" s="34" t="s">
        <v>9715</v>
      </c>
      <c r="O2108" s="34" t="s">
        <v>9716</v>
      </c>
      <c r="P2108" s="18">
        <f>VLOOKUP($A2108,MasterData!$C$1:$I$3001,1,FALSE)</f>
        <v>8525</v>
      </c>
      <c r="Q2108" s="34" t="str">
        <f t="shared" si="2"/>
        <v>XIIJKT2</v>
      </c>
    </row>
    <row r="2109" ht="15.75" customHeight="1">
      <c r="A2109" s="15">
        <v>8548.0</v>
      </c>
      <c r="B2109" s="18" t="s">
        <v>9717</v>
      </c>
      <c r="C2109" s="29" t="s">
        <v>9718</v>
      </c>
      <c r="D2109" s="18" t="s">
        <v>9717</v>
      </c>
      <c r="E2109" s="34" t="s">
        <v>4831</v>
      </c>
      <c r="F2109" s="19" t="str">
        <f t="shared" si="1"/>
        <v>XIIJKT2</v>
      </c>
      <c r="G2109" s="19" t="s">
        <v>5408</v>
      </c>
      <c r="H2109" s="20" t="s">
        <v>4223</v>
      </c>
      <c r="I2109" s="19" t="s">
        <v>5409</v>
      </c>
      <c r="J2109" s="19" t="s">
        <v>5410</v>
      </c>
      <c r="K2109" s="21" t="s">
        <v>5415</v>
      </c>
      <c r="L2109" s="35" t="s">
        <v>6336</v>
      </c>
      <c r="M2109" s="29" t="s">
        <v>4830</v>
      </c>
      <c r="N2109" s="34" t="s">
        <v>9719</v>
      </c>
      <c r="O2109" s="34" t="s">
        <v>9720</v>
      </c>
      <c r="P2109" s="18">
        <f>VLOOKUP($A2109,MasterData!$C$1:$I$3001,1,FALSE)</f>
        <v>8548</v>
      </c>
      <c r="Q2109" s="34" t="str">
        <f t="shared" si="2"/>
        <v>XIIJKT2</v>
      </c>
    </row>
    <row r="2110" ht="15.75" customHeight="1">
      <c r="A2110" s="15">
        <v>8559.0</v>
      </c>
      <c r="B2110" s="18" t="s">
        <v>9721</v>
      </c>
      <c r="C2110" s="37" t="s">
        <v>9722</v>
      </c>
      <c r="D2110" s="18" t="s">
        <v>9721</v>
      </c>
      <c r="E2110" s="34" t="s">
        <v>4833</v>
      </c>
      <c r="F2110" s="19" t="str">
        <f t="shared" si="1"/>
        <v>XIIJKT2</v>
      </c>
      <c r="G2110" s="19" t="s">
        <v>5408</v>
      </c>
      <c r="H2110" s="20" t="s">
        <v>4223</v>
      </c>
      <c r="I2110" s="19" t="s">
        <v>5409</v>
      </c>
      <c r="J2110" s="19" t="s">
        <v>5410</v>
      </c>
      <c r="K2110" s="21" t="s">
        <v>5415</v>
      </c>
      <c r="L2110" s="35" t="s">
        <v>6336</v>
      </c>
      <c r="M2110" s="29" t="s">
        <v>4832</v>
      </c>
      <c r="N2110" s="34" t="s">
        <v>5416</v>
      </c>
      <c r="O2110" s="34">
        <v>0.0</v>
      </c>
      <c r="P2110" s="18">
        <f>VLOOKUP($A2110,MasterData!$C$1:$I$3001,1,FALSE)</f>
        <v>8559</v>
      </c>
      <c r="Q2110" s="34" t="str">
        <f t="shared" si="2"/>
        <v>XIIJKT2</v>
      </c>
    </row>
    <row r="2111" ht="15.75" customHeight="1">
      <c r="A2111" s="15">
        <v>8572.0</v>
      </c>
      <c r="B2111" s="18" t="s">
        <v>9723</v>
      </c>
      <c r="C2111" s="29" t="s">
        <v>9724</v>
      </c>
      <c r="D2111" s="18" t="s">
        <v>9723</v>
      </c>
      <c r="E2111" s="34" t="s">
        <v>4835</v>
      </c>
      <c r="F2111" s="19" t="str">
        <f t="shared" si="1"/>
        <v>XIIJKT2</v>
      </c>
      <c r="G2111" s="19" t="s">
        <v>5408</v>
      </c>
      <c r="H2111" s="20" t="s">
        <v>4223</v>
      </c>
      <c r="I2111" s="19" t="s">
        <v>5409</v>
      </c>
      <c r="J2111" s="19" t="s">
        <v>5410</v>
      </c>
      <c r="K2111" s="21" t="s">
        <v>5415</v>
      </c>
      <c r="L2111" s="35" t="s">
        <v>6336</v>
      </c>
      <c r="M2111" s="29" t="s">
        <v>4834</v>
      </c>
      <c r="N2111" s="36">
        <v>45179.0</v>
      </c>
      <c r="O2111" s="34" t="s">
        <v>9725</v>
      </c>
      <c r="P2111" s="18">
        <f>VLOOKUP($A2111,MasterData!$C$1:$I$3001,1,FALSE)</f>
        <v>8572</v>
      </c>
      <c r="Q2111" s="34" t="str">
        <f t="shared" si="2"/>
        <v>XIIJKT2</v>
      </c>
    </row>
    <row r="2112" ht="15.75" customHeight="1">
      <c r="A2112" s="15">
        <v>8602.0</v>
      </c>
      <c r="B2112" s="18" t="s">
        <v>9726</v>
      </c>
      <c r="C2112" s="29" t="s">
        <v>9727</v>
      </c>
      <c r="D2112" s="18" t="s">
        <v>9726</v>
      </c>
      <c r="E2112" s="34" t="s">
        <v>4837</v>
      </c>
      <c r="F2112" s="19" t="str">
        <f t="shared" si="1"/>
        <v>XIIJKT2</v>
      </c>
      <c r="G2112" s="19" t="s">
        <v>5408</v>
      </c>
      <c r="H2112" s="20" t="s">
        <v>4223</v>
      </c>
      <c r="I2112" s="19" t="s">
        <v>5409</v>
      </c>
      <c r="J2112" s="19" t="s">
        <v>5410</v>
      </c>
      <c r="K2112" s="21" t="s">
        <v>5415</v>
      </c>
      <c r="L2112" s="35" t="s">
        <v>6336</v>
      </c>
      <c r="M2112" s="29" t="s">
        <v>4836</v>
      </c>
      <c r="N2112" s="34" t="s">
        <v>5416</v>
      </c>
      <c r="O2112" s="34">
        <v>0.0</v>
      </c>
      <c r="P2112" s="18">
        <f>VLOOKUP($A2112,MasterData!$C$1:$I$3001,1,FALSE)</f>
        <v>8602</v>
      </c>
      <c r="Q2112" s="34" t="str">
        <f t="shared" si="2"/>
        <v>XIIJKT2</v>
      </c>
    </row>
    <row r="2113" ht="15.75" customHeight="1">
      <c r="A2113" s="15">
        <v>8604.0</v>
      </c>
      <c r="B2113" s="18" t="s">
        <v>9728</v>
      </c>
      <c r="C2113" s="29" t="s">
        <v>9729</v>
      </c>
      <c r="D2113" s="18" t="s">
        <v>9728</v>
      </c>
      <c r="E2113" s="34" t="s">
        <v>4839</v>
      </c>
      <c r="F2113" s="19" t="str">
        <f t="shared" si="1"/>
        <v>XIIJKT2</v>
      </c>
      <c r="G2113" s="19" t="s">
        <v>5408</v>
      </c>
      <c r="H2113" s="20" t="s">
        <v>4223</v>
      </c>
      <c r="I2113" s="19" t="s">
        <v>5409</v>
      </c>
      <c r="J2113" s="19" t="s">
        <v>5410</v>
      </c>
      <c r="K2113" s="21" t="s">
        <v>5415</v>
      </c>
      <c r="L2113" s="35" t="s">
        <v>6336</v>
      </c>
      <c r="M2113" s="29" t="s">
        <v>4838</v>
      </c>
      <c r="N2113" s="34" t="s">
        <v>9269</v>
      </c>
      <c r="O2113" s="34" t="s">
        <v>9730</v>
      </c>
      <c r="P2113" s="18">
        <f>VLOOKUP($A2113,MasterData!$C$1:$I$3001,1,FALSE)</f>
        <v>8604</v>
      </c>
      <c r="Q2113" s="34" t="str">
        <f t="shared" si="2"/>
        <v>XIIJKT2</v>
      </c>
    </row>
    <row r="2114" ht="15.75" customHeight="1">
      <c r="A2114" s="15">
        <v>8608.0</v>
      </c>
      <c r="B2114" s="18" t="s">
        <v>9731</v>
      </c>
      <c r="C2114" s="29" t="s">
        <v>9732</v>
      </c>
      <c r="D2114" s="18" t="s">
        <v>9731</v>
      </c>
      <c r="E2114" s="34" t="s">
        <v>4841</v>
      </c>
      <c r="F2114" s="19" t="str">
        <f t="shared" si="1"/>
        <v>XIIJKT2</v>
      </c>
      <c r="G2114" s="19" t="s">
        <v>5408</v>
      </c>
      <c r="H2114" s="20" t="s">
        <v>4223</v>
      </c>
      <c r="I2114" s="19" t="s">
        <v>5409</v>
      </c>
      <c r="J2114" s="19" t="s">
        <v>5410</v>
      </c>
      <c r="K2114" s="21" t="s">
        <v>5415</v>
      </c>
      <c r="L2114" s="35" t="s">
        <v>6336</v>
      </c>
      <c r="M2114" s="29" t="s">
        <v>4840</v>
      </c>
      <c r="N2114" s="34" t="s">
        <v>9733</v>
      </c>
      <c r="O2114" s="34" t="s">
        <v>9734</v>
      </c>
      <c r="P2114" s="18">
        <f>VLOOKUP($A2114,MasterData!$C$1:$I$3001,1,FALSE)</f>
        <v>8608</v>
      </c>
      <c r="Q2114" s="34" t="str">
        <f t="shared" si="2"/>
        <v>XIIJKT2</v>
      </c>
    </row>
    <row r="2115" ht="15.75" customHeight="1">
      <c r="A2115" s="15">
        <v>8610.0</v>
      </c>
      <c r="B2115" s="18" t="s">
        <v>9735</v>
      </c>
      <c r="C2115" s="29" t="s">
        <v>9736</v>
      </c>
      <c r="D2115" s="18" t="s">
        <v>9735</v>
      </c>
      <c r="E2115" s="34" t="s">
        <v>4843</v>
      </c>
      <c r="F2115" s="19" t="str">
        <f t="shared" si="1"/>
        <v>XIIJKT2</v>
      </c>
      <c r="G2115" s="19" t="s">
        <v>5408</v>
      </c>
      <c r="H2115" s="20" t="s">
        <v>4223</v>
      </c>
      <c r="I2115" s="19" t="s">
        <v>5409</v>
      </c>
      <c r="J2115" s="19" t="s">
        <v>5410</v>
      </c>
      <c r="K2115" s="21" t="s">
        <v>5415</v>
      </c>
      <c r="L2115" s="35" t="s">
        <v>6336</v>
      </c>
      <c r="M2115" s="29" t="s">
        <v>4842</v>
      </c>
      <c r="N2115" s="34" t="s">
        <v>5416</v>
      </c>
      <c r="O2115" s="34">
        <v>0.0</v>
      </c>
      <c r="P2115" s="18">
        <f>VLOOKUP($A2115,MasterData!$C$1:$I$3001,1,FALSE)</f>
        <v>8610</v>
      </c>
      <c r="Q2115" s="34" t="str">
        <f t="shared" si="2"/>
        <v>XIIJKT2</v>
      </c>
    </row>
    <row r="2116" ht="15.75" customHeight="1">
      <c r="A2116" s="15">
        <v>8624.0</v>
      </c>
      <c r="B2116" s="18" t="s">
        <v>9737</v>
      </c>
      <c r="C2116" s="29" t="s">
        <v>9738</v>
      </c>
      <c r="D2116" s="18" t="s">
        <v>9737</v>
      </c>
      <c r="E2116" s="34" t="s">
        <v>4845</v>
      </c>
      <c r="F2116" s="19" t="str">
        <f t="shared" si="1"/>
        <v>XIIJKT2</v>
      </c>
      <c r="G2116" s="19" t="s">
        <v>5408</v>
      </c>
      <c r="H2116" s="20" t="s">
        <v>4223</v>
      </c>
      <c r="I2116" s="19" t="s">
        <v>5409</v>
      </c>
      <c r="J2116" s="19" t="s">
        <v>5410</v>
      </c>
      <c r="K2116" s="21" t="s">
        <v>5415</v>
      </c>
      <c r="L2116" s="35" t="s">
        <v>6336</v>
      </c>
      <c r="M2116" s="29" t="s">
        <v>4844</v>
      </c>
      <c r="N2116" s="34" t="s">
        <v>5416</v>
      </c>
      <c r="O2116" s="34">
        <v>0.0</v>
      </c>
      <c r="P2116" s="18">
        <f>VLOOKUP($A2116,MasterData!$C$1:$I$3001,1,FALSE)</f>
        <v>8624</v>
      </c>
      <c r="Q2116" s="34" t="str">
        <f t="shared" si="2"/>
        <v>XIIJKT2</v>
      </c>
    </row>
    <row r="2117" ht="15.75" customHeight="1">
      <c r="A2117" s="15">
        <v>8040.0</v>
      </c>
      <c r="B2117" s="18" t="s">
        <v>9739</v>
      </c>
      <c r="C2117" s="29" t="s">
        <v>9740</v>
      </c>
      <c r="D2117" s="18" t="s">
        <v>9739</v>
      </c>
      <c r="E2117" s="34" t="s">
        <v>4847</v>
      </c>
      <c r="F2117" s="19" t="str">
        <f t="shared" si="1"/>
        <v>XIIKLR1</v>
      </c>
      <c r="G2117" s="19" t="s">
        <v>5408</v>
      </c>
      <c r="H2117" s="20" t="s">
        <v>4223</v>
      </c>
      <c r="I2117" s="19" t="s">
        <v>5409</v>
      </c>
      <c r="J2117" s="19" t="s">
        <v>5410</v>
      </c>
      <c r="K2117" s="21" t="s">
        <v>5415</v>
      </c>
      <c r="L2117" s="35" t="s">
        <v>6442</v>
      </c>
      <c r="M2117" s="29" t="s">
        <v>4846</v>
      </c>
      <c r="N2117" s="34" t="s">
        <v>5416</v>
      </c>
      <c r="O2117" s="34">
        <v>0.0</v>
      </c>
      <c r="P2117" s="18">
        <f>VLOOKUP($A2117,MasterData!$C$1:$I$3001,1,FALSE)</f>
        <v>8040</v>
      </c>
      <c r="Q2117" s="34" t="str">
        <f t="shared" si="2"/>
        <v>XIIKLR1</v>
      </c>
    </row>
    <row r="2118" ht="15.75" customHeight="1">
      <c r="A2118" s="15">
        <v>8068.0</v>
      </c>
      <c r="B2118" s="18" t="s">
        <v>9741</v>
      </c>
      <c r="C2118" s="29" t="s">
        <v>9742</v>
      </c>
      <c r="D2118" s="18" t="s">
        <v>9741</v>
      </c>
      <c r="E2118" s="34" t="s">
        <v>4849</v>
      </c>
      <c r="F2118" s="19" t="str">
        <f t="shared" si="1"/>
        <v>XIIKLR1</v>
      </c>
      <c r="G2118" s="19" t="s">
        <v>5408</v>
      </c>
      <c r="H2118" s="20" t="s">
        <v>4223</v>
      </c>
      <c r="I2118" s="19" t="s">
        <v>5409</v>
      </c>
      <c r="J2118" s="19" t="s">
        <v>5410</v>
      </c>
      <c r="K2118" s="21" t="s">
        <v>5415</v>
      </c>
      <c r="L2118" s="35" t="s">
        <v>6442</v>
      </c>
      <c r="M2118" s="29" t="s">
        <v>4848</v>
      </c>
      <c r="N2118" s="34" t="s">
        <v>5416</v>
      </c>
      <c r="O2118" s="34">
        <v>0.0</v>
      </c>
      <c r="P2118" s="18">
        <f>VLOOKUP($A2118,MasterData!$C$1:$I$3001,1,FALSE)</f>
        <v>8068</v>
      </c>
      <c r="Q2118" s="34" t="str">
        <f t="shared" si="2"/>
        <v>XIIKLR1</v>
      </c>
    </row>
    <row r="2119" ht="15.75" customHeight="1">
      <c r="A2119" s="15">
        <v>8095.0</v>
      </c>
      <c r="B2119" s="18" t="s">
        <v>9743</v>
      </c>
      <c r="C2119" s="29" t="s">
        <v>9744</v>
      </c>
      <c r="D2119" s="18" t="s">
        <v>9743</v>
      </c>
      <c r="E2119" s="34" t="s">
        <v>4851</v>
      </c>
      <c r="F2119" s="19" t="str">
        <f t="shared" si="1"/>
        <v>XIIKLR1</v>
      </c>
      <c r="G2119" s="19" t="s">
        <v>5408</v>
      </c>
      <c r="H2119" s="20" t="s">
        <v>4223</v>
      </c>
      <c r="I2119" s="19" t="s">
        <v>5409</v>
      </c>
      <c r="J2119" s="19" t="s">
        <v>5410</v>
      </c>
      <c r="K2119" s="21" t="s">
        <v>5415</v>
      </c>
      <c r="L2119" s="35" t="s">
        <v>6442</v>
      </c>
      <c r="M2119" s="29" t="s">
        <v>4850</v>
      </c>
      <c r="N2119" s="34" t="s">
        <v>5416</v>
      </c>
      <c r="O2119" s="34">
        <v>0.0</v>
      </c>
      <c r="P2119" s="18">
        <f>VLOOKUP($A2119,MasterData!$C$1:$I$3001,1,FALSE)</f>
        <v>8095</v>
      </c>
      <c r="Q2119" s="34" t="str">
        <f t="shared" si="2"/>
        <v>XIIKLR1</v>
      </c>
    </row>
    <row r="2120" ht="15.75" customHeight="1">
      <c r="A2120" s="15">
        <v>8124.0</v>
      </c>
      <c r="B2120" s="18" t="s">
        <v>9745</v>
      </c>
      <c r="C2120" s="29" t="s">
        <v>9746</v>
      </c>
      <c r="D2120" s="18" t="s">
        <v>9745</v>
      </c>
      <c r="E2120" s="34" t="s">
        <v>4853</v>
      </c>
      <c r="F2120" s="19" t="str">
        <f t="shared" si="1"/>
        <v>XIIKLR1</v>
      </c>
      <c r="G2120" s="19" t="s">
        <v>5408</v>
      </c>
      <c r="H2120" s="20" t="s">
        <v>4223</v>
      </c>
      <c r="I2120" s="19" t="s">
        <v>5409</v>
      </c>
      <c r="J2120" s="19" t="s">
        <v>5410</v>
      </c>
      <c r="K2120" s="21" t="s">
        <v>5415</v>
      </c>
      <c r="L2120" s="35" t="s">
        <v>6442</v>
      </c>
      <c r="M2120" s="29" t="s">
        <v>4852</v>
      </c>
      <c r="N2120" s="34" t="s">
        <v>5416</v>
      </c>
      <c r="O2120" s="34">
        <v>0.0</v>
      </c>
      <c r="P2120" s="18">
        <f>VLOOKUP($A2120,MasterData!$C$1:$I$3001,1,FALSE)</f>
        <v>8124</v>
      </c>
      <c r="Q2120" s="34" t="str">
        <f t="shared" si="2"/>
        <v>XIIKLR1</v>
      </c>
    </row>
    <row r="2121" ht="15.75" customHeight="1">
      <c r="A2121" s="15">
        <v>8163.0</v>
      </c>
      <c r="B2121" s="18" t="s">
        <v>9747</v>
      </c>
      <c r="C2121" s="29" t="s">
        <v>9748</v>
      </c>
      <c r="D2121" s="18" t="s">
        <v>9747</v>
      </c>
      <c r="E2121" s="34" t="s">
        <v>4855</v>
      </c>
      <c r="F2121" s="19" t="str">
        <f t="shared" si="1"/>
        <v>XIIKLR1</v>
      </c>
      <c r="G2121" s="19" t="s">
        <v>5408</v>
      </c>
      <c r="H2121" s="20" t="s">
        <v>4223</v>
      </c>
      <c r="I2121" s="19" t="s">
        <v>5409</v>
      </c>
      <c r="J2121" s="19" t="s">
        <v>5410</v>
      </c>
      <c r="K2121" s="21" t="s">
        <v>5415</v>
      </c>
      <c r="L2121" s="35" t="s">
        <v>6442</v>
      </c>
      <c r="M2121" s="29" t="s">
        <v>4854</v>
      </c>
      <c r="N2121" s="34" t="s">
        <v>5416</v>
      </c>
      <c r="O2121" s="34">
        <v>0.0</v>
      </c>
      <c r="P2121" s="18">
        <f>VLOOKUP($A2121,MasterData!$C$1:$I$3001,1,FALSE)</f>
        <v>8163</v>
      </c>
      <c r="Q2121" s="34" t="str">
        <f t="shared" si="2"/>
        <v>XIIKLR1</v>
      </c>
    </row>
    <row r="2122" ht="15.75" customHeight="1">
      <c r="A2122" s="15">
        <v>8175.0</v>
      </c>
      <c r="B2122" s="18" t="s">
        <v>9749</v>
      </c>
      <c r="C2122" s="29" t="s">
        <v>9750</v>
      </c>
      <c r="D2122" s="18" t="s">
        <v>9749</v>
      </c>
      <c r="E2122" s="34" t="s">
        <v>4857</v>
      </c>
      <c r="F2122" s="19" t="str">
        <f t="shared" si="1"/>
        <v>XIIKLR1</v>
      </c>
      <c r="G2122" s="19" t="s">
        <v>5408</v>
      </c>
      <c r="H2122" s="20" t="s">
        <v>4223</v>
      </c>
      <c r="I2122" s="19" t="s">
        <v>5409</v>
      </c>
      <c r="J2122" s="19" t="s">
        <v>5410</v>
      </c>
      <c r="K2122" s="21" t="s">
        <v>5415</v>
      </c>
      <c r="L2122" s="35" t="s">
        <v>6442</v>
      </c>
      <c r="M2122" s="29" t="s">
        <v>4856</v>
      </c>
      <c r="N2122" s="34" t="s">
        <v>5416</v>
      </c>
      <c r="O2122" s="34">
        <v>0.0</v>
      </c>
      <c r="P2122" s="18">
        <f>VLOOKUP($A2122,MasterData!$C$1:$I$3001,1,FALSE)</f>
        <v>8175</v>
      </c>
      <c r="Q2122" s="34" t="str">
        <f t="shared" si="2"/>
        <v>XIIKLR1</v>
      </c>
    </row>
    <row r="2123" ht="15.75" customHeight="1">
      <c r="A2123" s="15">
        <v>8182.0</v>
      </c>
      <c r="B2123" s="18" t="s">
        <v>9751</v>
      </c>
      <c r="C2123" s="29" t="s">
        <v>9752</v>
      </c>
      <c r="D2123" s="18" t="s">
        <v>9751</v>
      </c>
      <c r="E2123" s="34" t="s">
        <v>4859</v>
      </c>
      <c r="F2123" s="19" t="str">
        <f t="shared" si="1"/>
        <v>XIIKLR1</v>
      </c>
      <c r="G2123" s="19" t="s">
        <v>5408</v>
      </c>
      <c r="H2123" s="20" t="s">
        <v>4223</v>
      </c>
      <c r="I2123" s="19" t="s">
        <v>5409</v>
      </c>
      <c r="J2123" s="19" t="s">
        <v>5410</v>
      </c>
      <c r="K2123" s="21" t="s">
        <v>5415</v>
      </c>
      <c r="L2123" s="35" t="s">
        <v>6442</v>
      </c>
      <c r="M2123" s="29" t="s">
        <v>4858</v>
      </c>
      <c r="N2123" s="34" t="s">
        <v>5416</v>
      </c>
      <c r="O2123" s="34">
        <v>0.0</v>
      </c>
      <c r="P2123" s="18">
        <f>VLOOKUP($A2123,MasterData!$C$1:$I$3001,1,FALSE)</f>
        <v>8182</v>
      </c>
      <c r="Q2123" s="34" t="str">
        <f t="shared" si="2"/>
        <v>XIIKLR1</v>
      </c>
    </row>
    <row r="2124" ht="15.75" customHeight="1">
      <c r="A2124" s="15">
        <v>8193.0</v>
      </c>
      <c r="B2124" s="18" t="s">
        <v>9753</v>
      </c>
      <c r="C2124" s="29" t="s">
        <v>9754</v>
      </c>
      <c r="D2124" s="18" t="s">
        <v>9753</v>
      </c>
      <c r="E2124" s="34" t="s">
        <v>4861</v>
      </c>
      <c r="F2124" s="19" t="str">
        <f t="shared" si="1"/>
        <v>XIIKLR1</v>
      </c>
      <c r="G2124" s="19" t="s">
        <v>5408</v>
      </c>
      <c r="H2124" s="20" t="s">
        <v>4223</v>
      </c>
      <c r="I2124" s="19" t="s">
        <v>5409</v>
      </c>
      <c r="J2124" s="19" t="s">
        <v>5410</v>
      </c>
      <c r="K2124" s="21" t="s">
        <v>5415</v>
      </c>
      <c r="L2124" s="35" t="s">
        <v>6442</v>
      </c>
      <c r="M2124" s="29" t="s">
        <v>4860</v>
      </c>
      <c r="N2124" s="34" t="s">
        <v>5416</v>
      </c>
      <c r="O2124" s="34">
        <v>0.0</v>
      </c>
      <c r="P2124" s="18">
        <f>VLOOKUP($A2124,MasterData!$C$1:$I$3001,1,FALSE)</f>
        <v>8193</v>
      </c>
      <c r="Q2124" s="34" t="str">
        <f t="shared" si="2"/>
        <v>XIIKLR1</v>
      </c>
    </row>
    <row r="2125" ht="15.75" customHeight="1">
      <c r="A2125" s="15">
        <v>8203.0</v>
      </c>
      <c r="B2125" s="18" t="s">
        <v>9755</v>
      </c>
      <c r="C2125" s="29" t="s">
        <v>9756</v>
      </c>
      <c r="D2125" s="18" t="s">
        <v>9755</v>
      </c>
      <c r="E2125" s="34" t="s">
        <v>4863</v>
      </c>
      <c r="F2125" s="19" t="str">
        <f t="shared" si="1"/>
        <v>XIIKLR1</v>
      </c>
      <c r="G2125" s="19" t="s">
        <v>5408</v>
      </c>
      <c r="H2125" s="20" t="s">
        <v>4223</v>
      </c>
      <c r="I2125" s="19" t="s">
        <v>5409</v>
      </c>
      <c r="J2125" s="19" t="s">
        <v>5410</v>
      </c>
      <c r="K2125" s="21" t="s">
        <v>5415</v>
      </c>
      <c r="L2125" s="35" t="s">
        <v>6442</v>
      </c>
      <c r="M2125" s="29" t="s">
        <v>4862</v>
      </c>
      <c r="N2125" s="34" t="s">
        <v>5416</v>
      </c>
      <c r="O2125" s="34">
        <v>0.0</v>
      </c>
      <c r="P2125" s="18">
        <f>VLOOKUP($A2125,MasterData!$C$1:$I$3001,1,FALSE)</f>
        <v>8203</v>
      </c>
      <c r="Q2125" s="34" t="str">
        <f t="shared" si="2"/>
        <v>XIIKLR1</v>
      </c>
    </row>
    <row r="2126" ht="15.75" customHeight="1">
      <c r="A2126" s="15">
        <v>8220.0</v>
      </c>
      <c r="B2126" s="18" t="s">
        <v>9757</v>
      </c>
      <c r="C2126" s="29" t="s">
        <v>9758</v>
      </c>
      <c r="D2126" s="18" t="s">
        <v>9757</v>
      </c>
      <c r="E2126" s="34" t="s">
        <v>4865</v>
      </c>
      <c r="F2126" s="19" t="str">
        <f t="shared" si="1"/>
        <v>XIIKLR1</v>
      </c>
      <c r="G2126" s="19" t="s">
        <v>5408</v>
      </c>
      <c r="H2126" s="20" t="s">
        <v>4223</v>
      </c>
      <c r="I2126" s="19" t="s">
        <v>5409</v>
      </c>
      <c r="J2126" s="19" t="s">
        <v>5410</v>
      </c>
      <c r="K2126" s="21" t="s">
        <v>5415</v>
      </c>
      <c r="L2126" s="35" t="s">
        <v>6442</v>
      </c>
      <c r="M2126" s="29" t="s">
        <v>4864</v>
      </c>
      <c r="N2126" s="34" t="s">
        <v>5416</v>
      </c>
      <c r="O2126" s="34">
        <v>0.0</v>
      </c>
      <c r="P2126" s="18">
        <f>VLOOKUP($A2126,MasterData!$C$1:$I$3001,1,FALSE)</f>
        <v>8220</v>
      </c>
      <c r="Q2126" s="34" t="str">
        <f t="shared" si="2"/>
        <v>XIIKLR1</v>
      </c>
    </row>
    <row r="2127" ht="15.75" customHeight="1">
      <c r="A2127" s="15">
        <v>8243.0</v>
      </c>
      <c r="B2127" s="18" t="s">
        <v>9759</v>
      </c>
      <c r="C2127" s="29" t="s">
        <v>9760</v>
      </c>
      <c r="D2127" s="18" t="s">
        <v>9759</v>
      </c>
      <c r="E2127" s="34" t="s">
        <v>4867</v>
      </c>
      <c r="F2127" s="19" t="str">
        <f t="shared" si="1"/>
        <v>XIIKLR1</v>
      </c>
      <c r="G2127" s="19" t="s">
        <v>5408</v>
      </c>
      <c r="H2127" s="20" t="s">
        <v>4223</v>
      </c>
      <c r="I2127" s="19" t="s">
        <v>5409</v>
      </c>
      <c r="J2127" s="19" t="s">
        <v>5410</v>
      </c>
      <c r="K2127" s="21" t="s">
        <v>5415</v>
      </c>
      <c r="L2127" s="35" t="s">
        <v>6442</v>
      </c>
      <c r="M2127" s="29" t="s">
        <v>4866</v>
      </c>
      <c r="N2127" s="34" t="s">
        <v>5416</v>
      </c>
      <c r="O2127" s="34">
        <v>0.0</v>
      </c>
      <c r="P2127" s="18">
        <f>VLOOKUP($A2127,MasterData!$C$1:$I$3001,1,FALSE)</f>
        <v>8243</v>
      </c>
      <c r="Q2127" s="34" t="str">
        <f t="shared" si="2"/>
        <v>XIIKLR1</v>
      </c>
    </row>
    <row r="2128" ht="15.75" customHeight="1">
      <c r="A2128" s="15">
        <v>8256.0</v>
      </c>
      <c r="B2128" s="18" t="s">
        <v>9761</v>
      </c>
      <c r="C2128" s="29" t="s">
        <v>9762</v>
      </c>
      <c r="D2128" s="18" t="s">
        <v>9761</v>
      </c>
      <c r="E2128" s="34" t="s">
        <v>4869</v>
      </c>
      <c r="F2128" s="19" t="str">
        <f t="shared" si="1"/>
        <v>XIIKLR1</v>
      </c>
      <c r="G2128" s="19" t="s">
        <v>5408</v>
      </c>
      <c r="H2128" s="20" t="s">
        <v>4223</v>
      </c>
      <c r="I2128" s="19" t="s">
        <v>5409</v>
      </c>
      <c r="J2128" s="19" t="s">
        <v>5410</v>
      </c>
      <c r="K2128" s="21" t="s">
        <v>5415</v>
      </c>
      <c r="L2128" s="35" t="s">
        <v>6442</v>
      </c>
      <c r="M2128" s="29" t="s">
        <v>4868</v>
      </c>
      <c r="N2128" s="34" t="s">
        <v>5416</v>
      </c>
      <c r="O2128" s="34">
        <v>0.0</v>
      </c>
      <c r="P2128" s="18">
        <f>VLOOKUP($A2128,MasterData!$C$1:$I$3001,1,FALSE)</f>
        <v>8256</v>
      </c>
      <c r="Q2128" s="34" t="str">
        <f t="shared" si="2"/>
        <v>XIIKLR1</v>
      </c>
    </row>
    <row r="2129" ht="15.75" customHeight="1">
      <c r="A2129" s="15">
        <v>8285.0</v>
      </c>
      <c r="B2129" s="18" t="s">
        <v>9763</v>
      </c>
      <c r="C2129" s="29" t="s">
        <v>9764</v>
      </c>
      <c r="D2129" s="18" t="s">
        <v>9763</v>
      </c>
      <c r="E2129" s="34" t="s">
        <v>4871</v>
      </c>
      <c r="F2129" s="19" t="str">
        <f t="shared" si="1"/>
        <v>XIIKLR1</v>
      </c>
      <c r="G2129" s="19" t="s">
        <v>5408</v>
      </c>
      <c r="H2129" s="20" t="s">
        <v>4223</v>
      </c>
      <c r="I2129" s="19" t="s">
        <v>5409</v>
      </c>
      <c r="J2129" s="19" t="s">
        <v>5410</v>
      </c>
      <c r="K2129" s="21" t="s">
        <v>5415</v>
      </c>
      <c r="L2129" s="35" t="s">
        <v>6442</v>
      </c>
      <c r="M2129" s="29" t="s">
        <v>4870</v>
      </c>
      <c r="N2129" s="34" t="s">
        <v>5416</v>
      </c>
      <c r="O2129" s="34">
        <v>0.0</v>
      </c>
      <c r="P2129" s="18">
        <f>VLOOKUP($A2129,MasterData!$C$1:$I$3001,1,FALSE)</f>
        <v>8285</v>
      </c>
      <c r="Q2129" s="34" t="str">
        <f t="shared" si="2"/>
        <v>XIIKLR1</v>
      </c>
    </row>
    <row r="2130" ht="15.75" customHeight="1">
      <c r="A2130" s="15">
        <v>8292.0</v>
      </c>
      <c r="B2130" s="18" t="s">
        <v>9765</v>
      </c>
      <c r="C2130" s="29" t="s">
        <v>9766</v>
      </c>
      <c r="D2130" s="18" t="s">
        <v>9765</v>
      </c>
      <c r="E2130" s="34" t="s">
        <v>4873</v>
      </c>
      <c r="F2130" s="19" t="str">
        <f t="shared" si="1"/>
        <v>XIIKLR1</v>
      </c>
      <c r="G2130" s="19" t="s">
        <v>5408</v>
      </c>
      <c r="H2130" s="20" t="s">
        <v>4223</v>
      </c>
      <c r="I2130" s="19" t="s">
        <v>5409</v>
      </c>
      <c r="J2130" s="19" t="s">
        <v>5410</v>
      </c>
      <c r="K2130" s="21" t="s">
        <v>5415</v>
      </c>
      <c r="L2130" s="35" t="s">
        <v>6442</v>
      </c>
      <c r="M2130" s="29" t="s">
        <v>4872</v>
      </c>
      <c r="N2130" s="34" t="s">
        <v>5416</v>
      </c>
      <c r="O2130" s="34">
        <v>0.0</v>
      </c>
      <c r="P2130" s="18">
        <f>VLOOKUP($A2130,MasterData!$C$1:$I$3001,1,FALSE)</f>
        <v>8292</v>
      </c>
      <c r="Q2130" s="34" t="str">
        <f t="shared" si="2"/>
        <v>XIIKLR1</v>
      </c>
    </row>
    <row r="2131" ht="15.75" customHeight="1">
      <c r="A2131" s="15">
        <v>8307.0</v>
      </c>
      <c r="B2131" s="18" t="s">
        <v>9767</v>
      </c>
      <c r="C2131" s="29" t="s">
        <v>9768</v>
      </c>
      <c r="D2131" s="18" t="s">
        <v>9767</v>
      </c>
      <c r="E2131" s="34" t="s">
        <v>4875</v>
      </c>
      <c r="F2131" s="19" t="str">
        <f t="shared" si="1"/>
        <v>XIIKLR1</v>
      </c>
      <c r="G2131" s="19" t="s">
        <v>5408</v>
      </c>
      <c r="H2131" s="20" t="s">
        <v>4223</v>
      </c>
      <c r="I2131" s="19" t="s">
        <v>5409</v>
      </c>
      <c r="J2131" s="19" t="s">
        <v>5410</v>
      </c>
      <c r="K2131" s="21" t="s">
        <v>5415</v>
      </c>
      <c r="L2131" s="35" t="s">
        <v>6442</v>
      </c>
      <c r="M2131" s="29" t="s">
        <v>4874</v>
      </c>
      <c r="N2131" s="34" t="s">
        <v>5416</v>
      </c>
      <c r="O2131" s="34">
        <v>0.0</v>
      </c>
      <c r="P2131" s="18">
        <f>VLOOKUP($A2131,MasterData!$C$1:$I$3001,1,FALSE)</f>
        <v>8307</v>
      </c>
      <c r="Q2131" s="34" t="str">
        <f t="shared" si="2"/>
        <v>XIIKLR1</v>
      </c>
    </row>
    <row r="2132" ht="15.75" customHeight="1">
      <c r="A2132" s="15">
        <v>8382.0</v>
      </c>
      <c r="B2132" s="18" t="s">
        <v>9769</v>
      </c>
      <c r="C2132" s="29" t="s">
        <v>9770</v>
      </c>
      <c r="D2132" s="18" t="s">
        <v>9769</v>
      </c>
      <c r="E2132" s="34" t="s">
        <v>4877</v>
      </c>
      <c r="F2132" s="19" t="str">
        <f t="shared" si="1"/>
        <v>XIIKLR1</v>
      </c>
      <c r="G2132" s="19" t="s">
        <v>5408</v>
      </c>
      <c r="H2132" s="20" t="s">
        <v>4223</v>
      </c>
      <c r="I2132" s="19" t="s">
        <v>5409</v>
      </c>
      <c r="J2132" s="19" t="s">
        <v>5410</v>
      </c>
      <c r="K2132" s="21" t="s">
        <v>5415</v>
      </c>
      <c r="L2132" s="35" t="s">
        <v>6442</v>
      </c>
      <c r="M2132" s="29" t="s">
        <v>4876</v>
      </c>
      <c r="N2132" s="34" t="s">
        <v>5416</v>
      </c>
      <c r="O2132" s="34">
        <v>0.0</v>
      </c>
      <c r="P2132" s="18">
        <f>VLOOKUP($A2132,MasterData!$C$1:$I$3001,1,FALSE)</f>
        <v>8382</v>
      </c>
      <c r="Q2132" s="34" t="str">
        <f t="shared" si="2"/>
        <v>XIIKLR1</v>
      </c>
    </row>
    <row r="2133" ht="15.75" customHeight="1">
      <c r="A2133" s="15">
        <v>8425.0</v>
      </c>
      <c r="B2133" s="18" t="s">
        <v>9771</v>
      </c>
      <c r="C2133" s="29" t="s">
        <v>9772</v>
      </c>
      <c r="D2133" s="18" t="s">
        <v>9771</v>
      </c>
      <c r="E2133" s="34" t="s">
        <v>4879</v>
      </c>
      <c r="F2133" s="19" t="str">
        <f t="shared" si="1"/>
        <v>XIIKLR1</v>
      </c>
      <c r="G2133" s="19" t="s">
        <v>5408</v>
      </c>
      <c r="H2133" s="20" t="s">
        <v>4223</v>
      </c>
      <c r="I2133" s="19" t="s">
        <v>5409</v>
      </c>
      <c r="J2133" s="19" t="s">
        <v>5410</v>
      </c>
      <c r="K2133" s="21" t="s">
        <v>5415</v>
      </c>
      <c r="L2133" s="35" t="s">
        <v>6442</v>
      </c>
      <c r="M2133" s="29" t="s">
        <v>4878</v>
      </c>
      <c r="N2133" s="34" t="s">
        <v>5416</v>
      </c>
      <c r="O2133" s="34">
        <v>0.0</v>
      </c>
      <c r="P2133" s="18">
        <f>VLOOKUP($A2133,MasterData!$C$1:$I$3001,1,FALSE)</f>
        <v>8425</v>
      </c>
      <c r="Q2133" s="34" t="str">
        <f t="shared" si="2"/>
        <v>XIIKLR1</v>
      </c>
    </row>
    <row r="2134" ht="15.75" customHeight="1">
      <c r="A2134" s="15">
        <v>8438.0</v>
      </c>
      <c r="B2134" s="18" t="s">
        <v>9773</v>
      </c>
      <c r="C2134" s="29" t="s">
        <v>9774</v>
      </c>
      <c r="D2134" s="18" t="s">
        <v>9773</v>
      </c>
      <c r="E2134" s="34" t="s">
        <v>4881</v>
      </c>
      <c r="F2134" s="19" t="str">
        <f t="shared" si="1"/>
        <v>XIIKLR1</v>
      </c>
      <c r="G2134" s="19" t="s">
        <v>5408</v>
      </c>
      <c r="H2134" s="20" t="s">
        <v>4223</v>
      </c>
      <c r="I2134" s="19" t="s">
        <v>5409</v>
      </c>
      <c r="J2134" s="19" t="s">
        <v>5410</v>
      </c>
      <c r="K2134" s="21" t="s">
        <v>5415</v>
      </c>
      <c r="L2134" s="35" t="s">
        <v>6442</v>
      </c>
      <c r="M2134" s="29" t="s">
        <v>4880</v>
      </c>
      <c r="N2134" s="34" t="s">
        <v>5416</v>
      </c>
      <c r="O2134" s="34">
        <v>0.0</v>
      </c>
      <c r="P2134" s="18">
        <f>VLOOKUP($A2134,MasterData!$C$1:$I$3001,1,FALSE)</f>
        <v>8438</v>
      </c>
      <c r="Q2134" s="34" t="str">
        <f t="shared" si="2"/>
        <v>XIIKLR1</v>
      </c>
    </row>
    <row r="2135" ht="15.75" customHeight="1">
      <c r="A2135" s="15">
        <v>8444.0</v>
      </c>
      <c r="B2135" s="18" t="s">
        <v>9775</v>
      </c>
      <c r="C2135" s="29" t="s">
        <v>9776</v>
      </c>
      <c r="D2135" s="18" t="s">
        <v>9775</v>
      </c>
      <c r="E2135" s="34" t="s">
        <v>4883</v>
      </c>
      <c r="F2135" s="19" t="str">
        <f t="shared" si="1"/>
        <v>XIIKLR1</v>
      </c>
      <c r="G2135" s="19" t="s">
        <v>5408</v>
      </c>
      <c r="H2135" s="20" t="s">
        <v>4223</v>
      </c>
      <c r="I2135" s="19" t="s">
        <v>5409</v>
      </c>
      <c r="J2135" s="19" t="s">
        <v>5410</v>
      </c>
      <c r="K2135" s="21" t="s">
        <v>5415</v>
      </c>
      <c r="L2135" s="35" t="s">
        <v>6442</v>
      </c>
      <c r="M2135" s="29" t="s">
        <v>4882</v>
      </c>
      <c r="N2135" s="34" t="s">
        <v>5416</v>
      </c>
      <c r="O2135" s="34">
        <v>0.0</v>
      </c>
      <c r="P2135" s="18">
        <f>VLOOKUP($A2135,MasterData!$C$1:$I$3001,1,FALSE)</f>
        <v>8444</v>
      </c>
      <c r="Q2135" s="34" t="str">
        <f t="shared" si="2"/>
        <v>XIIKLR1</v>
      </c>
    </row>
    <row r="2136" ht="15.75" customHeight="1">
      <c r="A2136" s="15">
        <v>8466.0</v>
      </c>
      <c r="B2136" s="18" t="s">
        <v>9777</v>
      </c>
      <c r="C2136" s="29" t="s">
        <v>9778</v>
      </c>
      <c r="D2136" s="18" t="s">
        <v>9777</v>
      </c>
      <c r="E2136" s="34" t="s">
        <v>4885</v>
      </c>
      <c r="F2136" s="19" t="str">
        <f t="shared" si="1"/>
        <v>XIIKLR1</v>
      </c>
      <c r="G2136" s="19" t="s">
        <v>5408</v>
      </c>
      <c r="H2136" s="20" t="s">
        <v>4223</v>
      </c>
      <c r="I2136" s="19" t="s">
        <v>5409</v>
      </c>
      <c r="J2136" s="19" t="s">
        <v>5410</v>
      </c>
      <c r="K2136" s="21" t="s">
        <v>5415</v>
      </c>
      <c r="L2136" s="35" t="s">
        <v>6442</v>
      </c>
      <c r="M2136" s="29" t="s">
        <v>4884</v>
      </c>
      <c r="N2136" s="34" t="s">
        <v>5416</v>
      </c>
      <c r="O2136" s="34">
        <v>0.0</v>
      </c>
      <c r="P2136" s="18">
        <f>VLOOKUP($A2136,MasterData!$C$1:$I$3001,1,FALSE)</f>
        <v>8466</v>
      </c>
      <c r="Q2136" s="34" t="str">
        <f t="shared" si="2"/>
        <v>XIIKLR1</v>
      </c>
    </row>
    <row r="2137" ht="15.75" customHeight="1">
      <c r="A2137" s="15">
        <v>8485.0</v>
      </c>
      <c r="B2137" s="18" t="s">
        <v>9779</v>
      </c>
      <c r="C2137" s="29" t="s">
        <v>9780</v>
      </c>
      <c r="D2137" s="18" t="s">
        <v>9779</v>
      </c>
      <c r="E2137" s="34" t="s">
        <v>4887</v>
      </c>
      <c r="F2137" s="19" t="str">
        <f t="shared" si="1"/>
        <v>XIIKLR1</v>
      </c>
      <c r="G2137" s="19" t="s">
        <v>5408</v>
      </c>
      <c r="H2137" s="20" t="s">
        <v>4223</v>
      </c>
      <c r="I2137" s="19" t="s">
        <v>5409</v>
      </c>
      <c r="J2137" s="19" t="s">
        <v>5410</v>
      </c>
      <c r="K2137" s="21" t="s">
        <v>5415</v>
      </c>
      <c r="L2137" s="35" t="s">
        <v>6442</v>
      </c>
      <c r="M2137" s="29" t="s">
        <v>4886</v>
      </c>
      <c r="N2137" s="34" t="s">
        <v>5416</v>
      </c>
      <c r="O2137" s="34">
        <v>0.0</v>
      </c>
      <c r="P2137" s="18">
        <f>VLOOKUP($A2137,MasterData!$C$1:$I$3001,1,FALSE)</f>
        <v>8485</v>
      </c>
      <c r="Q2137" s="34" t="str">
        <f t="shared" si="2"/>
        <v>XIIKLR1</v>
      </c>
    </row>
    <row r="2138" ht="15.75" customHeight="1">
      <c r="A2138" s="15">
        <v>8497.0</v>
      </c>
      <c r="B2138" s="18" t="s">
        <v>9781</v>
      </c>
      <c r="C2138" s="29" t="s">
        <v>9782</v>
      </c>
      <c r="D2138" s="18" t="s">
        <v>9781</v>
      </c>
      <c r="E2138" s="34" t="s">
        <v>4889</v>
      </c>
      <c r="F2138" s="19" t="str">
        <f t="shared" si="1"/>
        <v>XIIKLR1</v>
      </c>
      <c r="G2138" s="19" t="s">
        <v>5408</v>
      </c>
      <c r="H2138" s="20" t="s">
        <v>4223</v>
      </c>
      <c r="I2138" s="19" t="s">
        <v>5409</v>
      </c>
      <c r="J2138" s="19" t="s">
        <v>5410</v>
      </c>
      <c r="K2138" s="21" t="s">
        <v>5415</v>
      </c>
      <c r="L2138" s="35" t="s">
        <v>6442</v>
      </c>
      <c r="M2138" s="29" t="s">
        <v>4888</v>
      </c>
      <c r="N2138" s="34" t="s">
        <v>5416</v>
      </c>
      <c r="O2138" s="34">
        <v>0.0</v>
      </c>
      <c r="P2138" s="18">
        <f>VLOOKUP($A2138,MasterData!$C$1:$I$3001,1,FALSE)</f>
        <v>8497</v>
      </c>
      <c r="Q2138" s="34" t="str">
        <f t="shared" si="2"/>
        <v>XIIKLR1</v>
      </c>
    </row>
    <row r="2139" ht="15.75" customHeight="1">
      <c r="A2139" s="15">
        <v>8498.0</v>
      </c>
      <c r="B2139" s="18" t="s">
        <v>9783</v>
      </c>
      <c r="C2139" s="29" t="s">
        <v>9784</v>
      </c>
      <c r="D2139" s="18" t="s">
        <v>9783</v>
      </c>
      <c r="E2139" s="34" t="s">
        <v>4891</v>
      </c>
      <c r="F2139" s="19" t="str">
        <f t="shared" si="1"/>
        <v>XIIKLR1</v>
      </c>
      <c r="G2139" s="19" t="s">
        <v>5408</v>
      </c>
      <c r="H2139" s="20" t="s">
        <v>4223</v>
      </c>
      <c r="I2139" s="19" t="s">
        <v>5409</v>
      </c>
      <c r="J2139" s="19" t="s">
        <v>5410</v>
      </c>
      <c r="K2139" s="21" t="s">
        <v>5415</v>
      </c>
      <c r="L2139" s="35" t="s">
        <v>6442</v>
      </c>
      <c r="M2139" s="29" t="s">
        <v>4890</v>
      </c>
      <c r="N2139" s="34" t="s">
        <v>5416</v>
      </c>
      <c r="O2139" s="34">
        <v>0.0</v>
      </c>
      <c r="P2139" s="18">
        <f>VLOOKUP($A2139,MasterData!$C$1:$I$3001,1,FALSE)</f>
        <v>8498</v>
      </c>
      <c r="Q2139" s="34" t="str">
        <f t="shared" si="2"/>
        <v>XIIKLR1</v>
      </c>
    </row>
    <row r="2140" ht="15.75" customHeight="1">
      <c r="A2140" s="15">
        <v>8508.0</v>
      </c>
      <c r="B2140" s="18" t="s">
        <v>9785</v>
      </c>
      <c r="C2140" s="29" t="s">
        <v>9786</v>
      </c>
      <c r="D2140" s="18" t="s">
        <v>9785</v>
      </c>
      <c r="E2140" s="34" t="s">
        <v>4893</v>
      </c>
      <c r="F2140" s="19" t="str">
        <f t="shared" si="1"/>
        <v>XIIKLR1</v>
      </c>
      <c r="G2140" s="19" t="s">
        <v>5408</v>
      </c>
      <c r="H2140" s="20" t="s">
        <v>4223</v>
      </c>
      <c r="I2140" s="19" t="s">
        <v>5409</v>
      </c>
      <c r="J2140" s="19" t="s">
        <v>5410</v>
      </c>
      <c r="K2140" s="21" t="s">
        <v>5415</v>
      </c>
      <c r="L2140" s="35" t="s">
        <v>6442</v>
      </c>
      <c r="M2140" s="29" t="s">
        <v>4892</v>
      </c>
      <c r="N2140" s="34" t="s">
        <v>5416</v>
      </c>
      <c r="O2140" s="34">
        <v>0.0</v>
      </c>
      <c r="P2140" s="18">
        <f>VLOOKUP($A2140,MasterData!$C$1:$I$3001,1,FALSE)</f>
        <v>8508</v>
      </c>
      <c r="Q2140" s="34" t="str">
        <f t="shared" si="2"/>
        <v>XIIKLR1</v>
      </c>
    </row>
    <row r="2141" ht="15.75" customHeight="1">
      <c r="A2141" s="15">
        <v>8513.0</v>
      </c>
      <c r="B2141" s="18" t="s">
        <v>9787</v>
      </c>
      <c r="C2141" s="29" t="s">
        <v>9788</v>
      </c>
      <c r="D2141" s="18" t="s">
        <v>9787</v>
      </c>
      <c r="E2141" s="34" t="s">
        <v>4895</v>
      </c>
      <c r="F2141" s="19" t="str">
        <f t="shared" si="1"/>
        <v>XIIKLR1</v>
      </c>
      <c r="G2141" s="19" t="s">
        <v>5408</v>
      </c>
      <c r="H2141" s="20" t="s">
        <v>4223</v>
      </c>
      <c r="I2141" s="19" t="s">
        <v>5409</v>
      </c>
      <c r="J2141" s="19" t="s">
        <v>5410</v>
      </c>
      <c r="K2141" s="21" t="s">
        <v>5415</v>
      </c>
      <c r="L2141" s="35" t="s">
        <v>6442</v>
      </c>
      <c r="M2141" s="29" t="s">
        <v>4894</v>
      </c>
      <c r="N2141" s="34" t="s">
        <v>5416</v>
      </c>
      <c r="O2141" s="34">
        <v>0.0</v>
      </c>
      <c r="P2141" s="18">
        <f>VLOOKUP($A2141,MasterData!$C$1:$I$3001,1,FALSE)</f>
        <v>8513</v>
      </c>
      <c r="Q2141" s="34" t="str">
        <f t="shared" si="2"/>
        <v>XIIKLR1</v>
      </c>
    </row>
    <row r="2142" ht="15.75" customHeight="1">
      <c r="A2142" s="15">
        <v>8542.0</v>
      </c>
      <c r="B2142" s="18" t="s">
        <v>9789</v>
      </c>
      <c r="C2142" s="29" t="s">
        <v>9790</v>
      </c>
      <c r="D2142" s="18" t="s">
        <v>9789</v>
      </c>
      <c r="E2142" s="34" t="s">
        <v>4897</v>
      </c>
      <c r="F2142" s="19" t="str">
        <f t="shared" si="1"/>
        <v>XIIKLR1</v>
      </c>
      <c r="G2142" s="19" t="s">
        <v>5408</v>
      </c>
      <c r="H2142" s="20" t="s">
        <v>4223</v>
      </c>
      <c r="I2142" s="19" t="s">
        <v>5409</v>
      </c>
      <c r="J2142" s="19" t="s">
        <v>5410</v>
      </c>
      <c r="K2142" s="21" t="s">
        <v>5415</v>
      </c>
      <c r="L2142" s="35" t="s">
        <v>6442</v>
      </c>
      <c r="M2142" s="29" t="s">
        <v>4896</v>
      </c>
      <c r="N2142" s="34" t="s">
        <v>5416</v>
      </c>
      <c r="O2142" s="34">
        <v>0.0</v>
      </c>
      <c r="P2142" s="18">
        <f>VLOOKUP($A2142,MasterData!$C$1:$I$3001,1,FALSE)</f>
        <v>8542</v>
      </c>
      <c r="Q2142" s="34" t="str">
        <f t="shared" si="2"/>
        <v>XIIKLR1</v>
      </c>
    </row>
    <row r="2143" ht="15.75" customHeight="1">
      <c r="A2143" s="15">
        <v>8549.0</v>
      </c>
      <c r="B2143" s="18" t="s">
        <v>9791</v>
      </c>
      <c r="C2143" s="29" t="s">
        <v>9792</v>
      </c>
      <c r="D2143" s="18" t="s">
        <v>9791</v>
      </c>
      <c r="E2143" s="34" t="s">
        <v>4899</v>
      </c>
      <c r="F2143" s="19" t="str">
        <f t="shared" si="1"/>
        <v>XIIKLR1</v>
      </c>
      <c r="G2143" s="19" t="s">
        <v>5408</v>
      </c>
      <c r="H2143" s="20" t="s">
        <v>4223</v>
      </c>
      <c r="I2143" s="19" t="s">
        <v>5409</v>
      </c>
      <c r="J2143" s="19" t="s">
        <v>5410</v>
      </c>
      <c r="K2143" s="21" t="s">
        <v>5415</v>
      </c>
      <c r="L2143" s="35" t="s">
        <v>6442</v>
      </c>
      <c r="M2143" s="29" t="s">
        <v>4898</v>
      </c>
      <c r="N2143" s="34" t="s">
        <v>5416</v>
      </c>
      <c r="O2143" s="34">
        <v>0.0</v>
      </c>
      <c r="P2143" s="18">
        <f>VLOOKUP($A2143,MasterData!$C$1:$I$3001,1,FALSE)</f>
        <v>8549</v>
      </c>
      <c r="Q2143" s="34" t="str">
        <f t="shared" si="2"/>
        <v>XIIKLR1</v>
      </c>
    </row>
    <row r="2144" ht="15.75" customHeight="1">
      <c r="A2144" s="15">
        <v>8555.0</v>
      </c>
      <c r="B2144" s="18" t="s">
        <v>9793</v>
      </c>
      <c r="C2144" s="29" t="s">
        <v>9794</v>
      </c>
      <c r="D2144" s="18" t="s">
        <v>9793</v>
      </c>
      <c r="E2144" s="34" t="s">
        <v>4901</v>
      </c>
      <c r="F2144" s="19" t="str">
        <f t="shared" si="1"/>
        <v>XIIKLR1</v>
      </c>
      <c r="G2144" s="19" t="s">
        <v>5408</v>
      </c>
      <c r="H2144" s="20" t="s">
        <v>4223</v>
      </c>
      <c r="I2144" s="19" t="s">
        <v>5409</v>
      </c>
      <c r="J2144" s="19" t="s">
        <v>5410</v>
      </c>
      <c r="K2144" s="21" t="s">
        <v>5415</v>
      </c>
      <c r="L2144" s="35" t="s">
        <v>6442</v>
      </c>
      <c r="M2144" s="29" t="s">
        <v>4900</v>
      </c>
      <c r="N2144" s="34" t="s">
        <v>5416</v>
      </c>
      <c r="O2144" s="34">
        <v>0.0</v>
      </c>
      <c r="P2144" s="18">
        <f>VLOOKUP($A2144,MasterData!$C$1:$I$3001,1,FALSE)</f>
        <v>8555</v>
      </c>
      <c r="Q2144" s="34" t="str">
        <f t="shared" si="2"/>
        <v>XIIKLR1</v>
      </c>
    </row>
    <row r="2145" ht="15.75" customHeight="1">
      <c r="A2145" s="15">
        <v>8558.0</v>
      </c>
      <c r="B2145" s="18" t="s">
        <v>9795</v>
      </c>
      <c r="C2145" s="29" t="s">
        <v>9796</v>
      </c>
      <c r="D2145" s="18" t="s">
        <v>9795</v>
      </c>
      <c r="E2145" s="34" t="s">
        <v>4903</v>
      </c>
      <c r="F2145" s="19" t="str">
        <f t="shared" si="1"/>
        <v>XIIKLR1</v>
      </c>
      <c r="G2145" s="19" t="s">
        <v>5408</v>
      </c>
      <c r="H2145" s="20" t="s">
        <v>4223</v>
      </c>
      <c r="I2145" s="19" t="s">
        <v>5409</v>
      </c>
      <c r="J2145" s="19" t="s">
        <v>5410</v>
      </c>
      <c r="K2145" s="21" t="s">
        <v>5415</v>
      </c>
      <c r="L2145" s="35" t="s">
        <v>6442</v>
      </c>
      <c r="M2145" s="29" t="s">
        <v>4902</v>
      </c>
      <c r="N2145" s="34" t="s">
        <v>5416</v>
      </c>
      <c r="O2145" s="34">
        <v>0.0</v>
      </c>
      <c r="P2145" s="18">
        <f>VLOOKUP($A2145,MasterData!$C$1:$I$3001,1,FALSE)</f>
        <v>8558</v>
      </c>
      <c r="Q2145" s="34" t="str">
        <f t="shared" si="2"/>
        <v>XIIKLR1</v>
      </c>
    </row>
    <row r="2146" ht="15.75" customHeight="1">
      <c r="A2146" s="15">
        <v>8565.0</v>
      </c>
      <c r="B2146" s="18" t="s">
        <v>9797</v>
      </c>
      <c r="C2146" s="29" t="s">
        <v>9798</v>
      </c>
      <c r="D2146" s="18" t="s">
        <v>9797</v>
      </c>
      <c r="E2146" s="34" t="s">
        <v>4905</v>
      </c>
      <c r="F2146" s="19" t="str">
        <f t="shared" si="1"/>
        <v>XIIKLR1</v>
      </c>
      <c r="G2146" s="19" t="s">
        <v>5408</v>
      </c>
      <c r="H2146" s="20" t="s">
        <v>4223</v>
      </c>
      <c r="I2146" s="19" t="s">
        <v>5409</v>
      </c>
      <c r="J2146" s="19" t="s">
        <v>5410</v>
      </c>
      <c r="K2146" s="21" t="s">
        <v>5415</v>
      </c>
      <c r="L2146" s="35" t="s">
        <v>6442</v>
      </c>
      <c r="M2146" s="29" t="s">
        <v>4904</v>
      </c>
      <c r="N2146" s="34" t="s">
        <v>5416</v>
      </c>
      <c r="O2146" s="34">
        <v>0.0</v>
      </c>
      <c r="P2146" s="18">
        <f>VLOOKUP($A2146,MasterData!$C$1:$I$3001,1,FALSE)</f>
        <v>8565</v>
      </c>
      <c r="Q2146" s="34" t="str">
        <f t="shared" si="2"/>
        <v>XIIKLR1</v>
      </c>
    </row>
    <row r="2147" ht="15.75" customHeight="1">
      <c r="A2147" s="15">
        <v>8569.0</v>
      </c>
      <c r="B2147" s="18" t="s">
        <v>9799</v>
      </c>
      <c r="C2147" s="29" t="s">
        <v>9800</v>
      </c>
      <c r="D2147" s="18" t="s">
        <v>9799</v>
      </c>
      <c r="E2147" s="34" t="s">
        <v>4907</v>
      </c>
      <c r="F2147" s="19" t="str">
        <f t="shared" si="1"/>
        <v>XIIKLR1</v>
      </c>
      <c r="G2147" s="19" t="s">
        <v>5408</v>
      </c>
      <c r="H2147" s="20" t="s">
        <v>4223</v>
      </c>
      <c r="I2147" s="19" t="s">
        <v>5409</v>
      </c>
      <c r="J2147" s="19" t="s">
        <v>5410</v>
      </c>
      <c r="K2147" s="21" t="s">
        <v>5415</v>
      </c>
      <c r="L2147" s="35" t="s">
        <v>6442</v>
      </c>
      <c r="M2147" s="29" t="s">
        <v>4906</v>
      </c>
      <c r="N2147" s="34" t="s">
        <v>5416</v>
      </c>
      <c r="O2147" s="34">
        <v>0.0</v>
      </c>
      <c r="P2147" s="18">
        <f>VLOOKUP($A2147,MasterData!$C$1:$I$3001,1,FALSE)</f>
        <v>8569</v>
      </c>
      <c r="Q2147" s="34" t="str">
        <f t="shared" si="2"/>
        <v>XIIKLR1</v>
      </c>
    </row>
    <row r="2148" ht="15.75" customHeight="1">
      <c r="A2148" s="15">
        <v>8594.0</v>
      </c>
      <c r="B2148" s="18" t="s">
        <v>9801</v>
      </c>
      <c r="C2148" s="29" t="s">
        <v>9802</v>
      </c>
      <c r="D2148" s="18" t="s">
        <v>9801</v>
      </c>
      <c r="E2148" s="34" t="s">
        <v>4909</v>
      </c>
      <c r="F2148" s="19" t="str">
        <f t="shared" si="1"/>
        <v>XIIKLR1</v>
      </c>
      <c r="G2148" s="19" t="s">
        <v>5408</v>
      </c>
      <c r="H2148" s="20" t="s">
        <v>4223</v>
      </c>
      <c r="I2148" s="19" t="s">
        <v>5409</v>
      </c>
      <c r="J2148" s="19" t="s">
        <v>5410</v>
      </c>
      <c r="K2148" s="21" t="s">
        <v>5415</v>
      </c>
      <c r="L2148" s="35" t="s">
        <v>6442</v>
      </c>
      <c r="M2148" s="29" t="s">
        <v>4908</v>
      </c>
      <c r="N2148" s="34" t="s">
        <v>5416</v>
      </c>
      <c r="O2148" s="34">
        <v>0.0</v>
      </c>
      <c r="P2148" s="18">
        <f>VLOOKUP($A2148,MasterData!$C$1:$I$3001,1,FALSE)</f>
        <v>8594</v>
      </c>
      <c r="Q2148" s="34" t="str">
        <f t="shared" si="2"/>
        <v>XIIKLR1</v>
      </c>
    </row>
    <row r="2149" ht="15.75" customHeight="1">
      <c r="A2149" s="15">
        <v>8595.0</v>
      </c>
      <c r="B2149" s="18" t="s">
        <v>9803</v>
      </c>
      <c r="C2149" s="29" t="s">
        <v>9804</v>
      </c>
      <c r="D2149" s="18" t="s">
        <v>9803</v>
      </c>
      <c r="E2149" s="34" t="s">
        <v>4911</v>
      </c>
      <c r="F2149" s="19" t="str">
        <f t="shared" si="1"/>
        <v>XIIKLR1</v>
      </c>
      <c r="G2149" s="19" t="s">
        <v>5408</v>
      </c>
      <c r="H2149" s="20" t="s">
        <v>4223</v>
      </c>
      <c r="I2149" s="19" t="s">
        <v>5409</v>
      </c>
      <c r="J2149" s="19" t="s">
        <v>5410</v>
      </c>
      <c r="K2149" s="21" t="s">
        <v>5415</v>
      </c>
      <c r="L2149" s="35" t="s">
        <v>6442</v>
      </c>
      <c r="M2149" s="29" t="s">
        <v>4910</v>
      </c>
      <c r="N2149" s="34" t="s">
        <v>5416</v>
      </c>
      <c r="O2149" s="34">
        <v>0.0</v>
      </c>
      <c r="P2149" s="18">
        <f>VLOOKUP($A2149,MasterData!$C$1:$I$3001,1,FALSE)</f>
        <v>8595</v>
      </c>
      <c r="Q2149" s="34" t="str">
        <f t="shared" si="2"/>
        <v>XIIKLR1</v>
      </c>
    </row>
    <row r="2150" ht="15.75" customHeight="1">
      <c r="A2150" s="15">
        <v>8612.0</v>
      </c>
      <c r="B2150" s="18" t="s">
        <v>9805</v>
      </c>
      <c r="C2150" s="29" t="s">
        <v>9806</v>
      </c>
      <c r="D2150" s="18" t="s">
        <v>9805</v>
      </c>
      <c r="E2150" s="34" t="s">
        <v>4913</v>
      </c>
      <c r="F2150" s="19" t="str">
        <f t="shared" si="1"/>
        <v>XIIKLR1</v>
      </c>
      <c r="G2150" s="19" t="s">
        <v>5408</v>
      </c>
      <c r="H2150" s="20" t="s">
        <v>4223</v>
      </c>
      <c r="I2150" s="19" t="s">
        <v>5409</v>
      </c>
      <c r="J2150" s="19" t="s">
        <v>5410</v>
      </c>
      <c r="K2150" s="21" t="s">
        <v>5415</v>
      </c>
      <c r="L2150" s="35" t="s">
        <v>6442</v>
      </c>
      <c r="M2150" s="29" t="s">
        <v>4912</v>
      </c>
      <c r="N2150" s="34" t="s">
        <v>5416</v>
      </c>
      <c r="O2150" s="34">
        <v>0.0</v>
      </c>
      <c r="P2150" s="18">
        <f>VLOOKUP($A2150,MasterData!$C$1:$I$3001,1,FALSE)</f>
        <v>8612</v>
      </c>
      <c r="Q2150" s="34" t="str">
        <f t="shared" si="2"/>
        <v>XIIKLR1</v>
      </c>
    </row>
    <row r="2151" ht="15.75" customHeight="1">
      <c r="A2151" s="15">
        <v>8627.0</v>
      </c>
      <c r="B2151" s="18" t="s">
        <v>9807</v>
      </c>
      <c r="C2151" s="29" t="s">
        <v>9808</v>
      </c>
      <c r="D2151" s="18" t="s">
        <v>9807</v>
      </c>
      <c r="E2151" s="34" t="s">
        <v>4915</v>
      </c>
      <c r="F2151" s="19" t="str">
        <f t="shared" si="1"/>
        <v>XIIKLR1</v>
      </c>
      <c r="G2151" s="19" t="s">
        <v>5408</v>
      </c>
      <c r="H2151" s="20" t="s">
        <v>4223</v>
      </c>
      <c r="I2151" s="19" t="s">
        <v>5409</v>
      </c>
      <c r="J2151" s="19" t="s">
        <v>5410</v>
      </c>
      <c r="K2151" s="21" t="s">
        <v>5415</v>
      </c>
      <c r="L2151" s="35" t="s">
        <v>6442</v>
      </c>
      <c r="M2151" s="29" t="s">
        <v>4914</v>
      </c>
      <c r="N2151" s="34" t="s">
        <v>5416</v>
      </c>
      <c r="O2151" s="34">
        <v>0.0</v>
      </c>
      <c r="P2151" s="18">
        <f>VLOOKUP($A2151,MasterData!$C$1:$I$3001,1,FALSE)</f>
        <v>8627</v>
      </c>
      <c r="Q2151" s="34" t="str">
        <f t="shared" si="2"/>
        <v>XIIKLR1</v>
      </c>
    </row>
    <row r="2152" ht="15.75" customHeight="1">
      <c r="A2152" s="15">
        <v>8025.0</v>
      </c>
      <c r="B2152" s="18" t="s">
        <v>9809</v>
      </c>
      <c r="C2152" s="29" t="s">
        <v>9810</v>
      </c>
      <c r="D2152" s="18" t="s">
        <v>9809</v>
      </c>
      <c r="E2152" s="34" t="s">
        <v>4917</v>
      </c>
      <c r="F2152" s="19" t="str">
        <f t="shared" si="1"/>
        <v>XIIOTO1</v>
      </c>
      <c r="G2152" s="19" t="s">
        <v>5408</v>
      </c>
      <c r="H2152" s="20" t="s">
        <v>4223</v>
      </c>
      <c r="I2152" s="19" t="s">
        <v>5409</v>
      </c>
      <c r="J2152" s="19" t="s">
        <v>5410</v>
      </c>
      <c r="K2152" s="21" t="s">
        <v>5415</v>
      </c>
      <c r="L2152" s="35" t="s">
        <v>6536</v>
      </c>
      <c r="M2152" s="29" t="s">
        <v>4916</v>
      </c>
      <c r="N2152" s="34" t="s">
        <v>5416</v>
      </c>
      <c r="O2152" s="34">
        <v>0.0</v>
      </c>
      <c r="P2152" s="18">
        <f>VLOOKUP($A2152,MasterData!$C$1:$I$3001,1,FALSE)</f>
        <v>8025</v>
      </c>
      <c r="Q2152" s="34" t="str">
        <f t="shared" si="2"/>
        <v>XIIOTO1</v>
      </c>
    </row>
    <row r="2153" ht="15.75" customHeight="1">
      <c r="A2153" s="15">
        <v>8037.0</v>
      </c>
      <c r="B2153" s="18" t="s">
        <v>9811</v>
      </c>
      <c r="C2153" s="29" t="s">
        <v>9812</v>
      </c>
      <c r="D2153" s="18" t="s">
        <v>9811</v>
      </c>
      <c r="E2153" s="34" t="s">
        <v>4919</v>
      </c>
      <c r="F2153" s="19" t="str">
        <f t="shared" si="1"/>
        <v>XIIOTO1</v>
      </c>
      <c r="G2153" s="19" t="s">
        <v>5408</v>
      </c>
      <c r="H2153" s="20" t="s">
        <v>4223</v>
      </c>
      <c r="I2153" s="19" t="s">
        <v>5409</v>
      </c>
      <c r="J2153" s="19" t="s">
        <v>5410</v>
      </c>
      <c r="K2153" s="21" t="s">
        <v>5415</v>
      </c>
      <c r="L2153" s="35" t="s">
        <v>6536</v>
      </c>
      <c r="M2153" s="29" t="s">
        <v>4918</v>
      </c>
      <c r="N2153" s="34" t="s">
        <v>5416</v>
      </c>
      <c r="O2153" s="34">
        <v>0.0</v>
      </c>
      <c r="P2153" s="18">
        <f>VLOOKUP($A2153,MasterData!$C$1:$I$3001,1,FALSE)</f>
        <v>8037</v>
      </c>
      <c r="Q2153" s="34" t="str">
        <f t="shared" si="2"/>
        <v>XIIOTO1</v>
      </c>
    </row>
    <row r="2154" ht="15.75" customHeight="1">
      <c r="A2154" s="15">
        <v>8059.0</v>
      </c>
      <c r="B2154" s="18" t="s">
        <v>9813</v>
      </c>
      <c r="C2154" s="29" t="s">
        <v>9814</v>
      </c>
      <c r="D2154" s="18" t="s">
        <v>9813</v>
      </c>
      <c r="E2154" s="34" t="s">
        <v>4921</v>
      </c>
      <c r="F2154" s="19" t="str">
        <f t="shared" si="1"/>
        <v>XIIOTO1</v>
      </c>
      <c r="G2154" s="19" t="s">
        <v>5408</v>
      </c>
      <c r="H2154" s="20" t="s">
        <v>4223</v>
      </c>
      <c r="I2154" s="19" t="s">
        <v>5409</v>
      </c>
      <c r="J2154" s="19" t="s">
        <v>5410</v>
      </c>
      <c r="K2154" s="21" t="s">
        <v>5415</v>
      </c>
      <c r="L2154" s="35" t="s">
        <v>6536</v>
      </c>
      <c r="M2154" s="29" t="s">
        <v>4920</v>
      </c>
      <c r="N2154" s="34" t="s">
        <v>5416</v>
      </c>
      <c r="O2154" s="34">
        <v>0.0</v>
      </c>
      <c r="P2154" s="18">
        <f>VLOOKUP($A2154,MasterData!$C$1:$I$3001,1,FALSE)</f>
        <v>8059</v>
      </c>
      <c r="Q2154" s="34" t="str">
        <f t="shared" si="2"/>
        <v>XIIOTO1</v>
      </c>
    </row>
    <row r="2155" ht="15.75" customHeight="1">
      <c r="A2155" s="15">
        <v>8062.0</v>
      </c>
      <c r="B2155" s="18" t="s">
        <v>9815</v>
      </c>
      <c r="C2155" s="29" t="s">
        <v>9816</v>
      </c>
      <c r="D2155" s="18" t="s">
        <v>9815</v>
      </c>
      <c r="E2155" s="34" t="s">
        <v>4923</v>
      </c>
      <c r="F2155" s="19" t="str">
        <f t="shared" si="1"/>
        <v>XIIOTO1</v>
      </c>
      <c r="G2155" s="19" t="s">
        <v>5408</v>
      </c>
      <c r="H2155" s="20" t="s">
        <v>4223</v>
      </c>
      <c r="I2155" s="19" t="s">
        <v>5409</v>
      </c>
      <c r="J2155" s="19" t="s">
        <v>5410</v>
      </c>
      <c r="K2155" s="21" t="s">
        <v>5415</v>
      </c>
      <c r="L2155" s="35" t="s">
        <v>6536</v>
      </c>
      <c r="M2155" s="29" t="s">
        <v>4922</v>
      </c>
      <c r="N2155" s="34" t="s">
        <v>5416</v>
      </c>
      <c r="O2155" s="34">
        <v>0.0</v>
      </c>
      <c r="P2155" s="18">
        <f>VLOOKUP($A2155,MasterData!$C$1:$I$3001,1,FALSE)</f>
        <v>8062</v>
      </c>
      <c r="Q2155" s="34" t="str">
        <f t="shared" si="2"/>
        <v>XIIOTO1</v>
      </c>
    </row>
    <row r="2156" ht="15.75" customHeight="1">
      <c r="A2156" s="15">
        <v>8116.0</v>
      </c>
      <c r="B2156" s="18" t="s">
        <v>9817</v>
      </c>
      <c r="C2156" s="29" t="s">
        <v>9818</v>
      </c>
      <c r="D2156" s="18" t="s">
        <v>9817</v>
      </c>
      <c r="E2156" s="34" t="s">
        <v>4925</v>
      </c>
      <c r="F2156" s="19" t="str">
        <f t="shared" si="1"/>
        <v>XIIOTO1</v>
      </c>
      <c r="G2156" s="19" t="s">
        <v>5408</v>
      </c>
      <c r="H2156" s="20" t="s">
        <v>4223</v>
      </c>
      <c r="I2156" s="19" t="s">
        <v>5409</v>
      </c>
      <c r="J2156" s="19" t="s">
        <v>5410</v>
      </c>
      <c r="K2156" s="21" t="s">
        <v>5415</v>
      </c>
      <c r="L2156" s="35" t="s">
        <v>6536</v>
      </c>
      <c r="M2156" s="29" t="s">
        <v>4924</v>
      </c>
      <c r="N2156" s="34" t="s">
        <v>5416</v>
      </c>
      <c r="O2156" s="34">
        <v>0.0</v>
      </c>
      <c r="P2156" s="18">
        <f>VLOOKUP($A2156,MasterData!$C$1:$I$3001,1,FALSE)</f>
        <v>8116</v>
      </c>
      <c r="Q2156" s="34" t="str">
        <f t="shared" si="2"/>
        <v>XIIOTO1</v>
      </c>
    </row>
    <row r="2157" ht="15.75" customHeight="1">
      <c r="A2157" s="15">
        <v>8133.0</v>
      </c>
      <c r="B2157" s="18" t="s">
        <v>9819</v>
      </c>
      <c r="C2157" s="29" t="s">
        <v>9820</v>
      </c>
      <c r="D2157" s="18" t="s">
        <v>9819</v>
      </c>
      <c r="E2157" s="34" t="s">
        <v>4927</v>
      </c>
      <c r="F2157" s="19" t="str">
        <f t="shared" si="1"/>
        <v>XIIOTO1</v>
      </c>
      <c r="G2157" s="19" t="s">
        <v>5408</v>
      </c>
      <c r="H2157" s="20" t="s">
        <v>4223</v>
      </c>
      <c r="I2157" s="19" t="s">
        <v>5409</v>
      </c>
      <c r="J2157" s="19" t="s">
        <v>5410</v>
      </c>
      <c r="K2157" s="21" t="s">
        <v>5415</v>
      </c>
      <c r="L2157" s="35" t="s">
        <v>6536</v>
      </c>
      <c r="M2157" s="29" t="s">
        <v>4926</v>
      </c>
      <c r="N2157" s="34" t="s">
        <v>5416</v>
      </c>
      <c r="O2157" s="34">
        <v>0.0</v>
      </c>
      <c r="P2157" s="18">
        <f>VLOOKUP($A2157,MasterData!$C$1:$I$3001,1,FALSE)</f>
        <v>8133</v>
      </c>
      <c r="Q2157" s="34" t="str">
        <f t="shared" si="2"/>
        <v>XIIOTO1</v>
      </c>
    </row>
    <row r="2158" ht="15.75" customHeight="1">
      <c r="A2158" s="15">
        <v>8169.0</v>
      </c>
      <c r="B2158" s="18" t="s">
        <v>9821</v>
      </c>
      <c r="C2158" s="29" t="s">
        <v>9822</v>
      </c>
      <c r="D2158" s="18" t="s">
        <v>9821</v>
      </c>
      <c r="E2158" s="34" t="s">
        <v>4929</v>
      </c>
      <c r="F2158" s="19" t="str">
        <f t="shared" si="1"/>
        <v>XIIOTO1</v>
      </c>
      <c r="G2158" s="19" t="s">
        <v>5408</v>
      </c>
      <c r="H2158" s="20" t="s">
        <v>4223</v>
      </c>
      <c r="I2158" s="19" t="s">
        <v>5409</v>
      </c>
      <c r="J2158" s="19" t="s">
        <v>5410</v>
      </c>
      <c r="K2158" s="21" t="s">
        <v>5415</v>
      </c>
      <c r="L2158" s="35" t="s">
        <v>6536</v>
      </c>
      <c r="M2158" s="29" t="s">
        <v>4928</v>
      </c>
      <c r="N2158" s="34" t="s">
        <v>5416</v>
      </c>
      <c r="O2158" s="34">
        <v>0.0</v>
      </c>
      <c r="P2158" s="18">
        <f>VLOOKUP($A2158,MasterData!$C$1:$I$3001,1,FALSE)</f>
        <v>8169</v>
      </c>
      <c r="Q2158" s="34" t="str">
        <f t="shared" si="2"/>
        <v>XIIOTO1</v>
      </c>
    </row>
    <row r="2159" ht="15.75" customHeight="1">
      <c r="A2159" s="15">
        <v>8194.0</v>
      </c>
      <c r="B2159" s="18" t="s">
        <v>9823</v>
      </c>
      <c r="C2159" s="29" t="s">
        <v>9824</v>
      </c>
      <c r="D2159" s="18" t="s">
        <v>9823</v>
      </c>
      <c r="E2159" s="34" t="s">
        <v>4931</v>
      </c>
      <c r="F2159" s="19" t="str">
        <f t="shared" si="1"/>
        <v>XIIOTO1</v>
      </c>
      <c r="G2159" s="19" t="s">
        <v>5408</v>
      </c>
      <c r="H2159" s="20" t="s">
        <v>4223</v>
      </c>
      <c r="I2159" s="19" t="s">
        <v>5409</v>
      </c>
      <c r="J2159" s="19" t="s">
        <v>5410</v>
      </c>
      <c r="K2159" s="21" t="s">
        <v>5415</v>
      </c>
      <c r="L2159" s="35" t="s">
        <v>6536</v>
      </c>
      <c r="M2159" s="29" t="s">
        <v>4930</v>
      </c>
      <c r="N2159" s="34" t="s">
        <v>5416</v>
      </c>
      <c r="O2159" s="34">
        <v>0.0</v>
      </c>
      <c r="P2159" s="18">
        <f>VLOOKUP($A2159,MasterData!$C$1:$I$3001,1,FALSE)</f>
        <v>8194</v>
      </c>
      <c r="Q2159" s="34" t="str">
        <f t="shared" si="2"/>
        <v>XIIOTO1</v>
      </c>
    </row>
    <row r="2160" ht="15.75" customHeight="1">
      <c r="A2160" s="15">
        <v>8232.0</v>
      </c>
      <c r="B2160" s="18" t="s">
        <v>9825</v>
      </c>
      <c r="C2160" s="29" t="s">
        <v>9826</v>
      </c>
      <c r="D2160" s="18" t="s">
        <v>9825</v>
      </c>
      <c r="E2160" s="34" t="s">
        <v>4933</v>
      </c>
      <c r="F2160" s="19" t="str">
        <f t="shared" si="1"/>
        <v>XIIOTO1</v>
      </c>
      <c r="G2160" s="19" t="s">
        <v>5408</v>
      </c>
      <c r="H2160" s="20" t="s">
        <v>4223</v>
      </c>
      <c r="I2160" s="19" t="s">
        <v>5409</v>
      </c>
      <c r="J2160" s="19" t="s">
        <v>5410</v>
      </c>
      <c r="K2160" s="21" t="s">
        <v>5415</v>
      </c>
      <c r="L2160" s="35" t="s">
        <v>6536</v>
      </c>
      <c r="M2160" s="29" t="s">
        <v>4932</v>
      </c>
      <c r="N2160" s="34" t="s">
        <v>5416</v>
      </c>
      <c r="O2160" s="34">
        <v>0.0</v>
      </c>
      <c r="P2160" s="18">
        <f>VLOOKUP($A2160,MasterData!$C$1:$I$3001,1,FALSE)</f>
        <v>8232</v>
      </c>
      <c r="Q2160" s="34" t="str">
        <f t="shared" si="2"/>
        <v>XIIOTO1</v>
      </c>
    </row>
    <row r="2161" ht="15.75" customHeight="1">
      <c r="A2161" s="15">
        <v>8254.0</v>
      </c>
      <c r="B2161" s="18" t="s">
        <v>9827</v>
      </c>
      <c r="C2161" s="29" t="s">
        <v>9828</v>
      </c>
      <c r="D2161" s="18" t="s">
        <v>9827</v>
      </c>
      <c r="E2161" s="34" t="s">
        <v>4935</v>
      </c>
      <c r="F2161" s="19" t="str">
        <f t="shared" si="1"/>
        <v>XIIOTO1</v>
      </c>
      <c r="G2161" s="19" t="s">
        <v>5408</v>
      </c>
      <c r="H2161" s="20" t="s">
        <v>4223</v>
      </c>
      <c r="I2161" s="19" t="s">
        <v>5409</v>
      </c>
      <c r="J2161" s="19" t="s">
        <v>5410</v>
      </c>
      <c r="K2161" s="21" t="s">
        <v>5415</v>
      </c>
      <c r="L2161" s="35" t="s">
        <v>6536</v>
      </c>
      <c r="M2161" s="29" t="s">
        <v>4934</v>
      </c>
      <c r="N2161" s="34" t="s">
        <v>5416</v>
      </c>
      <c r="O2161" s="34">
        <v>0.0</v>
      </c>
      <c r="P2161" s="18">
        <f>VLOOKUP($A2161,MasterData!$C$1:$I$3001,1,FALSE)</f>
        <v>8254</v>
      </c>
      <c r="Q2161" s="34" t="str">
        <f t="shared" si="2"/>
        <v>XIIOTO1</v>
      </c>
    </row>
    <row r="2162" ht="15.75" customHeight="1">
      <c r="A2162" s="15">
        <v>8265.0</v>
      </c>
      <c r="B2162" s="18" t="s">
        <v>9829</v>
      </c>
      <c r="C2162" s="29" t="s">
        <v>9830</v>
      </c>
      <c r="D2162" s="18" t="s">
        <v>9829</v>
      </c>
      <c r="E2162" s="34" t="s">
        <v>4937</v>
      </c>
      <c r="F2162" s="19" t="str">
        <f t="shared" si="1"/>
        <v>XIIOTO1</v>
      </c>
      <c r="G2162" s="19" t="s">
        <v>5408</v>
      </c>
      <c r="H2162" s="20" t="s">
        <v>4223</v>
      </c>
      <c r="I2162" s="19" t="s">
        <v>5409</v>
      </c>
      <c r="J2162" s="19" t="s">
        <v>5410</v>
      </c>
      <c r="K2162" s="21" t="s">
        <v>5415</v>
      </c>
      <c r="L2162" s="35" t="s">
        <v>6536</v>
      </c>
      <c r="M2162" s="29" t="s">
        <v>4936</v>
      </c>
      <c r="N2162" s="34" t="s">
        <v>5416</v>
      </c>
      <c r="O2162" s="34">
        <v>0.0</v>
      </c>
      <c r="P2162" s="18">
        <f>VLOOKUP($A2162,MasterData!$C$1:$I$3001,1,FALSE)</f>
        <v>8265</v>
      </c>
      <c r="Q2162" s="34" t="str">
        <f t="shared" si="2"/>
        <v>XIIOTO1</v>
      </c>
    </row>
    <row r="2163" ht="15.75" customHeight="1">
      <c r="A2163" s="15">
        <v>8272.0</v>
      </c>
      <c r="B2163" s="18" t="s">
        <v>9831</v>
      </c>
      <c r="C2163" s="29" t="s">
        <v>9832</v>
      </c>
      <c r="D2163" s="18" t="s">
        <v>9831</v>
      </c>
      <c r="E2163" s="34" t="s">
        <v>4938</v>
      </c>
      <c r="F2163" s="19" t="str">
        <f t="shared" si="1"/>
        <v>XIIOTO1</v>
      </c>
      <c r="G2163" s="19" t="s">
        <v>5408</v>
      </c>
      <c r="H2163" s="20" t="s">
        <v>4223</v>
      </c>
      <c r="I2163" s="19" t="s">
        <v>5409</v>
      </c>
      <c r="J2163" s="19" t="s">
        <v>5410</v>
      </c>
      <c r="K2163" s="21" t="s">
        <v>5415</v>
      </c>
      <c r="L2163" s="35" t="s">
        <v>6536</v>
      </c>
      <c r="M2163" s="29" t="s">
        <v>1183</v>
      </c>
      <c r="N2163" s="34" t="s">
        <v>5416</v>
      </c>
      <c r="O2163" s="34">
        <v>0.0</v>
      </c>
      <c r="P2163" s="18">
        <f>VLOOKUP($A2163,MasterData!$C$1:$I$3001,1,FALSE)</f>
        <v>8272</v>
      </c>
      <c r="Q2163" s="34" t="str">
        <f t="shared" si="2"/>
        <v>XIIOTO1</v>
      </c>
    </row>
    <row r="2164" ht="15.75" customHeight="1">
      <c r="A2164" s="15">
        <v>8280.0</v>
      </c>
      <c r="B2164" s="18" t="s">
        <v>9833</v>
      </c>
      <c r="C2164" s="29" t="s">
        <v>9834</v>
      </c>
      <c r="D2164" s="18" t="s">
        <v>9833</v>
      </c>
      <c r="E2164" s="34" t="s">
        <v>4940</v>
      </c>
      <c r="F2164" s="19" t="str">
        <f t="shared" si="1"/>
        <v>XIIOTO1</v>
      </c>
      <c r="G2164" s="19" t="s">
        <v>5408</v>
      </c>
      <c r="H2164" s="20" t="s">
        <v>4223</v>
      </c>
      <c r="I2164" s="19" t="s">
        <v>5409</v>
      </c>
      <c r="J2164" s="19" t="s">
        <v>5410</v>
      </c>
      <c r="K2164" s="21" t="s">
        <v>5415</v>
      </c>
      <c r="L2164" s="35" t="s">
        <v>6536</v>
      </c>
      <c r="M2164" s="29" t="s">
        <v>4939</v>
      </c>
      <c r="N2164" s="34" t="s">
        <v>5416</v>
      </c>
      <c r="O2164" s="34">
        <v>0.0</v>
      </c>
      <c r="P2164" s="18">
        <f>VLOOKUP($A2164,MasterData!$C$1:$I$3001,1,FALSE)</f>
        <v>8280</v>
      </c>
      <c r="Q2164" s="34" t="str">
        <f t="shared" si="2"/>
        <v>XIIOTO1</v>
      </c>
    </row>
    <row r="2165" ht="15.75" customHeight="1">
      <c r="A2165" s="15">
        <v>8293.0</v>
      </c>
      <c r="B2165" s="18" t="s">
        <v>9835</v>
      </c>
      <c r="C2165" s="29" t="s">
        <v>9836</v>
      </c>
      <c r="D2165" s="18" t="s">
        <v>9835</v>
      </c>
      <c r="E2165" s="34" t="s">
        <v>4942</v>
      </c>
      <c r="F2165" s="19" t="str">
        <f t="shared" si="1"/>
        <v>XIIOTO1</v>
      </c>
      <c r="G2165" s="19" t="s">
        <v>5408</v>
      </c>
      <c r="H2165" s="20" t="s">
        <v>4223</v>
      </c>
      <c r="I2165" s="19" t="s">
        <v>5409</v>
      </c>
      <c r="J2165" s="19" t="s">
        <v>5410</v>
      </c>
      <c r="K2165" s="21" t="s">
        <v>5415</v>
      </c>
      <c r="L2165" s="35" t="s">
        <v>6536</v>
      </c>
      <c r="M2165" s="29" t="s">
        <v>4941</v>
      </c>
      <c r="N2165" s="34" t="s">
        <v>5416</v>
      </c>
      <c r="O2165" s="34">
        <v>0.0</v>
      </c>
      <c r="P2165" s="18">
        <f>VLOOKUP($A2165,MasterData!$C$1:$I$3001,1,FALSE)</f>
        <v>8293</v>
      </c>
      <c r="Q2165" s="34" t="str">
        <f t="shared" si="2"/>
        <v>XIIOTO1</v>
      </c>
    </row>
    <row r="2166" ht="15.75" customHeight="1">
      <c r="A2166" s="15">
        <v>8333.0</v>
      </c>
      <c r="B2166" s="18" t="s">
        <v>9837</v>
      </c>
      <c r="C2166" s="29" t="s">
        <v>9838</v>
      </c>
      <c r="D2166" s="18" t="s">
        <v>9837</v>
      </c>
      <c r="E2166" s="34" t="s">
        <v>4944</v>
      </c>
      <c r="F2166" s="19" t="str">
        <f t="shared" si="1"/>
        <v>XIIOTO1</v>
      </c>
      <c r="G2166" s="19" t="s">
        <v>5408</v>
      </c>
      <c r="H2166" s="20" t="s">
        <v>4223</v>
      </c>
      <c r="I2166" s="19" t="s">
        <v>5409</v>
      </c>
      <c r="J2166" s="19" t="s">
        <v>5410</v>
      </c>
      <c r="K2166" s="21" t="s">
        <v>5415</v>
      </c>
      <c r="L2166" s="35" t="s">
        <v>6536</v>
      </c>
      <c r="M2166" s="29" t="s">
        <v>4943</v>
      </c>
      <c r="N2166" s="34" t="s">
        <v>5416</v>
      </c>
      <c r="O2166" s="34">
        <v>0.0</v>
      </c>
      <c r="P2166" s="18">
        <f>VLOOKUP($A2166,MasterData!$C$1:$I$3001,1,FALSE)</f>
        <v>8333</v>
      </c>
      <c r="Q2166" s="34" t="str">
        <f t="shared" si="2"/>
        <v>XIIOTO1</v>
      </c>
    </row>
    <row r="2167" ht="15.75" customHeight="1">
      <c r="A2167" s="15">
        <v>8348.0</v>
      </c>
      <c r="B2167" s="18" t="s">
        <v>9839</v>
      </c>
      <c r="C2167" s="29" t="s">
        <v>9840</v>
      </c>
      <c r="D2167" s="18" t="s">
        <v>9839</v>
      </c>
      <c r="E2167" s="34" t="s">
        <v>4946</v>
      </c>
      <c r="F2167" s="19" t="str">
        <f t="shared" si="1"/>
        <v>XIIOTO1</v>
      </c>
      <c r="G2167" s="19" t="s">
        <v>5408</v>
      </c>
      <c r="H2167" s="20" t="s">
        <v>4223</v>
      </c>
      <c r="I2167" s="19" t="s">
        <v>5409</v>
      </c>
      <c r="J2167" s="19" t="s">
        <v>5410</v>
      </c>
      <c r="K2167" s="21" t="s">
        <v>5415</v>
      </c>
      <c r="L2167" s="35" t="s">
        <v>6536</v>
      </c>
      <c r="M2167" s="29" t="s">
        <v>4945</v>
      </c>
      <c r="N2167" s="34" t="s">
        <v>5416</v>
      </c>
      <c r="O2167" s="34">
        <v>0.0</v>
      </c>
      <c r="P2167" s="18">
        <f>VLOOKUP($A2167,MasterData!$C$1:$I$3001,1,FALSE)</f>
        <v>8348</v>
      </c>
      <c r="Q2167" s="34" t="str">
        <f t="shared" si="2"/>
        <v>XIIOTO1</v>
      </c>
    </row>
    <row r="2168" ht="15.75" customHeight="1">
      <c r="A2168" s="15">
        <v>8365.0</v>
      </c>
      <c r="B2168" s="18" t="s">
        <v>9841</v>
      </c>
      <c r="C2168" s="29" t="s">
        <v>9842</v>
      </c>
      <c r="D2168" s="18" t="s">
        <v>9841</v>
      </c>
      <c r="E2168" s="34" t="s">
        <v>4948</v>
      </c>
      <c r="F2168" s="19" t="str">
        <f t="shared" si="1"/>
        <v>XIIOTO1</v>
      </c>
      <c r="G2168" s="19" t="s">
        <v>5408</v>
      </c>
      <c r="H2168" s="20" t="s">
        <v>4223</v>
      </c>
      <c r="I2168" s="19" t="s">
        <v>5409</v>
      </c>
      <c r="J2168" s="19" t="s">
        <v>5410</v>
      </c>
      <c r="K2168" s="21" t="s">
        <v>5415</v>
      </c>
      <c r="L2168" s="35" t="s">
        <v>6536</v>
      </c>
      <c r="M2168" s="29" t="s">
        <v>4947</v>
      </c>
      <c r="N2168" s="34" t="s">
        <v>5416</v>
      </c>
      <c r="O2168" s="34">
        <v>0.0</v>
      </c>
      <c r="P2168" s="18">
        <f>VLOOKUP($A2168,MasterData!$C$1:$I$3001,1,FALSE)</f>
        <v>8365</v>
      </c>
      <c r="Q2168" s="34" t="str">
        <f t="shared" si="2"/>
        <v>XIIOTO1</v>
      </c>
    </row>
    <row r="2169" ht="15.75" customHeight="1">
      <c r="A2169" s="15">
        <v>8371.0</v>
      </c>
      <c r="B2169" s="18" t="s">
        <v>9843</v>
      </c>
      <c r="C2169" s="29" t="s">
        <v>9844</v>
      </c>
      <c r="D2169" s="18" t="s">
        <v>9843</v>
      </c>
      <c r="E2169" s="34" t="s">
        <v>4950</v>
      </c>
      <c r="F2169" s="19" t="str">
        <f t="shared" si="1"/>
        <v>XIIOTO1</v>
      </c>
      <c r="G2169" s="19" t="s">
        <v>5408</v>
      </c>
      <c r="H2169" s="20" t="s">
        <v>4223</v>
      </c>
      <c r="I2169" s="19" t="s">
        <v>5409</v>
      </c>
      <c r="J2169" s="19" t="s">
        <v>5410</v>
      </c>
      <c r="K2169" s="21" t="s">
        <v>5415</v>
      </c>
      <c r="L2169" s="35" t="s">
        <v>6536</v>
      </c>
      <c r="M2169" s="29" t="s">
        <v>4949</v>
      </c>
      <c r="N2169" s="34" t="s">
        <v>5416</v>
      </c>
      <c r="O2169" s="34">
        <v>0.0</v>
      </c>
      <c r="P2169" s="18">
        <f>VLOOKUP($A2169,MasterData!$C$1:$I$3001,1,FALSE)</f>
        <v>8371</v>
      </c>
      <c r="Q2169" s="34" t="str">
        <f t="shared" si="2"/>
        <v>XIIOTO1</v>
      </c>
    </row>
    <row r="2170" ht="15.75" customHeight="1">
      <c r="A2170" s="15">
        <v>8380.0</v>
      </c>
      <c r="B2170" s="18" t="s">
        <v>9845</v>
      </c>
      <c r="C2170" s="29" t="s">
        <v>9846</v>
      </c>
      <c r="D2170" s="18" t="s">
        <v>9845</v>
      </c>
      <c r="E2170" s="34" t="s">
        <v>4952</v>
      </c>
      <c r="F2170" s="19" t="str">
        <f t="shared" si="1"/>
        <v>XIIOTO1</v>
      </c>
      <c r="G2170" s="19" t="s">
        <v>5408</v>
      </c>
      <c r="H2170" s="20" t="s">
        <v>4223</v>
      </c>
      <c r="I2170" s="19" t="s">
        <v>5409</v>
      </c>
      <c r="J2170" s="19" t="s">
        <v>5410</v>
      </c>
      <c r="K2170" s="21" t="s">
        <v>5415</v>
      </c>
      <c r="L2170" s="35" t="s">
        <v>6536</v>
      </c>
      <c r="M2170" s="29" t="s">
        <v>4951</v>
      </c>
      <c r="N2170" s="34" t="s">
        <v>5416</v>
      </c>
      <c r="O2170" s="34">
        <v>0.0</v>
      </c>
      <c r="P2170" s="18">
        <f>VLOOKUP($A2170,MasterData!$C$1:$I$3001,1,FALSE)</f>
        <v>8380</v>
      </c>
      <c r="Q2170" s="34" t="str">
        <f t="shared" si="2"/>
        <v>XIIOTO1</v>
      </c>
    </row>
    <row r="2171" ht="15.75" customHeight="1">
      <c r="A2171" s="15">
        <v>8392.0</v>
      </c>
      <c r="B2171" s="18" t="s">
        <v>9847</v>
      </c>
      <c r="C2171" s="29" t="s">
        <v>9848</v>
      </c>
      <c r="D2171" s="18" t="s">
        <v>9847</v>
      </c>
      <c r="E2171" s="34" t="s">
        <v>4954</v>
      </c>
      <c r="F2171" s="19" t="str">
        <f t="shared" si="1"/>
        <v>XIIOTO1</v>
      </c>
      <c r="G2171" s="19" t="s">
        <v>5408</v>
      </c>
      <c r="H2171" s="20" t="s">
        <v>4223</v>
      </c>
      <c r="I2171" s="19" t="s">
        <v>5409</v>
      </c>
      <c r="J2171" s="19" t="s">
        <v>5410</v>
      </c>
      <c r="K2171" s="21" t="s">
        <v>5415</v>
      </c>
      <c r="L2171" s="35" t="s">
        <v>6536</v>
      </c>
      <c r="M2171" s="29" t="s">
        <v>4953</v>
      </c>
      <c r="N2171" s="34" t="s">
        <v>5416</v>
      </c>
      <c r="O2171" s="34">
        <v>0.0</v>
      </c>
      <c r="P2171" s="18">
        <f>VLOOKUP($A2171,MasterData!$C$1:$I$3001,1,FALSE)</f>
        <v>8392</v>
      </c>
      <c r="Q2171" s="34" t="str">
        <f t="shared" si="2"/>
        <v>XIIOTO1</v>
      </c>
    </row>
    <row r="2172" ht="15.75" customHeight="1">
      <c r="A2172" s="15">
        <v>8401.0</v>
      </c>
      <c r="B2172" s="18" t="s">
        <v>9849</v>
      </c>
      <c r="C2172" s="29" t="s">
        <v>9850</v>
      </c>
      <c r="D2172" s="18" t="s">
        <v>9849</v>
      </c>
      <c r="E2172" s="34" t="s">
        <v>4956</v>
      </c>
      <c r="F2172" s="19" t="str">
        <f t="shared" si="1"/>
        <v>XIIOTO1</v>
      </c>
      <c r="G2172" s="19" t="s">
        <v>5408</v>
      </c>
      <c r="H2172" s="20" t="s">
        <v>4223</v>
      </c>
      <c r="I2172" s="19" t="s">
        <v>5409</v>
      </c>
      <c r="J2172" s="19" t="s">
        <v>5410</v>
      </c>
      <c r="K2172" s="21" t="s">
        <v>5415</v>
      </c>
      <c r="L2172" s="35" t="s">
        <v>6536</v>
      </c>
      <c r="M2172" s="29" t="s">
        <v>4955</v>
      </c>
      <c r="N2172" s="34" t="s">
        <v>5416</v>
      </c>
      <c r="O2172" s="34">
        <v>0.0</v>
      </c>
      <c r="P2172" s="18">
        <f>VLOOKUP($A2172,MasterData!$C$1:$I$3001,1,FALSE)</f>
        <v>8401</v>
      </c>
      <c r="Q2172" s="34" t="str">
        <f t="shared" si="2"/>
        <v>XIIOTO1</v>
      </c>
    </row>
    <row r="2173" ht="15.75" customHeight="1">
      <c r="A2173" s="15">
        <v>8405.0</v>
      </c>
      <c r="B2173" s="18" t="s">
        <v>9851</v>
      </c>
      <c r="C2173" s="29" t="s">
        <v>9852</v>
      </c>
      <c r="D2173" s="18" t="s">
        <v>9851</v>
      </c>
      <c r="E2173" s="34" t="s">
        <v>4958</v>
      </c>
      <c r="F2173" s="19" t="str">
        <f t="shared" si="1"/>
        <v>XIIOTO1</v>
      </c>
      <c r="G2173" s="19" t="s">
        <v>5408</v>
      </c>
      <c r="H2173" s="20" t="s">
        <v>4223</v>
      </c>
      <c r="I2173" s="19" t="s">
        <v>5409</v>
      </c>
      <c r="J2173" s="19" t="s">
        <v>5410</v>
      </c>
      <c r="K2173" s="21" t="s">
        <v>5415</v>
      </c>
      <c r="L2173" s="35" t="s">
        <v>6536</v>
      </c>
      <c r="M2173" s="29" t="s">
        <v>4957</v>
      </c>
      <c r="N2173" s="34" t="s">
        <v>5416</v>
      </c>
      <c r="O2173" s="34">
        <v>0.0</v>
      </c>
      <c r="P2173" s="18">
        <f>VLOOKUP($A2173,MasterData!$C$1:$I$3001,1,FALSE)</f>
        <v>8405</v>
      </c>
      <c r="Q2173" s="34" t="str">
        <f t="shared" si="2"/>
        <v>XIIOTO1</v>
      </c>
    </row>
    <row r="2174" ht="15.75" customHeight="1">
      <c r="A2174" s="15">
        <v>8414.0</v>
      </c>
      <c r="B2174" s="18" t="s">
        <v>9853</v>
      </c>
      <c r="C2174" s="29" t="s">
        <v>9854</v>
      </c>
      <c r="D2174" s="18" t="s">
        <v>9853</v>
      </c>
      <c r="E2174" s="34" t="s">
        <v>4960</v>
      </c>
      <c r="F2174" s="19" t="str">
        <f t="shared" si="1"/>
        <v>XIIOTO1</v>
      </c>
      <c r="G2174" s="19" t="s">
        <v>5408</v>
      </c>
      <c r="H2174" s="20" t="s">
        <v>4223</v>
      </c>
      <c r="I2174" s="19" t="s">
        <v>5409</v>
      </c>
      <c r="J2174" s="19" t="s">
        <v>5410</v>
      </c>
      <c r="K2174" s="21" t="s">
        <v>5415</v>
      </c>
      <c r="L2174" s="35" t="s">
        <v>6536</v>
      </c>
      <c r="M2174" s="29" t="s">
        <v>4959</v>
      </c>
      <c r="N2174" s="34" t="s">
        <v>5416</v>
      </c>
      <c r="O2174" s="34">
        <v>0.0</v>
      </c>
      <c r="P2174" s="18">
        <f>VLOOKUP($A2174,MasterData!$C$1:$I$3001,1,FALSE)</f>
        <v>8414</v>
      </c>
      <c r="Q2174" s="34" t="str">
        <f t="shared" si="2"/>
        <v>XIIOTO1</v>
      </c>
    </row>
    <row r="2175" ht="15.75" customHeight="1">
      <c r="A2175" s="15">
        <v>8423.0</v>
      </c>
      <c r="B2175" s="18" t="s">
        <v>9855</v>
      </c>
      <c r="C2175" s="29" t="s">
        <v>9856</v>
      </c>
      <c r="D2175" s="18" t="s">
        <v>9855</v>
      </c>
      <c r="E2175" s="34" t="s">
        <v>4962</v>
      </c>
      <c r="F2175" s="19" t="str">
        <f t="shared" si="1"/>
        <v>XIIOTO1</v>
      </c>
      <c r="G2175" s="19" t="s">
        <v>5408</v>
      </c>
      <c r="H2175" s="20" t="s">
        <v>4223</v>
      </c>
      <c r="I2175" s="19" t="s">
        <v>5409</v>
      </c>
      <c r="J2175" s="19" t="s">
        <v>5410</v>
      </c>
      <c r="K2175" s="21" t="s">
        <v>5415</v>
      </c>
      <c r="L2175" s="35" t="s">
        <v>6536</v>
      </c>
      <c r="M2175" s="29" t="s">
        <v>4961</v>
      </c>
      <c r="N2175" s="34" t="s">
        <v>5416</v>
      </c>
      <c r="O2175" s="34">
        <v>0.0</v>
      </c>
      <c r="P2175" s="18">
        <f>VLOOKUP($A2175,MasterData!$C$1:$I$3001,1,FALSE)</f>
        <v>8423</v>
      </c>
      <c r="Q2175" s="34" t="str">
        <f t="shared" si="2"/>
        <v>XIIOTO1</v>
      </c>
    </row>
    <row r="2176" ht="15.75" customHeight="1">
      <c r="A2176" s="15">
        <v>8434.0</v>
      </c>
      <c r="B2176" s="18" t="s">
        <v>9857</v>
      </c>
      <c r="C2176" s="29" t="s">
        <v>9858</v>
      </c>
      <c r="D2176" s="18" t="s">
        <v>9857</v>
      </c>
      <c r="E2176" s="34" t="s">
        <v>4964</v>
      </c>
      <c r="F2176" s="19" t="str">
        <f t="shared" si="1"/>
        <v>XIIOTO1</v>
      </c>
      <c r="G2176" s="19" t="s">
        <v>5408</v>
      </c>
      <c r="H2176" s="20" t="s">
        <v>4223</v>
      </c>
      <c r="I2176" s="19" t="s">
        <v>5409</v>
      </c>
      <c r="J2176" s="19" t="s">
        <v>5410</v>
      </c>
      <c r="K2176" s="21" t="s">
        <v>5415</v>
      </c>
      <c r="L2176" s="35" t="s">
        <v>6536</v>
      </c>
      <c r="M2176" s="29" t="s">
        <v>4963</v>
      </c>
      <c r="N2176" s="34" t="s">
        <v>5416</v>
      </c>
      <c r="O2176" s="34">
        <v>0.0</v>
      </c>
      <c r="P2176" s="18">
        <f>VLOOKUP($A2176,MasterData!$C$1:$I$3001,1,FALSE)</f>
        <v>8434</v>
      </c>
      <c r="Q2176" s="34" t="str">
        <f t="shared" si="2"/>
        <v>XIIOTO1</v>
      </c>
    </row>
    <row r="2177" ht="15.75" customHeight="1">
      <c r="A2177" s="15">
        <v>8473.0</v>
      </c>
      <c r="B2177" s="18" t="s">
        <v>9859</v>
      </c>
      <c r="C2177" s="29" t="s">
        <v>9860</v>
      </c>
      <c r="D2177" s="18" t="s">
        <v>9859</v>
      </c>
      <c r="E2177" s="34" t="s">
        <v>4966</v>
      </c>
      <c r="F2177" s="19" t="str">
        <f t="shared" si="1"/>
        <v>XIIOTO1</v>
      </c>
      <c r="G2177" s="19" t="s">
        <v>5408</v>
      </c>
      <c r="H2177" s="20" t="s">
        <v>4223</v>
      </c>
      <c r="I2177" s="19" t="s">
        <v>5409</v>
      </c>
      <c r="J2177" s="19" t="s">
        <v>5410</v>
      </c>
      <c r="K2177" s="21" t="s">
        <v>5415</v>
      </c>
      <c r="L2177" s="35" t="s">
        <v>6536</v>
      </c>
      <c r="M2177" s="29" t="s">
        <v>4965</v>
      </c>
      <c r="N2177" s="34" t="s">
        <v>5416</v>
      </c>
      <c r="O2177" s="34">
        <v>0.0</v>
      </c>
      <c r="P2177" s="18">
        <f>VLOOKUP($A2177,MasterData!$C$1:$I$3001,1,FALSE)</f>
        <v>8473</v>
      </c>
      <c r="Q2177" s="34" t="str">
        <f t="shared" si="2"/>
        <v>XIIOTO1</v>
      </c>
    </row>
    <row r="2178" ht="15.75" customHeight="1">
      <c r="A2178" s="15">
        <v>8478.0</v>
      </c>
      <c r="B2178" s="18" t="s">
        <v>9861</v>
      </c>
      <c r="C2178" s="29" t="s">
        <v>9862</v>
      </c>
      <c r="D2178" s="18" t="s">
        <v>9861</v>
      </c>
      <c r="E2178" s="34" t="s">
        <v>4968</v>
      </c>
      <c r="F2178" s="19" t="str">
        <f t="shared" si="1"/>
        <v>XIIOTO1</v>
      </c>
      <c r="G2178" s="19" t="s">
        <v>5408</v>
      </c>
      <c r="H2178" s="20" t="s">
        <v>4223</v>
      </c>
      <c r="I2178" s="19" t="s">
        <v>5409</v>
      </c>
      <c r="J2178" s="19" t="s">
        <v>5410</v>
      </c>
      <c r="K2178" s="21" t="s">
        <v>5415</v>
      </c>
      <c r="L2178" s="35" t="s">
        <v>6536</v>
      </c>
      <c r="M2178" s="29" t="s">
        <v>4967</v>
      </c>
      <c r="N2178" s="34" t="s">
        <v>5416</v>
      </c>
      <c r="O2178" s="34">
        <v>0.0</v>
      </c>
      <c r="P2178" s="18">
        <f>VLOOKUP($A2178,MasterData!$C$1:$I$3001,1,FALSE)</f>
        <v>8478</v>
      </c>
      <c r="Q2178" s="34" t="str">
        <f t="shared" si="2"/>
        <v>XIIOTO1</v>
      </c>
    </row>
    <row r="2179" ht="15.75" customHeight="1">
      <c r="A2179" s="15">
        <v>8504.0</v>
      </c>
      <c r="B2179" s="18" t="s">
        <v>9863</v>
      </c>
      <c r="C2179" s="29" t="s">
        <v>9864</v>
      </c>
      <c r="D2179" s="18" t="s">
        <v>9863</v>
      </c>
      <c r="E2179" s="34" t="s">
        <v>4970</v>
      </c>
      <c r="F2179" s="19" t="str">
        <f t="shared" si="1"/>
        <v>XIIOTO1</v>
      </c>
      <c r="G2179" s="19" t="s">
        <v>5408</v>
      </c>
      <c r="H2179" s="20" t="s">
        <v>4223</v>
      </c>
      <c r="I2179" s="19" t="s">
        <v>5409</v>
      </c>
      <c r="J2179" s="19" t="s">
        <v>5410</v>
      </c>
      <c r="K2179" s="21" t="s">
        <v>5415</v>
      </c>
      <c r="L2179" s="35" t="s">
        <v>6536</v>
      </c>
      <c r="M2179" s="29" t="s">
        <v>4969</v>
      </c>
      <c r="N2179" s="34" t="s">
        <v>5416</v>
      </c>
      <c r="O2179" s="34">
        <v>0.0</v>
      </c>
      <c r="P2179" s="18">
        <f>VLOOKUP($A2179,MasterData!$C$1:$I$3001,1,FALSE)</f>
        <v>8504</v>
      </c>
      <c r="Q2179" s="34" t="str">
        <f t="shared" si="2"/>
        <v>XIIOTO1</v>
      </c>
    </row>
    <row r="2180" ht="15.75" customHeight="1">
      <c r="A2180" s="15">
        <v>8517.0</v>
      </c>
      <c r="B2180" s="18" t="s">
        <v>9865</v>
      </c>
      <c r="C2180" s="29" t="s">
        <v>9866</v>
      </c>
      <c r="D2180" s="18" t="s">
        <v>9865</v>
      </c>
      <c r="E2180" s="34" t="s">
        <v>4972</v>
      </c>
      <c r="F2180" s="19" t="str">
        <f t="shared" si="1"/>
        <v>XIIOTO1</v>
      </c>
      <c r="G2180" s="19" t="s">
        <v>5408</v>
      </c>
      <c r="H2180" s="20" t="s">
        <v>4223</v>
      </c>
      <c r="I2180" s="19" t="s">
        <v>5409</v>
      </c>
      <c r="J2180" s="19" t="s">
        <v>5410</v>
      </c>
      <c r="K2180" s="21" t="s">
        <v>5415</v>
      </c>
      <c r="L2180" s="35" t="s">
        <v>6536</v>
      </c>
      <c r="M2180" s="29" t="s">
        <v>4971</v>
      </c>
      <c r="N2180" s="34" t="s">
        <v>5416</v>
      </c>
      <c r="O2180" s="34">
        <v>0.0</v>
      </c>
      <c r="P2180" s="18">
        <f>VLOOKUP($A2180,MasterData!$C$1:$I$3001,1,FALSE)</f>
        <v>8517</v>
      </c>
      <c r="Q2180" s="34" t="str">
        <f t="shared" si="2"/>
        <v>XIIOTO1</v>
      </c>
    </row>
    <row r="2181" ht="15.75" customHeight="1">
      <c r="A2181" s="15">
        <v>8537.0</v>
      </c>
      <c r="B2181" s="18" t="s">
        <v>9867</v>
      </c>
      <c r="C2181" s="29" t="s">
        <v>9868</v>
      </c>
      <c r="D2181" s="18" t="s">
        <v>9867</v>
      </c>
      <c r="E2181" s="34" t="s">
        <v>4974</v>
      </c>
      <c r="F2181" s="19" t="str">
        <f t="shared" si="1"/>
        <v>XIIOTO1</v>
      </c>
      <c r="G2181" s="19" t="s">
        <v>5408</v>
      </c>
      <c r="H2181" s="20" t="s">
        <v>4223</v>
      </c>
      <c r="I2181" s="19" t="s">
        <v>5409</v>
      </c>
      <c r="J2181" s="19" t="s">
        <v>5410</v>
      </c>
      <c r="K2181" s="21" t="s">
        <v>5415</v>
      </c>
      <c r="L2181" s="35" t="s">
        <v>6536</v>
      </c>
      <c r="M2181" s="29" t="s">
        <v>4973</v>
      </c>
      <c r="N2181" s="34" t="s">
        <v>5416</v>
      </c>
      <c r="O2181" s="34">
        <v>0.0</v>
      </c>
      <c r="P2181" s="18">
        <f>VLOOKUP($A2181,MasterData!$C$1:$I$3001,1,FALSE)</f>
        <v>8537</v>
      </c>
      <c r="Q2181" s="34" t="str">
        <f t="shared" si="2"/>
        <v>XIIOTO1</v>
      </c>
    </row>
    <row r="2182" ht="15.75" customHeight="1">
      <c r="A2182" s="15">
        <v>8592.0</v>
      </c>
      <c r="B2182" s="18" t="s">
        <v>9869</v>
      </c>
      <c r="C2182" s="29" t="s">
        <v>9870</v>
      </c>
      <c r="D2182" s="18" t="s">
        <v>9869</v>
      </c>
      <c r="E2182" s="34" t="s">
        <v>4976</v>
      </c>
      <c r="F2182" s="19" t="str">
        <f t="shared" si="1"/>
        <v>XIIOTO1</v>
      </c>
      <c r="G2182" s="19" t="s">
        <v>5408</v>
      </c>
      <c r="H2182" s="20" t="s">
        <v>4223</v>
      </c>
      <c r="I2182" s="19" t="s">
        <v>5409</v>
      </c>
      <c r="J2182" s="19" t="s">
        <v>5410</v>
      </c>
      <c r="K2182" s="21" t="s">
        <v>5415</v>
      </c>
      <c r="L2182" s="35" t="s">
        <v>6536</v>
      </c>
      <c r="M2182" s="29" t="s">
        <v>4975</v>
      </c>
      <c r="N2182" s="34" t="s">
        <v>5416</v>
      </c>
      <c r="O2182" s="34">
        <v>0.0</v>
      </c>
      <c r="P2182" s="18">
        <f>VLOOKUP($A2182,MasterData!$C$1:$I$3001,1,FALSE)</f>
        <v>8592</v>
      </c>
      <c r="Q2182" s="34" t="str">
        <f t="shared" si="2"/>
        <v>XIIOTO1</v>
      </c>
    </row>
    <row r="2183" ht="15.75" customHeight="1">
      <c r="A2183" s="15">
        <v>8028.0</v>
      </c>
      <c r="B2183" s="18" t="s">
        <v>9871</v>
      </c>
      <c r="C2183" s="29" t="s">
        <v>9872</v>
      </c>
      <c r="D2183" s="18" t="s">
        <v>9871</v>
      </c>
      <c r="E2183" s="34" t="s">
        <v>4978</v>
      </c>
      <c r="F2183" s="19" t="str">
        <f t="shared" si="1"/>
        <v>XIIOTO2</v>
      </c>
      <c r="G2183" s="19" t="s">
        <v>5408</v>
      </c>
      <c r="H2183" s="20" t="s">
        <v>4223</v>
      </c>
      <c r="I2183" s="19" t="s">
        <v>5409</v>
      </c>
      <c r="J2183" s="19" t="s">
        <v>5410</v>
      </c>
      <c r="K2183" s="21" t="s">
        <v>5415</v>
      </c>
      <c r="L2183" s="35" t="s">
        <v>6637</v>
      </c>
      <c r="M2183" s="29" t="s">
        <v>4977</v>
      </c>
      <c r="N2183" s="36">
        <v>39391.0</v>
      </c>
      <c r="O2183" s="34" t="s">
        <v>9873</v>
      </c>
      <c r="P2183" s="18">
        <f>VLOOKUP($A2183,MasterData!$C$1:$I$3001,1,FALSE)</f>
        <v>8028</v>
      </c>
      <c r="Q2183" s="34" t="str">
        <f t="shared" si="2"/>
        <v>XIIOTO2</v>
      </c>
    </row>
    <row r="2184" ht="15.75" customHeight="1">
      <c r="A2184" s="15">
        <v>8042.0</v>
      </c>
      <c r="B2184" s="18" t="s">
        <v>9874</v>
      </c>
      <c r="C2184" s="37" t="s">
        <v>9875</v>
      </c>
      <c r="D2184" s="18" t="s">
        <v>9874</v>
      </c>
      <c r="E2184" s="34" t="s">
        <v>4980</v>
      </c>
      <c r="F2184" s="19" t="str">
        <f t="shared" si="1"/>
        <v>XIIOTO2</v>
      </c>
      <c r="G2184" s="19" t="s">
        <v>5408</v>
      </c>
      <c r="H2184" s="20" t="s">
        <v>4223</v>
      </c>
      <c r="I2184" s="19" t="s">
        <v>5409</v>
      </c>
      <c r="J2184" s="19" t="s">
        <v>5410</v>
      </c>
      <c r="K2184" s="21" t="s">
        <v>5415</v>
      </c>
      <c r="L2184" s="35" t="s">
        <v>6637</v>
      </c>
      <c r="M2184" s="29" t="s">
        <v>4979</v>
      </c>
      <c r="N2184" s="34" t="s">
        <v>5416</v>
      </c>
      <c r="O2184" s="34">
        <v>0.0</v>
      </c>
      <c r="P2184" s="18">
        <f>VLOOKUP($A2184,MasterData!$C$1:$I$3001,1,FALSE)</f>
        <v>8042</v>
      </c>
      <c r="Q2184" s="34" t="str">
        <f t="shared" si="2"/>
        <v>XIIOTO2</v>
      </c>
    </row>
    <row r="2185" ht="15.75" customHeight="1">
      <c r="A2185" s="15">
        <v>8050.0</v>
      </c>
      <c r="B2185" s="18" t="s">
        <v>9876</v>
      </c>
      <c r="C2185" s="29" t="s">
        <v>9877</v>
      </c>
      <c r="D2185" s="18" t="s">
        <v>9876</v>
      </c>
      <c r="E2185" s="34" t="s">
        <v>4982</v>
      </c>
      <c r="F2185" s="19" t="str">
        <f t="shared" si="1"/>
        <v>XIIOTO2</v>
      </c>
      <c r="G2185" s="19" t="s">
        <v>5408</v>
      </c>
      <c r="H2185" s="20" t="s">
        <v>4223</v>
      </c>
      <c r="I2185" s="19" t="s">
        <v>5409</v>
      </c>
      <c r="J2185" s="19" t="s">
        <v>5410</v>
      </c>
      <c r="K2185" s="21" t="s">
        <v>5415</v>
      </c>
      <c r="L2185" s="35" t="s">
        <v>6637</v>
      </c>
      <c r="M2185" s="29" t="s">
        <v>4981</v>
      </c>
      <c r="N2185" s="34" t="s">
        <v>5416</v>
      </c>
      <c r="O2185" s="34">
        <v>0.0</v>
      </c>
      <c r="P2185" s="18">
        <f>VLOOKUP($A2185,MasterData!$C$1:$I$3001,1,FALSE)</f>
        <v>8050</v>
      </c>
      <c r="Q2185" s="34" t="str">
        <f t="shared" si="2"/>
        <v>XIIOTO2</v>
      </c>
    </row>
    <row r="2186" ht="15.75" customHeight="1">
      <c r="A2186" s="15">
        <v>8065.0</v>
      </c>
      <c r="B2186" s="18" t="s">
        <v>9878</v>
      </c>
      <c r="C2186" s="29" t="s">
        <v>9879</v>
      </c>
      <c r="D2186" s="18" t="s">
        <v>9878</v>
      </c>
      <c r="E2186" s="34" t="s">
        <v>4984</v>
      </c>
      <c r="F2186" s="19" t="str">
        <f t="shared" si="1"/>
        <v>XIIOTO2</v>
      </c>
      <c r="G2186" s="19" t="s">
        <v>5408</v>
      </c>
      <c r="H2186" s="20" t="s">
        <v>4223</v>
      </c>
      <c r="I2186" s="19" t="s">
        <v>5409</v>
      </c>
      <c r="J2186" s="19" t="s">
        <v>5410</v>
      </c>
      <c r="K2186" s="21" t="s">
        <v>5415</v>
      </c>
      <c r="L2186" s="35" t="s">
        <v>6637</v>
      </c>
      <c r="M2186" s="29" t="s">
        <v>4983</v>
      </c>
      <c r="N2186" s="34" t="s">
        <v>5416</v>
      </c>
      <c r="O2186" s="34">
        <v>0.0</v>
      </c>
      <c r="P2186" s="18">
        <f>VLOOKUP($A2186,MasterData!$C$1:$I$3001,1,FALSE)</f>
        <v>8065</v>
      </c>
      <c r="Q2186" s="34" t="str">
        <f t="shared" si="2"/>
        <v>XIIOTO2</v>
      </c>
    </row>
    <row r="2187" ht="15.75" customHeight="1">
      <c r="A2187" s="15">
        <v>8094.0</v>
      </c>
      <c r="B2187" s="18" t="s">
        <v>9880</v>
      </c>
      <c r="C2187" s="29" t="s">
        <v>9881</v>
      </c>
      <c r="D2187" s="18" t="s">
        <v>9880</v>
      </c>
      <c r="E2187" s="34" t="s">
        <v>4986</v>
      </c>
      <c r="F2187" s="19" t="str">
        <f t="shared" si="1"/>
        <v>XIIOTO2</v>
      </c>
      <c r="G2187" s="19" t="s">
        <v>5408</v>
      </c>
      <c r="H2187" s="20" t="s">
        <v>4223</v>
      </c>
      <c r="I2187" s="19" t="s">
        <v>5409</v>
      </c>
      <c r="J2187" s="19" t="s">
        <v>5410</v>
      </c>
      <c r="K2187" s="21" t="s">
        <v>5415</v>
      </c>
      <c r="L2187" s="35" t="s">
        <v>6637</v>
      </c>
      <c r="M2187" s="29" t="s">
        <v>4985</v>
      </c>
      <c r="N2187" s="34" t="s">
        <v>5416</v>
      </c>
      <c r="O2187" s="34">
        <v>0.0</v>
      </c>
      <c r="P2187" s="18">
        <f>VLOOKUP($A2187,MasterData!$C$1:$I$3001,1,FALSE)</f>
        <v>8094</v>
      </c>
      <c r="Q2187" s="34" t="str">
        <f t="shared" si="2"/>
        <v>XIIOTO2</v>
      </c>
    </row>
    <row r="2188" ht="15.75" customHeight="1">
      <c r="A2188" s="15">
        <v>8110.0</v>
      </c>
      <c r="B2188" s="18" t="s">
        <v>9882</v>
      </c>
      <c r="C2188" s="29" t="s">
        <v>9883</v>
      </c>
      <c r="D2188" s="18" t="s">
        <v>9882</v>
      </c>
      <c r="E2188" s="34" t="s">
        <v>4988</v>
      </c>
      <c r="F2188" s="19" t="str">
        <f t="shared" si="1"/>
        <v>XIIOTO2</v>
      </c>
      <c r="G2188" s="19" t="s">
        <v>5408</v>
      </c>
      <c r="H2188" s="20" t="s">
        <v>4223</v>
      </c>
      <c r="I2188" s="19" t="s">
        <v>5409</v>
      </c>
      <c r="J2188" s="19" t="s">
        <v>5410</v>
      </c>
      <c r="K2188" s="21" t="s">
        <v>5415</v>
      </c>
      <c r="L2188" s="35" t="s">
        <v>6637</v>
      </c>
      <c r="M2188" s="29" t="s">
        <v>4987</v>
      </c>
      <c r="N2188" s="34" t="s">
        <v>5416</v>
      </c>
      <c r="O2188" s="34">
        <v>0.0</v>
      </c>
      <c r="P2188" s="18">
        <f>VLOOKUP($A2188,MasterData!$C$1:$I$3001,1,FALSE)</f>
        <v>8110</v>
      </c>
      <c r="Q2188" s="34" t="str">
        <f t="shared" si="2"/>
        <v>XIIOTO2</v>
      </c>
    </row>
    <row r="2189" ht="15.75" customHeight="1">
      <c r="A2189" s="15">
        <v>8118.0</v>
      </c>
      <c r="B2189" s="18" t="s">
        <v>9884</v>
      </c>
      <c r="C2189" s="29" t="s">
        <v>9885</v>
      </c>
      <c r="D2189" s="18" t="s">
        <v>9884</v>
      </c>
      <c r="E2189" s="34" t="s">
        <v>4990</v>
      </c>
      <c r="F2189" s="19" t="str">
        <f t="shared" si="1"/>
        <v>XIIOTO2</v>
      </c>
      <c r="G2189" s="19" t="s">
        <v>5408</v>
      </c>
      <c r="H2189" s="20" t="s">
        <v>4223</v>
      </c>
      <c r="I2189" s="19" t="s">
        <v>5409</v>
      </c>
      <c r="J2189" s="19" t="s">
        <v>5410</v>
      </c>
      <c r="K2189" s="21" t="s">
        <v>5415</v>
      </c>
      <c r="L2189" s="35" t="s">
        <v>6637</v>
      </c>
      <c r="M2189" s="29" t="s">
        <v>4989</v>
      </c>
      <c r="N2189" s="34" t="s">
        <v>5416</v>
      </c>
      <c r="O2189" s="34">
        <v>0.0</v>
      </c>
      <c r="P2189" s="18">
        <f>VLOOKUP($A2189,MasterData!$C$1:$I$3001,1,FALSE)</f>
        <v>8118</v>
      </c>
      <c r="Q2189" s="34" t="str">
        <f t="shared" si="2"/>
        <v>XIIOTO2</v>
      </c>
    </row>
    <row r="2190" ht="15.75" customHeight="1">
      <c r="A2190" s="15">
        <v>8166.0</v>
      </c>
      <c r="B2190" s="18" t="s">
        <v>9886</v>
      </c>
      <c r="C2190" s="29" t="s">
        <v>9887</v>
      </c>
      <c r="D2190" s="18" t="s">
        <v>9886</v>
      </c>
      <c r="E2190" s="34" t="s">
        <v>4992</v>
      </c>
      <c r="F2190" s="19" t="str">
        <f t="shared" si="1"/>
        <v>XIIOTO2</v>
      </c>
      <c r="G2190" s="19" t="s">
        <v>5408</v>
      </c>
      <c r="H2190" s="20" t="s">
        <v>4223</v>
      </c>
      <c r="I2190" s="19" t="s">
        <v>5409</v>
      </c>
      <c r="J2190" s="19" t="s">
        <v>5410</v>
      </c>
      <c r="K2190" s="21" t="s">
        <v>5415</v>
      </c>
      <c r="L2190" s="35" t="s">
        <v>6637</v>
      </c>
      <c r="M2190" s="29" t="s">
        <v>4991</v>
      </c>
      <c r="N2190" s="34" t="s">
        <v>5416</v>
      </c>
      <c r="O2190" s="34">
        <v>0.0</v>
      </c>
      <c r="P2190" s="18">
        <f>VLOOKUP($A2190,MasterData!$C$1:$I$3001,1,FALSE)</f>
        <v>8166</v>
      </c>
      <c r="Q2190" s="34" t="str">
        <f t="shared" si="2"/>
        <v>XIIOTO2</v>
      </c>
    </row>
    <row r="2191" ht="15.75" customHeight="1">
      <c r="A2191" s="15">
        <v>8184.0</v>
      </c>
      <c r="B2191" s="18" t="s">
        <v>9888</v>
      </c>
      <c r="C2191" s="29" t="s">
        <v>9889</v>
      </c>
      <c r="D2191" s="18" t="s">
        <v>9888</v>
      </c>
      <c r="E2191" s="34" t="s">
        <v>4994</v>
      </c>
      <c r="F2191" s="19" t="str">
        <f t="shared" si="1"/>
        <v>XIIOTO2</v>
      </c>
      <c r="G2191" s="19" t="s">
        <v>5408</v>
      </c>
      <c r="H2191" s="20" t="s">
        <v>4223</v>
      </c>
      <c r="I2191" s="19" t="s">
        <v>5409</v>
      </c>
      <c r="J2191" s="19" t="s">
        <v>5410</v>
      </c>
      <c r="K2191" s="21" t="s">
        <v>5415</v>
      </c>
      <c r="L2191" s="35" t="s">
        <v>6637</v>
      </c>
      <c r="M2191" s="29" t="s">
        <v>4993</v>
      </c>
      <c r="N2191" s="34" t="s">
        <v>5416</v>
      </c>
      <c r="O2191" s="34">
        <v>0.0</v>
      </c>
      <c r="P2191" s="18">
        <f>VLOOKUP($A2191,MasterData!$C$1:$I$3001,1,FALSE)</f>
        <v>8184</v>
      </c>
      <c r="Q2191" s="34" t="str">
        <f t="shared" si="2"/>
        <v>XIIOTO2</v>
      </c>
    </row>
    <row r="2192" ht="15.75" customHeight="1">
      <c r="A2192" s="15">
        <v>8218.0</v>
      </c>
      <c r="B2192" s="18" t="s">
        <v>9890</v>
      </c>
      <c r="C2192" s="29" t="s">
        <v>9891</v>
      </c>
      <c r="D2192" s="18" t="s">
        <v>9890</v>
      </c>
      <c r="E2192" s="34" t="s">
        <v>4996</v>
      </c>
      <c r="F2192" s="19" t="str">
        <f t="shared" si="1"/>
        <v>XIIOTO2</v>
      </c>
      <c r="G2192" s="19" t="s">
        <v>5408</v>
      </c>
      <c r="H2192" s="20" t="s">
        <v>4223</v>
      </c>
      <c r="I2192" s="19" t="s">
        <v>5409</v>
      </c>
      <c r="J2192" s="19" t="s">
        <v>5410</v>
      </c>
      <c r="K2192" s="21" t="s">
        <v>5415</v>
      </c>
      <c r="L2192" s="35" t="s">
        <v>6637</v>
      </c>
      <c r="M2192" s="29" t="s">
        <v>4995</v>
      </c>
      <c r="N2192" s="34" t="s">
        <v>5416</v>
      </c>
      <c r="O2192" s="34">
        <v>0.0</v>
      </c>
      <c r="P2192" s="18">
        <f>VLOOKUP($A2192,MasterData!$C$1:$I$3001,1,FALSE)</f>
        <v>8218</v>
      </c>
      <c r="Q2192" s="34" t="str">
        <f t="shared" si="2"/>
        <v>XIIOTO2</v>
      </c>
    </row>
    <row r="2193" ht="15.75" customHeight="1">
      <c r="A2193" s="15">
        <v>8233.0</v>
      </c>
      <c r="B2193" s="18" t="s">
        <v>9892</v>
      </c>
      <c r="C2193" s="29" t="s">
        <v>9893</v>
      </c>
      <c r="D2193" s="18" t="s">
        <v>9892</v>
      </c>
      <c r="E2193" s="34" t="s">
        <v>4998</v>
      </c>
      <c r="F2193" s="19" t="str">
        <f t="shared" si="1"/>
        <v>XIIOTO2</v>
      </c>
      <c r="G2193" s="19" t="s">
        <v>5408</v>
      </c>
      <c r="H2193" s="20" t="s">
        <v>4223</v>
      </c>
      <c r="I2193" s="19" t="s">
        <v>5409</v>
      </c>
      <c r="J2193" s="19" t="s">
        <v>5410</v>
      </c>
      <c r="K2193" s="21" t="s">
        <v>5415</v>
      </c>
      <c r="L2193" s="35" t="s">
        <v>6637</v>
      </c>
      <c r="M2193" s="29" t="s">
        <v>4997</v>
      </c>
      <c r="N2193" s="34" t="s">
        <v>5416</v>
      </c>
      <c r="O2193" s="34">
        <v>0.0</v>
      </c>
      <c r="P2193" s="18">
        <f>VLOOKUP($A2193,MasterData!$C$1:$I$3001,1,FALSE)</f>
        <v>8233</v>
      </c>
      <c r="Q2193" s="34" t="str">
        <f t="shared" si="2"/>
        <v>XIIOTO2</v>
      </c>
    </row>
    <row r="2194" ht="15.75" customHeight="1">
      <c r="A2194" s="15">
        <v>8261.0</v>
      </c>
      <c r="B2194" s="18" t="s">
        <v>9894</v>
      </c>
      <c r="C2194" s="29" t="s">
        <v>9895</v>
      </c>
      <c r="D2194" s="18" t="s">
        <v>9894</v>
      </c>
      <c r="E2194" s="34" t="s">
        <v>5000</v>
      </c>
      <c r="F2194" s="19" t="str">
        <f t="shared" si="1"/>
        <v>XIIOTO2</v>
      </c>
      <c r="G2194" s="19" t="s">
        <v>5408</v>
      </c>
      <c r="H2194" s="20" t="s">
        <v>4223</v>
      </c>
      <c r="I2194" s="19" t="s">
        <v>5409</v>
      </c>
      <c r="J2194" s="19" t="s">
        <v>5410</v>
      </c>
      <c r="K2194" s="21" t="s">
        <v>5415</v>
      </c>
      <c r="L2194" s="35" t="s">
        <v>6637</v>
      </c>
      <c r="M2194" s="29" t="s">
        <v>4999</v>
      </c>
      <c r="N2194" s="34" t="s">
        <v>5416</v>
      </c>
      <c r="O2194" s="34">
        <v>0.0</v>
      </c>
      <c r="P2194" s="18">
        <f>VLOOKUP($A2194,MasterData!$C$1:$I$3001,1,FALSE)</f>
        <v>8261</v>
      </c>
      <c r="Q2194" s="34" t="str">
        <f t="shared" si="2"/>
        <v>XIIOTO2</v>
      </c>
    </row>
    <row r="2195" ht="15.75" customHeight="1">
      <c r="A2195" s="15">
        <v>8270.0</v>
      </c>
      <c r="B2195" s="18" t="s">
        <v>9896</v>
      </c>
      <c r="C2195" s="29" t="s">
        <v>9897</v>
      </c>
      <c r="D2195" s="18" t="s">
        <v>9896</v>
      </c>
      <c r="E2195" s="34" t="s">
        <v>5002</v>
      </c>
      <c r="F2195" s="19" t="str">
        <f t="shared" si="1"/>
        <v>XIIOTO2</v>
      </c>
      <c r="G2195" s="19" t="s">
        <v>5408</v>
      </c>
      <c r="H2195" s="20" t="s">
        <v>4223</v>
      </c>
      <c r="I2195" s="19" t="s">
        <v>5409</v>
      </c>
      <c r="J2195" s="19" t="s">
        <v>5410</v>
      </c>
      <c r="K2195" s="21" t="s">
        <v>5415</v>
      </c>
      <c r="L2195" s="35" t="s">
        <v>6637</v>
      </c>
      <c r="M2195" s="29" t="s">
        <v>5001</v>
      </c>
      <c r="N2195" s="34" t="s">
        <v>5416</v>
      </c>
      <c r="O2195" s="34">
        <v>0.0</v>
      </c>
      <c r="P2195" s="18">
        <f>VLOOKUP($A2195,MasterData!$C$1:$I$3001,1,FALSE)</f>
        <v>8270</v>
      </c>
      <c r="Q2195" s="34" t="str">
        <f t="shared" si="2"/>
        <v>XIIOTO2</v>
      </c>
    </row>
    <row r="2196" ht="15.75" customHeight="1">
      <c r="A2196" s="15">
        <v>8274.0</v>
      </c>
      <c r="B2196" s="18" t="s">
        <v>9898</v>
      </c>
      <c r="C2196" s="29" t="s">
        <v>9899</v>
      </c>
      <c r="D2196" s="18" t="s">
        <v>9898</v>
      </c>
      <c r="E2196" s="34" t="s">
        <v>5004</v>
      </c>
      <c r="F2196" s="19" t="str">
        <f t="shared" si="1"/>
        <v>XIIOTO2</v>
      </c>
      <c r="G2196" s="19" t="s">
        <v>5408</v>
      </c>
      <c r="H2196" s="20" t="s">
        <v>4223</v>
      </c>
      <c r="I2196" s="19" t="s">
        <v>5409</v>
      </c>
      <c r="J2196" s="19" t="s">
        <v>5410</v>
      </c>
      <c r="K2196" s="21" t="s">
        <v>5415</v>
      </c>
      <c r="L2196" s="35" t="s">
        <v>6637</v>
      </c>
      <c r="M2196" s="29" t="s">
        <v>5003</v>
      </c>
      <c r="N2196" s="34" t="s">
        <v>5416</v>
      </c>
      <c r="O2196" s="34">
        <v>0.0</v>
      </c>
      <c r="P2196" s="18">
        <f>VLOOKUP($A2196,MasterData!$C$1:$I$3001,1,FALSE)</f>
        <v>8274</v>
      </c>
      <c r="Q2196" s="34" t="str">
        <f t="shared" si="2"/>
        <v>XIIOTO2</v>
      </c>
    </row>
    <row r="2197" ht="15.75" customHeight="1">
      <c r="A2197" s="15">
        <v>8288.0</v>
      </c>
      <c r="B2197" s="18" t="s">
        <v>9900</v>
      </c>
      <c r="C2197" s="29" t="s">
        <v>9901</v>
      </c>
      <c r="D2197" s="18" t="s">
        <v>9900</v>
      </c>
      <c r="E2197" s="34" t="s">
        <v>5006</v>
      </c>
      <c r="F2197" s="19" t="str">
        <f t="shared" si="1"/>
        <v>XIIOTO2</v>
      </c>
      <c r="G2197" s="19" t="s">
        <v>5408</v>
      </c>
      <c r="H2197" s="20" t="s">
        <v>4223</v>
      </c>
      <c r="I2197" s="19" t="s">
        <v>5409</v>
      </c>
      <c r="J2197" s="19" t="s">
        <v>5410</v>
      </c>
      <c r="K2197" s="21" t="s">
        <v>5415</v>
      </c>
      <c r="L2197" s="35" t="s">
        <v>6637</v>
      </c>
      <c r="M2197" s="29" t="s">
        <v>5005</v>
      </c>
      <c r="N2197" s="34" t="s">
        <v>5416</v>
      </c>
      <c r="O2197" s="34">
        <v>0.0</v>
      </c>
      <c r="P2197" s="18">
        <f>VLOOKUP($A2197,MasterData!$C$1:$I$3001,1,FALSE)</f>
        <v>8288</v>
      </c>
      <c r="Q2197" s="34" t="str">
        <f t="shared" si="2"/>
        <v>XIIOTO2</v>
      </c>
    </row>
    <row r="2198" ht="15.75" customHeight="1">
      <c r="A2198" s="15">
        <v>8328.0</v>
      </c>
      <c r="B2198" s="18" t="s">
        <v>9902</v>
      </c>
      <c r="C2198" s="29" t="s">
        <v>9903</v>
      </c>
      <c r="D2198" s="18" t="s">
        <v>9902</v>
      </c>
      <c r="E2198" s="34" t="s">
        <v>5008</v>
      </c>
      <c r="F2198" s="19" t="str">
        <f t="shared" si="1"/>
        <v>XIIOTO2</v>
      </c>
      <c r="G2198" s="19" t="s">
        <v>5408</v>
      </c>
      <c r="H2198" s="20" t="s">
        <v>4223</v>
      </c>
      <c r="I2198" s="19" t="s">
        <v>5409</v>
      </c>
      <c r="J2198" s="19" t="s">
        <v>5410</v>
      </c>
      <c r="K2198" s="21" t="s">
        <v>5415</v>
      </c>
      <c r="L2198" s="35" t="s">
        <v>6637</v>
      </c>
      <c r="M2198" s="29" t="s">
        <v>5007</v>
      </c>
      <c r="N2198" s="34" t="s">
        <v>5416</v>
      </c>
      <c r="O2198" s="34">
        <v>0.0</v>
      </c>
      <c r="P2198" s="18">
        <f>VLOOKUP($A2198,MasterData!$C$1:$I$3001,1,FALSE)</f>
        <v>8328</v>
      </c>
      <c r="Q2198" s="34" t="str">
        <f t="shared" si="2"/>
        <v>XIIOTO2</v>
      </c>
    </row>
    <row r="2199" ht="15.75" customHeight="1">
      <c r="A2199" s="15">
        <v>8340.0</v>
      </c>
      <c r="B2199" s="18" t="s">
        <v>9904</v>
      </c>
      <c r="C2199" s="29" t="s">
        <v>9905</v>
      </c>
      <c r="D2199" s="18" t="s">
        <v>9904</v>
      </c>
      <c r="E2199" s="34" t="s">
        <v>5010</v>
      </c>
      <c r="F2199" s="19" t="str">
        <f t="shared" si="1"/>
        <v>XIIOTO2</v>
      </c>
      <c r="G2199" s="19" t="s">
        <v>5408</v>
      </c>
      <c r="H2199" s="20" t="s">
        <v>4223</v>
      </c>
      <c r="I2199" s="19" t="s">
        <v>5409</v>
      </c>
      <c r="J2199" s="19" t="s">
        <v>5410</v>
      </c>
      <c r="K2199" s="21" t="s">
        <v>5415</v>
      </c>
      <c r="L2199" s="35" t="s">
        <v>6637</v>
      </c>
      <c r="M2199" s="29" t="s">
        <v>5009</v>
      </c>
      <c r="N2199" s="34" t="s">
        <v>5416</v>
      </c>
      <c r="O2199" s="34">
        <v>0.0</v>
      </c>
      <c r="P2199" s="18">
        <f>VLOOKUP($A2199,MasterData!$C$1:$I$3001,1,FALSE)</f>
        <v>8340</v>
      </c>
      <c r="Q2199" s="34" t="str">
        <f t="shared" si="2"/>
        <v>XIIOTO2</v>
      </c>
    </row>
    <row r="2200" ht="15.75" customHeight="1">
      <c r="A2200" s="15">
        <v>8360.0</v>
      </c>
      <c r="B2200" s="18" t="s">
        <v>9906</v>
      </c>
      <c r="C2200" s="29" t="s">
        <v>9907</v>
      </c>
      <c r="D2200" s="18" t="s">
        <v>9906</v>
      </c>
      <c r="E2200" s="34" t="s">
        <v>5012</v>
      </c>
      <c r="F2200" s="19" t="str">
        <f t="shared" si="1"/>
        <v>XIIOTO2</v>
      </c>
      <c r="G2200" s="19" t="s">
        <v>5408</v>
      </c>
      <c r="H2200" s="20" t="s">
        <v>4223</v>
      </c>
      <c r="I2200" s="19" t="s">
        <v>5409</v>
      </c>
      <c r="J2200" s="19" t="s">
        <v>5410</v>
      </c>
      <c r="K2200" s="21" t="s">
        <v>5415</v>
      </c>
      <c r="L2200" s="35" t="s">
        <v>6637</v>
      </c>
      <c r="M2200" s="29" t="s">
        <v>5011</v>
      </c>
      <c r="N2200" s="34" t="s">
        <v>5416</v>
      </c>
      <c r="O2200" s="34">
        <v>0.0</v>
      </c>
      <c r="P2200" s="18">
        <f>VLOOKUP($A2200,MasterData!$C$1:$I$3001,1,FALSE)</f>
        <v>8360</v>
      </c>
      <c r="Q2200" s="34" t="str">
        <f t="shared" si="2"/>
        <v>XIIOTO2</v>
      </c>
    </row>
    <row r="2201" ht="15.75" customHeight="1">
      <c r="A2201" s="15">
        <v>8367.0</v>
      </c>
      <c r="B2201" s="18" t="s">
        <v>9908</v>
      </c>
      <c r="C2201" s="29" t="s">
        <v>9909</v>
      </c>
      <c r="D2201" s="18" t="s">
        <v>9908</v>
      </c>
      <c r="E2201" s="34" t="s">
        <v>5014</v>
      </c>
      <c r="F2201" s="19" t="str">
        <f t="shared" si="1"/>
        <v>XIIOTO2</v>
      </c>
      <c r="G2201" s="19" t="s">
        <v>5408</v>
      </c>
      <c r="H2201" s="20" t="s">
        <v>4223</v>
      </c>
      <c r="I2201" s="19" t="s">
        <v>5409</v>
      </c>
      <c r="J2201" s="19" t="s">
        <v>5410</v>
      </c>
      <c r="K2201" s="21" t="s">
        <v>5415</v>
      </c>
      <c r="L2201" s="35" t="s">
        <v>6637</v>
      </c>
      <c r="M2201" s="29" t="s">
        <v>5013</v>
      </c>
      <c r="N2201" s="34" t="s">
        <v>5416</v>
      </c>
      <c r="O2201" s="34">
        <v>0.0</v>
      </c>
      <c r="P2201" s="18">
        <f>VLOOKUP($A2201,MasterData!$C$1:$I$3001,1,FALSE)</f>
        <v>8367</v>
      </c>
      <c r="Q2201" s="34" t="str">
        <f t="shared" si="2"/>
        <v>XIIOTO2</v>
      </c>
    </row>
    <row r="2202" ht="15.75" customHeight="1">
      <c r="A2202" s="15">
        <v>8373.0</v>
      </c>
      <c r="B2202" s="18" t="s">
        <v>9910</v>
      </c>
      <c r="C2202" s="29" t="s">
        <v>9911</v>
      </c>
      <c r="D2202" s="18" t="s">
        <v>9910</v>
      </c>
      <c r="E2202" s="34" t="s">
        <v>5016</v>
      </c>
      <c r="F2202" s="19" t="str">
        <f t="shared" si="1"/>
        <v>XIIOTO2</v>
      </c>
      <c r="G2202" s="19" t="s">
        <v>5408</v>
      </c>
      <c r="H2202" s="20" t="s">
        <v>4223</v>
      </c>
      <c r="I2202" s="19" t="s">
        <v>5409</v>
      </c>
      <c r="J2202" s="19" t="s">
        <v>5410</v>
      </c>
      <c r="K2202" s="21" t="s">
        <v>5415</v>
      </c>
      <c r="L2202" s="35" t="s">
        <v>6637</v>
      </c>
      <c r="M2202" s="29" t="s">
        <v>5015</v>
      </c>
      <c r="N2202" s="34" t="s">
        <v>5416</v>
      </c>
      <c r="O2202" s="34">
        <v>0.0</v>
      </c>
      <c r="P2202" s="18">
        <f>VLOOKUP($A2202,MasterData!$C$1:$I$3001,1,FALSE)</f>
        <v>8373</v>
      </c>
      <c r="Q2202" s="34" t="str">
        <f t="shared" si="2"/>
        <v>XIIOTO2</v>
      </c>
    </row>
    <row r="2203" ht="15.75" customHeight="1">
      <c r="A2203" s="15">
        <v>8387.0</v>
      </c>
      <c r="B2203" s="18" t="s">
        <v>9912</v>
      </c>
      <c r="C2203" s="29" t="s">
        <v>9913</v>
      </c>
      <c r="D2203" s="18" t="s">
        <v>9912</v>
      </c>
      <c r="E2203" s="34" t="s">
        <v>5018</v>
      </c>
      <c r="F2203" s="19" t="str">
        <f t="shared" si="1"/>
        <v>XIIOTO2</v>
      </c>
      <c r="G2203" s="19" t="s">
        <v>5408</v>
      </c>
      <c r="H2203" s="20" t="s">
        <v>4223</v>
      </c>
      <c r="I2203" s="19" t="s">
        <v>5409</v>
      </c>
      <c r="J2203" s="19" t="s">
        <v>5410</v>
      </c>
      <c r="K2203" s="21" t="s">
        <v>5415</v>
      </c>
      <c r="L2203" s="35" t="s">
        <v>6637</v>
      </c>
      <c r="M2203" s="29" t="s">
        <v>5017</v>
      </c>
      <c r="N2203" s="34" t="s">
        <v>5416</v>
      </c>
      <c r="O2203" s="34">
        <v>0.0</v>
      </c>
      <c r="P2203" s="18">
        <f>VLOOKUP($A2203,MasterData!$C$1:$I$3001,1,FALSE)</f>
        <v>8387</v>
      </c>
      <c r="Q2203" s="34" t="str">
        <f t="shared" si="2"/>
        <v>XIIOTO2</v>
      </c>
    </row>
    <row r="2204" ht="15.75" customHeight="1">
      <c r="A2204" s="15">
        <v>8393.0</v>
      </c>
      <c r="B2204" s="18" t="s">
        <v>9914</v>
      </c>
      <c r="C2204" s="29" t="s">
        <v>9915</v>
      </c>
      <c r="D2204" s="18" t="s">
        <v>9914</v>
      </c>
      <c r="E2204" s="34" t="s">
        <v>5020</v>
      </c>
      <c r="F2204" s="19" t="str">
        <f t="shared" si="1"/>
        <v>XIIOTO2</v>
      </c>
      <c r="G2204" s="19" t="s">
        <v>5408</v>
      </c>
      <c r="H2204" s="20" t="s">
        <v>4223</v>
      </c>
      <c r="I2204" s="19" t="s">
        <v>5409</v>
      </c>
      <c r="J2204" s="19" t="s">
        <v>5410</v>
      </c>
      <c r="K2204" s="21" t="s">
        <v>5415</v>
      </c>
      <c r="L2204" s="35" t="s">
        <v>6637</v>
      </c>
      <c r="M2204" s="29" t="s">
        <v>5019</v>
      </c>
      <c r="N2204" s="34" t="s">
        <v>5416</v>
      </c>
      <c r="O2204" s="34">
        <v>0.0</v>
      </c>
      <c r="P2204" s="18">
        <f>VLOOKUP($A2204,MasterData!$C$1:$I$3001,1,FALSE)</f>
        <v>8393</v>
      </c>
      <c r="Q2204" s="34" t="str">
        <f t="shared" si="2"/>
        <v>XIIOTO2</v>
      </c>
    </row>
    <row r="2205" ht="15.75" customHeight="1">
      <c r="A2205" s="15">
        <v>8402.0</v>
      </c>
      <c r="B2205" s="18" t="s">
        <v>9916</v>
      </c>
      <c r="C2205" s="29" t="s">
        <v>9917</v>
      </c>
      <c r="D2205" s="18" t="s">
        <v>9916</v>
      </c>
      <c r="E2205" s="34" t="s">
        <v>5022</v>
      </c>
      <c r="F2205" s="19" t="str">
        <f t="shared" si="1"/>
        <v>XIIOTO2</v>
      </c>
      <c r="G2205" s="19" t="s">
        <v>5408</v>
      </c>
      <c r="H2205" s="20" t="s">
        <v>4223</v>
      </c>
      <c r="I2205" s="19" t="s">
        <v>5409</v>
      </c>
      <c r="J2205" s="19" t="s">
        <v>5410</v>
      </c>
      <c r="K2205" s="21" t="s">
        <v>5415</v>
      </c>
      <c r="L2205" s="35" t="s">
        <v>6637</v>
      </c>
      <c r="M2205" s="29" t="s">
        <v>5021</v>
      </c>
      <c r="N2205" s="34" t="s">
        <v>5416</v>
      </c>
      <c r="O2205" s="34">
        <v>0.0</v>
      </c>
      <c r="P2205" s="18">
        <f>VLOOKUP($A2205,MasterData!$C$1:$I$3001,1,FALSE)</f>
        <v>8402</v>
      </c>
      <c r="Q2205" s="34" t="str">
        <f t="shared" si="2"/>
        <v>XIIOTO2</v>
      </c>
    </row>
    <row r="2206" ht="15.75" customHeight="1">
      <c r="A2206" s="15">
        <v>8406.0</v>
      </c>
      <c r="B2206" s="18" t="s">
        <v>9918</v>
      </c>
      <c r="C2206" s="29" t="s">
        <v>9919</v>
      </c>
      <c r="D2206" s="18" t="s">
        <v>9918</v>
      </c>
      <c r="E2206" s="34" t="s">
        <v>5024</v>
      </c>
      <c r="F2206" s="19" t="str">
        <f t="shared" si="1"/>
        <v>XIIOTO2</v>
      </c>
      <c r="G2206" s="19" t="s">
        <v>5408</v>
      </c>
      <c r="H2206" s="20" t="s">
        <v>4223</v>
      </c>
      <c r="I2206" s="19" t="s">
        <v>5409</v>
      </c>
      <c r="J2206" s="19" t="s">
        <v>5410</v>
      </c>
      <c r="K2206" s="21" t="s">
        <v>5415</v>
      </c>
      <c r="L2206" s="35" t="s">
        <v>6637</v>
      </c>
      <c r="M2206" s="29" t="s">
        <v>5023</v>
      </c>
      <c r="N2206" s="34" t="s">
        <v>5416</v>
      </c>
      <c r="O2206" s="34">
        <v>0.0</v>
      </c>
      <c r="P2206" s="18">
        <f>VLOOKUP($A2206,MasterData!$C$1:$I$3001,1,FALSE)</f>
        <v>8406</v>
      </c>
      <c r="Q2206" s="34" t="str">
        <f t="shared" si="2"/>
        <v>XIIOTO2</v>
      </c>
    </row>
    <row r="2207" ht="15.75" customHeight="1">
      <c r="A2207" s="15">
        <v>8420.0</v>
      </c>
      <c r="B2207" s="18" t="s">
        <v>9920</v>
      </c>
      <c r="C2207" s="29" t="s">
        <v>9921</v>
      </c>
      <c r="D2207" s="18" t="s">
        <v>9920</v>
      </c>
      <c r="E2207" s="34" t="s">
        <v>5026</v>
      </c>
      <c r="F2207" s="19" t="str">
        <f t="shared" si="1"/>
        <v>XIIOTO2</v>
      </c>
      <c r="G2207" s="19" t="s">
        <v>5408</v>
      </c>
      <c r="H2207" s="20" t="s">
        <v>4223</v>
      </c>
      <c r="I2207" s="19" t="s">
        <v>5409</v>
      </c>
      <c r="J2207" s="19" t="s">
        <v>5410</v>
      </c>
      <c r="K2207" s="21" t="s">
        <v>5415</v>
      </c>
      <c r="L2207" s="35" t="s">
        <v>6637</v>
      </c>
      <c r="M2207" s="29" t="s">
        <v>5025</v>
      </c>
      <c r="N2207" s="34" t="s">
        <v>5416</v>
      </c>
      <c r="O2207" s="34">
        <v>0.0</v>
      </c>
      <c r="P2207" s="18">
        <f>VLOOKUP($A2207,MasterData!$C$1:$I$3001,1,FALSE)</f>
        <v>8420</v>
      </c>
      <c r="Q2207" s="34" t="str">
        <f t="shared" si="2"/>
        <v>XIIOTO2</v>
      </c>
    </row>
    <row r="2208" ht="15.75" customHeight="1">
      <c r="A2208" s="15">
        <v>8427.0</v>
      </c>
      <c r="B2208" s="18" t="s">
        <v>9922</v>
      </c>
      <c r="C2208" s="29" t="s">
        <v>9923</v>
      </c>
      <c r="D2208" s="18" t="s">
        <v>9922</v>
      </c>
      <c r="E2208" s="34" t="s">
        <v>5028</v>
      </c>
      <c r="F2208" s="19" t="str">
        <f t="shared" si="1"/>
        <v>XIIOTO2</v>
      </c>
      <c r="G2208" s="19" t="s">
        <v>5408</v>
      </c>
      <c r="H2208" s="20" t="s">
        <v>4223</v>
      </c>
      <c r="I2208" s="19" t="s">
        <v>5409</v>
      </c>
      <c r="J2208" s="19" t="s">
        <v>5410</v>
      </c>
      <c r="K2208" s="21" t="s">
        <v>5415</v>
      </c>
      <c r="L2208" s="35" t="s">
        <v>6637</v>
      </c>
      <c r="M2208" s="29" t="s">
        <v>5027</v>
      </c>
      <c r="N2208" s="34" t="s">
        <v>5416</v>
      </c>
      <c r="O2208" s="34">
        <v>0.0</v>
      </c>
      <c r="P2208" s="18">
        <f>VLOOKUP($A2208,MasterData!$C$1:$I$3001,1,FALSE)</f>
        <v>8427</v>
      </c>
      <c r="Q2208" s="34" t="str">
        <f t="shared" si="2"/>
        <v>XIIOTO2</v>
      </c>
    </row>
    <row r="2209" ht="15.75" customHeight="1">
      <c r="A2209" s="15">
        <v>8435.0</v>
      </c>
      <c r="B2209" s="18" t="s">
        <v>9924</v>
      </c>
      <c r="C2209" s="29" t="s">
        <v>9925</v>
      </c>
      <c r="D2209" s="18" t="s">
        <v>9924</v>
      </c>
      <c r="E2209" s="34" t="s">
        <v>5030</v>
      </c>
      <c r="F2209" s="19" t="str">
        <f t="shared" si="1"/>
        <v>XIIOTO2</v>
      </c>
      <c r="G2209" s="19" t="s">
        <v>5408</v>
      </c>
      <c r="H2209" s="20" t="s">
        <v>4223</v>
      </c>
      <c r="I2209" s="19" t="s">
        <v>5409</v>
      </c>
      <c r="J2209" s="19" t="s">
        <v>5410</v>
      </c>
      <c r="K2209" s="21" t="s">
        <v>5415</v>
      </c>
      <c r="L2209" s="35" t="s">
        <v>6637</v>
      </c>
      <c r="M2209" s="29" t="s">
        <v>5029</v>
      </c>
      <c r="N2209" s="34" t="s">
        <v>5416</v>
      </c>
      <c r="O2209" s="34">
        <v>0.0</v>
      </c>
      <c r="P2209" s="18">
        <f>VLOOKUP($A2209,MasterData!$C$1:$I$3001,1,FALSE)</f>
        <v>8435</v>
      </c>
      <c r="Q2209" s="34" t="str">
        <f t="shared" si="2"/>
        <v>XIIOTO2</v>
      </c>
    </row>
    <row r="2210" ht="15.75" customHeight="1">
      <c r="A2210" s="15">
        <v>8465.0</v>
      </c>
      <c r="B2210" s="18" t="s">
        <v>9926</v>
      </c>
      <c r="C2210" s="29" t="s">
        <v>9927</v>
      </c>
      <c r="D2210" s="18" t="s">
        <v>9926</v>
      </c>
      <c r="E2210" s="34" t="s">
        <v>5032</v>
      </c>
      <c r="F2210" s="19" t="str">
        <f t="shared" si="1"/>
        <v>XIIOTO2</v>
      </c>
      <c r="G2210" s="19" t="s">
        <v>5408</v>
      </c>
      <c r="H2210" s="20" t="s">
        <v>4223</v>
      </c>
      <c r="I2210" s="19" t="s">
        <v>5409</v>
      </c>
      <c r="J2210" s="19" t="s">
        <v>5410</v>
      </c>
      <c r="K2210" s="21" t="s">
        <v>5415</v>
      </c>
      <c r="L2210" s="35" t="s">
        <v>6637</v>
      </c>
      <c r="M2210" s="29" t="s">
        <v>5031</v>
      </c>
      <c r="N2210" s="34" t="s">
        <v>5416</v>
      </c>
      <c r="O2210" s="34">
        <v>0.0</v>
      </c>
      <c r="P2210" s="18">
        <f>VLOOKUP($A2210,MasterData!$C$1:$I$3001,1,FALSE)</f>
        <v>8465</v>
      </c>
      <c r="Q2210" s="34" t="str">
        <f t="shared" si="2"/>
        <v>XIIOTO2</v>
      </c>
    </row>
    <row r="2211" ht="15.75" customHeight="1">
      <c r="A2211" s="15">
        <v>8475.0</v>
      </c>
      <c r="B2211" s="18" t="s">
        <v>9928</v>
      </c>
      <c r="C2211" s="29" t="s">
        <v>9929</v>
      </c>
      <c r="D2211" s="18" t="s">
        <v>9928</v>
      </c>
      <c r="E2211" s="34" t="s">
        <v>5034</v>
      </c>
      <c r="F2211" s="19" t="str">
        <f t="shared" si="1"/>
        <v>XIIOTO2</v>
      </c>
      <c r="G2211" s="19" t="s">
        <v>5408</v>
      </c>
      <c r="H2211" s="20" t="s">
        <v>4223</v>
      </c>
      <c r="I2211" s="19" t="s">
        <v>5409</v>
      </c>
      <c r="J2211" s="19" t="s">
        <v>5410</v>
      </c>
      <c r="K2211" s="21" t="s">
        <v>5415</v>
      </c>
      <c r="L2211" s="35" t="s">
        <v>6637</v>
      </c>
      <c r="M2211" s="29" t="s">
        <v>5033</v>
      </c>
      <c r="N2211" s="34" t="s">
        <v>5416</v>
      </c>
      <c r="O2211" s="34">
        <v>0.0</v>
      </c>
      <c r="P2211" s="18">
        <f>VLOOKUP($A2211,MasterData!$C$1:$I$3001,1,FALSE)</f>
        <v>8475</v>
      </c>
      <c r="Q2211" s="34" t="str">
        <f t="shared" si="2"/>
        <v>XIIOTO2</v>
      </c>
    </row>
    <row r="2212" ht="15.75" customHeight="1">
      <c r="A2212" s="15">
        <v>8482.0</v>
      </c>
      <c r="B2212" s="18" t="s">
        <v>9930</v>
      </c>
      <c r="C2212" s="29" t="s">
        <v>9931</v>
      </c>
      <c r="D2212" s="18" t="s">
        <v>9930</v>
      </c>
      <c r="E2212" s="34" t="s">
        <v>5036</v>
      </c>
      <c r="F2212" s="19" t="str">
        <f t="shared" si="1"/>
        <v>XIIOTO2</v>
      </c>
      <c r="G2212" s="19" t="s">
        <v>5408</v>
      </c>
      <c r="H2212" s="20" t="s">
        <v>4223</v>
      </c>
      <c r="I2212" s="19" t="s">
        <v>5409</v>
      </c>
      <c r="J2212" s="19" t="s">
        <v>5410</v>
      </c>
      <c r="K2212" s="21" t="s">
        <v>5415</v>
      </c>
      <c r="L2212" s="35" t="s">
        <v>6637</v>
      </c>
      <c r="M2212" s="29" t="s">
        <v>5035</v>
      </c>
      <c r="N2212" s="34" t="s">
        <v>5416</v>
      </c>
      <c r="O2212" s="34">
        <v>0.0</v>
      </c>
      <c r="P2212" s="18">
        <f>VLOOKUP($A2212,MasterData!$C$1:$I$3001,1,FALSE)</f>
        <v>8482</v>
      </c>
      <c r="Q2212" s="34" t="str">
        <f t="shared" si="2"/>
        <v>XIIOTO2</v>
      </c>
    </row>
    <row r="2213" ht="15.75" customHeight="1">
      <c r="A2213" s="15">
        <v>8496.0</v>
      </c>
      <c r="B2213" s="18" t="s">
        <v>9932</v>
      </c>
      <c r="C2213" s="29" t="s">
        <v>9933</v>
      </c>
      <c r="D2213" s="18" t="s">
        <v>9932</v>
      </c>
      <c r="E2213" s="34" t="s">
        <v>5038</v>
      </c>
      <c r="F2213" s="19" t="str">
        <f t="shared" si="1"/>
        <v>XIIOTO2</v>
      </c>
      <c r="G2213" s="19" t="s">
        <v>5408</v>
      </c>
      <c r="H2213" s="20" t="s">
        <v>4223</v>
      </c>
      <c r="I2213" s="19" t="s">
        <v>5409</v>
      </c>
      <c r="J2213" s="19" t="s">
        <v>5410</v>
      </c>
      <c r="K2213" s="21" t="s">
        <v>5415</v>
      </c>
      <c r="L2213" s="35" t="s">
        <v>6637</v>
      </c>
      <c r="M2213" s="29" t="s">
        <v>5037</v>
      </c>
      <c r="N2213" s="34" t="s">
        <v>5416</v>
      </c>
      <c r="O2213" s="34">
        <v>0.0</v>
      </c>
      <c r="P2213" s="18">
        <f>VLOOKUP($A2213,MasterData!$C$1:$I$3001,1,FALSE)</f>
        <v>8496</v>
      </c>
      <c r="Q2213" s="34" t="str">
        <f t="shared" si="2"/>
        <v>XIIOTO2</v>
      </c>
    </row>
    <row r="2214" ht="15.75" customHeight="1">
      <c r="A2214" s="15">
        <v>8507.0</v>
      </c>
      <c r="B2214" s="18" t="s">
        <v>9934</v>
      </c>
      <c r="C2214" s="37" t="s">
        <v>9935</v>
      </c>
      <c r="D2214" s="18" t="s">
        <v>9934</v>
      </c>
      <c r="E2214" s="34" t="s">
        <v>5040</v>
      </c>
      <c r="F2214" s="19" t="str">
        <f t="shared" si="1"/>
        <v>XIIOTO2</v>
      </c>
      <c r="G2214" s="19" t="s">
        <v>5408</v>
      </c>
      <c r="H2214" s="20" t="s">
        <v>4223</v>
      </c>
      <c r="I2214" s="19" t="s">
        <v>5409</v>
      </c>
      <c r="J2214" s="19" t="s">
        <v>5410</v>
      </c>
      <c r="K2214" s="21" t="s">
        <v>5415</v>
      </c>
      <c r="L2214" s="35" t="s">
        <v>6637</v>
      </c>
      <c r="M2214" s="29" t="s">
        <v>5039</v>
      </c>
      <c r="N2214" s="34" t="s">
        <v>5416</v>
      </c>
      <c r="O2214" s="34">
        <v>0.0</v>
      </c>
      <c r="P2214" s="18">
        <f>VLOOKUP($A2214,MasterData!$C$1:$I$3001,1,FALSE)</f>
        <v>8507</v>
      </c>
      <c r="Q2214" s="34" t="str">
        <f t="shared" si="2"/>
        <v>XIIOTO2</v>
      </c>
    </row>
    <row r="2215" ht="15.75" customHeight="1">
      <c r="A2215" s="15">
        <v>8523.0</v>
      </c>
      <c r="B2215" s="18" t="s">
        <v>9936</v>
      </c>
      <c r="C2215" s="29" t="s">
        <v>9937</v>
      </c>
      <c r="D2215" s="18" t="s">
        <v>9936</v>
      </c>
      <c r="E2215" s="34" t="s">
        <v>5042</v>
      </c>
      <c r="F2215" s="19" t="str">
        <f t="shared" si="1"/>
        <v>XIIOTO2</v>
      </c>
      <c r="G2215" s="19" t="s">
        <v>5408</v>
      </c>
      <c r="H2215" s="20" t="s">
        <v>4223</v>
      </c>
      <c r="I2215" s="19" t="s">
        <v>5409</v>
      </c>
      <c r="J2215" s="19" t="s">
        <v>5410</v>
      </c>
      <c r="K2215" s="21" t="s">
        <v>5415</v>
      </c>
      <c r="L2215" s="35" t="s">
        <v>6637</v>
      </c>
      <c r="M2215" s="29" t="s">
        <v>5041</v>
      </c>
      <c r="N2215" s="34" t="s">
        <v>5416</v>
      </c>
      <c r="O2215" s="34">
        <v>0.0</v>
      </c>
      <c r="P2215" s="18">
        <f>VLOOKUP($A2215,MasterData!$C$1:$I$3001,1,FALSE)</f>
        <v>8523</v>
      </c>
      <c r="Q2215" s="34" t="str">
        <f t="shared" si="2"/>
        <v>XIIOTO2</v>
      </c>
    </row>
    <row r="2216" ht="15.75" customHeight="1">
      <c r="A2216" s="15">
        <v>8596.0</v>
      </c>
      <c r="B2216" s="18" t="s">
        <v>9938</v>
      </c>
      <c r="C2216" s="29" t="s">
        <v>9939</v>
      </c>
      <c r="D2216" s="18" t="s">
        <v>9938</v>
      </c>
      <c r="E2216" s="34" t="s">
        <v>5044</v>
      </c>
      <c r="F2216" s="19" t="str">
        <f t="shared" si="1"/>
        <v>XIIOTO2</v>
      </c>
      <c r="G2216" s="19" t="s">
        <v>5408</v>
      </c>
      <c r="H2216" s="20" t="s">
        <v>4223</v>
      </c>
      <c r="I2216" s="19" t="s">
        <v>5409</v>
      </c>
      <c r="J2216" s="19" t="s">
        <v>5410</v>
      </c>
      <c r="K2216" s="21" t="s">
        <v>5415</v>
      </c>
      <c r="L2216" s="35" t="s">
        <v>6637</v>
      </c>
      <c r="M2216" s="29" t="s">
        <v>5043</v>
      </c>
      <c r="N2216" s="34" t="s">
        <v>5416</v>
      </c>
      <c r="O2216" s="34">
        <v>0.0</v>
      </c>
      <c r="P2216" s="18">
        <f>VLOOKUP($A2216,MasterData!$C$1:$I$3001,1,FALSE)</f>
        <v>8596</v>
      </c>
      <c r="Q2216" s="34" t="str">
        <f t="shared" si="2"/>
        <v>XIIOTO2</v>
      </c>
    </row>
    <row r="2217" ht="15.75" customHeight="1">
      <c r="A2217" s="15">
        <v>8031.0</v>
      </c>
      <c r="B2217" s="18" t="s">
        <v>9940</v>
      </c>
      <c r="C2217" s="29" t="s">
        <v>9941</v>
      </c>
      <c r="D2217" s="18" t="s">
        <v>9940</v>
      </c>
      <c r="E2217" s="34" t="s">
        <v>5046</v>
      </c>
      <c r="F2217" s="19" t="str">
        <f t="shared" si="1"/>
        <v>XIIOTO3</v>
      </c>
      <c r="G2217" s="19" t="s">
        <v>5408</v>
      </c>
      <c r="H2217" s="20" t="s">
        <v>4223</v>
      </c>
      <c r="I2217" s="19" t="s">
        <v>5409</v>
      </c>
      <c r="J2217" s="19" t="s">
        <v>5410</v>
      </c>
      <c r="K2217" s="21" t="s">
        <v>5415</v>
      </c>
      <c r="L2217" s="35" t="s">
        <v>6729</v>
      </c>
      <c r="M2217" s="29" t="s">
        <v>5045</v>
      </c>
      <c r="N2217" s="34" t="s">
        <v>5416</v>
      </c>
      <c r="O2217" s="34">
        <v>0.0</v>
      </c>
      <c r="P2217" s="18">
        <f>VLOOKUP($A2217,MasterData!$C$1:$I$3001,1,FALSE)</f>
        <v>8031</v>
      </c>
      <c r="Q2217" s="34" t="str">
        <f t="shared" si="2"/>
        <v>XIIOTO3</v>
      </c>
    </row>
    <row r="2218" ht="15.75" customHeight="1">
      <c r="A2218" s="15">
        <v>8046.0</v>
      </c>
      <c r="B2218" s="18" t="s">
        <v>9942</v>
      </c>
      <c r="C2218" s="29" t="s">
        <v>9943</v>
      </c>
      <c r="D2218" s="18" t="s">
        <v>9942</v>
      </c>
      <c r="E2218" s="34" t="s">
        <v>5048</v>
      </c>
      <c r="F2218" s="19" t="str">
        <f t="shared" si="1"/>
        <v>XIIOTO3</v>
      </c>
      <c r="G2218" s="19" t="s">
        <v>5408</v>
      </c>
      <c r="H2218" s="20" t="s">
        <v>4223</v>
      </c>
      <c r="I2218" s="19" t="s">
        <v>5409</v>
      </c>
      <c r="J2218" s="19" t="s">
        <v>5410</v>
      </c>
      <c r="K2218" s="21" t="s">
        <v>5415</v>
      </c>
      <c r="L2218" s="35" t="s">
        <v>6729</v>
      </c>
      <c r="M2218" s="29" t="s">
        <v>5047</v>
      </c>
      <c r="N2218" s="34" t="s">
        <v>5416</v>
      </c>
      <c r="O2218" s="34">
        <v>0.0</v>
      </c>
      <c r="P2218" s="18">
        <f>VLOOKUP($A2218,MasterData!$C$1:$I$3001,1,FALSE)</f>
        <v>8046</v>
      </c>
      <c r="Q2218" s="34" t="str">
        <f t="shared" si="2"/>
        <v>XIIOTO3</v>
      </c>
    </row>
    <row r="2219" ht="15.75" customHeight="1">
      <c r="A2219" s="15">
        <v>8061.0</v>
      </c>
      <c r="B2219" s="18" t="s">
        <v>9944</v>
      </c>
      <c r="C2219" s="29" t="s">
        <v>9945</v>
      </c>
      <c r="D2219" s="18" t="s">
        <v>9944</v>
      </c>
      <c r="E2219" s="34" t="s">
        <v>5050</v>
      </c>
      <c r="F2219" s="19" t="str">
        <f t="shared" si="1"/>
        <v>XIIOTO3</v>
      </c>
      <c r="G2219" s="19" t="s">
        <v>5408</v>
      </c>
      <c r="H2219" s="20" t="s">
        <v>4223</v>
      </c>
      <c r="I2219" s="19" t="s">
        <v>5409</v>
      </c>
      <c r="J2219" s="19" t="s">
        <v>5410</v>
      </c>
      <c r="K2219" s="21" t="s">
        <v>5415</v>
      </c>
      <c r="L2219" s="35" t="s">
        <v>6729</v>
      </c>
      <c r="M2219" s="29" t="s">
        <v>5049</v>
      </c>
      <c r="N2219" s="34" t="s">
        <v>5416</v>
      </c>
      <c r="O2219" s="34">
        <v>0.0</v>
      </c>
      <c r="P2219" s="18">
        <f>VLOOKUP($A2219,MasterData!$C$1:$I$3001,1,FALSE)</f>
        <v>8061</v>
      </c>
      <c r="Q2219" s="34" t="str">
        <f t="shared" si="2"/>
        <v>XIIOTO3</v>
      </c>
    </row>
    <row r="2220" ht="15.75" customHeight="1">
      <c r="A2220" s="15">
        <v>8066.0</v>
      </c>
      <c r="B2220" s="18" t="s">
        <v>9946</v>
      </c>
      <c r="C2220" s="29" t="s">
        <v>9947</v>
      </c>
      <c r="D2220" s="18" t="s">
        <v>9946</v>
      </c>
      <c r="E2220" s="34" t="s">
        <v>5052</v>
      </c>
      <c r="F2220" s="19" t="str">
        <f t="shared" si="1"/>
        <v>XIIOTO3</v>
      </c>
      <c r="G2220" s="19" t="s">
        <v>5408</v>
      </c>
      <c r="H2220" s="20" t="s">
        <v>4223</v>
      </c>
      <c r="I2220" s="19" t="s">
        <v>5409</v>
      </c>
      <c r="J2220" s="19" t="s">
        <v>5410</v>
      </c>
      <c r="K2220" s="21" t="s">
        <v>5415</v>
      </c>
      <c r="L2220" s="35" t="s">
        <v>6729</v>
      </c>
      <c r="M2220" s="29" t="s">
        <v>5051</v>
      </c>
      <c r="N2220" s="34" t="s">
        <v>5416</v>
      </c>
      <c r="O2220" s="34">
        <v>0.0</v>
      </c>
      <c r="P2220" s="18">
        <f>VLOOKUP($A2220,MasterData!$C$1:$I$3001,1,FALSE)</f>
        <v>8066</v>
      </c>
      <c r="Q2220" s="34" t="str">
        <f t="shared" si="2"/>
        <v>XIIOTO3</v>
      </c>
    </row>
    <row r="2221" ht="15.75" customHeight="1">
      <c r="A2221" s="15">
        <v>8107.0</v>
      </c>
      <c r="B2221" s="18" t="s">
        <v>9948</v>
      </c>
      <c r="C2221" s="29" t="s">
        <v>9949</v>
      </c>
      <c r="D2221" s="18" t="s">
        <v>9948</v>
      </c>
      <c r="E2221" s="34" t="s">
        <v>5054</v>
      </c>
      <c r="F2221" s="19" t="str">
        <f t="shared" si="1"/>
        <v>XIIOTO3</v>
      </c>
      <c r="G2221" s="19" t="s">
        <v>5408</v>
      </c>
      <c r="H2221" s="20" t="s">
        <v>4223</v>
      </c>
      <c r="I2221" s="19" t="s">
        <v>5409</v>
      </c>
      <c r="J2221" s="19" t="s">
        <v>5410</v>
      </c>
      <c r="K2221" s="21" t="s">
        <v>5415</v>
      </c>
      <c r="L2221" s="35" t="s">
        <v>6729</v>
      </c>
      <c r="M2221" s="29" t="s">
        <v>5053</v>
      </c>
      <c r="N2221" s="34" t="s">
        <v>5416</v>
      </c>
      <c r="O2221" s="34">
        <v>0.0</v>
      </c>
      <c r="P2221" s="18">
        <f>VLOOKUP($A2221,MasterData!$C$1:$I$3001,1,FALSE)</f>
        <v>8107</v>
      </c>
      <c r="Q2221" s="34" t="str">
        <f t="shared" si="2"/>
        <v>XIIOTO3</v>
      </c>
    </row>
    <row r="2222" ht="15.75" customHeight="1">
      <c r="A2222" s="15">
        <v>8115.0</v>
      </c>
      <c r="B2222" s="18" t="s">
        <v>9950</v>
      </c>
      <c r="C2222" s="29" t="s">
        <v>9951</v>
      </c>
      <c r="D2222" s="18" t="s">
        <v>9950</v>
      </c>
      <c r="E2222" s="34" t="s">
        <v>5056</v>
      </c>
      <c r="F2222" s="19" t="str">
        <f t="shared" si="1"/>
        <v>XIIOTO3</v>
      </c>
      <c r="G2222" s="19" t="s">
        <v>5408</v>
      </c>
      <c r="H2222" s="20" t="s">
        <v>4223</v>
      </c>
      <c r="I2222" s="19" t="s">
        <v>5409</v>
      </c>
      <c r="J2222" s="19" t="s">
        <v>5410</v>
      </c>
      <c r="K2222" s="21" t="s">
        <v>5415</v>
      </c>
      <c r="L2222" s="35" t="s">
        <v>6729</v>
      </c>
      <c r="M2222" s="29" t="s">
        <v>5055</v>
      </c>
      <c r="N2222" s="34" t="s">
        <v>5416</v>
      </c>
      <c r="O2222" s="34">
        <v>0.0</v>
      </c>
      <c r="P2222" s="18">
        <f>VLOOKUP($A2222,MasterData!$C$1:$I$3001,1,FALSE)</f>
        <v>8115</v>
      </c>
      <c r="Q2222" s="34" t="str">
        <f t="shared" si="2"/>
        <v>XIIOTO3</v>
      </c>
    </row>
    <row r="2223" ht="15.75" customHeight="1">
      <c r="A2223" s="15">
        <v>8132.0</v>
      </c>
      <c r="B2223" s="18" t="s">
        <v>9952</v>
      </c>
      <c r="C2223" s="29" t="s">
        <v>9953</v>
      </c>
      <c r="D2223" s="18" t="s">
        <v>9952</v>
      </c>
      <c r="E2223" s="34" t="s">
        <v>5058</v>
      </c>
      <c r="F2223" s="19" t="str">
        <f t="shared" si="1"/>
        <v>XIIOTO3</v>
      </c>
      <c r="G2223" s="19" t="s">
        <v>5408</v>
      </c>
      <c r="H2223" s="20" t="s">
        <v>4223</v>
      </c>
      <c r="I2223" s="19" t="s">
        <v>5409</v>
      </c>
      <c r="J2223" s="19" t="s">
        <v>5410</v>
      </c>
      <c r="K2223" s="21" t="s">
        <v>5415</v>
      </c>
      <c r="L2223" s="35" t="s">
        <v>6729</v>
      </c>
      <c r="M2223" s="29" t="s">
        <v>5057</v>
      </c>
      <c r="N2223" s="34" t="s">
        <v>5416</v>
      </c>
      <c r="O2223" s="34">
        <v>0.0</v>
      </c>
      <c r="P2223" s="18">
        <f>VLOOKUP($A2223,MasterData!$C$1:$I$3001,1,FALSE)</f>
        <v>8132</v>
      </c>
      <c r="Q2223" s="34" t="str">
        <f t="shared" si="2"/>
        <v>XIIOTO3</v>
      </c>
    </row>
    <row r="2224" ht="15.75" customHeight="1">
      <c r="A2224" s="15">
        <v>8138.0</v>
      </c>
      <c r="B2224" s="18" t="s">
        <v>9954</v>
      </c>
      <c r="C2224" s="29" t="s">
        <v>9955</v>
      </c>
      <c r="D2224" s="18" t="s">
        <v>9954</v>
      </c>
      <c r="E2224" s="34" t="s">
        <v>5060</v>
      </c>
      <c r="F2224" s="19" t="str">
        <f t="shared" si="1"/>
        <v>XIIOTO3</v>
      </c>
      <c r="G2224" s="19" t="s">
        <v>5408</v>
      </c>
      <c r="H2224" s="20" t="s">
        <v>4223</v>
      </c>
      <c r="I2224" s="19" t="s">
        <v>5409</v>
      </c>
      <c r="J2224" s="19" t="s">
        <v>5410</v>
      </c>
      <c r="K2224" s="21" t="s">
        <v>5415</v>
      </c>
      <c r="L2224" s="35" t="s">
        <v>6729</v>
      </c>
      <c r="M2224" s="29" t="s">
        <v>5059</v>
      </c>
      <c r="N2224" s="34" t="s">
        <v>5416</v>
      </c>
      <c r="O2224" s="34">
        <v>0.0</v>
      </c>
      <c r="P2224" s="18">
        <f>VLOOKUP($A2224,MasterData!$C$1:$I$3001,1,FALSE)</f>
        <v>8138</v>
      </c>
      <c r="Q2224" s="34" t="str">
        <f t="shared" si="2"/>
        <v>XIIOTO3</v>
      </c>
    </row>
    <row r="2225" ht="15.75" customHeight="1">
      <c r="A2225" s="15">
        <v>8168.0</v>
      </c>
      <c r="B2225" s="18" t="s">
        <v>9956</v>
      </c>
      <c r="C2225" s="29" t="s">
        <v>9957</v>
      </c>
      <c r="D2225" s="18" t="s">
        <v>9956</v>
      </c>
      <c r="E2225" s="34" t="s">
        <v>5062</v>
      </c>
      <c r="F2225" s="19" t="str">
        <f t="shared" si="1"/>
        <v>XIIOTO3</v>
      </c>
      <c r="G2225" s="19" t="s">
        <v>5408</v>
      </c>
      <c r="H2225" s="20" t="s">
        <v>4223</v>
      </c>
      <c r="I2225" s="19" t="s">
        <v>5409</v>
      </c>
      <c r="J2225" s="19" t="s">
        <v>5410</v>
      </c>
      <c r="K2225" s="21" t="s">
        <v>5415</v>
      </c>
      <c r="L2225" s="35" t="s">
        <v>6729</v>
      </c>
      <c r="M2225" s="29" t="s">
        <v>5061</v>
      </c>
      <c r="N2225" s="34" t="s">
        <v>5416</v>
      </c>
      <c r="O2225" s="34">
        <v>0.0</v>
      </c>
      <c r="P2225" s="18">
        <f>VLOOKUP($A2225,MasterData!$C$1:$I$3001,1,FALSE)</f>
        <v>8168</v>
      </c>
      <c r="Q2225" s="34" t="str">
        <f t="shared" si="2"/>
        <v>XIIOTO3</v>
      </c>
    </row>
    <row r="2226" ht="15.75" customHeight="1">
      <c r="A2226" s="15">
        <v>8192.0</v>
      </c>
      <c r="B2226" s="18" t="s">
        <v>9958</v>
      </c>
      <c r="C2226" s="29" t="s">
        <v>9959</v>
      </c>
      <c r="D2226" s="18" t="s">
        <v>9958</v>
      </c>
      <c r="E2226" s="34" t="s">
        <v>5064</v>
      </c>
      <c r="F2226" s="19" t="str">
        <f t="shared" si="1"/>
        <v>XIIOTO3</v>
      </c>
      <c r="G2226" s="19" t="s">
        <v>5408</v>
      </c>
      <c r="H2226" s="20" t="s">
        <v>4223</v>
      </c>
      <c r="I2226" s="19" t="s">
        <v>5409</v>
      </c>
      <c r="J2226" s="19" t="s">
        <v>5410</v>
      </c>
      <c r="K2226" s="21" t="s">
        <v>5415</v>
      </c>
      <c r="L2226" s="35" t="s">
        <v>6729</v>
      </c>
      <c r="M2226" s="29" t="s">
        <v>5063</v>
      </c>
      <c r="N2226" s="34" t="s">
        <v>5416</v>
      </c>
      <c r="O2226" s="34">
        <v>0.0</v>
      </c>
      <c r="P2226" s="18">
        <f>VLOOKUP($A2226,MasterData!$C$1:$I$3001,1,FALSE)</f>
        <v>8192</v>
      </c>
      <c r="Q2226" s="34" t="str">
        <f t="shared" si="2"/>
        <v>XIIOTO3</v>
      </c>
    </row>
    <row r="2227" ht="15.75" customHeight="1">
      <c r="A2227" s="15">
        <v>8221.0</v>
      </c>
      <c r="B2227" s="18" t="s">
        <v>9960</v>
      </c>
      <c r="C2227" s="29" t="s">
        <v>9961</v>
      </c>
      <c r="D2227" s="18" t="s">
        <v>9960</v>
      </c>
      <c r="E2227" s="34" t="s">
        <v>5066</v>
      </c>
      <c r="F2227" s="19" t="str">
        <f t="shared" si="1"/>
        <v>XIIOTO3</v>
      </c>
      <c r="G2227" s="19" t="s">
        <v>5408</v>
      </c>
      <c r="H2227" s="20" t="s">
        <v>4223</v>
      </c>
      <c r="I2227" s="19" t="s">
        <v>5409</v>
      </c>
      <c r="J2227" s="19" t="s">
        <v>5410</v>
      </c>
      <c r="K2227" s="21" t="s">
        <v>5415</v>
      </c>
      <c r="L2227" s="35" t="s">
        <v>6729</v>
      </c>
      <c r="M2227" s="29" t="s">
        <v>5065</v>
      </c>
      <c r="N2227" s="34" t="s">
        <v>5416</v>
      </c>
      <c r="O2227" s="34">
        <v>0.0</v>
      </c>
      <c r="P2227" s="18">
        <f>VLOOKUP($A2227,MasterData!$C$1:$I$3001,1,FALSE)</f>
        <v>8221</v>
      </c>
      <c r="Q2227" s="34" t="str">
        <f t="shared" si="2"/>
        <v>XIIOTO3</v>
      </c>
    </row>
    <row r="2228" ht="15.75" customHeight="1">
      <c r="A2228" s="15">
        <v>8236.0</v>
      </c>
      <c r="B2228" s="18" t="s">
        <v>9962</v>
      </c>
      <c r="C2228" s="29" t="s">
        <v>9963</v>
      </c>
      <c r="D2228" s="18" t="s">
        <v>9962</v>
      </c>
      <c r="E2228" s="34" t="s">
        <v>5068</v>
      </c>
      <c r="F2228" s="19" t="str">
        <f t="shared" si="1"/>
        <v>XIIOTO3</v>
      </c>
      <c r="G2228" s="19" t="s">
        <v>5408</v>
      </c>
      <c r="H2228" s="20" t="s">
        <v>4223</v>
      </c>
      <c r="I2228" s="19" t="s">
        <v>5409</v>
      </c>
      <c r="J2228" s="19" t="s">
        <v>5410</v>
      </c>
      <c r="K2228" s="21" t="s">
        <v>5415</v>
      </c>
      <c r="L2228" s="35" t="s">
        <v>6729</v>
      </c>
      <c r="M2228" s="29" t="s">
        <v>5067</v>
      </c>
      <c r="N2228" s="34" t="s">
        <v>5416</v>
      </c>
      <c r="O2228" s="34">
        <v>0.0</v>
      </c>
      <c r="P2228" s="18">
        <f>VLOOKUP($A2228,MasterData!$C$1:$I$3001,1,FALSE)</f>
        <v>8236</v>
      </c>
      <c r="Q2228" s="34" t="str">
        <f t="shared" si="2"/>
        <v>XIIOTO3</v>
      </c>
    </row>
    <row r="2229" ht="15.75" customHeight="1">
      <c r="A2229" s="15">
        <v>8263.0</v>
      </c>
      <c r="B2229" s="18" t="s">
        <v>9964</v>
      </c>
      <c r="C2229" s="29" t="s">
        <v>9965</v>
      </c>
      <c r="D2229" s="18" t="s">
        <v>9964</v>
      </c>
      <c r="E2229" s="34" t="s">
        <v>5070</v>
      </c>
      <c r="F2229" s="19" t="str">
        <f t="shared" si="1"/>
        <v>XIIOTO3</v>
      </c>
      <c r="G2229" s="19" t="s">
        <v>5408</v>
      </c>
      <c r="H2229" s="20" t="s">
        <v>4223</v>
      </c>
      <c r="I2229" s="19" t="s">
        <v>5409</v>
      </c>
      <c r="J2229" s="19" t="s">
        <v>5410</v>
      </c>
      <c r="K2229" s="21" t="s">
        <v>5415</v>
      </c>
      <c r="L2229" s="35" t="s">
        <v>6729</v>
      </c>
      <c r="M2229" s="29" t="s">
        <v>5069</v>
      </c>
      <c r="N2229" s="34" t="s">
        <v>5416</v>
      </c>
      <c r="O2229" s="34">
        <v>0.0</v>
      </c>
      <c r="P2229" s="18">
        <f>VLOOKUP($A2229,MasterData!$C$1:$I$3001,1,FALSE)</f>
        <v>8263</v>
      </c>
      <c r="Q2229" s="34" t="str">
        <f t="shared" si="2"/>
        <v>XIIOTO3</v>
      </c>
    </row>
    <row r="2230" ht="15.75" customHeight="1">
      <c r="A2230" s="15">
        <v>8271.0</v>
      </c>
      <c r="B2230" s="18" t="s">
        <v>9966</v>
      </c>
      <c r="C2230" s="29" t="s">
        <v>9967</v>
      </c>
      <c r="D2230" s="18" t="s">
        <v>9966</v>
      </c>
      <c r="E2230" s="34" t="s">
        <v>5072</v>
      </c>
      <c r="F2230" s="19" t="str">
        <f t="shared" si="1"/>
        <v>XIIOTO3</v>
      </c>
      <c r="G2230" s="19" t="s">
        <v>5408</v>
      </c>
      <c r="H2230" s="20" t="s">
        <v>4223</v>
      </c>
      <c r="I2230" s="19" t="s">
        <v>5409</v>
      </c>
      <c r="J2230" s="19" t="s">
        <v>5410</v>
      </c>
      <c r="K2230" s="21" t="s">
        <v>5415</v>
      </c>
      <c r="L2230" s="35" t="s">
        <v>6729</v>
      </c>
      <c r="M2230" s="29" t="s">
        <v>5071</v>
      </c>
      <c r="N2230" s="34" t="s">
        <v>5416</v>
      </c>
      <c r="O2230" s="34">
        <v>0.0</v>
      </c>
      <c r="P2230" s="18">
        <f>VLOOKUP($A2230,MasterData!$C$1:$I$3001,1,FALSE)</f>
        <v>8271</v>
      </c>
      <c r="Q2230" s="34" t="str">
        <f t="shared" si="2"/>
        <v>XIIOTO3</v>
      </c>
    </row>
    <row r="2231" ht="15.75" customHeight="1">
      <c r="A2231" s="15">
        <v>8289.0</v>
      </c>
      <c r="B2231" s="18" t="s">
        <v>9968</v>
      </c>
      <c r="C2231" s="29" t="s">
        <v>9969</v>
      </c>
      <c r="D2231" s="18" t="s">
        <v>9968</v>
      </c>
      <c r="E2231" s="34" t="s">
        <v>5074</v>
      </c>
      <c r="F2231" s="19" t="str">
        <f t="shared" si="1"/>
        <v>XIIOTO3</v>
      </c>
      <c r="G2231" s="19" t="s">
        <v>5408</v>
      </c>
      <c r="H2231" s="20" t="s">
        <v>4223</v>
      </c>
      <c r="I2231" s="19" t="s">
        <v>5409</v>
      </c>
      <c r="J2231" s="19" t="s">
        <v>5410</v>
      </c>
      <c r="K2231" s="21" t="s">
        <v>5415</v>
      </c>
      <c r="L2231" s="35" t="s">
        <v>6729</v>
      </c>
      <c r="M2231" s="29" t="s">
        <v>5073</v>
      </c>
      <c r="N2231" s="34" t="s">
        <v>5416</v>
      </c>
      <c r="O2231" s="34">
        <v>0.0</v>
      </c>
      <c r="P2231" s="18">
        <f>VLOOKUP($A2231,MasterData!$C$1:$I$3001,1,FALSE)</f>
        <v>8289</v>
      </c>
      <c r="Q2231" s="34" t="str">
        <f t="shared" si="2"/>
        <v>XIIOTO3</v>
      </c>
    </row>
    <row r="2232" ht="15.75" customHeight="1">
      <c r="A2232" s="15">
        <v>8331.0</v>
      </c>
      <c r="B2232" s="18" t="s">
        <v>9970</v>
      </c>
      <c r="C2232" s="29" t="s">
        <v>9971</v>
      </c>
      <c r="D2232" s="18" t="s">
        <v>9970</v>
      </c>
      <c r="E2232" s="34" t="s">
        <v>5076</v>
      </c>
      <c r="F2232" s="19" t="str">
        <f t="shared" si="1"/>
        <v>XIIOTO3</v>
      </c>
      <c r="G2232" s="19" t="s">
        <v>5408</v>
      </c>
      <c r="H2232" s="20" t="s">
        <v>4223</v>
      </c>
      <c r="I2232" s="19" t="s">
        <v>5409</v>
      </c>
      <c r="J2232" s="19" t="s">
        <v>5410</v>
      </c>
      <c r="K2232" s="21" t="s">
        <v>5415</v>
      </c>
      <c r="L2232" s="35" t="s">
        <v>6729</v>
      </c>
      <c r="M2232" s="29" t="s">
        <v>5075</v>
      </c>
      <c r="N2232" s="34" t="s">
        <v>5416</v>
      </c>
      <c r="O2232" s="34">
        <v>0.0</v>
      </c>
      <c r="P2232" s="18">
        <f>VLOOKUP($A2232,MasterData!$C$1:$I$3001,1,FALSE)</f>
        <v>8331</v>
      </c>
      <c r="Q2232" s="34" t="str">
        <f t="shared" si="2"/>
        <v>XIIOTO3</v>
      </c>
    </row>
    <row r="2233" ht="15.75" customHeight="1">
      <c r="A2233" s="15">
        <v>8345.0</v>
      </c>
      <c r="B2233" s="18" t="s">
        <v>9972</v>
      </c>
      <c r="C2233" s="29" t="s">
        <v>9973</v>
      </c>
      <c r="D2233" s="18" t="s">
        <v>9972</v>
      </c>
      <c r="E2233" s="34" t="s">
        <v>5078</v>
      </c>
      <c r="F2233" s="19" t="str">
        <f t="shared" si="1"/>
        <v>XIIOTO3</v>
      </c>
      <c r="G2233" s="19" t="s">
        <v>5408</v>
      </c>
      <c r="H2233" s="20" t="s">
        <v>4223</v>
      </c>
      <c r="I2233" s="19" t="s">
        <v>5409</v>
      </c>
      <c r="J2233" s="19" t="s">
        <v>5410</v>
      </c>
      <c r="K2233" s="21" t="s">
        <v>5415</v>
      </c>
      <c r="L2233" s="35" t="s">
        <v>6729</v>
      </c>
      <c r="M2233" s="29" t="s">
        <v>5077</v>
      </c>
      <c r="N2233" s="34" t="s">
        <v>5416</v>
      </c>
      <c r="O2233" s="34">
        <v>0.0</v>
      </c>
      <c r="P2233" s="18">
        <f>VLOOKUP($A2233,MasterData!$C$1:$I$3001,1,FALSE)</f>
        <v>8345</v>
      </c>
      <c r="Q2233" s="34" t="str">
        <f t="shared" si="2"/>
        <v>XIIOTO3</v>
      </c>
    </row>
    <row r="2234" ht="15.75" customHeight="1">
      <c r="A2234" s="15">
        <v>8364.0</v>
      </c>
      <c r="B2234" s="18" t="s">
        <v>9974</v>
      </c>
      <c r="C2234" s="29" t="s">
        <v>9975</v>
      </c>
      <c r="D2234" s="18" t="s">
        <v>9974</v>
      </c>
      <c r="E2234" s="34" t="s">
        <v>5080</v>
      </c>
      <c r="F2234" s="19" t="str">
        <f t="shared" si="1"/>
        <v>XIIOTO3</v>
      </c>
      <c r="G2234" s="19" t="s">
        <v>5408</v>
      </c>
      <c r="H2234" s="20" t="s">
        <v>4223</v>
      </c>
      <c r="I2234" s="19" t="s">
        <v>5409</v>
      </c>
      <c r="J2234" s="19" t="s">
        <v>5410</v>
      </c>
      <c r="K2234" s="21" t="s">
        <v>5415</v>
      </c>
      <c r="L2234" s="35" t="s">
        <v>6729</v>
      </c>
      <c r="M2234" s="29" t="s">
        <v>5079</v>
      </c>
      <c r="N2234" s="34" t="s">
        <v>5416</v>
      </c>
      <c r="O2234" s="34">
        <v>0.0</v>
      </c>
      <c r="P2234" s="18">
        <f>VLOOKUP($A2234,MasterData!$C$1:$I$3001,1,FALSE)</f>
        <v>8364</v>
      </c>
      <c r="Q2234" s="34" t="str">
        <f t="shared" si="2"/>
        <v>XIIOTO3</v>
      </c>
    </row>
    <row r="2235" ht="15.75" customHeight="1">
      <c r="A2235" s="15">
        <v>8369.0</v>
      </c>
      <c r="B2235" s="18" t="s">
        <v>9976</v>
      </c>
      <c r="C2235" s="29" t="s">
        <v>9977</v>
      </c>
      <c r="D2235" s="18" t="s">
        <v>9976</v>
      </c>
      <c r="E2235" s="34" t="s">
        <v>5082</v>
      </c>
      <c r="F2235" s="19" t="str">
        <f t="shared" si="1"/>
        <v>XIIOTO3</v>
      </c>
      <c r="G2235" s="19" t="s">
        <v>5408</v>
      </c>
      <c r="H2235" s="20" t="s">
        <v>4223</v>
      </c>
      <c r="I2235" s="19" t="s">
        <v>5409</v>
      </c>
      <c r="J2235" s="19" t="s">
        <v>5410</v>
      </c>
      <c r="K2235" s="21" t="s">
        <v>5415</v>
      </c>
      <c r="L2235" s="35" t="s">
        <v>6729</v>
      </c>
      <c r="M2235" s="29" t="s">
        <v>5081</v>
      </c>
      <c r="N2235" s="34" t="s">
        <v>5416</v>
      </c>
      <c r="O2235" s="34">
        <v>0.0</v>
      </c>
      <c r="P2235" s="18">
        <f>VLOOKUP($A2235,MasterData!$C$1:$I$3001,1,FALSE)</f>
        <v>8369</v>
      </c>
      <c r="Q2235" s="34" t="str">
        <f t="shared" si="2"/>
        <v>XIIOTO3</v>
      </c>
    </row>
    <row r="2236" ht="15.75" customHeight="1">
      <c r="A2236" s="15">
        <v>8378.0</v>
      </c>
      <c r="B2236" s="18" t="s">
        <v>9978</v>
      </c>
      <c r="C2236" s="29" t="s">
        <v>9979</v>
      </c>
      <c r="D2236" s="18" t="s">
        <v>9978</v>
      </c>
      <c r="E2236" s="34" t="s">
        <v>5084</v>
      </c>
      <c r="F2236" s="19" t="str">
        <f t="shared" si="1"/>
        <v>XIIOTO3</v>
      </c>
      <c r="G2236" s="19" t="s">
        <v>5408</v>
      </c>
      <c r="H2236" s="20" t="s">
        <v>4223</v>
      </c>
      <c r="I2236" s="19" t="s">
        <v>5409</v>
      </c>
      <c r="J2236" s="19" t="s">
        <v>5410</v>
      </c>
      <c r="K2236" s="21" t="s">
        <v>5415</v>
      </c>
      <c r="L2236" s="35" t="s">
        <v>6729</v>
      </c>
      <c r="M2236" s="29" t="s">
        <v>5083</v>
      </c>
      <c r="N2236" s="34" t="s">
        <v>5416</v>
      </c>
      <c r="O2236" s="34">
        <v>0.0</v>
      </c>
      <c r="P2236" s="18">
        <f>VLOOKUP($A2236,MasterData!$C$1:$I$3001,1,FALSE)</f>
        <v>8378</v>
      </c>
      <c r="Q2236" s="34" t="str">
        <f t="shared" si="2"/>
        <v>XIIOTO3</v>
      </c>
    </row>
    <row r="2237" ht="15.75" customHeight="1">
      <c r="A2237" s="15">
        <v>8388.0</v>
      </c>
      <c r="B2237" s="18" t="s">
        <v>9980</v>
      </c>
      <c r="C2237" s="29" t="s">
        <v>9981</v>
      </c>
      <c r="D2237" s="18" t="s">
        <v>9980</v>
      </c>
      <c r="E2237" s="34" t="s">
        <v>5086</v>
      </c>
      <c r="F2237" s="19" t="str">
        <f t="shared" si="1"/>
        <v>XIIOTO3</v>
      </c>
      <c r="G2237" s="19" t="s">
        <v>5408</v>
      </c>
      <c r="H2237" s="20" t="s">
        <v>4223</v>
      </c>
      <c r="I2237" s="19" t="s">
        <v>5409</v>
      </c>
      <c r="J2237" s="19" t="s">
        <v>5410</v>
      </c>
      <c r="K2237" s="21" t="s">
        <v>5415</v>
      </c>
      <c r="L2237" s="35" t="s">
        <v>6729</v>
      </c>
      <c r="M2237" s="29" t="s">
        <v>5085</v>
      </c>
      <c r="N2237" s="34" t="s">
        <v>5416</v>
      </c>
      <c r="O2237" s="34">
        <v>0.0</v>
      </c>
      <c r="P2237" s="18">
        <f>VLOOKUP($A2237,MasterData!$C$1:$I$3001,1,FALSE)</f>
        <v>8388</v>
      </c>
      <c r="Q2237" s="34" t="str">
        <f t="shared" si="2"/>
        <v>XIIOTO3</v>
      </c>
    </row>
    <row r="2238" ht="15.75" customHeight="1">
      <c r="A2238" s="15">
        <v>8397.0</v>
      </c>
      <c r="B2238" s="18" t="s">
        <v>9982</v>
      </c>
      <c r="C2238" s="29" t="s">
        <v>9983</v>
      </c>
      <c r="D2238" s="18" t="s">
        <v>9982</v>
      </c>
      <c r="E2238" s="34" t="s">
        <v>5088</v>
      </c>
      <c r="F2238" s="19" t="str">
        <f t="shared" si="1"/>
        <v>XIIOTO3</v>
      </c>
      <c r="G2238" s="19" t="s">
        <v>5408</v>
      </c>
      <c r="H2238" s="20" t="s">
        <v>4223</v>
      </c>
      <c r="I2238" s="19" t="s">
        <v>5409</v>
      </c>
      <c r="J2238" s="19" t="s">
        <v>5410</v>
      </c>
      <c r="K2238" s="21" t="s">
        <v>5415</v>
      </c>
      <c r="L2238" s="35" t="s">
        <v>6729</v>
      </c>
      <c r="M2238" s="29" t="s">
        <v>5087</v>
      </c>
      <c r="N2238" s="34" t="s">
        <v>5416</v>
      </c>
      <c r="O2238" s="34">
        <v>0.0</v>
      </c>
      <c r="P2238" s="18">
        <f>VLOOKUP($A2238,MasterData!$C$1:$I$3001,1,FALSE)</f>
        <v>8397</v>
      </c>
      <c r="Q2238" s="34" t="str">
        <f t="shared" si="2"/>
        <v>XIIOTO3</v>
      </c>
    </row>
    <row r="2239" ht="15.75" customHeight="1">
      <c r="A2239" s="15">
        <v>8403.0</v>
      </c>
      <c r="B2239" s="18" t="s">
        <v>9984</v>
      </c>
      <c r="C2239" s="29" t="s">
        <v>9985</v>
      </c>
      <c r="D2239" s="18" t="s">
        <v>9984</v>
      </c>
      <c r="E2239" s="34" t="s">
        <v>5090</v>
      </c>
      <c r="F2239" s="19" t="str">
        <f t="shared" si="1"/>
        <v>XIIOTO3</v>
      </c>
      <c r="G2239" s="19" t="s">
        <v>5408</v>
      </c>
      <c r="H2239" s="20" t="s">
        <v>4223</v>
      </c>
      <c r="I2239" s="19" t="s">
        <v>5409</v>
      </c>
      <c r="J2239" s="19" t="s">
        <v>5410</v>
      </c>
      <c r="K2239" s="21" t="s">
        <v>5415</v>
      </c>
      <c r="L2239" s="35" t="s">
        <v>6729</v>
      </c>
      <c r="M2239" s="29" t="s">
        <v>5089</v>
      </c>
      <c r="N2239" s="34" t="s">
        <v>5416</v>
      </c>
      <c r="O2239" s="34">
        <v>0.0</v>
      </c>
      <c r="P2239" s="18">
        <f>VLOOKUP($A2239,MasterData!$C$1:$I$3001,1,FALSE)</f>
        <v>8403</v>
      </c>
      <c r="Q2239" s="34" t="str">
        <f t="shared" si="2"/>
        <v>XIIOTO3</v>
      </c>
    </row>
    <row r="2240" ht="15.75" customHeight="1">
      <c r="A2240" s="15">
        <v>8407.0</v>
      </c>
      <c r="B2240" s="18" t="s">
        <v>9986</v>
      </c>
      <c r="C2240" s="29" t="s">
        <v>9987</v>
      </c>
      <c r="D2240" s="18" t="s">
        <v>9986</v>
      </c>
      <c r="E2240" s="34" t="s">
        <v>5092</v>
      </c>
      <c r="F2240" s="19" t="str">
        <f t="shared" si="1"/>
        <v>XIIOTO3</v>
      </c>
      <c r="G2240" s="19" t="s">
        <v>5408</v>
      </c>
      <c r="H2240" s="20" t="s">
        <v>4223</v>
      </c>
      <c r="I2240" s="19" t="s">
        <v>5409</v>
      </c>
      <c r="J2240" s="19" t="s">
        <v>5410</v>
      </c>
      <c r="K2240" s="21" t="s">
        <v>5415</v>
      </c>
      <c r="L2240" s="35" t="s">
        <v>6729</v>
      </c>
      <c r="M2240" s="29" t="s">
        <v>5091</v>
      </c>
      <c r="N2240" s="34" t="s">
        <v>5416</v>
      </c>
      <c r="O2240" s="34">
        <v>0.0</v>
      </c>
      <c r="P2240" s="18">
        <f>VLOOKUP($A2240,MasterData!$C$1:$I$3001,1,FALSE)</f>
        <v>8407</v>
      </c>
      <c r="Q2240" s="34" t="str">
        <f t="shared" si="2"/>
        <v>XIIOTO3</v>
      </c>
    </row>
    <row r="2241" ht="15.75" customHeight="1">
      <c r="A2241" s="15">
        <v>8421.0</v>
      </c>
      <c r="B2241" s="18" t="s">
        <v>9988</v>
      </c>
      <c r="C2241" s="29" t="s">
        <v>9989</v>
      </c>
      <c r="D2241" s="18" t="s">
        <v>9988</v>
      </c>
      <c r="E2241" s="34" t="s">
        <v>5094</v>
      </c>
      <c r="F2241" s="19" t="str">
        <f t="shared" si="1"/>
        <v>XIIOTO3</v>
      </c>
      <c r="G2241" s="19" t="s">
        <v>5408</v>
      </c>
      <c r="H2241" s="20" t="s">
        <v>4223</v>
      </c>
      <c r="I2241" s="19" t="s">
        <v>5409</v>
      </c>
      <c r="J2241" s="19" t="s">
        <v>5410</v>
      </c>
      <c r="K2241" s="21" t="s">
        <v>5415</v>
      </c>
      <c r="L2241" s="35" t="s">
        <v>6729</v>
      </c>
      <c r="M2241" s="29" t="s">
        <v>5093</v>
      </c>
      <c r="N2241" s="34" t="s">
        <v>5416</v>
      </c>
      <c r="O2241" s="34">
        <v>0.0</v>
      </c>
      <c r="P2241" s="18">
        <f>VLOOKUP($A2241,MasterData!$C$1:$I$3001,1,FALSE)</f>
        <v>8421</v>
      </c>
      <c r="Q2241" s="34" t="str">
        <f t="shared" si="2"/>
        <v>XIIOTO3</v>
      </c>
    </row>
    <row r="2242" ht="15.75" customHeight="1">
      <c r="A2242" s="15">
        <v>8430.0</v>
      </c>
      <c r="B2242" s="18" t="s">
        <v>9990</v>
      </c>
      <c r="C2242" s="29" t="s">
        <v>9991</v>
      </c>
      <c r="D2242" s="18" t="s">
        <v>9990</v>
      </c>
      <c r="E2242" s="34" t="s">
        <v>5096</v>
      </c>
      <c r="F2242" s="19" t="str">
        <f t="shared" si="1"/>
        <v>XIIOTO3</v>
      </c>
      <c r="G2242" s="19" t="s">
        <v>5408</v>
      </c>
      <c r="H2242" s="20" t="s">
        <v>4223</v>
      </c>
      <c r="I2242" s="19" t="s">
        <v>5409</v>
      </c>
      <c r="J2242" s="19" t="s">
        <v>5410</v>
      </c>
      <c r="K2242" s="21" t="s">
        <v>5415</v>
      </c>
      <c r="L2242" s="35" t="s">
        <v>6729</v>
      </c>
      <c r="M2242" s="29" t="s">
        <v>5095</v>
      </c>
      <c r="N2242" s="34" t="s">
        <v>5416</v>
      </c>
      <c r="O2242" s="34">
        <v>0.0</v>
      </c>
      <c r="P2242" s="18">
        <f>VLOOKUP($A2242,MasterData!$C$1:$I$3001,1,FALSE)</f>
        <v>8430</v>
      </c>
      <c r="Q2242" s="34" t="str">
        <f t="shared" si="2"/>
        <v>XIIOTO3</v>
      </c>
    </row>
    <row r="2243" ht="15.75" customHeight="1">
      <c r="A2243" s="15">
        <v>8436.0</v>
      </c>
      <c r="B2243" s="18" t="s">
        <v>9992</v>
      </c>
      <c r="C2243" s="29" t="s">
        <v>9993</v>
      </c>
      <c r="D2243" s="18" t="s">
        <v>9992</v>
      </c>
      <c r="E2243" s="34" t="s">
        <v>5098</v>
      </c>
      <c r="F2243" s="19" t="str">
        <f t="shared" si="1"/>
        <v>XIIOTO3</v>
      </c>
      <c r="G2243" s="19" t="s">
        <v>5408</v>
      </c>
      <c r="H2243" s="20" t="s">
        <v>4223</v>
      </c>
      <c r="I2243" s="19" t="s">
        <v>5409</v>
      </c>
      <c r="J2243" s="19" t="s">
        <v>5410</v>
      </c>
      <c r="K2243" s="21" t="s">
        <v>5415</v>
      </c>
      <c r="L2243" s="35" t="s">
        <v>6729</v>
      </c>
      <c r="M2243" s="29" t="s">
        <v>5097</v>
      </c>
      <c r="N2243" s="34" t="s">
        <v>5416</v>
      </c>
      <c r="O2243" s="34">
        <v>0.0</v>
      </c>
      <c r="P2243" s="18">
        <f>VLOOKUP($A2243,MasterData!$C$1:$I$3001,1,FALSE)</f>
        <v>8436</v>
      </c>
      <c r="Q2243" s="34" t="str">
        <f t="shared" si="2"/>
        <v>XIIOTO3</v>
      </c>
    </row>
    <row r="2244" ht="15.75" customHeight="1">
      <c r="A2244" s="15">
        <v>8467.0</v>
      </c>
      <c r="B2244" s="18" t="s">
        <v>9994</v>
      </c>
      <c r="C2244" s="29" t="s">
        <v>9995</v>
      </c>
      <c r="D2244" s="18" t="s">
        <v>9994</v>
      </c>
      <c r="E2244" s="34" t="s">
        <v>5100</v>
      </c>
      <c r="F2244" s="19" t="str">
        <f t="shared" si="1"/>
        <v>XIIOTO3</v>
      </c>
      <c r="G2244" s="19" t="s">
        <v>5408</v>
      </c>
      <c r="H2244" s="20" t="s">
        <v>4223</v>
      </c>
      <c r="I2244" s="19" t="s">
        <v>5409</v>
      </c>
      <c r="J2244" s="19" t="s">
        <v>5410</v>
      </c>
      <c r="K2244" s="21" t="s">
        <v>5415</v>
      </c>
      <c r="L2244" s="35" t="s">
        <v>6729</v>
      </c>
      <c r="M2244" s="29" t="s">
        <v>5099</v>
      </c>
      <c r="N2244" s="34" t="s">
        <v>5416</v>
      </c>
      <c r="O2244" s="34">
        <v>0.0</v>
      </c>
      <c r="P2244" s="18">
        <f>VLOOKUP($A2244,MasterData!$C$1:$I$3001,1,FALSE)</f>
        <v>8467</v>
      </c>
      <c r="Q2244" s="34" t="str">
        <f t="shared" si="2"/>
        <v>XIIOTO3</v>
      </c>
    </row>
    <row r="2245" ht="15.75" customHeight="1">
      <c r="A2245" s="15">
        <v>8476.0</v>
      </c>
      <c r="B2245" s="18" t="s">
        <v>9996</v>
      </c>
      <c r="C2245" s="29" t="s">
        <v>9997</v>
      </c>
      <c r="D2245" s="18" t="s">
        <v>9996</v>
      </c>
      <c r="E2245" s="34" t="s">
        <v>5102</v>
      </c>
      <c r="F2245" s="19" t="str">
        <f t="shared" si="1"/>
        <v>XIIOTO3</v>
      </c>
      <c r="G2245" s="19" t="s">
        <v>5408</v>
      </c>
      <c r="H2245" s="20" t="s">
        <v>4223</v>
      </c>
      <c r="I2245" s="19" t="s">
        <v>5409</v>
      </c>
      <c r="J2245" s="19" t="s">
        <v>5410</v>
      </c>
      <c r="K2245" s="21" t="s">
        <v>5415</v>
      </c>
      <c r="L2245" s="35" t="s">
        <v>6729</v>
      </c>
      <c r="M2245" s="29" t="s">
        <v>5101</v>
      </c>
      <c r="N2245" s="34" t="s">
        <v>5416</v>
      </c>
      <c r="O2245" s="34">
        <v>0.0</v>
      </c>
      <c r="P2245" s="18">
        <f>VLOOKUP($A2245,MasterData!$C$1:$I$3001,1,FALSE)</f>
        <v>8476</v>
      </c>
      <c r="Q2245" s="34" t="str">
        <f t="shared" si="2"/>
        <v>XIIOTO3</v>
      </c>
    </row>
    <row r="2246" ht="15.75" customHeight="1">
      <c r="A2246" s="15">
        <v>8488.0</v>
      </c>
      <c r="B2246" s="18" t="s">
        <v>9998</v>
      </c>
      <c r="C2246" s="29" t="s">
        <v>9999</v>
      </c>
      <c r="D2246" s="18" t="s">
        <v>9998</v>
      </c>
      <c r="E2246" s="34" t="s">
        <v>5104</v>
      </c>
      <c r="F2246" s="19" t="str">
        <f t="shared" si="1"/>
        <v>XIIOTO3</v>
      </c>
      <c r="G2246" s="19" t="s">
        <v>5408</v>
      </c>
      <c r="H2246" s="20" t="s">
        <v>4223</v>
      </c>
      <c r="I2246" s="19" t="s">
        <v>5409</v>
      </c>
      <c r="J2246" s="19" t="s">
        <v>5410</v>
      </c>
      <c r="K2246" s="21" t="s">
        <v>5415</v>
      </c>
      <c r="L2246" s="35" t="s">
        <v>6729</v>
      </c>
      <c r="M2246" s="29" t="s">
        <v>5103</v>
      </c>
      <c r="N2246" s="34" t="s">
        <v>5416</v>
      </c>
      <c r="O2246" s="34">
        <v>0.0</v>
      </c>
      <c r="P2246" s="18">
        <f>VLOOKUP($A2246,MasterData!$C$1:$I$3001,1,FALSE)</f>
        <v>8488</v>
      </c>
      <c r="Q2246" s="34" t="str">
        <f t="shared" si="2"/>
        <v>XIIOTO3</v>
      </c>
    </row>
    <row r="2247" ht="15.75" customHeight="1">
      <c r="A2247" s="15">
        <v>8502.0</v>
      </c>
      <c r="B2247" s="18" t="s">
        <v>10000</v>
      </c>
      <c r="C2247" s="29" t="s">
        <v>10001</v>
      </c>
      <c r="D2247" s="18" t="s">
        <v>10000</v>
      </c>
      <c r="E2247" s="34" t="s">
        <v>5106</v>
      </c>
      <c r="F2247" s="19" t="str">
        <f t="shared" si="1"/>
        <v>XIIOTO3</v>
      </c>
      <c r="G2247" s="19" t="s">
        <v>5408</v>
      </c>
      <c r="H2247" s="20" t="s">
        <v>4223</v>
      </c>
      <c r="I2247" s="19" t="s">
        <v>5409</v>
      </c>
      <c r="J2247" s="19" t="s">
        <v>5410</v>
      </c>
      <c r="K2247" s="21" t="s">
        <v>5415</v>
      </c>
      <c r="L2247" s="35" t="s">
        <v>6729</v>
      </c>
      <c r="M2247" s="29" t="s">
        <v>5105</v>
      </c>
      <c r="N2247" s="34" t="s">
        <v>5416</v>
      </c>
      <c r="O2247" s="34">
        <v>0.0</v>
      </c>
      <c r="P2247" s="18">
        <f>VLOOKUP($A2247,MasterData!$C$1:$I$3001,1,FALSE)</f>
        <v>8502</v>
      </c>
      <c r="Q2247" s="34" t="str">
        <f t="shared" si="2"/>
        <v>XIIOTO3</v>
      </c>
    </row>
    <row r="2248" ht="15.75" customHeight="1">
      <c r="A2248" s="15">
        <v>8516.0</v>
      </c>
      <c r="B2248" s="18" t="s">
        <v>10002</v>
      </c>
      <c r="C2248" s="29" t="s">
        <v>10003</v>
      </c>
      <c r="D2248" s="18" t="s">
        <v>10002</v>
      </c>
      <c r="E2248" s="34" t="s">
        <v>5108</v>
      </c>
      <c r="F2248" s="19" t="str">
        <f t="shared" si="1"/>
        <v>XIIOTO3</v>
      </c>
      <c r="G2248" s="19" t="s">
        <v>5408</v>
      </c>
      <c r="H2248" s="20" t="s">
        <v>4223</v>
      </c>
      <c r="I2248" s="19" t="s">
        <v>5409</v>
      </c>
      <c r="J2248" s="19" t="s">
        <v>5410</v>
      </c>
      <c r="K2248" s="21" t="s">
        <v>5415</v>
      </c>
      <c r="L2248" s="35" t="s">
        <v>6729</v>
      </c>
      <c r="M2248" s="29" t="s">
        <v>5107</v>
      </c>
      <c r="N2248" s="34" t="s">
        <v>5416</v>
      </c>
      <c r="O2248" s="34">
        <v>0.0</v>
      </c>
      <c r="P2248" s="18">
        <f>VLOOKUP($A2248,MasterData!$C$1:$I$3001,1,FALSE)</f>
        <v>8516</v>
      </c>
      <c r="Q2248" s="34" t="str">
        <f t="shared" si="2"/>
        <v>XIIOTO3</v>
      </c>
    </row>
    <row r="2249" ht="15.75" customHeight="1">
      <c r="A2249" s="15">
        <v>8528.0</v>
      </c>
      <c r="B2249" s="18" t="s">
        <v>10004</v>
      </c>
      <c r="C2249" s="29" t="s">
        <v>10005</v>
      </c>
      <c r="D2249" s="18" t="s">
        <v>10004</v>
      </c>
      <c r="E2249" s="34" t="s">
        <v>5110</v>
      </c>
      <c r="F2249" s="19" t="str">
        <f t="shared" si="1"/>
        <v>XIIOTO3</v>
      </c>
      <c r="G2249" s="19" t="s">
        <v>5408</v>
      </c>
      <c r="H2249" s="20" t="s">
        <v>4223</v>
      </c>
      <c r="I2249" s="19" t="s">
        <v>5409</v>
      </c>
      <c r="J2249" s="19" t="s">
        <v>5410</v>
      </c>
      <c r="K2249" s="21" t="s">
        <v>5415</v>
      </c>
      <c r="L2249" s="35" t="s">
        <v>6729</v>
      </c>
      <c r="M2249" s="29" t="s">
        <v>5109</v>
      </c>
      <c r="N2249" s="34" t="s">
        <v>5416</v>
      </c>
      <c r="O2249" s="34">
        <v>0.0</v>
      </c>
      <c r="P2249" s="18">
        <f>VLOOKUP($A2249,MasterData!$C$1:$I$3001,1,FALSE)</f>
        <v>8528</v>
      </c>
      <c r="Q2249" s="34" t="str">
        <f t="shared" si="2"/>
        <v>XIIOTO3</v>
      </c>
    </row>
    <row r="2250" ht="15.75" customHeight="1">
      <c r="A2250" s="15">
        <v>8584.0</v>
      </c>
      <c r="B2250" s="18" t="s">
        <v>10006</v>
      </c>
      <c r="C2250" s="29" t="s">
        <v>10007</v>
      </c>
      <c r="D2250" s="18" t="s">
        <v>10006</v>
      </c>
      <c r="E2250" s="34" t="s">
        <v>5112</v>
      </c>
      <c r="F2250" s="19" t="str">
        <f t="shared" si="1"/>
        <v>XIIOTO3</v>
      </c>
      <c r="G2250" s="19" t="s">
        <v>5408</v>
      </c>
      <c r="H2250" s="20" t="s">
        <v>4223</v>
      </c>
      <c r="I2250" s="19" t="s">
        <v>5409</v>
      </c>
      <c r="J2250" s="19" t="s">
        <v>5410</v>
      </c>
      <c r="K2250" s="21" t="s">
        <v>5415</v>
      </c>
      <c r="L2250" s="35" t="s">
        <v>6729</v>
      </c>
      <c r="M2250" s="29" t="s">
        <v>5111</v>
      </c>
      <c r="N2250" s="34" t="s">
        <v>5416</v>
      </c>
      <c r="O2250" s="34">
        <v>0.0</v>
      </c>
      <c r="P2250" s="18">
        <f>VLOOKUP($A2250,MasterData!$C$1:$I$3001,1,FALSE)</f>
        <v>8584</v>
      </c>
      <c r="Q2250" s="34" t="str">
        <f t="shared" si="2"/>
        <v>XIIOTO3</v>
      </c>
    </row>
    <row r="2251" ht="15.75" customHeight="1">
      <c r="A2251" s="15">
        <v>8619.0</v>
      </c>
      <c r="B2251" s="18" t="s">
        <v>10008</v>
      </c>
      <c r="C2251" s="29" t="s">
        <v>10009</v>
      </c>
      <c r="D2251" s="18" t="s">
        <v>10008</v>
      </c>
      <c r="E2251" s="34" t="s">
        <v>5114</v>
      </c>
      <c r="F2251" s="19" t="str">
        <f t="shared" si="1"/>
        <v>XIIOTO3</v>
      </c>
      <c r="G2251" s="19" t="s">
        <v>5408</v>
      </c>
      <c r="H2251" s="20" t="s">
        <v>4223</v>
      </c>
      <c r="I2251" s="19" t="s">
        <v>5409</v>
      </c>
      <c r="J2251" s="19" t="s">
        <v>5410</v>
      </c>
      <c r="K2251" s="21" t="s">
        <v>5415</v>
      </c>
      <c r="L2251" s="35" t="s">
        <v>6729</v>
      </c>
      <c r="M2251" s="29" t="s">
        <v>5113</v>
      </c>
      <c r="N2251" s="34" t="s">
        <v>10010</v>
      </c>
      <c r="O2251" s="34">
        <v>0.0</v>
      </c>
      <c r="P2251" s="18">
        <f>VLOOKUP($A2251,MasterData!$C$1:$I$3001,1,FALSE)</f>
        <v>8619</v>
      </c>
      <c r="Q2251" s="34" t="str">
        <f t="shared" si="2"/>
        <v>XIIOTO3</v>
      </c>
    </row>
    <row r="2252" ht="15.75" customHeight="1">
      <c r="A2252" s="15">
        <v>8022.0</v>
      </c>
      <c r="B2252" s="18" t="s">
        <v>10011</v>
      </c>
      <c r="C2252" s="29" t="s">
        <v>10012</v>
      </c>
      <c r="D2252" s="18" t="s">
        <v>10011</v>
      </c>
      <c r="E2252" s="34" t="s">
        <v>5116</v>
      </c>
      <c r="F2252" s="19" t="str">
        <f t="shared" si="1"/>
        <v>XIIOTO4</v>
      </c>
      <c r="G2252" s="19" t="s">
        <v>5408</v>
      </c>
      <c r="H2252" s="20" t="s">
        <v>4223</v>
      </c>
      <c r="I2252" s="19" t="s">
        <v>5409</v>
      </c>
      <c r="J2252" s="19" t="s">
        <v>5410</v>
      </c>
      <c r="K2252" s="21" t="s">
        <v>5415</v>
      </c>
      <c r="L2252" s="35" t="s">
        <v>6826</v>
      </c>
      <c r="M2252" s="29" t="s">
        <v>5115</v>
      </c>
      <c r="N2252" s="34" t="s">
        <v>5416</v>
      </c>
      <c r="O2252" s="34">
        <v>0.0</v>
      </c>
      <c r="P2252" s="18">
        <f>VLOOKUP($A2252,MasterData!$C$1:$I$3001,1,FALSE)</f>
        <v>8022</v>
      </c>
      <c r="Q2252" s="34" t="str">
        <f t="shared" si="2"/>
        <v>XIIOTO4</v>
      </c>
    </row>
    <row r="2253" ht="15.75" customHeight="1">
      <c r="A2253" s="15">
        <v>8035.0</v>
      </c>
      <c r="B2253" s="18" t="s">
        <v>10013</v>
      </c>
      <c r="C2253" s="29" t="s">
        <v>10014</v>
      </c>
      <c r="D2253" s="18" t="s">
        <v>10013</v>
      </c>
      <c r="E2253" s="34" t="s">
        <v>5118</v>
      </c>
      <c r="F2253" s="19" t="str">
        <f t="shared" si="1"/>
        <v>XIIOTO4</v>
      </c>
      <c r="G2253" s="19" t="s">
        <v>5408</v>
      </c>
      <c r="H2253" s="20" t="s">
        <v>4223</v>
      </c>
      <c r="I2253" s="19" t="s">
        <v>5409</v>
      </c>
      <c r="J2253" s="19" t="s">
        <v>5410</v>
      </c>
      <c r="K2253" s="21" t="s">
        <v>5415</v>
      </c>
      <c r="L2253" s="35" t="s">
        <v>6826</v>
      </c>
      <c r="M2253" s="29" t="s">
        <v>5117</v>
      </c>
      <c r="N2253" s="34" t="s">
        <v>5416</v>
      </c>
      <c r="O2253" s="34">
        <v>0.0</v>
      </c>
      <c r="P2253" s="18">
        <f>VLOOKUP($A2253,MasterData!$C$1:$I$3001,1,FALSE)</f>
        <v>8035</v>
      </c>
      <c r="Q2253" s="34" t="str">
        <f t="shared" si="2"/>
        <v>XIIOTO4</v>
      </c>
    </row>
    <row r="2254" ht="15.75" customHeight="1">
      <c r="A2254" s="15">
        <v>8069.0</v>
      </c>
      <c r="B2254" s="18" t="s">
        <v>10015</v>
      </c>
      <c r="C2254" s="29" t="s">
        <v>10016</v>
      </c>
      <c r="D2254" s="18" t="s">
        <v>10015</v>
      </c>
      <c r="E2254" s="34" t="s">
        <v>5120</v>
      </c>
      <c r="F2254" s="19" t="str">
        <f t="shared" si="1"/>
        <v>XIIOTO4</v>
      </c>
      <c r="G2254" s="19" t="s">
        <v>5408</v>
      </c>
      <c r="H2254" s="20" t="s">
        <v>4223</v>
      </c>
      <c r="I2254" s="19" t="s">
        <v>5409</v>
      </c>
      <c r="J2254" s="19" t="s">
        <v>5410</v>
      </c>
      <c r="K2254" s="21" t="s">
        <v>5415</v>
      </c>
      <c r="L2254" s="35" t="s">
        <v>6826</v>
      </c>
      <c r="M2254" s="29" t="s">
        <v>5119</v>
      </c>
      <c r="N2254" s="34" t="s">
        <v>5416</v>
      </c>
      <c r="O2254" s="34">
        <v>0.0</v>
      </c>
      <c r="P2254" s="18">
        <f>VLOOKUP($A2254,MasterData!$C$1:$I$3001,1,FALSE)</f>
        <v>8069</v>
      </c>
      <c r="Q2254" s="34" t="str">
        <f t="shared" si="2"/>
        <v>XIIOTO4</v>
      </c>
    </row>
    <row r="2255" ht="15.75" customHeight="1">
      <c r="A2255" s="15">
        <v>8087.0</v>
      </c>
      <c r="B2255" s="18" t="s">
        <v>10017</v>
      </c>
      <c r="C2255" s="29" t="s">
        <v>10018</v>
      </c>
      <c r="D2255" s="18" t="s">
        <v>10017</v>
      </c>
      <c r="E2255" s="34" t="s">
        <v>5122</v>
      </c>
      <c r="F2255" s="19" t="str">
        <f t="shared" si="1"/>
        <v>XIIOTO4</v>
      </c>
      <c r="G2255" s="19" t="s">
        <v>5408</v>
      </c>
      <c r="H2255" s="20" t="s">
        <v>4223</v>
      </c>
      <c r="I2255" s="19" t="s">
        <v>5409</v>
      </c>
      <c r="J2255" s="19" t="s">
        <v>5410</v>
      </c>
      <c r="K2255" s="21" t="s">
        <v>5415</v>
      </c>
      <c r="L2255" s="35" t="s">
        <v>6826</v>
      </c>
      <c r="M2255" s="29" t="s">
        <v>5121</v>
      </c>
      <c r="N2255" s="34" t="s">
        <v>5416</v>
      </c>
      <c r="O2255" s="34">
        <v>0.0</v>
      </c>
      <c r="P2255" s="18">
        <f>VLOOKUP($A2255,MasterData!$C$1:$I$3001,1,FALSE)</f>
        <v>8087</v>
      </c>
      <c r="Q2255" s="34" t="str">
        <f t="shared" si="2"/>
        <v>XIIOTO4</v>
      </c>
    </row>
    <row r="2256" ht="15.75" customHeight="1">
      <c r="A2256" s="15">
        <v>8105.0</v>
      </c>
      <c r="B2256" s="18" t="s">
        <v>10019</v>
      </c>
      <c r="C2256" s="29" t="s">
        <v>10020</v>
      </c>
      <c r="D2256" s="18" t="s">
        <v>10019</v>
      </c>
      <c r="E2256" s="34" t="s">
        <v>5124</v>
      </c>
      <c r="F2256" s="19" t="str">
        <f t="shared" si="1"/>
        <v>XIIOTO4</v>
      </c>
      <c r="G2256" s="19" t="s">
        <v>5408</v>
      </c>
      <c r="H2256" s="20" t="s">
        <v>4223</v>
      </c>
      <c r="I2256" s="19" t="s">
        <v>5409</v>
      </c>
      <c r="J2256" s="19" t="s">
        <v>5410</v>
      </c>
      <c r="K2256" s="21" t="s">
        <v>5415</v>
      </c>
      <c r="L2256" s="35" t="s">
        <v>6826</v>
      </c>
      <c r="M2256" s="29" t="s">
        <v>5123</v>
      </c>
      <c r="N2256" s="34" t="s">
        <v>5416</v>
      </c>
      <c r="O2256" s="34">
        <v>0.0</v>
      </c>
      <c r="P2256" s="18">
        <f>VLOOKUP($A2256,MasterData!$C$1:$I$3001,1,FALSE)</f>
        <v>8105</v>
      </c>
      <c r="Q2256" s="34" t="str">
        <f t="shared" si="2"/>
        <v>XIIOTO4</v>
      </c>
    </row>
    <row r="2257" ht="15.75" customHeight="1">
      <c r="A2257" s="15">
        <v>8113.0</v>
      </c>
      <c r="B2257" s="18" t="s">
        <v>10021</v>
      </c>
      <c r="C2257" s="29" t="s">
        <v>10022</v>
      </c>
      <c r="D2257" s="18" t="s">
        <v>10021</v>
      </c>
      <c r="E2257" s="34" t="s">
        <v>5126</v>
      </c>
      <c r="F2257" s="19" t="str">
        <f t="shared" si="1"/>
        <v>XIIOTO4</v>
      </c>
      <c r="G2257" s="19" t="s">
        <v>5408</v>
      </c>
      <c r="H2257" s="20" t="s">
        <v>4223</v>
      </c>
      <c r="I2257" s="19" t="s">
        <v>5409</v>
      </c>
      <c r="J2257" s="19" t="s">
        <v>5410</v>
      </c>
      <c r="K2257" s="21" t="s">
        <v>5415</v>
      </c>
      <c r="L2257" s="35" t="s">
        <v>6826</v>
      </c>
      <c r="M2257" s="29" t="s">
        <v>5125</v>
      </c>
      <c r="N2257" s="34" t="s">
        <v>5416</v>
      </c>
      <c r="O2257" s="34">
        <v>0.0</v>
      </c>
      <c r="P2257" s="18">
        <f>VLOOKUP($A2257,MasterData!$C$1:$I$3001,1,FALSE)</f>
        <v>8113</v>
      </c>
      <c r="Q2257" s="34" t="str">
        <f t="shared" si="2"/>
        <v>XIIOTO4</v>
      </c>
    </row>
    <row r="2258" ht="15.75" customHeight="1">
      <c r="A2258" s="15">
        <v>8131.0</v>
      </c>
      <c r="B2258" s="18" t="s">
        <v>10023</v>
      </c>
      <c r="C2258" s="29" t="s">
        <v>10024</v>
      </c>
      <c r="D2258" s="18" t="s">
        <v>10023</v>
      </c>
      <c r="E2258" s="34" t="s">
        <v>5128</v>
      </c>
      <c r="F2258" s="19" t="str">
        <f t="shared" si="1"/>
        <v>XIIOTO4</v>
      </c>
      <c r="G2258" s="19" t="s">
        <v>5408</v>
      </c>
      <c r="H2258" s="20" t="s">
        <v>4223</v>
      </c>
      <c r="I2258" s="19" t="s">
        <v>5409</v>
      </c>
      <c r="J2258" s="19" t="s">
        <v>5410</v>
      </c>
      <c r="K2258" s="21" t="s">
        <v>5415</v>
      </c>
      <c r="L2258" s="35" t="s">
        <v>6826</v>
      </c>
      <c r="M2258" s="29" t="s">
        <v>5127</v>
      </c>
      <c r="N2258" s="34" t="s">
        <v>5416</v>
      </c>
      <c r="O2258" s="34">
        <v>0.0</v>
      </c>
      <c r="P2258" s="18">
        <f>VLOOKUP($A2258,MasterData!$C$1:$I$3001,1,FALSE)</f>
        <v>8131</v>
      </c>
      <c r="Q2258" s="34" t="str">
        <f t="shared" si="2"/>
        <v>XIIOTO4</v>
      </c>
    </row>
    <row r="2259" ht="15.75" customHeight="1">
      <c r="A2259" s="15">
        <v>8145.0</v>
      </c>
      <c r="B2259" s="18" t="s">
        <v>10025</v>
      </c>
      <c r="C2259" s="29" t="s">
        <v>10026</v>
      </c>
      <c r="D2259" s="18" t="s">
        <v>10025</v>
      </c>
      <c r="E2259" s="34" t="s">
        <v>5130</v>
      </c>
      <c r="F2259" s="19" t="str">
        <f t="shared" si="1"/>
        <v>XIIOTO4</v>
      </c>
      <c r="G2259" s="19" t="s">
        <v>5408</v>
      </c>
      <c r="H2259" s="20" t="s">
        <v>4223</v>
      </c>
      <c r="I2259" s="19" t="s">
        <v>5409</v>
      </c>
      <c r="J2259" s="19" t="s">
        <v>5410</v>
      </c>
      <c r="K2259" s="21" t="s">
        <v>5415</v>
      </c>
      <c r="L2259" s="35" t="s">
        <v>6826</v>
      </c>
      <c r="M2259" s="29" t="s">
        <v>5129</v>
      </c>
      <c r="N2259" s="34" t="s">
        <v>5416</v>
      </c>
      <c r="O2259" s="34">
        <v>0.0</v>
      </c>
      <c r="P2259" s="18">
        <f>VLOOKUP($A2259,MasterData!$C$1:$I$3001,1,FALSE)</f>
        <v>8145</v>
      </c>
      <c r="Q2259" s="34" t="str">
        <f t="shared" si="2"/>
        <v>XIIOTO4</v>
      </c>
    </row>
    <row r="2260" ht="15.75" customHeight="1">
      <c r="A2260" s="15">
        <v>8173.0</v>
      </c>
      <c r="B2260" s="18" t="s">
        <v>10027</v>
      </c>
      <c r="C2260" s="37" t="s">
        <v>10028</v>
      </c>
      <c r="D2260" s="18" t="s">
        <v>10027</v>
      </c>
      <c r="E2260" s="34" t="s">
        <v>5132</v>
      </c>
      <c r="F2260" s="19" t="str">
        <f t="shared" si="1"/>
        <v>XIIOTO4</v>
      </c>
      <c r="G2260" s="19" t="s">
        <v>5408</v>
      </c>
      <c r="H2260" s="20" t="s">
        <v>4223</v>
      </c>
      <c r="I2260" s="19" t="s">
        <v>5409</v>
      </c>
      <c r="J2260" s="19" t="s">
        <v>5410</v>
      </c>
      <c r="K2260" s="21" t="s">
        <v>5415</v>
      </c>
      <c r="L2260" s="35" t="s">
        <v>6826</v>
      </c>
      <c r="M2260" s="29" t="s">
        <v>5131</v>
      </c>
      <c r="N2260" s="34" t="s">
        <v>5416</v>
      </c>
      <c r="O2260" s="34">
        <v>0.0</v>
      </c>
      <c r="P2260" s="18">
        <f>VLOOKUP($A2260,MasterData!$C$1:$I$3001,1,FALSE)</f>
        <v>8173</v>
      </c>
      <c r="Q2260" s="34" t="str">
        <f t="shared" si="2"/>
        <v>XIIOTO4</v>
      </c>
    </row>
    <row r="2261" ht="15.75" customHeight="1">
      <c r="A2261" s="15">
        <v>8179.0</v>
      </c>
      <c r="B2261" s="18" t="s">
        <v>10029</v>
      </c>
      <c r="C2261" s="29" t="s">
        <v>10030</v>
      </c>
      <c r="D2261" s="18" t="s">
        <v>10029</v>
      </c>
      <c r="E2261" s="34" t="s">
        <v>5134</v>
      </c>
      <c r="F2261" s="19" t="str">
        <f t="shared" si="1"/>
        <v>XIIOTO4</v>
      </c>
      <c r="G2261" s="19" t="s">
        <v>5408</v>
      </c>
      <c r="H2261" s="20" t="s">
        <v>4223</v>
      </c>
      <c r="I2261" s="19" t="s">
        <v>5409</v>
      </c>
      <c r="J2261" s="19" t="s">
        <v>5410</v>
      </c>
      <c r="K2261" s="21" t="s">
        <v>5415</v>
      </c>
      <c r="L2261" s="35" t="s">
        <v>6826</v>
      </c>
      <c r="M2261" s="29" t="s">
        <v>5133</v>
      </c>
      <c r="N2261" s="34" t="s">
        <v>5416</v>
      </c>
      <c r="O2261" s="34">
        <v>0.0</v>
      </c>
      <c r="P2261" s="18">
        <f>VLOOKUP($A2261,MasterData!$C$1:$I$3001,1,FALSE)</f>
        <v>8179</v>
      </c>
      <c r="Q2261" s="34" t="str">
        <f t="shared" si="2"/>
        <v>XIIOTO4</v>
      </c>
    </row>
    <row r="2262" ht="15.75" customHeight="1">
      <c r="A2262" s="15">
        <v>8201.0</v>
      </c>
      <c r="B2262" s="18" t="s">
        <v>10031</v>
      </c>
      <c r="C2262" s="29" t="s">
        <v>10032</v>
      </c>
      <c r="D2262" s="18" t="s">
        <v>10031</v>
      </c>
      <c r="E2262" s="34" t="s">
        <v>5136</v>
      </c>
      <c r="F2262" s="19" t="str">
        <f t="shared" si="1"/>
        <v>XIIOTO4</v>
      </c>
      <c r="G2262" s="19" t="s">
        <v>5408</v>
      </c>
      <c r="H2262" s="20" t="s">
        <v>4223</v>
      </c>
      <c r="I2262" s="19" t="s">
        <v>5409</v>
      </c>
      <c r="J2262" s="19" t="s">
        <v>5410</v>
      </c>
      <c r="K2262" s="21" t="s">
        <v>5415</v>
      </c>
      <c r="L2262" s="35" t="s">
        <v>6826</v>
      </c>
      <c r="M2262" s="29" t="s">
        <v>5135</v>
      </c>
      <c r="N2262" s="34" t="s">
        <v>5416</v>
      </c>
      <c r="O2262" s="34">
        <v>0.0</v>
      </c>
      <c r="P2262" s="18">
        <f>VLOOKUP($A2262,MasterData!$C$1:$I$3001,1,FALSE)</f>
        <v>8201</v>
      </c>
      <c r="Q2262" s="34" t="str">
        <f t="shared" si="2"/>
        <v>XIIOTO4</v>
      </c>
    </row>
    <row r="2263" ht="15.75" customHeight="1">
      <c r="A2263" s="15">
        <v>7592.0</v>
      </c>
      <c r="B2263" s="18" t="s">
        <v>10033</v>
      </c>
      <c r="C2263" s="29" t="s">
        <v>10034</v>
      </c>
      <c r="D2263" s="18" t="s">
        <v>10033</v>
      </c>
      <c r="E2263" s="34" t="s">
        <v>5138</v>
      </c>
      <c r="F2263" s="19" t="str">
        <f t="shared" si="1"/>
        <v>XIIOTO4</v>
      </c>
      <c r="G2263" s="19" t="s">
        <v>5408</v>
      </c>
      <c r="H2263" s="20" t="s">
        <v>4223</v>
      </c>
      <c r="I2263" s="19" t="s">
        <v>5409</v>
      </c>
      <c r="J2263" s="19" t="s">
        <v>5410</v>
      </c>
      <c r="K2263" s="21" t="s">
        <v>5464</v>
      </c>
      <c r="L2263" s="35" t="s">
        <v>6826</v>
      </c>
      <c r="M2263" s="29" t="s">
        <v>5137</v>
      </c>
      <c r="N2263" s="34" t="s">
        <v>5416</v>
      </c>
      <c r="O2263" s="34"/>
      <c r="P2263" s="18">
        <f>VLOOKUP($A2263,MasterData!$C$1:$I$3001,1,FALSE)</f>
        <v>7592</v>
      </c>
      <c r="Q2263" s="34" t="str">
        <f t="shared" si="2"/>
        <v>XIIOTO4</v>
      </c>
    </row>
    <row r="2264" ht="15.75" customHeight="1">
      <c r="A2264" s="15">
        <v>8222.0</v>
      </c>
      <c r="B2264" s="18" t="s">
        <v>10035</v>
      </c>
      <c r="C2264" s="29" t="s">
        <v>10036</v>
      </c>
      <c r="D2264" s="18" t="s">
        <v>10035</v>
      </c>
      <c r="E2264" s="34" t="s">
        <v>5140</v>
      </c>
      <c r="F2264" s="19" t="str">
        <f t="shared" si="1"/>
        <v>XIIOTO4</v>
      </c>
      <c r="G2264" s="19" t="s">
        <v>5408</v>
      </c>
      <c r="H2264" s="20" t="s">
        <v>4223</v>
      </c>
      <c r="I2264" s="19" t="s">
        <v>5409</v>
      </c>
      <c r="J2264" s="19" t="s">
        <v>5410</v>
      </c>
      <c r="K2264" s="21" t="s">
        <v>5415</v>
      </c>
      <c r="L2264" s="35" t="s">
        <v>6826</v>
      </c>
      <c r="M2264" s="29" t="s">
        <v>5139</v>
      </c>
      <c r="N2264" s="34" t="s">
        <v>5416</v>
      </c>
      <c r="O2264" s="34">
        <v>0.0</v>
      </c>
      <c r="P2264" s="18">
        <f>VLOOKUP($A2264,MasterData!$C$1:$I$3001,1,FALSE)</f>
        <v>8222</v>
      </c>
      <c r="Q2264" s="34" t="str">
        <f t="shared" si="2"/>
        <v>XIIOTO4</v>
      </c>
    </row>
    <row r="2265" ht="15.75" customHeight="1">
      <c r="A2265" s="15">
        <v>8230.0</v>
      </c>
      <c r="B2265" s="18" t="s">
        <v>10037</v>
      </c>
      <c r="C2265" s="29" t="s">
        <v>10038</v>
      </c>
      <c r="D2265" s="18" t="s">
        <v>10037</v>
      </c>
      <c r="E2265" s="34" t="s">
        <v>5142</v>
      </c>
      <c r="F2265" s="19" t="str">
        <f t="shared" si="1"/>
        <v>XIIOTO4</v>
      </c>
      <c r="G2265" s="19" t="s">
        <v>5408</v>
      </c>
      <c r="H2265" s="20" t="s">
        <v>4223</v>
      </c>
      <c r="I2265" s="19" t="s">
        <v>5409</v>
      </c>
      <c r="J2265" s="19" t="s">
        <v>5410</v>
      </c>
      <c r="K2265" s="21" t="s">
        <v>5415</v>
      </c>
      <c r="L2265" s="35" t="s">
        <v>6826</v>
      </c>
      <c r="M2265" s="29" t="s">
        <v>5141</v>
      </c>
      <c r="N2265" s="34" t="s">
        <v>5416</v>
      </c>
      <c r="O2265" s="34">
        <v>0.0</v>
      </c>
      <c r="P2265" s="18">
        <f>VLOOKUP($A2265,MasterData!$C$1:$I$3001,1,FALSE)</f>
        <v>8230</v>
      </c>
      <c r="Q2265" s="34" t="str">
        <f t="shared" si="2"/>
        <v>XIIOTO4</v>
      </c>
    </row>
    <row r="2266" ht="15.75" customHeight="1">
      <c r="A2266" s="15">
        <v>8246.0</v>
      </c>
      <c r="B2266" s="18" t="s">
        <v>10039</v>
      </c>
      <c r="C2266" s="29" t="s">
        <v>10040</v>
      </c>
      <c r="D2266" s="18" t="s">
        <v>10039</v>
      </c>
      <c r="E2266" s="34" t="s">
        <v>5144</v>
      </c>
      <c r="F2266" s="19" t="str">
        <f t="shared" si="1"/>
        <v>XIIOTO4</v>
      </c>
      <c r="G2266" s="19" t="s">
        <v>5408</v>
      </c>
      <c r="H2266" s="20" t="s">
        <v>4223</v>
      </c>
      <c r="I2266" s="19" t="s">
        <v>5409</v>
      </c>
      <c r="J2266" s="19" t="s">
        <v>5410</v>
      </c>
      <c r="K2266" s="21" t="s">
        <v>5415</v>
      </c>
      <c r="L2266" s="35" t="s">
        <v>6826</v>
      </c>
      <c r="M2266" s="29" t="s">
        <v>5143</v>
      </c>
      <c r="N2266" s="34" t="s">
        <v>5416</v>
      </c>
      <c r="O2266" s="34">
        <v>0.0</v>
      </c>
      <c r="P2266" s="18">
        <f>VLOOKUP($A2266,MasterData!$C$1:$I$3001,1,FALSE)</f>
        <v>8246</v>
      </c>
      <c r="Q2266" s="34" t="str">
        <f t="shared" si="2"/>
        <v>XIIOTO4</v>
      </c>
    </row>
    <row r="2267" ht="15.75" customHeight="1">
      <c r="A2267" s="15">
        <v>8275.0</v>
      </c>
      <c r="B2267" s="18" t="s">
        <v>10041</v>
      </c>
      <c r="C2267" s="29" t="s">
        <v>10042</v>
      </c>
      <c r="D2267" s="18" t="s">
        <v>10041</v>
      </c>
      <c r="E2267" s="34" t="s">
        <v>5146</v>
      </c>
      <c r="F2267" s="19" t="str">
        <f t="shared" si="1"/>
        <v>XIIOTO4</v>
      </c>
      <c r="G2267" s="19" t="s">
        <v>5408</v>
      </c>
      <c r="H2267" s="20" t="s">
        <v>4223</v>
      </c>
      <c r="I2267" s="19" t="s">
        <v>5409</v>
      </c>
      <c r="J2267" s="19" t="s">
        <v>5410</v>
      </c>
      <c r="K2267" s="21" t="s">
        <v>5415</v>
      </c>
      <c r="L2267" s="35" t="s">
        <v>6826</v>
      </c>
      <c r="M2267" s="29" t="s">
        <v>5145</v>
      </c>
      <c r="N2267" s="34" t="s">
        <v>5416</v>
      </c>
      <c r="O2267" s="34">
        <v>0.0</v>
      </c>
      <c r="P2267" s="18">
        <f>VLOOKUP($A2267,MasterData!$C$1:$I$3001,1,FALSE)</f>
        <v>8275</v>
      </c>
      <c r="Q2267" s="34" t="str">
        <f t="shared" si="2"/>
        <v>XIIOTO4</v>
      </c>
    </row>
    <row r="2268" ht="15.75" customHeight="1">
      <c r="A2268" s="15">
        <v>8325.0</v>
      </c>
      <c r="B2268" s="18" t="s">
        <v>10043</v>
      </c>
      <c r="C2268" s="29" t="s">
        <v>10044</v>
      </c>
      <c r="D2268" s="18" t="s">
        <v>10043</v>
      </c>
      <c r="E2268" s="34" t="s">
        <v>5148</v>
      </c>
      <c r="F2268" s="19" t="str">
        <f t="shared" si="1"/>
        <v>XIIOTO4</v>
      </c>
      <c r="G2268" s="19" t="s">
        <v>5408</v>
      </c>
      <c r="H2268" s="20" t="s">
        <v>4223</v>
      </c>
      <c r="I2268" s="19" t="s">
        <v>5409</v>
      </c>
      <c r="J2268" s="19" t="s">
        <v>5410</v>
      </c>
      <c r="K2268" s="21" t="s">
        <v>5415</v>
      </c>
      <c r="L2268" s="35" t="s">
        <v>6826</v>
      </c>
      <c r="M2268" s="29" t="s">
        <v>5147</v>
      </c>
      <c r="N2268" s="34" t="s">
        <v>5416</v>
      </c>
      <c r="O2268" s="34">
        <v>0.0</v>
      </c>
      <c r="P2268" s="18">
        <f>VLOOKUP($A2268,MasterData!$C$1:$I$3001,1,FALSE)</f>
        <v>8325</v>
      </c>
      <c r="Q2268" s="34" t="str">
        <f t="shared" si="2"/>
        <v>XIIOTO4</v>
      </c>
    </row>
    <row r="2269" ht="15.75" customHeight="1">
      <c r="A2269" s="15">
        <v>8338.0</v>
      </c>
      <c r="B2269" s="18" t="s">
        <v>10045</v>
      </c>
      <c r="C2269" s="29" t="s">
        <v>10046</v>
      </c>
      <c r="D2269" s="18" t="s">
        <v>10045</v>
      </c>
      <c r="E2269" s="34" t="s">
        <v>5150</v>
      </c>
      <c r="F2269" s="19" t="str">
        <f t="shared" si="1"/>
        <v>XIIOTO4</v>
      </c>
      <c r="G2269" s="19" t="s">
        <v>5408</v>
      </c>
      <c r="H2269" s="20" t="s">
        <v>4223</v>
      </c>
      <c r="I2269" s="19" t="s">
        <v>5409</v>
      </c>
      <c r="J2269" s="19" t="s">
        <v>5410</v>
      </c>
      <c r="K2269" s="21" t="s">
        <v>5415</v>
      </c>
      <c r="L2269" s="35" t="s">
        <v>6826</v>
      </c>
      <c r="M2269" s="29" t="s">
        <v>5149</v>
      </c>
      <c r="N2269" s="34" t="s">
        <v>5416</v>
      </c>
      <c r="O2269" s="34">
        <v>0.0</v>
      </c>
      <c r="P2269" s="18">
        <f>VLOOKUP($A2269,MasterData!$C$1:$I$3001,1,FALSE)</f>
        <v>8338</v>
      </c>
      <c r="Q2269" s="34" t="str">
        <f t="shared" si="2"/>
        <v>XIIOTO4</v>
      </c>
    </row>
    <row r="2270" ht="15.75" customHeight="1">
      <c r="A2270" s="15">
        <v>8366.0</v>
      </c>
      <c r="B2270" s="18" t="s">
        <v>10047</v>
      </c>
      <c r="C2270" s="29" t="s">
        <v>10048</v>
      </c>
      <c r="D2270" s="18" t="s">
        <v>10047</v>
      </c>
      <c r="E2270" s="34" t="s">
        <v>5152</v>
      </c>
      <c r="F2270" s="19" t="str">
        <f t="shared" si="1"/>
        <v>XIIOTO4</v>
      </c>
      <c r="G2270" s="19" t="s">
        <v>5408</v>
      </c>
      <c r="H2270" s="20" t="s">
        <v>4223</v>
      </c>
      <c r="I2270" s="19" t="s">
        <v>5409</v>
      </c>
      <c r="J2270" s="19" t="s">
        <v>5410</v>
      </c>
      <c r="K2270" s="21" t="s">
        <v>5415</v>
      </c>
      <c r="L2270" s="35" t="s">
        <v>6826</v>
      </c>
      <c r="M2270" s="29" t="s">
        <v>5151</v>
      </c>
      <c r="N2270" s="34" t="s">
        <v>5416</v>
      </c>
      <c r="O2270" s="34">
        <v>0.0</v>
      </c>
      <c r="P2270" s="18">
        <f>VLOOKUP($A2270,MasterData!$C$1:$I$3001,1,FALSE)</f>
        <v>8366</v>
      </c>
      <c r="Q2270" s="34" t="str">
        <f t="shared" si="2"/>
        <v>XIIOTO4</v>
      </c>
    </row>
    <row r="2271" ht="15.75" customHeight="1">
      <c r="A2271" s="15">
        <v>8370.0</v>
      </c>
      <c r="B2271" s="18" t="s">
        <v>10049</v>
      </c>
      <c r="C2271" s="29" t="s">
        <v>10050</v>
      </c>
      <c r="D2271" s="18" t="s">
        <v>10049</v>
      </c>
      <c r="E2271" s="34" t="s">
        <v>5154</v>
      </c>
      <c r="F2271" s="19" t="str">
        <f t="shared" si="1"/>
        <v>XIIOTO4</v>
      </c>
      <c r="G2271" s="19" t="s">
        <v>5408</v>
      </c>
      <c r="H2271" s="20" t="s">
        <v>4223</v>
      </c>
      <c r="I2271" s="19" t="s">
        <v>5409</v>
      </c>
      <c r="J2271" s="19" t="s">
        <v>5410</v>
      </c>
      <c r="K2271" s="21" t="s">
        <v>5415</v>
      </c>
      <c r="L2271" s="35" t="s">
        <v>6826</v>
      </c>
      <c r="M2271" s="29" t="s">
        <v>5153</v>
      </c>
      <c r="N2271" s="34" t="s">
        <v>5416</v>
      </c>
      <c r="O2271" s="34">
        <v>0.0</v>
      </c>
      <c r="P2271" s="18">
        <f>VLOOKUP($A2271,MasterData!$C$1:$I$3001,1,FALSE)</f>
        <v>8370</v>
      </c>
      <c r="Q2271" s="34" t="str">
        <f t="shared" si="2"/>
        <v>XIIOTO4</v>
      </c>
    </row>
    <row r="2272" ht="15.75" customHeight="1">
      <c r="A2272" s="15">
        <v>8377.0</v>
      </c>
      <c r="B2272" s="18" t="s">
        <v>10051</v>
      </c>
      <c r="C2272" s="29" t="s">
        <v>10052</v>
      </c>
      <c r="D2272" s="18" t="s">
        <v>10051</v>
      </c>
      <c r="E2272" s="34" t="s">
        <v>5156</v>
      </c>
      <c r="F2272" s="19" t="str">
        <f t="shared" si="1"/>
        <v>XIIOTO4</v>
      </c>
      <c r="G2272" s="19" t="s">
        <v>5408</v>
      </c>
      <c r="H2272" s="20" t="s">
        <v>4223</v>
      </c>
      <c r="I2272" s="19" t="s">
        <v>5409</v>
      </c>
      <c r="J2272" s="19" t="s">
        <v>5410</v>
      </c>
      <c r="K2272" s="21" t="s">
        <v>5415</v>
      </c>
      <c r="L2272" s="35" t="s">
        <v>6826</v>
      </c>
      <c r="M2272" s="29" t="s">
        <v>5155</v>
      </c>
      <c r="N2272" s="34" t="s">
        <v>5416</v>
      </c>
      <c r="O2272" s="34">
        <v>0.0</v>
      </c>
      <c r="P2272" s="18">
        <f>VLOOKUP($A2272,MasterData!$C$1:$I$3001,1,FALSE)</f>
        <v>8377</v>
      </c>
      <c r="Q2272" s="34" t="str">
        <f t="shared" si="2"/>
        <v>XIIOTO4</v>
      </c>
    </row>
    <row r="2273" ht="15.75" customHeight="1">
      <c r="A2273" s="15">
        <v>8383.0</v>
      </c>
      <c r="B2273" s="18" t="s">
        <v>10053</v>
      </c>
      <c r="C2273" s="29" t="s">
        <v>10054</v>
      </c>
      <c r="D2273" s="18" t="s">
        <v>10053</v>
      </c>
      <c r="E2273" s="34" t="s">
        <v>5158</v>
      </c>
      <c r="F2273" s="19" t="str">
        <f t="shared" si="1"/>
        <v>XIIOTO4</v>
      </c>
      <c r="G2273" s="19" t="s">
        <v>5408</v>
      </c>
      <c r="H2273" s="20" t="s">
        <v>4223</v>
      </c>
      <c r="I2273" s="19" t="s">
        <v>5409</v>
      </c>
      <c r="J2273" s="19" t="s">
        <v>5410</v>
      </c>
      <c r="K2273" s="21" t="s">
        <v>5415</v>
      </c>
      <c r="L2273" s="35" t="s">
        <v>6826</v>
      </c>
      <c r="M2273" s="29" t="s">
        <v>5157</v>
      </c>
      <c r="N2273" s="34" t="s">
        <v>5416</v>
      </c>
      <c r="O2273" s="34">
        <v>0.0</v>
      </c>
      <c r="P2273" s="18">
        <f>VLOOKUP($A2273,MasterData!$C$1:$I$3001,1,FALSE)</f>
        <v>8383</v>
      </c>
      <c r="Q2273" s="34" t="str">
        <f t="shared" si="2"/>
        <v>XIIOTO4</v>
      </c>
    </row>
    <row r="2274" ht="15.75" customHeight="1">
      <c r="A2274" s="15">
        <v>8389.0</v>
      </c>
      <c r="B2274" s="18" t="s">
        <v>10055</v>
      </c>
      <c r="C2274" s="29" t="s">
        <v>10056</v>
      </c>
      <c r="D2274" s="18" t="s">
        <v>10055</v>
      </c>
      <c r="E2274" s="34" t="s">
        <v>5160</v>
      </c>
      <c r="F2274" s="19" t="str">
        <f t="shared" si="1"/>
        <v>XIIOTO4</v>
      </c>
      <c r="G2274" s="19" t="s">
        <v>5408</v>
      </c>
      <c r="H2274" s="20" t="s">
        <v>4223</v>
      </c>
      <c r="I2274" s="19" t="s">
        <v>5409</v>
      </c>
      <c r="J2274" s="19" t="s">
        <v>5410</v>
      </c>
      <c r="K2274" s="21" t="s">
        <v>5415</v>
      </c>
      <c r="L2274" s="35" t="s">
        <v>6826</v>
      </c>
      <c r="M2274" s="29" t="s">
        <v>5159</v>
      </c>
      <c r="N2274" s="34" t="s">
        <v>5416</v>
      </c>
      <c r="O2274" s="34">
        <v>0.0</v>
      </c>
      <c r="P2274" s="18">
        <f>VLOOKUP($A2274,MasterData!$C$1:$I$3001,1,FALSE)</f>
        <v>8389</v>
      </c>
      <c r="Q2274" s="34" t="str">
        <f t="shared" si="2"/>
        <v>XIIOTO4</v>
      </c>
    </row>
    <row r="2275" ht="15.75" customHeight="1">
      <c r="A2275" s="15">
        <v>8390.0</v>
      </c>
      <c r="B2275" s="18" t="s">
        <v>10057</v>
      </c>
      <c r="C2275" s="29" t="s">
        <v>10058</v>
      </c>
      <c r="D2275" s="18" t="s">
        <v>10057</v>
      </c>
      <c r="E2275" s="34" t="s">
        <v>5162</v>
      </c>
      <c r="F2275" s="19" t="str">
        <f t="shared" si="1"/>
        <v>XIIOTO4</v>
      </c>
      <c r="G2275" s="19" t="s">
        <v>5408</v>
      </c>
      <c r="H2275" s="20" t="s">
        <v>4223</v>
      </c>
      <c r="I2275" s="19" t="s">
        <v>5409</v>
      </c>
      <c r="J2275" s="19" t="s">
        <v>5410</v>
      </c>
      <c r="K2275" s="21" t="s">
        <v>5415</v>
      </c>
      <c r="L2275" s="35" t="s">
        <v>6826</v>
      </c>
      <c r="M2275" s="29" t="s">
        <v>5161</v>
      </c>
      <c r="N2275" s="34" t="s">
        <v>5416</v>
      </c>
      <c r="O2275" s="34">
        <v>0.0</v>
      </c>
      <c r="P2275" s="18">
        <f>VLOOKUP($A2275,MasterData!$C$1:$I$3001,1,FALSE)</f>
        <v>8390</v>
      </c>
      <c r="Q2275" s="34" t="str">
        <f t="shared" si="2"/>
        <v>XIIOTO4</v>
      </c>
    </row>
    <row r="2276" ht="15.75" customHeight="1">
      <c r="A2276" s="15">
        <v>8415.0</v>
      </c>
      <c r="B2276" s="18" t="s">
        <v>10059</v>
      </c>
      <c r="C2276" s="29" t="s">
        <v>10060</v>
      </c>
      <c r="D2276" s="18" t="s">
        <v>10059</v>
      </c>
      <c r="E2276" s="34" t="s">
        <v>5164</v>
      </c>
      <c r="F2276" s="19" t="str">
        <f t="shared" si="1"/>
        <v>XIIOTO4</v>
      </c>
      <c r="G2276" s="19" t="s">
        <v>5408</v>
      </c>
      <c r="H2276" s="20" t="s">
        <v>4223</v>
      </c>
      <c r="I2276" s="19" t="s">
        <v>5409</v>
      </c>
      <c r="J2276" s="19" t="s">
        <v>5410</v>
      </c>
      <c r="K2276" s="21" t="s">
        <v>5415</v>
      </c>
      <c r="L2276" s="35" t="s">
        <v>6826</v>
      </c>
      <c r="M2276" s="29" t="s">
        <v>5163</v>
      </c>
      <c r="N2276" s="34" t="s">
        <v>5416</v>
      </c>
      <c r="O2276" s="34">
        <v>0.0</v>
      </c>
      <c r="P2276" s="18">
        <f>VLOOKUP($A2276,MasterData!$C$1:$I$3001,1,FALSE)</f>
        <v>8415</v>
      </c>
      <c r="Q2276" s="34" t="str">
        <f t="shared" si="2"/>
        <v>XIIOTO4</v>
      </c>
    </row>
    <row r="2277" ht="15.75" customHeight="1">
      <c r="A2277" s="15">
        <v>8433.0</v>
      </c>
      <c r="B2277" s="18" t="s">
        <v>10061</v>
      </c>
      <c r="C2277" s="29" t="s">
        <v>10062</v>
      </c>
      <c r="D2277" s="18" t="s">
        <v>10061</v>
      </c>
      <c r="E2277" s="34" t="s">
        <v>5166</v>
      </c>
      <c r="F2277" s="19" t="str">
        <f t="shared" si="1"/>
        <v>XIIOTO4</v>
      </c>
      <c r="G2277" s="19" t="s">
        <v>5408</v>
      </c>
      <c r="H2277" s="20" t="s">
        <v>4223</v>
      </c>
      <c r="I2277" s="19" t="s">
        <v>5409</v>
      </c>
      <c r="J2277" s="19" t="s">
        <v>5410</v>
      </c>
      <c r="K2277" s="21" t="s">
        <v>5415</v>
      </c>
      <c r="L2277" s="35" t="s">
        <v>6826</v>
      </c>
      <c r="M2277" s="29" t="s">
        <v>5165</v>
      </c>
      <c r="N2277" s="34" t="s">
        <v>5416</v>
      </c>
      <c r="O2277" s="34">
        <v>0.0</v>
      </c>
      <c r="P2277" s="18">
        <f>VLOOKUP($A2277,MasterData!$C$1:$I$3001,1,FALSE)</f>
        <v>8433</v>
      </c>
      <c r="Q2277" s="34" t="str">
        <f t="shared" si="2"/>
        <v>XIIOTO4</v>
      </c>
    </row>
    <row r="2278" ht="15.75" customHeight="1">
      <c r="A2278" s="15">
        <v>8489.0</v>
      </c>
      <c r="B2278" s="18" t="s">
        <v>10063</v>
      </c>
      <c r="C2278" s="29" t="s">
        <v>10064</v>
      </c>
      <c r="D2278" s="18" t="s">
        <v>10063</v>
      </c>
      <c r="E2278" s="34" t="s">
        <v>5168</v>
      </c>
      <c r="F2278" s="19" t="str">
        <f t="shared" si="1"/>
        <v>XIIOTO4</v>
      </c>
      <c r="G2278" s="19" t="s">
        <v>5408</v>
      </c>
      <c r="H2278" s="20" t="s">
        <v>4223</v>
      </c>
      <c r="I2278" s="19" t="s">
        <v>5409</v>
      </c>
      <c r="J2278" s="19" t="s">
        <v>5410</v>
      </c>
      <c r="K2278" s="21" t="s">
        <v>5415</v>
      </c>
      <c r="L2278" s="35" t="s">
        <v>6826</v>
      </c>
      <c r="M2278" s="29" t="s">
        <v>5167</v>
      </c>
      <c r="N2278" s="34" t="s">
        <v>5416</v>
      </c>
      <c r="O2278" s="34">
        <v>0.0</v>
      </c>
      <c r="P2278" s="18">
        <f>VLOOKUP($A2278,MasterData!$C$1:$I$3001,1,FALSE)</f>
        <v>8489</v>
      </c>
      <c r="Q2278" s="34" t="str">
        <f t="shared" si="2"/>
        <v>XIIOTO4</v>
      </c>
    </row>
    <row r="2279" ht="15.75" customHeight="1">
      <c r="A2279" s="15">
        <v>8495.0</v>
      </c>
      <c r="B2279" s="18" t="s">
        <v>10065</v>
      </c>
      <c r="C2279" s="29" t="s">
        <v>10066</v>
      </c>
      <c r="D2279" s="18" t="s">
        <v>10065</v>
      </c>
      <c r="E2279" s="34" t="s">
        <v>5170</v>
      </c>
      <c r="F2279" s="19" t="str">
        <f t="shared" si="1"/>
        <v>XIIOTO4</v>
      </c>
      <c r="G2279" s="19" t="s">
        <v>5408</v>
      </c>
      <c r="H2279" s="20" t="s">
        <v>4223</v>
      </c>
      <c r="I2279" s="19" t="s">
        <v>5409</v>
      </c>
      <c r="J2279" s="19" t="s">
        <v>5410</v>
      </c>
      <c r="K2279" s="21" t="s">
        <v>5415</v>
      </c>
      <c r="L2279" s="35" t="s">
        <v>6826</v>
      </c>
      <c r="M2279" s="29" t="s">
        <v>5169</v>
      </c>
      <c r="N2279" s="34" t="s">
        <v>5416</v>
      </c>
      <c r="O2279" s="34">
        <v>0.0</v>
      </c>
      <c r="P2279" s="18">
        <f>VLOOKUP($A2279,MasterData!$C$1:$I$3001,1,FALSE)</f>
        <v>8495</v>
      </c>
      <c r="Q2279" s="34" t="str">
        <f t="shared" si="2"/>
        <v>XIIOTO4</v>
      </c>
    </row>
    <row r="2280" ht="15.75" customHeight="1">
      <c r="A2280" s="15">
        <v>8509.0</v>
      </c>
      <c r="B2280" s="18" t="s">
        <v>10067</v>
      </c>
      <c r="C2280" s="29" t="s">
        <v>10068</v>
      </c>
      <c r="D2280" s="18" t="s">
        <v>10067</v>
      </c>
      <c r="E2280" s="34" t="s">
        <v>5172</v>
      </c>
      <c r="F2280" s="19" t="str">
        <f t="shared" si="1"/>
        <v>XIIOTO4</v>
      </c>
      <c r="G2280" s="19" t="s">
        <v>5408</v>
      </c>
      <c r="H2280" s="20" t="s">
        <v>4223</v>
      </c>
      <c r="I2280" s="19" t="s">
        <v>5409</v>
      </c>
      <c r="J2280" s="19" t="s">
        <v>5410</v>
      </c>
      <c r="K2280" s="21" t="s">
        <v>5415</v>
      </c>
      <c r="L2280" s="35" t="s">
        <v>6826</v>
      </c>
      <c r="M2280" s="29" t="s">
        <v>5171</v>
      </c>
      <c r="N2280" s="34" t="s">
        <v>5416</v>
      </c>
      <c r="O2280" s="34">
        <v>0.0</v>
      </c>
      <c r="P2280" s="18">
        <f>VLOOKUP($A2280,MasterData!$C$1:$I$3001,1,FALSE)</f>
        <v>8509</v>
      </c>
      <c r="Q2280" s="34" t="str">
        <f t="shared" si="2"/>
        <v>XIIOTO4</v>
      </c>
    </row>
    <row r="2281" ht="15.75" customHeight="1">
      <c r="A2281" s="15">
        <v>8526.0</v>
      </c>
      <c r="B2281" s="18" t="s">
        <v>10069</v>
      </c>
      <c r="C2281" s="29" t="s">
        <v>10070</v>
      </c>
      <c r="D2281" s="18" t="s">
        <v>10069</v>
      </c>
      <c r="E2281" s="34" t="s">
        <v>5174</v>
      </c>
      <c r="F2281" s="19" t="str">
        <f t="shared" si="1"/>
        <v>XIIOTO4</v>
      </c>
      <c r="G2281" s="19" t="s">
        <v>5408</v>
      </c>
      <c r="H2281" s="20" t="s">
        <v>4223</v>
      </c>
      <c r="I2281" s="19" t="s">
        <v>5409</v>
      </c>
      <c r="J2281" s="19" t="s">
        <v>5410</v>
      </c>
      <c r="K2281" s="21" t="s">
        <v>5415</v>
      </c>
      <c r="L2281" s="35" t="s">
        <v>6826</v>
      </c>
      <c r="M2281" s="29" t="s">
        <v>5173</v>
      </c>
      <c r="N2281" s="34" t="s">
        <v>5416</v>
      </c>
      <c r="O2281" s="34">
        <v>0.0</v>
      </c>
      <c r="P2281" s="18">
        <f>VLOOKUP($A2281,MasterData!$C$1:$I$3001,1,FALSE)</f>
        <v>8526</v>
      </c>
      <c r="Q2281" s="34" t="str">
        <f t="shared" si="2"/>
        <v>XIIOTO4</v>
      </c>
    </row>
    <row r="2282" ht="15.75" customHeight="1">
      <c r="A2282" s="15">
        <v>8534.0</v>
      </c>
      <c r="B2282" s="18" t="s">
        <v>10071</v>
      </c>
      <c r="C2282" s="29" t="s">
        <v>10072</v>
      </c>
      <c r="D2282" s="18" t="s">
        <v>10071</v>
      </c>
      <c r="E2282" s="34" t="s">
        <v>5176</v>
      </c>
      <c r="F2282" s="19" t="str">
        <f t="shared" si="1"/>
        <v>XIIOTO4</v>
      </c>
      <c r="G2282" s="19" t="s">
        <v>5408</v>
      </c>
      <c r="H2282" s="20" t="s">
        <v>4223</v>
      </c>
      <c r="I2282" s="19" t="s">
        <v>5409</v>
      </c>
      <c r="J2282" s="19" t="s">
        <v>5410</v>
      </c>
      <c r="K2282" s="21" t="s">
        <v>5415</v>
      </c>
      <c r="L2282" s="35" t="s">
        <v>6826</v>
      </c>
      <c r="M2282" s="29" t="s">
        <v>5175</v>
      </c>
      <c r="N2282" s="34" t="s">
        <v>5416</v>
      </c>
      <c r="O2282" s="34">
        <v>0.0</v>
      </c>
      <c r="P2282" s="18">
        <f>VLOOKUP($A2282,MasterData!$C$1:$I$3001,1,FALSE)</f>
        <v>8534</v>
      </c>
      <c r="Q2282" s="34" t="str">
        <f t="shared" si="2"/>
        <v>XIIOTO4</v>
      </c>
    </row>
    <row r="2283" ht="15.75" customHeight="1">
      <c r="A2283" s="15">
        <v>8545.0</v>
      </c>
      <c r="B2283" s="18" t="s">
        <v>10073</v>
      </c>
      <c r="C2283" s="29" t="s">
        <v>10074</v>
      </c>
      <c r="D2283" s="18" t="s">
        <v>10073</v>
      </c>
      <c r="E2283" s="34" t="s">
        <v>5178</v>
      </c>
      <c r="F2283" s="19" t="str">
        <f t="shared" si="1"/>
        <v>XIIOTO4</v>
      </c>
      <c r="G2283" s="19" t="s">
        <v>5408</v>
      </c>
      <c r="H2283" s="20" t="s">
        <v>4223</v>
      </c>
      <c r="I2283" s="19" t="s">
        <v>5409</v>
      </c>
      <c r="J2283" s="19" t="s">
        <v>5410</v>
      </c>
      <c r="K2283" s="21" t="s">
        <v>5415</v>
      </c>
      <c r="L2283" s="35" t="s">
        <v>6826</v>
      </c>
      <c r="M2283" s="29" t="s">
        <v>5177</v>
      </c>
      <c r="N2283" s="34" t="s">
        <v>5416</v>
      </c>
      <c r="O2283" s="34">
        <v>0.0</v>
      </c>
      <c r="P2283" s="18">
        <f>VLOOKUP($A2283,MasterData!$C$1:$I$3001,1,FALSE)</f>
        <v>8545</v>
      </c>
      <c r="Q2283" s="34" t="str">
        <f t="shared" si="2"/>
        <v>XIIOTO4</v>
      </c>
    </row>
    <row r="2284" ht="15.75" customHeight="1">
      <c r="A2284" s="15">
        <v>8585.0</v>
      </c>
      <c r="B2284" s="18" t="s">
        <v>10075</v>
      </c>
      <c r="C2284" s="29" t="s">
        <v>10076</v>
      </c>
      <c r="D2284" s="18" t="s">
        <v>10075</v>
      </c>
      <c r="E2284" s="34" t="s">
        <v>5180</v>
      </c>
      <c r="F2284" s="19" t="str">
        <f t="shared" si="1"/>
        <v>XIIOTO4</v>
      </c>
      <c r="G2284" s="19" t="s">
        <v>5408</v>
      </c>
      <c r="H2284" s="20" t="s">
        <v>4223</v>
      </c>
      <c r="I2284" s="19" t="s">
        <v>5409</v>
      </c>
      <c r="J2284" s="19" t="s">
        <v>5410</v>
      </c>
      <c r="K2284" s="21" t="s">
        <v>5415</v>
      </c>
      <c r="L2284" s="35" t="s">
        <v>6826</v>
      </c>
      <c r="M2284" s="29" t="s">
        <v>5179</v>
      </c>
      <c r="N2284" s="34" t="s">
        <v>5416</v>
      </c>
      <c r="O2284" s="34">
        <v>0.0</v>
      </c>
      <c r="P2284" s="18">
        <f>VLOOKUP($A2284,MasterData!$C$1:$I$3001,1,FALSE)</f>
        <v>8585</v>
      </c>
      <c r="Q2284" s="34" t="str">
        <f t="shared" si="2"/>
        <v>XIIOTO4</v>
      </c>
    </row>
    <row r="2285" ht="15.75" customHeight="1">
      <c r="A2285" s="15">
        <v>8601.0</v>
      </c>
      <c r="B2285" s="18" t="s">
        <v>10077</v>
      </c>
      <c r="C2285" s="29" t="s">
        <v>10078</v>
      </c>
      <c r="D2285" s="18" t="s">
        <v>10077</v>
      </c>
      <c r="E2285" s="34" t="s">
        <v>5182</v>
      </c>
      <c r="F2285" s="19" t="str">
        <f t="shared" si="1"/>
        <v>XIIOTO4</v>
      </c>
      <c r="G2285" s="19" t="s">
        <v>5408</v>
      </c>
      <c r="H2285" s="20" t="s">
        <v>4223</v>
      </c>
      <c r="I2285" s="19" t="s">
        <v>5409</v>
      </c>
      <c r="J2285" s="19" t="s">
        <v>5410</v>
      </c>
      <c r="K2285" s="21" t="s">
        <v>5415</v>
      </c>
      <c r="L2285" s="35" t="s">
        <v>6826</v>
      </c>
      <c r="M2285" s="29" t="s">
        <v>5181</v>
      </c>
      <c r="N2285" s="34" t="s">
        <v>5416</v>
      </c>
      <c r="O2285" s="34">
        <v>0.0</v>
      </c>
      <c r="P2285" s="18">
        <f>VLOOKUP($A2285,MasterData!$C$1:$I$3001,1,FALSE)</f>
        <v>8601</v>
      </c>
      <c r="Q2285" s="34" t="str">
        <f t="shared" si="2"/>
        <v>XIIOTO4</v>
      </c>
    </row>
    <row r="2286" ht="15.75" customHeight="1">
      <c r="A2286" s="15">
        <v>8049.0</v>
      </c>
      <c r="B2286" s="18" t="s">
        <v>10079</v>
      </c>
      <c r="C2286" s="29" t="s">
        <v>10080</v>
      </c>
      <c r="D2286" s="18" t="s">
        <v>10079</v>
      </c>
      <c r="E2286" s="34" t="s">
        <v>5184</v>
      </c>
      <c r="F2286" s="19" t="str">
        <f t="shared" si="1"/>
        <v>XIIOTO5</v>
      </c>
      <c r="G2286" s="19" t="s">
        <v>5408</v>
      </c>
      <c r="H2286" s="20" t="s">
        <v>4223</v>
      </c>
      <c r="I2286" s="19" t="s">
        <v>5409</v>
      </c>
      <c r="J2286" s="19" t="s">
        <v>5410</v>
      </c>
      <c r="K2286" s="21" t="s">
        <v>5415</v>
      </c>
      <c r="L2286" s="35" t="s">
        <v>6905</v>
      </c>
      <c r="M2286" s="29" t="s">
        <v>5183</v>
      </c>
      <c r="N2286" s="34" t="s">
        <v>5416</v>
      </c>
      <c r="O2286" s="34">
        <v>0.0</v>
      </c>
      <c r="P2286" s="18">
        <f>VLOOKUP($A2286,MasterData!$C$1:$I$3001,1,FALSE)</f>
        <v>8049</v>
      </c>
      <c r="Q2286" s="34" t="str">
        <f t="shared" si="2"/>
        <v>XIIOTO5</v>
      </c>
    </row>
    <row r="2287" ht="15.75" customHeight="1">
      <c r="A2287" s="15">
        <v>8064.0</v>
      </c>
      <c r="B2287" s="18" t="s">
        <v>10081</v>
      </c>
      <c r="C2287" s="29" t="s">
        <v>10082</v>
      </c>
      <c r="D2287" s="18" t="s">
        <v>10081</v>
      </c>
      <c r="E2287" s="34" t="s">
        <v>5186</v>
      </c>
      <c r="F2287" s="19" t="str">
        <f t="shared" si="1"/>
        <v>XIIOTO5</v>
      </c>
      <c r="G2287" s="19" t="s">
        <v>5408</v>
      </c>
      <c r="H2287" s="20" t="s">
        <v>4223</v>
      </c>
      <c r="I2287" s="19" t="s">
        <v>5409</v>
      </c>
      <c r="J2287" s="19" t="s">
        <v>5410</v>
      </c>
      <c r="K2287" s="21" t="s">
        <v>5415</v>
      </c>
      <c r="L2287" s="35" t="s">
        <v>6905</v>
      </c>
      <c r="M2287" s="29" t="s">
        <v>5185</v>
      </c>
      <c r="N2287" s="34" t="s">
        <v>5416</v>
      </c>
      <c r="O2287" s="34">
        <v>0.0</v>
      </c>
      <c r="P2287" s="18">
        <f>VLOOKUP($A2287,MasterData!$C$1:$I$3001,1,FALSE)</f>
        <v>8064</v>
      </c>
      <c r="Q2287" s="34" t="str">
        <f t="shared" si="2"/>
        <v>XIIOTO5</v>
      </c>
    </row>
    <row r="2288" ht="15.75" customHeight="1">
      <c r="A2288" s="15">
        <v>8078.0</v>
      </c>
      <c r="B2288" s="18" t="s">
        <v>10083</v>
      </c>
      <c r="C2288" s="29" t="s">
        <v>10084</v>
      </c>
      <c r="D2288" s="18" t="s">
        <v>10083</v>
      </c>
      <c r="E2288" s="3" t="s">
        <v>5188</v>
      </c>
      <c r="F2288" s="19" t="str">
        <f t="shared" si="1"/>
        <v>XIIOTO5</v>
      </c>
      <c r="G2288" s="19" t="s">
        <v>5408</v>
      </c>
      <c r="H2288" s="20" t="s">
        <v>4223</v>
      </c>
      <c r="I2288" s="19" t="s">
        <v>5409</v>
      </c>
      <c r="J2288" s="19" t="s">
        <v>5410</v>
      </c>
      <c r="K2288" s="21" t="s">
        <v>5415</v>
      </c>
      <c r="L2288" s="35" t="s">
        <v>6905</v>
      </c>
      <c r="M2288" s="29" t="s">
        <v>5187</v>
      </c>
      <c r="N2288" s="34" t="s">
        <v>5416</v>
      </c>
      <c r="O2288" s="34">
        <v>0.0</v>
      </c>
      <c r="P2288" s="18">
        <f>VLOOKUP($A2288,MasterData!$C$1:$I$3001,1,FALSE)</f>
        <v>8078</v>
      </c>
      <c r="Q2288" s="34" t="str">
        <f t="shared" si="2"/>
        <v>XIIOTO5</v>
      </c>
    </row>
    <row r="2289" ht="15.75" customHeight="1">
      <c r="A2289" s="15">
        <v>8092.0</v>
      </c>
      <c r="B2289" s="18" t="s">
        <v>10085</v>
      </c>
      <c r="C2289" s="37" t="s">
        <v>10086</v>
      </c>
      <c r="D2289" s="18" t="s">
        <v>10085</v>
      </c>
      <c r="E2289" s="34" t="s">
        <v>5190</v>
      </c>
      <c r="F2289" s="19" t="str">
        <f t="shared" si="1"/>
        <v>XIIOTO5</v>
      </c>
      <c r="G2289" s="19" t="s">
        <v>5408</v>
      </c>
      <c r="H2289" s="20" t="s">
        <v>4223</v>
      </c>
      <c r="I2289" s="19" t="s">
        <v>5409</v>
      </c>
      <c r="J2289" s="19" t="s">
        <v>5410</v>
      </c>
      <c r="K2289" s="21" t="s">
        <v>5415</v>
      </c>
      <c r="L2289" s="35" t="s">
        <v>6905</v>
      </c>
      <c r="M2289" s="29" t="s">
        <v>5189</v>
      </c>
      <c r="N2289" s="34" t="s">
        <v>5416</v>
      </c>
      <c r="O2289" s="34">
        <v>0.0</v>
      </c>
      <c r="P2289" s="18">
        <f>VLOOKUP($A2289,MasterData!$C$1:$I$3001,1,FALSE)</f>
        <v>8092</v>
      </c>
      <c r="Q2289" s="34" t="str">
        <f t="shared" si="2"/>
        <v>XIIOTO5</v>
      </c>
    </row>
    <row r="2290" ht="15.75" customHeight="1">
      <c r="A2290" s="15">
        <v>8106.0</v>
      </c>
      <c r="B2290" s="18" t="s">
        <v>10087</v>
      </c>
      <c r="C2290" s="29" t="s">
        <v>10088</v>
      </c>
      <c r="D2290" s="18" t="s">
        <v>10087</v>
      </c>
      <c r="E2290" s="34" t="s">
        <v>5192</v>
      </c>
      <c r="F2290" s="19" t="str">
        <f t="shared" si="1"/>
        <v>XIIOTO5</v>
      </c>
      <c r="G2290" s="19" t="s">
        <v>5408</v>
      </c>
      <c r="H2290" s="20" t="s">
        <v>4223</v>
      </c>
      <c r="I2290" s="19" t="s">
        <v>5409</v>
      </c>
      <c r="J2290" s="19" t="s">
        <v>5410</v>
      </c>
      <c r="K2290" s="21" t="s">
        <v>5415</v>
      </c>
      <c r="L2290" s="35" t="s">
        <v>6905</v>
      </c>
      <c r="M2290" s="29" t="s">
        <v>5191</v>
      </c>
      <c r="N2290" s="34" t="s">
        <v>5416</v>
      </c>
      <c r="O2290" s="34">
        <v>0.0</v>
      </c>
      <c r="P2290" s="18">
        <f>VLOOKUP($A2290,MasterData!$C$1:$I$3001,1,FALSE)</f>
        <v>8106</v>
      </c>
      <c r="Q2290" s="34" t="str">
        <f t="shared" si="2"/>
        <v>XIIOTO5</v>
      </c>
    </row>
    <row r="2291" ht="15.75" customHeight="1">
      <c r="A2291" s="15">
        <v>8130.0</v>
      </c>
      <c r="B2291" s="18" t="s">
        <v>10089</v>
      </c>
      <c r="C2291" s="29" t="s">
        <v>10090</v>
      </c>
      <c r="D2291" s="18" t="s">
        <v>10089</v>
      </c>
      <c r="E2291" s="34" t="s">
        <v>5194</v>
      </c>
      <c r="F2291" s="19" t="str">
        <f t="shared" si="1"/>
        <v>XIIOTO5</v>
      </c>
      <c r="G2291" s="19" t="s">
        <v>5408</v>
      </c>
      <c r="H2291" s="20" t="s">
        <v>4223</v>
      </c>
      <c r="I2291" s="19" t="s">
        <v>5409</v>
      </c>
      <c r="J2291" s="19" t="s">
        <v>5410</v>
      </c>
      <c r="K2291" s="21" t="s">
        <v>5415</v>
      </c>
      <c r="L2291" s="35" t="s">
        <v>6905</v>
      </c>
      <c r="M2291" s="29" t="s">
        <v>5193</v>
      </c>
      <c r="N2291" s="34" t="s">
        <v>5416</v>
      </c>
      <c r="O2291" s="34">
        <v>0.0</v>
      </c>
      <c r="P2291" s="18">
        <f>VLOOKUP($A2291,MasterData!$C$1:$I$3001,1,FALSE)</f>
        <v>8130</v>
      </c>
      <c r="Q2291" s="34" t="str">
        <f t="shared" si="2"/>
        <v>XIIOTO5</v>
      </c>
    </row>
    <row r="2292" ht="15.75" customHeight="1">
      <c r="A2292" s="15">
        <v>8140.0</v>
      </c>
      <c r="B2292" s="18" t="s">
        <v>10091</v>
      </c>
      <c r="C2292" s="29" t="s">
        <v>10092</v>
      </c>
      <c r="D2292" s="18" t="s">
        <v>10091</v>
      </c>
      <c r="E2292" s="34" t="s">
        <v>5196</v>
      </c>
      <c r="F2292" s="19" t="str">
        <f t="shared" si="1"/>
        <v>XIIOTO5</v>
      </c>
      <c r="G2292" s="19" t="s">
        <v>5408</v>
      </c>
      <c r="H2292" s="20" t="s">
        <v>4223</v>
      </c>
      <c r="I2292" s="19" t="s">
        <v>5409</v>
      </c>
      <c r="J2292" s="19" t="s">
        <v>5410</v>
      </c>
      <c r="K2292" s="21" t="s">
        <v>5415</v>
      </c>
      <c r="L2292" s="35" t="s">
        <v>6905</v>
      </c>
      <c r="M2292" s="29" t="s">
        <v>5195</v>
      </c>
      <c r="N2292" s="34" t="s">
        <v>5416</v>
      </c>
      <c r="O2292" s="34">
        <v>0.0</v>
      </c>
      <c r="P2292" s="18">
        <f>VLOOKUP($A2292,MasterData!$C$1:$I$3001,1,FALSE)</f>
        <v>8140</v>
      </c>
      <c r="Q2292" s="34" t="str">
        <f t="shared" si="2"/>
        <v>XIIOTO5</v>
      </c>
    </row>
    <row r="2293" ht="15.75" customHeight="1">
      <c r="A2293" s="15">
        <v>8172.0</v>
      </c>
      <c r="B2293" s="18" t="s">
        <v>10093</v>
      </c>
      <c r="C2293" s="29" t="s">
        <v>10094</v>
      </c>
      <c r="D2293" s="18" t="s">
        <v>10093</v>
      </c>
      <c r="E2293" s="34" t="s">
        <v>5198</v>
      </c>
      <c r="F2293" s="19" t="str">
        <f t="shared" si="1"/>
        <v>XIIOTO5</v>
      </c>
      <c r="G2293" s="19" t="s">
        <v>5408</v>
      </c>
      <c r="H2293" s="20" t="s">
        <v>4223</v>
      </c>
      <c r="I2293" s="19" t="s">
        <v>5409</v>
      </c>
      <c r="J2293" s="19" t="s">
        <v>5410</v>
      </c>
      <c r="K2293" s="21" t="s">
        <v>5415</v>
      </c>
      <c r="L2293" s="35" t="s">
        <v>6905</v>
      </c>
      <c r="M2293" s="29" t="s">
        <v>5197</v>
      </c>
      <c r="N2293" s="34" t="s">
        <v>5416</v>
      </c>
      <c r="O2293" s="34">
        <v>0.0</v>
      </c>
      <c r="P2293" s="18">
        <f>VLOOKUP($A2293,MasterData!$C$1:$I$3001,1,FALSE)</f>
        <v>8172</v>
      </c>
      <c r="Q2293" s="34" t="str">
        <f t="shared" si="2"/>
        <v>XIIOTO5</v>
      </c>
    </row>
    <row r="2294" ht="15.75" customHeight="1">
      <c r="A2294" s="15">
        <v>8195.0</v>
      </c>
      <c r="B2294" s="18" t="s">
        <v>10095</v>
      </c>
      <c r="C2294" s="29" t="s">
        <v>10096</v>
      </c>
      <c r="D2294" s="18" t="s">
        <v>10095</v>
      </c>
      <c r="E2294" s="34" t="s">
        <v>5200</v>
      </c>
      <c r="F2294" s="19" t="str">
        <f t="shared" si="1"/>
        <v>XIIOTO5</v>
      </c>
      <c r="G2294" s="19" t="s">
        <v>5408</v>
      </c>
      <c r="H2294" s="20" t="s">
        <v>4223</v>
      </c>
      <c r="I2294" s="19" t="s">
        <v>5409</v>
      </c>
      <c r="J2294" s="19" t="s">
        <v>5410</v>
      </c>
      <c r="K2294" s="21" t="s">
        <v>5415</v>
      </c>
      <c r="L2294" s="35" t="s">
        <v>6905</v>
      </c>
      <c r="M2294" s="29" t="s">
        <v>5199</v>
      </c>
      <c r="N2294" s="34" t="s">
        <v>5416</v>
      </c>
      <c r="O2294" s="34">
        <v>0.0</v>
      </c>
      <c r="P2294" s="18">
        <f>VLOOKUP($A2294,MasterData!$C$1:$I$3001,1,FALSE)</f>
        <v>8195</v>
      </c>
      <c r="Q2294" s="34" t="str">
        <f t="shared" si="2"/>
        <v>XIIOTO5</v>
      </c>
    </row>
    <row r="2295" ht="15.75" customHeight="1">
      <c r="A2295" s="15">
        <v>8205.0</v>
      </c>
      <c r="B2295" s="18" t="s">
        <v>10097</v>
      </c>
      <c r="C2295" s="29" t="s">
        <v>10098</v>
      </c>
      <c r="D2295" s="18" t="s">
        <v>10097</v>
      </c>
      <c r="E2295" s="34" t="s">
        <v>5202</v>
      </c>
      <c r="F2295" s="19" t="str">
        <f t="shared" si="1"/>
        <v>XIIOTO5</v>
      </c>
      <c r="G2295" s="19" t="s">
        <v>5408</v>
      </c>
      <c r="H2295" s="20" t="s">
        <v>4223</v>
      </c>
      <c r="I2295" s="19" t="s">
        <v>5409</v>
      </c>
      <c r="J2295" s="19" t="s">
        <v>5410</v>
      </c>
      <c r="K2295" s="21" t="s">
        <v>5415</v>
      </c>
      <c r="L2295" s="35" t="s">
        <v>6905</v>
      </c>
      <c r="M2295" s="29" t="s">
        <v>5201</v>
      </c>
      <c r="N2295" s="34" t="s">
        <v>5416</v>
      </c>
      <c r="O2295" s="34">
        <v>0.0</v>
      </c>
      <c r="P2295" s="18">
        <f>VLOOKUP($A2295,MasterData!$C$1:$I$3001,1,FALSE)</f>
        <v>8205</v>
      </c>
      <c r="Q2295" s="34" t="str">
        <f t="shared" si="2"/>
        <v>XIIOTO5</v>
      </c>
    </row>
    <row r="2296" ht="15.75" customHeight="1">
      <c r="A2296" s="15">
        <v>8241.0</v>
      </c>
      <c r="B2296" s="18" t="s">
        <v>10099</v>
      </c>
      <c r="C2296" s="29" t="s">
        <v>10100</v>
      </c>
      <c r="D2296" s="18" t="s">
        <v>10099</v>
      </c>
      <c r="E2296" s="34" t="s">
        <v>5204</v>
      </c>
      <c r="F2296" s="19" t="str">
        <f t="shared" si="1"/>
        <v>XIIOTO5</v>
      </c>
      <c r="G2296" s="19" t="s">
        <v>5408</v>
      </c>
      <c r="H2296" s="20" t="s">
        <v>4223</v>
      </c>
      <c r="I2296" s="19" t="s">
        <v>5409</v>
      </c>
      <c r="J2296" s="19" t="s">
        <v>5410</v>
      </c>
      <c r="K2296" s="21" t="s">
        <v>5415</v>
      </c>
      <c r="L2296" s="35" t="s">
        <v>6905</v>
      </c>
      <c r="M2296" s="29" t="s">
        <v>5203</v>
      </c>
      <c r="N2296" s="34" t="s">
        <v>5416</v>
      </c>
      <c r="O2296" s="34">
        <v>0.0</v>
      </c>
      <c r="P2296" s="18">
        <f>VLOOKUP($A2296,MasterData!$C$1:$I$3001,1,FALSE)</f>
        <v>8241</v>
      </c>
      <c r="Q2296" s="34" t="str">
        <f t="shared" si="2"/>
        <v>XIIOTO5</v>
      </c>
    </row>
    <row r="2297" ht="15.75" customHeight="1">
      <c r="A2297" s="15">
        <v>8264.0</v>
      </c>
      <c r="B2297" s="18" t="s">
        <v>10101</v>
      </c>
      <c r="C2297" s="29" t="s">
        <v>10102</v>
      </c>
      <c r="D2297" s="18" t="s">
        <v>10101</v>
      </c>
      <c r="E2297" s="34" t="s">
        <v>5206</v>
      </c>
      <c r="F2297" s="19" t="str">
        <f t="shared" si="1"/>
        <v>XIIOTO5</v>
      </c>
      <c r="G2297" s="19" t="s">
        <v>5408</v>
      </c>
      <c r="H2297" s="20" t="s">
        <v>4223</v>
      </c>
      <c r="I2297" s="19" t="s">
        <v>5409</v>
      </c>
      <c r="J2297" s="19" t="s">
        <v>5410</v>
      </c>
      <c r="K2297" s="21" t="s">
        <v>5415</v>
      </c>
      <c r="L2297" s="35" t="s">
        <v>6905</v>
      </c>
      <c r="M2297" s="29" t="s">
        <v>5205</v>
      </c>
      <c r="N2297" s="34" t="s">
        <v>5416</v>
      </c>
      <c r="O2297" s="34">
        <v>0.0</v>
      </c>
      <c r="P2297" s="18">
        <f>VLOOKUP($A2297,MasterData!$C$1:$I$3001,1,FALSE)</f>
        <v>8264</v>
      </c>
      <c r="Q2297" s="34" t="str">
        <f t="shared" si="2"/>
        <v>XIIOTO5</v>
      </c>
    </row>
    <row r="2298" ht="15.75" customHeight="1">
      <c r="A2298" s="15">
        <v>8321.0</v>
      </c>
      <c r="B2298" s="18" t="s">
        <v>10103</v>
      </c>
      <c r="C2298" s="29" t="s">
        <v>10104</v>
      </c>
      <c r="D2298" s="18" t="s">
        <v>10103</v>
      </c>
      <c r="E2298" s="34" t="s">
        <v>5208</v>
      </c>
      <c r="F2298" s="19" t="str">
        <f t="shared" si="1"/>
        <v>XIIOTO5</v>
      </c>
      <c r="G2298" s="19" t="s">
        <v>5408</v>
      </c>
      <c r="H2298" s="20" t="s">
        <v>4223</v>
      </c>
      <c r="I2298" s="19" t="s">
        <v>5409</v>
      </c>
      <c r="J2298" s="19" t="s">
        <v>5410</v>
      </c>
      <c r="K2298" s="21" t="s">
        <v>5415</v>
      </c>
      <c r="L2298" s="35" t="s">
        <v>6905</v>
      </c>
      <c r="M2298" s="29" t="s">
        <v>5207</v>
      </c>
      <c r="N2298" s="34" t="s">
        <v>5416</v>
      </c>
      <c r="O2298" s="34">
        <v>0.0</v>
      </c>
      <c r="P2298" s="18">
        <f>VLOOKUP($A2298,MasterData!$C$1:$I$3001,1,FALSE)</f>
        <v>8321</v>
      </c>
      <c r="Q2298" s="34" t="str">
        <f t="shared" si="2"/>
        <v>XIIOTO5</v>
      </c>
    </row>
    <row r="2299" ht="15.75" customHeight="1">
      <c r="A2299" s="15">
        <v>8334.0</v>
      </c>
      <c r="B2299" s="18" t="s">
        <v>10105</v>
      </c>
      <c r="C2299" s="29" t="s">
        <v>10106</v>
      </c>
      <c r="D2299" s="18" t="s">
        <v>10105</v>
      </c>
      <c r="E2299" s="34" t="s">
        <v>5210</v>
      </c>
      <c r="F2299" s="19" t="str">
        <f t="shared" si="1"/>
        <v>XIIOTO5</v>
      </c>
      <c r="G2299" s="19" t="s">
        <v>5408</v>
      </c>
      <c r="H2299" s="20" t="s">
        <v>4223</v>
      </c>
      <c r="I2299" s="19" t="s">
        <v>5409</v>
      </c>
      <c r="J2299" s="19" t="s">
        <v>5410</v>
      </c>
      <c r="K2299" s="21" t="s">
        <v>5415</v>
      </c>
      <c r="L2299" s="35" t="s">
        <v>6905</v>
      </c>
      <c r="M2299" s="29" t="s">
        <v>5209</v>
      </c>
      <c r="N2299" s="34" t="s">
        <v>5416</v>
      </c>
      <c r="O2299" s="34">
        <v>0.0</v>
      </c>
      <c r="P2299" s="18">
        <f>VLOOKUP($A2299,MasterData!$C$1:$I$3001,1,FALSE)</f>
        <v>8334</v>
      </c>
      <c r="Q2299" s="34" t="str">
        <f t="shared" si="2"/>
        <v>XIIOTO5</v>
      </c>
    </row>
    <row r="2300" ht="15.75" customHeight="1">
      <c r="A2300" s="15">
        <v>8368.0</v>
      </c>
      <c r="B2300" s="18" t="s">
        <v>10107</v>
      </c>
      <c r="C2300" s="37" t="s">
        <v>10108</v>
      </c>
      <c r="D2300" s="18" t="s">
        <v>10107</v>
      </c>
      <c r="E2300" s="34" t="s">
        <v>5212</v>
      </c>
      <c r="F2300" s="19" t="str">
        <f t="shared" si="1"/>
        <v>XIIOTO5</v>
      </c>
      <c r="G2300" s="19" t="s">
        <v>5408</v>
      </c>
      <c r="H2300" s="20" t="s">
        <v>4223</v>
      </c>
      <c r="I2300" s="19" t="s">
        <v>5409</v>
      </c>
      <c r="J2300" s="19" t="s">
        <v>5410</v>
      </c>
      <c r="K2300" s="21" t="s">
        <v>5415</v>
      </c>
      <c r="L2300" s="35" t="s">
        <v>6905</v>
      </c>
      <c r="M2300" s="29" t="s">
        <v>5211</v>
      </c>
      <c r="N2300" s="34" t="s">
        <v>5416</v>
      </c>
      <c r="O2300" s="34">
        <v>0.0</v>
      </c>
      <c r="P2300" s="18">
        <f>VLOOKUP($A2300,MasterData!$C$1:$I$3001,1,FALSE)</f>
        <v>8368</v>
      </c>
      <c r="Q2300" s="34" t="str">
        <f t="shared" si="2"/>
        <v>XIIOTO5</v>
      </c>
    </row>
    <row r="2301" ht="15.75" customHeight="1">
      <c r="A2301" s="15">
        <v>8379.0</v>
      </c>
      <c r="B2301" s="18" t="s">
        <v>10109</v>
      </c>
      <c r="C2301" s="29" t="s">
        <v>10110</v>
      </c>
      <c r="D2301" s="18" t="s">
        <v>10109</v>
      </c>
      <c r="E2301" s="34" t="s">
        <v>5214</v>
      </c>
      <c r="F2301" s="19" t="str">
        <f t="shared" si="1"/>
        <v>XIIOTO5</v>
      </c>
      <c r="G2301" s="19" t="s">
        <v>5408</v>
      </c>
      <c r="H2301" s="20" t="s">
        <v>4223</v>
      </c>
      <c r="I2301" s="19" t="s">
        <v>5409</v>
      </c>
      <c r="J2301" s="19" t="s">
        <v>5410</v>
      </c>
      <c r="K2301" s="21" t="s">
        <v>5415</v>
      </c>
      <c r="L2301" s="35" t="s">
        <v>6905</v>
      </c>
      <c r="M2301" s="29" t="s">
        <v>5213</v>
      </c>
      <c r="N2301" s="34" t="s">
        <v>5416</v>
      </c>
      <c r="O2301" s="34">
        <v>0.0</v>
      </c>
      <c r="P2301" s="18">
        <f>VLOOKUP($A2301,MasterData!$C$1:$I$3001,1,FALSE)</f>
        <v>8379</v>
      </c>
      <c r="Q2301" s="34" t="str">
        <f t="shared" si="2"/>
        <v>XIIOTO5</v>
      </c>
    </row>
    <row r="2302" ht="15.75" customHeight="1">
      <c r="A2302" s="15">
        <v>8384.0</v>
      </c>
      <c r="B2302" s="18" t="s">
        <v>10111</v>
      </c>
      <c r="C2302" s="29" t="s">
        <v>10112</v>
      </c>
      <c r="D2302" s="18" t="s">
        <v>10111</v>
      </c>
      <c r="E2302" s="34" t="s">
        <v>5216</v>
      </c>
      <c r="F2302" s="19" t="str">
        <f t="shared" si="1"/>
        <v>XIIOTO5</v>
      </c>
      <c r="G2302" s="19" t="s">
        <v>5408</v>
      </c>
      <c r="H2302" s="20" t="s">
        <v>4223</v>
      </c>
      <c r="I2302" s="19" t="s">
        <v>5409</v>
      </c>
      <c r="J2302" s="19" t="s">
        <v>5410</v>
      </c>
      <c r="K2302" s="21" t="s">
        <v>5415</v>
      </c>
      <c r="L2302" s="35" t="s">
        <v>6905</v>
      </c>
      <c r="M2302" s="29" t="s">
        <v>5215</v>
      </c>
      <c r="N2302" s="34" t="s">
        <v>5416</v>
      </c>
      <c r="O2302" s="34">
        <v>0.0</v>
      </c>
      <c r="P2302" s="18">
        <f>VLOOKUP($A2302,MasterData!$C$1:$I$3001,1,FALSE)</f>
        <v>8384</v>
      </c>
      <c r="Q2302" s="34" t="str">
        <f t="shared" si="2"/>
        <v>XIIOTO5</v>
      </c>
    </row>
    <row r="2303" ht="15.75" customHeight="1">
      <c r="A2303" s="15">
        <v>8395.0</v>
      </c>
      <c r="B2303" s="18" t="s">
        <v>10113</v>
      </c>
      <c r="C2303" s="29" t="s">
        <v>10114</v>
      </c>
      <c r="D2303" s="18" t="s">
        <v>10113</v>
      </c>
      <c r="E2303" s="34" t="s">
        <v>5218</v>
      </c>
      <c r="F2303" s="19" t="str">
        <f t="shared" si="1"/>
        <v>XIIOTO5</v>
      </c>
      <c r="G2303" s="19" t="s">
        <v>5408</v>
      </c>
      <c r="H2303" s="20" t="s">
        <v>4223</v>
      </c>
      <c r="I2303" s="19" t="s">
        <v>5409</v>
      </c>
      <c r="J2303" s="19" t="s">
        <v>5410</v>
      </c>
      <c r="K2303" s="21" t="s">
        <v>5415</v>
      </c>
      <c r="L2303" s="35" t="s">
        <v>6905</v>
      </c>
      <c r="M2303" s="29" t="s">
        <v>5217</v>
      </c>
      <c r="N2303" s="34" t="s">
        <v>5416</v>
      </c>
      <c r="O2303" s="34">
        <v>0.0</v>
      </c>
      <c r="P2303" s="18">
        <f>VLOOKUP($A2303,MasterData!$C$1:$I$3001,1,FALSE)</f>
        <v>8395</v>
      </c>
      <c r="Q2303" s="34" t="str">
        <f t="shared" si="2"/>
        <v>XIIOTO5</v>
      </c>
    </row>
    <row r="2304" ht="15.75" customHeight="1">
      <c r="A2304" s="15">
        <v>8410.0</v>
      </c>
      <c r="B2304" s="18" t="s">
        <v>10115</v>
      </c>
      <c r="C2304" s="29" t="s">
        <v>10116</v>
      </c>
      <c r="D2304" s="18" t="s">
        <v>10115</v>
      </c>
      <c r="E2304" s="34" t="s">
        <v>5220</v>
      </c>
      <c r="F2304" s="19" t="str">
        <f t="shared" si="1"/>
        <v>XIIOTO5</v>
      </c>
      <c r="G2304" s="19" t="s">
        <v>5408</v>
      </c>
      <c r="H2304" s="20" t="s">
        <v>4223</v>
      </c>
      <c r="I2304" s="19" t="s">
        <v>5409</v>
      </c>
      <c r="J2304" s="19" t="s">
        <v>5410</v>
      </c>
      <c r="K2304" s="21" t="s">
        <v>5415</v>
      </c>
      <c r="L2304" s="35" t="s">
        <v>6905</v>
      </c>
      <c r="M2304" s="29" t="s">
        <v>5219</v>
      </c>
      <c r="N2304" s="34" t="s">
        <v>5416</v>
      </c>
      <c r="O2304" s="34">
        <v>0.0</v>
      </c>
      <c r="P2304" s="18">
        <f>VLOOKUP($A2304,MasterData!$C$1:$I$3001,1,FALSE)</f>
        <v>8410</v>
      </c>
      <c r="Q2304" s="34" t="str">
        <f t="shared" si="2"/>
        <v>XIIOTO5</v>
      </c>
    </row>
    <row r="2305" ht="15.75" customHeight="1">
      <c r="A2305" s="15">
        <v>8424.0</v>
      </c>
      <c r="B2305" s="18" t="s">
        <v>10117</v>
      </c>
      <c r="C2305" s="29" t="s">
        <v>10118</v>
      </c>
      <c r="D2305" s="18" t="s">
        <v>10117</v>
      </c>
      <c r="E2305" s="34" t="s">
        <v>5222</v>
      </c>
      <c r="F2305" s="19" t="str">
        <f t="shared" si="1"/>
        <v>XIIOTO5</v>
      </c>
      <c r="G2305" s="19" t="s">
        <v>5408</v>
      </c>
      <c r="H2305" s="20" t="s">
        <v>4223</v>
      </c>
      <c r="I2305" s="19" t="s">
        <v>5409</v>
      </c>
      <c r="J2305" s="19" t="s">
        <v>5410</v>
      </c>
      <c r="K2305" s="21" t="s">
        <v>5415</v>
      </c>
      <c r="L2305" s="35" t="s">
        <v>6905</v>
      </c>
      <c r="M2305" s="29" t="s">
        <v>5221</v>
      </c>
      <c r="N2305" s="34" t="s">
        <v>5416</v>
      </c>
      <c r="O2305" s="34">
        <v>0.0</v>
      </c>
      <c r="P2305" s="18">
        <f>VLOOKUP($A2305,MasterData!$C$1:$I$3001,1,FALSE)</f>
        <v>8424</v>
      </c>
      <c r="Q2305" s="34" t="str">
        <f t="shared" si="2"/>
        <v>XIIOTO5</v>
      </c>
    </row>
    <row r="2306" ht="15.75" customHeight="1">
      <c r="A2306" s="15">
        <v>8432.0</v>
      </c>
      <c r="B2306" s="18" t="s">
        <v>10119</v>
      </c>
      <c r="C2306" s="29" t="s">
        <v>10120</v>
      </c>
      <c r="D2306" s="18" t="s">
        <v>10119</v>
      </c>
      <c r="E2306" s="34" t="s">
        <v>5224</v>
      </c>
      <c r="F2306" s="19" t="str">
        <f t="shared" si="1"/>
        <v>XIIOTO5</v>
      </c>
      <c r="G2306" s="19" t="s">
        <v>5408</v>
      </c>
      <c r="H2306" s="20" t="s">
        <v>4223</v>
      </c>
      <c r="I2306" s="19" t="s">
        <v>5409</v>
      </c>
      <c r="J2306" s="19" t="s">
        <v>5410</v>
      </c>
      <c r="K2306" s="21" t="s">
        <v>5415</v>
      </c>
      <c r="L2306" s="35" t="s">
        <v>6905</v>
      </c>
      <c r="M2306" s="29" t="s">
        <v>5223</v>
      </c>
      <c r="N2306" s="34" t="s">
        <v>5416</v>
      </c>
      <c r="O2306" s="34">
        <v>0.0</v>
      </c>
      <c r="P2306" s="18">
        <f>VLOOKUP($A2306,MasterData!$C$1:$I$3001,1,FALSE)</f>
        <v>8432</v>
      </c>
      <c r="Q2306" s="34" t="str">
        <f t="shared" si="2"/>
        <v>XIIOTO5</v>
      </c>
    </row>
    <row r="2307" ht="15.75" customHeight="1">
      <c r="A2307" s="15">
        <v>8458.0</v>
      </c>
      <c r="B2307" s="18" t="s">
        <v>10121</v>
      </c>
      <c r="C2307" s="29" t="s">
        <v>10122</v>
      </c>
      <c r="D2307" s="18" t="s">
        <v>10121</v>
      </c>
      <c r="E2307" s="34" t="s">
        <v>5226</v>
      </c>
      <c r="F2307" s="19" t="str">
        <f t="shared" si="1"/>
        <v>XIIOTO5</v>
      </c>
      <c r="G2307" s="19" t="s">
        <v>5408</v>
      </c>
      <c r="H2307" s="20" t="s">
        <v>4223</v>
      </c>
      <c r="I2307" s="19" t="s">
        <v>5409</v>
      </c>
      <c r="J2307" s="19" t="s">
        <v>5410</v>
      </c>
      <c r="K2307" s="21" t="s">
        <v>5415</v>
      </c>
      <c r="L2307" s="35" t="s">
        <v>6905</v>
      </c>
      <c r="M2307" s="29" t="s">
        <v>5225</v>
      </c>
      <c r="N2307" s="34" t="s">
        <v>5416</v>
      </c>
      <c r="O2307" s="34">
        <v>0.0</v>
      </c>
      <c r="P2307" s="18">
        <f>VLOOKUP($A2307,MasterData!$C$1:$I$3001,1,FALSE)</f>
        <v>8458</v>
      </c>
      <c r="Q2307" s="34" t="str">
        <f t="shared" si="2"/>
        <v>XIIOTO5</v>
      </c>
    </row>
    <row r="2308" ht="15.75" customHeight="1">
      <c r="A2308" s="15">
        <v>8490.0</v>
      </c>
      <c r="B2308" s="18" t="s">
        <v>10123</v>
      </c>
      <c r="C2308" s="29" t="s">
        <v>10124</v>
      </c>
      <c r="D2308" s="18" t="s">
        <v>10123</v>
      </c>
      <c r="E2308" s="34" t="s">
        <v>5228</v>
      </c>
      <c r="F2308" s="19" t="str">
        <f t="shared" si="1"/>
        <v>XIIOTO5</v>
      </c>
      <c r="G2308" s="19" t="s">
        <v>5408</v>
      </c>
      <c r="H2308" s="20" t="s">
        <v>4223</v>
      </c>
      <c r="I2308" s="19" t="s">
        <v>5409</v>
      </c>
      <c r="J2308" s="19" t="s">
        <v>5410</v>
      </c>
      <c r="K2308" s="21" t="s">
        <v>5415</v>
      </c>
      <c r="L2308" s="35" t="s">
        <v>6905</v>
      </c>
      <c r="M2308" s="29" t="s">
        <v>5227</v>
      </c>
      <c r="N2308" s="34" t="s">
        <v>5416</v>
      </c>
      <c r="O2308" s="34">
        <v>0.0</v>
      </c>
      <c r="P2308" s="18">
        <f>VLOOKUP($A2308,MasterData!$C$1:$I$3001,1,FALSE)</f>
        <v>8490</v>
      </c>
      <c r="Q2308" s="34" t="str">
        <f t="shared" si="2"/>
        <v>XIIOTO5</v>
      </c>
    </row>
    <row r="2309" ht="15.75" customHeight="1">
      <c r="A2309" s="15">
        <v>8503.0</v>
      </c>
      <c r="B2309" s="18" t="s">
        <v>10125</v>
      </c>
      <c r="C2309" s="29" t="s">
        <v>10126</v>
      </c>
      <c r="D2309" s="18" t="s">
        <v>10125</v>
      </c>
      <c r="E2309" s="34" t="s">
        <v>5230</v>
      </c>
      <c r="F2309" s="19" t="str">
        <f t="shared" si="1"/>
        <v>XIIOTO5</v>
      </c>
      <c r="G2309" s="19" t="s">
        <v>5408</v>
      </c>
      <c r="H2309" s="20" t="s">
        <v>4223</v>
      </c>
      <c r="I2309" s="19" t="s">
        <v>5409</v>
      </c>
      <c r="J2309" s="19" t="s">
        <v>5410</v>
      </c>
      <c r="K2309" s="21" t="s">
        <v>5415</v>
      </c>
      <c r="L2309" s="35" t="s">
        <v>6905</v>
      </c>
      <c r="M2309" s="29" t="s">
        <v>5229</v>
      </c>
      <c r="N2309" s="34" t="s">
        <v>5416</v>
      </c>
      <c r="O2309" s="34">
        <v>0.0</v>
      </c>
      <c r="P2309" s="18">
        <f>VLOOKUP($A2309,MasterData!$C$1:$I$3001,1,FALSE)</f>
        <v>8503</v>
      </c>
      <c r="Q2309" s="34" t="str">
        <f t="shared" si="2"/>
        <v>XIIOTO5</v>
      </c>
    </row>
    <row r="2310" ht="15.75" customHeight="1">
      <c r="A2310" s="15">
        <v>8518.0</v>
      </c>
      <c r="B2310" s="18" t="s">
        <v>10127</v>
      </c>
      <c r="C2310" s="29" t="s">
        <v>10128</v>
      </c>
      <c r="D2310" s="18" t="s">
        <v>10127</v>
      </c>
      <c r="E2310" s="34" t="s">
        <v>5232</v>
      </c>
      <c r="F2310" s="19" t="str">
        <f t="shared" si="1"/>
        <v>XIIOTO5</v>
      </c>
      <c r="G2310" s="19" t="s">
        <v>5408</v>
      </c>
      <c r="H2310" s="20" t="s">
        <v>4223</v>
      </c>
      <c r="I2310" s="19" t="s">
        <v>5409</v>
      </c>
      <c r="J2310" s="19" t="s">
        <v>5410</v>
      </c>
      <c r="K2310" s="21" t="s">
        <v>5415</v>
      </c>
      <c r="L2310" s="35" t="s">
        <v>6905</v>
      </c>
      <c r="M2310" s="29" t="s">
        <v>5231</v>
      </c>
      <c r="N2310" s="34" t="s">
        <v>5416</v>
      </c>
      <c r="O2310" s="34">
        <v>0.0</v>
      </c>
      <c r="P2310" s="18">
        <f>VLOOKUP($A2310,MasterData!$C$1:$I$3001,1,FALSE)</f>
        <v>8518</v>
      </c>
      <c r="Q2310" s="34" t="str">
        <f t="shared" si="2"/>
        <v>XIIOTO5</v>
      </c>
    </row>
    <row r="2311" ht="15.75" customHeight="1">
      <c r="A2311" s="15">
        <v>8524.0</v>
      </c>
      <c r="B2311" s="18" t="s">
        <v>10129</v>
      </c>
      <c r="C2311" s="29" t="s">
        <v>10130</v>
      </c>
      <c r="D2311" s="18" t="s">
        <v>10129</v>
      </c>
      <c r="E2311" s="34" t="s">
        <v>5234</v>
      </c>
      <c r="F2311" s="19" t="str">
        <f t="shared" si="1"/>
        <v>XIIOTO5</v>
      </c>
      <c r="G2311" s="19" t="s">
        <v>5408</v>
      </c>
      <c r="H2311" s="20" t="s">
        <v>4223</v>
      </c>
      <c r="I2311" s="19" t="s">
        <v>5409</v>
      </c>
      <c r="J2311" s="19" t="s">
        <v>5410</v>
      </c>
      <c r="K2311" s="21" t="s">
        <v>5415</v>
      </c>
      <c r="L2311" s="35" t="s">
        <v>6905</v>
      </c>
      <c r="M2311" s="29" t="s">
        <v>5233</v>
      </c>
      <c r="N2311" s="34" t="s">
        <v>5416</v>
      </c>
      <c r="O2311" s="34">
        <v>0.0</v>
      </c>
      <c r="P2311" s="18">
        <f>VLOOKUP($A2311,MasterData!$C$1:$I$3001,1,FALSE)</f>
        <v>8524</v>
      </c>
      <c r="Q2311" s="34" t="str">
        <f t="shared" si="2"/>
        <v>XIIOTO5</v>
      </c>
    </row>
    <row r="2312" ht="15.75" customHeight="1">
      <c r="A2312" s="15">
        <v>8529.0</v>
      </c>
      <c r="B2312" s="18" t="s">
        <v>10131</v>
      </c>
      <c r="C2312" s="29" t="s">
        <v>10132</v>
      </c>
      <c r="D2312" s="18" t="s">
        <v>10131</v>
      </c>
      <c r="E2312" s="34" t="s">
        <v>5236</v>
      </c>
      <c r="F2312" s="19" t="str">
        <f t="shared" si="1"/>
        <v>XIIOTO5</v>
      </c>
      <c r="G2312" s="19" t="s">
        <v>5408</v>
      </c>
      <c r="H2312" s="20" t="s">
        <v>4223</v>
      </c>
      <c r="I2312" s="19" t="s">
        <v>5409</v>
      </c>
      <c r="J2312" s="19" t="s">
        <v>5410</v>
      </c>
      <c r="K2312" s="21" t="s">
        <v>5415</v>
      </c>
      <c r="L2312" s="35" t="s">
        <v>6905</v>
      </c>
      <c r="M2312" s="29" t="s">
        <v>5235</v>
      </c>
      <c r="N2312" s="34" t="s">
        <v>5416</v>
      </c>
      <c r="O2312" s="34">
        <v>0.0</v>
      </c>
      <c r="P2312" s="18">
        <f>VLOOKUP($A2312,MasterData!$C$1:$I$3001,1,FALSE)</f>
        <v>8529</v>
      </c>
      <c r="Q2312" s="34" t="str">
        <f t="shared" si="2"/>
        <v>XIIOTO5</v>
      </c>
    </row>
    <row r="2313" ht="15.75" customHeight="1">
      <c r="A2313" s="15">
        <v>8535.0</v>
      </c>
      <c r="B2313" s="18" t="s">
        <v>10133</v>
      </c>
      <c r="C2313" s="29" t="s">
        <v>10134</v>
      </c>
      <c r="D2313" s="18" t="s">
        <v>10133</v>
      </c>
      <c r="E2313" s="34" t="s">
        <v>5238</v>
      </c>
      <c r="F2313" s="19" t="str">
        <f t="shared" si="1"/>
        <v>XIIOTO5</v>
      </c>
      <c r="G2313" s="19" t="s">
        <v>5408</v>
      </c>
      <c r="H2313" s="20" t="s">
        <v>4223</v>
      </c>
      <c r="I2313" s="19" t="s">
        <v>5409</v>
      </c>
      <c r="J2313" s="19" t="s">
        <v>5410</v>
      </c>
      <c r="K2313" s="21" t="s">
        <v>5415</v>
      </c>
      <c r="L2313" s="35" t="s">
        <v>6905</v>
      </c>
      <c r="M2313" s="29" t="s">
        <v>5237</v>
      </c>
      <c r="N2313" s="34" t="s">
        <v>5416</v>
      </c>
      <c r="O2313" s="34">
        <v>0.0</v>
      </c>
      <c r="P2313" s="18">
        <f>VLOOKUP($A2313,MasterData!$C$1:$I$3001,1,FALSE)</f>
        <v>8535</v>
      </c>
      <c r="Q2313" s="34" t="str">
        <f t="shared" si="2"/>
        <v>XIIOTO5</v>
      </c>
    </row>
    <row r="2314" ht="15.75" customHeight="1">
      <c r="A2314" s="15">
        <v>8581.0</v>
      </c>
      <c r="B2314" s="18" t="s">
        <v>10135</v>
      </c>
      <c r="C2314" s="29" t="s">
        <v>10136</v>
      </c>
      <c r="D2314" s="18" t="s">
        <v>10135</v>
      </c>
      <c r="E2314" s="34" t="s">
        <v>5240</v>
      </c>
      <c r="F2314" s="19" t="str">
        <f t="shared" si="1"/>
        <v>XIIOTO5</v>
      </c>
      <c r="G2314" s="19" t="s">
        <v>5408</v>
      </c>
      <c r="H2314" s="20" t="s">
        <v>4223</v>
      </c>
      <c r="I2314" s="19" t="s">
        <v>5409</v>
      </c>
      <c r="J2314" s="19" t="s">
        <v>5410</v>
      </c>
      <c r="K2314" s="21" t="s">
        <v>5415</v>
      </c>
      <c r="L2314" s="35" t="s">
        <v>6905</v>
      </c>
      <c r="M2314" s="29" t="s">
        <v>5239</v>
      </c>
      <c r="N2314" s="34" t="s">
        <v>5416</v>
      </c>
      <c r="O2314" s="34">
        <v>0.0</v>
      </c>
      <c r="P2314" s="18">
        <f>VLOOKUP($A2314,MasterData!$C$1:$I$3001,1,FALSE)</f>
        <v>8581</v>
      </c>
      <c r="Q2314" s="34" t="str">
        <f t="shared" si="2"/>
        <v>XIIOTO5</v>
      </c>
    </row>
    <row r="2315" ht="15.75" customHeight="1">
      <c r="A2315" s="15">
        <v>8600.0</v>
      </c>
      <c r="B2315" s="18" t="s">
        <v>10137</v>
      </c>
      <c r="C2315" s="29" t="s">
        <v>10138</v>
      </c>
      <c r="D2315" s="18" t="s">
        <v>10137</v>
      </c>
      <c r="E2315" s="34" t="s">
        <v>5242</v>
      </c>
      <c r="F2315" s="19" t="str">
        <f t="shared" si="1"/>
        <v>XIIOTO5</v>
      </c>
      <c r="G2315" s="19" t="s">
        <v>5408</v>
      </c>
      <c r="H2315" s="20" t="s">
        <v>4223</v>
      </c>
      <c r="I2315" s="19" t="s">
        <v>5409</v>
      </c>
      <c r="J2315" s="19" t="s">
        <v>5410</v>
      </c>
      <c r="K2315" s="21" t="s">
        <v>5415</v>
      </c>
      <c r="L2315" s="35" t="s">
        <v>6905</v>
      </c>
      <c r="M2315" s="29" t="s">
        <v>5241</v>
      </c>
      <c r="N2315" s="34" t="s">
        <v>5416</v>
      </c>
      <c r="O2315" s="34">
        <v>0.0</v>
      </c>
      <c r="P2315" s="18">
        <f>VLOOKUP($A2315,MasterData!$C$1:$I$3001,1,FALSE)</f>
        <v>8600</v>
      </c>
      <c r="Q2315" s="34" t="str">
        <f t="shared" si="2"/>
        <v>XIIOTO5</v>
      </c>
    </row>
    <row r="2316" ht="15.75" customHeight="1">
      <c r="A2316" s="15">
        <v>8606.0</v>
      </c>
      <c r="B2316" s="18" t="s">
        <v>10139</v>
      </c>
      <c r="C2316" s="29" t="s">
        <v>10140</v>
      </c>
      <c r="D2316" s="18" t="s">
        <v>10139</v>
      </c>
      <c r="E2316" s="34" t="s">
        <v>5244</v>
      </c>
      <c r="F2316" s="19" t="str">
        <f t="shared" si="1"/>
        <v>XIIOTO5</v>
      </c>
      <c r="G2316" s="19" t="s">
        <v>5408</v>
      </c>
      <c r="H2316" s="20" t="s">
        <v>4223</v>
      </c>
      <c r="I2316" s="19" t="s">
        <v>5409</v>
      </c>
      <c r="J2316" s="19" t="s">
        <v>5410</v>
      </c>
      <c r="K2316" s="21" t="s">
        <v>5415</v>
      </c>
      <c r="L2316" s="35" t="s">
        <v>6905</v>
      </c>
      <c r="M2316" s="29" t="s">
        <v>5243</v>
      </c>
      <c r="N2316" s="34" t="s">
        <v>5416</v>
      </c>
      <c r="O2316" s="34">
        <v>0.0</v>
      </c>
      <c r="P2316" s="18">
        <f>VLOOKUP($A2316,MasterData!$C$1:$I$3001,1,FALSE)</f>
        <v>8606</v>
      </c>
      <c r="Q2316" s="34" t="str">
        <f t="shared" si="2"/>
        <v>XIIOTO5</v>
      </c>
    </row>
    <row r="2317" ht="15.75" customHeight="1">
      <c r="A2317" s="15">
        <v>8630.0</v>
      </c>
      <c r="B2317" s="18" t="s">
        <v>10141</v>
      </c>
      <c r="C2317" s="37" t="s">
        <v>10142</v>
      </c>
      <c r="D2317" s="18" t="s">
        <v>10141</v>
      </c>
      <c r="E2317" s="34" t="s">
        <v>5246</v>
      </c>
      <c r="F2317" s="19" t="str">
        <f t="shared" si="1"/>
        <v>XIIOTO5</v>
      </c>
      <c r="G2317" s="19" t="s">
        <v>5408</v>
      </c>
      <c r="H2317" s="20" t="s">
        <v>4223</v>
      </c>
      <c r="I2317" s="19" t="s">
        <v>5409</v>
      </c>
      <c r="J2317" s="19" t="s">
        <v>5410</v>
      </c>
      <c r="K2317" s="21" t="s">
        <v>5415</v>
      </c>
      <c r="L2317" s="35" t="s">
        <v>6905</v>
      </c>
      <c r="M2317" s="29" t="s">
        <v>5245</v>
      </c>
      <c r="N2317" s="34" t="s">
        <v>5416</v>
      </c>
      <c r="O2317" s="34">
        <v>0.0</v>
      </c>
      <c r="P2317" s="18">
        <f>VLOOKUP($A2317,MasterData!$C$1:$I$3001,1,FALSE)</f>
        <v>8630</v>
      </c>
      <c r="Q2317" s="34" t="str">
        <f t="shared" si="2"/>
        <v>XIIOTO5</v>
      </c>
    </row>
    <row r="2318" ht="15.75" customHeight="1">
      <c r="A2318" s="15">
        <v>8021.0</v>
      </c>
      <c r="B2318" s="18" t="s">
        <v>10143</v>
      </c>
      <c r="C2318" s="29" t="s">
        <v>10144</v>
      </c>
      <c r="D2318" s="18" t="s">
        <v>10143</v>
      </c>
      <c r="E2318" s="34" t="s">
        <v>5248</v>
      </c>
      <c r="F2318" s="19" t="str">
        <f t="shared" si="1"/>
        <v>XIIPLG1</v>
      </c>
      <c r="G2318" s="19" t="s">
        <v>5408</v>
      </c>
      <c r="H2318" s="20" t="s">
        <v>4223</v>
      </c>
      <c r="I2318" s="19" t="s">
        <v>5409</v>
      </c>
      <c r="J2318" s="19" t="s">
        <v>5410</v>
      </c>
      <c r="K2318" s="21" t="s">
        <v>5415</v>
      </c>
      <c r="L2318" s="35" t="s">
        <v>7002</v>
      </c>
      <c r="M2318" s="29" t="s">
        <v>5247</v>
      </c>
      <c r="N2318" s="34" t="s">
        <v>5416</v>
      </c>
      <c r="O2318" s="34">
        <v>0.0</v>
      </c>
      <c r="P2318" s="18">
        <f>VLOOKUP($A2318,MasterData!$C$1:$I$3001,1,FALSE)</f>
        <v>8021</v>
      </c>
      <c r="Q2318" s="34" t="str">
        <f t="shared" si="2"/>
        <v>XIIPLG1</v>
      </c>
    </row>
    <row r="2319" ht="15.75" customHeight="1">
      <c r="A2319" s="15">
        <v>8023.0</v>
      </c>
      <c r="B2319" s="18" t="s">
        <v>10145</v>
      </c>
      <c r="C2319" s="29" t="s">
        <v>10146</v>
      </c>
      <c r="D2319" s="18" t="s">
        <v>10145</v>
      </c>
      <c r="E2319" s="34" t="s">
        <v>5250</v>
      </c>
      <c r="F2319" s="19" t="str">
        <f t="shared" si="1"/>
        <v>XIIPLG1</v>
      </c>
      <c r="G2319" s="19" t="s">
        <v>5408</v>
      </c>
      <c r="H2319" s="20" t="s">
        <v>4223</v>
      </c>
      <c r="I2319" s="19" t="s">
        <v>5409</v>
      </c>
      <c r="J2319" s="19" t="s">
        <v>5410</v>
      </c>
      <c r="K2319" s="21" t="s">
        <v>5415</v>
      </c>
      <c r="L2319" s="35" t="s">
        <v>7002</v>
      </c>
      <c r="M2319" s="29" t="s">
        <v>5249</v>
      </c>
      <c r="N2319" s="34" t="s">
        <v>5416</v>
      </c>
      <c r="O2319" s="34">
        <v>0.0</v>
      </c>
      <c r="P2319" s="18">
        <f>VLOOKUP($A2319,MasterData!$C$1:$I$3001,1,FALSE)</f>
        <v>8023</v>
      </c>
      <c r="Q2319" s="34" t="str">
        <f t="shared" si="2"/>
        <v>XIIPLG1</v>
      </c>
    </row>
    <row r="2320" ht="15.75" customHeight="1">
      <c r="A2320" s="15">
        <v>8038.0</v>
      </c>
      <c r="B2320" s="18" t="s">
        <v>10147</v>
      </c>
      <c r="C2320" s="29" t="s">
        <v>10148</v>
      </c>
      <c r="D2320" s="18" t="s">
        <v>10147</v>
      </c>
      <c r="E2320" s="34" t="s">
        <v>5252</v>
      </c>
      <c r="F2320" s="19" t="str">
        <f t="shared" si="1"/>
        <v>XIIPLG1</v>
      </c>
      <c r="G2320" s="19" t="s">
        <v>5408</v>
      </c>
      <c r="H2320" s="20" t="s">
        <v>4223</v>
      </c>
      <c r="I2320" s="19" t="s">
        <v>5409</v>
      </c>
      <c r="J2320" s="19" t="s">
        <v>5410</v>
      </c>
      <c r="K2320" s="21" t="s">
        <v>5415</v>
      </c>
      <c r="L2320" s="35" t="s">
        <v>7002</v>
      </c>
      <c r="M2320" s="29" t="s">
        <v>5251</v>
      </c>
      <c r="N2320" s="34" t="s">
        <v>5416</v>
      </c>
      <c r="O2320" s="34">
        <v>0.0</v>
      </c>
      <c r="P2320" s="18">
        <f>VLOOKUP($A2320,MasterData!$C$1:$I$3001,1,FALSE)</f>
        <v>8038</v>
      </c>
      <c r="Q2320" s="34" t="str">
        <f t="shared" si="2"/>
        <v>XIIPLG1</v>
      </c>
    </row>
    <row r="2321" ht="15.75" customHeight="1">
      <c r="A2321" s="15">
        <v>8048.0</v>
      </c>
      <c r="B2321" s="18" t="s">
        <v>10149</v>
      </c>
      <c r="C2321" s="29" t="s">
        <v>10150</v>
      </c>
      <c r="D2321" s="18" t="s">
        <v>10149</v>
      </c>
      <c r="E2321" s="34" t="s">
        <v>5254</v>
      </c>
      <c r="F2321" s="19" t="str">
        <f t="shared" si="1"/>
        <v>XIIPLG1</v>
      </c>
      <c r="G2321" s="19" t="s">
        <v>5408</v>
      </c>
      <c r="H2321" s="20" t="s">
        <v>4223</v>
      </c>
      <c r="I2321" s="19" t="s">
        <v>5409</v>
      </c>
      <c r="J2321" s="19" t="s">
        <v>5410</v>
      </c>
      <c r="K2321" s="21" t="s">
        <v>5415</v>
      </c>
      <c r="L2321" s="35" t="s">
        <v>7002</v>
      </c>
      <c r="M2321" s="29" t="s">
        <v>5253</v>
      </c>
      <c r="N2321" s="34" t="s">
        <v>5416</v>
      </c>
      <c r="O2321" s="34">
        <v>0.0</v>
      </c>
      <c r="P2321" s="18">
        <f>VLOOKUP($A2321,MasterData!$C$1:$I$3001,1,FALSE)</f>
        <v>8048</v>
      </c>
      <c r="Q2321" s="34" t="str">
        <f t="shared" si="2"/>
        <v>XIIPLG1</v>
      </c>
    </row>
    <row r="2322" ht="15.75" customHeight="1">
      <c r="A2322" s="15">
        <v>8060.0</v>
      </c>
      <c r="B2322" s="18" t="s">
        <v>10151</v>
      </c>
      <c r="C2322" s="29" t="s">
        <v>10152</v>
      </c>
      <c r="D2322" s="18" t="s">
        <v>10151</v>
      </c>
      <c r="E2322" s="34" t="s">
        <v>5256</v>
      </c>
      <c r="F2322" s="19" t="str">
        <f t="shared" si="1"/>
        <v>XIIPLG1</v>
      </c>
      <c r="G2322" s="19" t="s">
        <v>5408</v>
      </c>
      <c r="H2322" s="20" t="s">
        <v>4223</v>
      </c>
      <c r="I2322" s="19" t="s">
        <v>5409</v>
      </c>
      <c r="J2322" s="19" t="s">
        <v>5410</v>
      </c>
      <c r="K2322" s="21" t="s">
        <v>5415</v>
      </c>
      <c r="L2322" s="35" t="s">
        <v>7002</v>
      </c>
      <c r="M2322" s="29" t="s">
        <v>5255</v>
      </c>
      <c r="N2322" s="34" t="s">
        <v>5416</v>
      </c>
      <c r="O2322" s="34">
        <v>0.0</v>
      </c>
      <c r="P2322" s="18">
        <f>VLOOKUP($A2322,MasterData!$C$1:$I$3001,1,FALSE)</f>
        <v>8060</v>
      </c>
      <c r="Q2322" s="34" t="str">
        <f t="shared" si="2"/>
        <v>XIIPLG1</v>
      </c>
    </row>
    <row r="2323" ht="15.75" customHeight="1">
      <c r="A2323" s="15">
        <v>8088.0</v>
      </c>
      <c r="B2323" s="18" t="s">
        <v>10153</v>
      </c>
      <c r="C2323" s="29" t="s">
        <v>10154</v>
      </c>
      <c r="D2323" s="18" t="s">
        <v>10153</v>
      </c>
      <c r="E2323" s="34" t="s">
        <v>5258</v>
      </c>
      <c r="F2323" s="19" t="str">
        <f t="shared" si="1"/>
        <v>XIIPLG1</v>
      </c>
      <c r="G2323" s="19" t="s">
        <v>5408</v>
      </c>
      <c r="H2323" s="20" t="s">
        <v>4223</v>
      </c>
      <c r="I2323" s="19" t="s">
        <v>5409</v>
      </c>
      <c r="J2323" s="19" t="s">
        <v>5410</v>
      </c>
      <c r="K2323" s="21" t="s">
        <v>5415</v>
      </c>
      <c r="L2323" s="35" t="s">
        <v>7002</v>
      </c>
      <c r="M2323" s="29" t="s">
        <v>5257</v>
      </c>
      <c r="N2323" s="34" t="s">
        <v>5416</v>
      </c>
      <c r="O2323" s="34">
        <v>0.0</v>
      </c>
      <c r="P2323" s="18">
        <f>VLOOKUP($A2323,MasterData!$C$1:$I$3001,1,FALSE)</f>
        <v>8088</v>
      </c>
      <c r="Q2323" s="34" t="str">
        <f t="shared" si="2"/>
        <v>XIIPLG1</v>
      </c>
    </row>
    <row r="2324" ht="15.75" customHeight="1">
      <c r="A2324" s="15">
        <v>8093.0</v>
      </c>
      <c r="B2324" s="18" t="s">
        <v>10155</v>
      </c>
      <c r="C2324" s="29" t="s">
        <v>10156</v>
      </c>
      <c r="D2324" s="18" t="s">
        <v>10155</v>
      </c>
      <c r="E2324" s="34" t="s">
        <v>5260</v>
      </c>
      <c r="F2324" s="19" t="str">
        <f t="shared" si="1"/>
        <v>XIIPLG1</v>
      </c>
      <c r="G2324" s="19" t="s">
        <v>5408</v>
      </c>
      <c r="H2324" s="20" t="s">
        <v>4223</v>
      </c>
      <c r="I2324" s="19" t="s">
        <v>5409</v>
      </c>
      <c r="J2324" s="19" t="s">
        <v>5410</v>
      </c>
      <c r="K2324" s="21" t="s">
        <v>5415</v>
      </c>
      <c r="L2324" s="35" t="s">
        <v>7002</v>
      </c>
      <c r="M2324" s="29" t="s">
        <v>5259</v>
      </c>
      <c r="N2324" s="34" t="s">
        <v>5416</v>
      </c>
      <c r="O2324" s="34">
        <v>0.0</v>
      </c>
      <c r="P2324" s="18">
        <f>VLOOKUP($A2324,MasterData!$C$1:$I$3001,1,FALSE)</f>
        <v>8093</v>
      </c>
      <c r="Q2324" s="34" t="str">
        <f t="shared" si="2"/>
        <v>XIIPLG1</v>
      </c>
    </row>
    <row r="2325" ht="15.75" customHeight="1">
      <c r="A2325" s="15">
        <v>8117.0</v>
      </c>
      <c r="B2325" s="18" t="s">
        <v>10157</v>
      </c>
      <c r="C2325" s="29" t="s">
        <v>10158</v>
      </c>
      <c r="D2325" s="18" t="s">
        <v>10157</v>
      </c>
      <c r="E2325" s="34" t="s">
        <v>5262</v>
      </c>
      <c r="F2325" s="19" t="str">
        <f t="shared" si="1"/>
        <v>XIIPLG1</v>
      </c>
      <c r="G2325" s="19" t="s">
        <v>5408</v>
      </c>
      <c r="H2325" s="20" t="s">
        <v>4223</v>
      </c>
      <c r="I2325" s="19" t="s">
        <v>5409</v>
      </c>
      <c r="J2325" s="19" t="s">
        <v>5410</v>
      </c>
      <c r="K2325" s="21" t="s">
        <v>5415</v>
      </c>
      <c r="L2325" s="35" t="s">
        <v>7002</v>
      </c>
      <c r="M2325" s="29" t="s">
        <v>5261</v>
      </c>
      <c r="N2325" s="34" t="s">
        <v>5416</v>
      </c>
      <c r="O2325" s="34">
        <v>0.0</v>
      </c>
      <c r="P2325" s="18">
        <f>VLOOKUP($A2325,MasterData!$C$1:$I$3001,1,FALSE)</f>
        <v>8117</v>
      </c>
      <c r="Q2325" s="34" t="str">
        <f t="shared" si="2"/>
        <v>XIIPLG1</v>
      </c>
    </row>
    <row r="2326" ht="15.75" customHeight="1">
      <c r="A2326" s="15">
        <v>8119.0</v>
      </c>
      <c r="B2326" s="18" t="s">
        <v>10159</v>
      </c>
      <c r="C2326" s="29" t="s">
        <v>10160</v>
      </c>
      <c r="D2326" s="18" t="s">
        <v>10159</v>
      </c>
      <c r="E2326" s="34" t="s">
        <v>5264</v>
      </c>
      <c r="F2326" s="19" t="str">
        <f t="shared" si="1"/>
        <v>XIIPLG1</v>
      </c>
      <c r="G2326" s="19" t="s">
        <v>5408</v>
      </c>
      <c r="H2326" s="20" t="s">
        <v>4223</v>
      </c>
      <c r="I2326" s="19" t="s">
        <v>5409</v>
      </c>
      <c r="J2326" s="19" t="s">
        <v>5410</v>
      </c>
      <c r="K2326" s="21" t="s">
        <v>5415</v>
      </c>
      <c r="L2326" s="35" t="s">
        <v>7002</v>
      </c>
      <c r="M2326" s="29" t="s">
        <v>5263</v>
      </c>
      <c r="N2326" s="34" t="s">
        <v>5416</v>
      </c>
      <c r="O2326" s="34">
        <v>0.0</v>
      </c>
      <c r="P2326" s="18">
        <f>VLOOKUP($A2326,MasterData!$C$1:$I$3001,1,FALSE)</f>
        <v>8119</v>
      </c>
      <c r="Q2326" s="34" t="str">
        <f t="shared" si="2"/>
        <v>XIIPLG1</v>
      </c>
    </row>
    <row r="2327" ht="15.75" customHeight="1">
      <c r="A2327" s="15">
        <v>8151.0</v>
      </c>
      <c r="B2327" s="18" t="s">
        <v>10161</v>
      </c>
      <c r="C2327" s="29" t="s">
        <v>10162</v>
      </c>
      <c r="D2327" s="18" t="s">
        <v>10161</v>
      </c>
      <c r="E2327" s="34" t="s">
        <v>5266</v>
      </c>
      <c r="F2327" s="19" t="str">
        <f t="shared" si="1"/>
        <v>XIIPLG1</v>
      </c>
      <c r="G2327" s="19" t="s">
        <v>5408</v>
      </c>
      <c r="H2327" s="20" t="s">
        <v>4223</v>
      </c>
      <c r="I2327" s="19" t="s">
        <v>5409</v>
      </c>
      <c r="J2327" s="19" t="s">
        <v>5410</v>
      </c>
      <c r="K2327" s="21" t="s">
        <v>5415</v>
      </c>
      <c r="L2327" s="35" t="s">
        <v>7002</v>
      </c>
      <c r="M2327" s="29" t="s">
        <v>5265</v>
      </c>
      <c r="N2327" s="36">
        <v>39567.0</v>
      </c>
      <c r="O2327" s="34" t="s">
        <v>10163</v>
      </c>
      <c r="P2327" s="18">
        <f>VLOOKUP($A2327,MasterData!$C$1:$I$3001,1,FALSE)</f>
        <v>8151</v>
      </c>
      <c r="Q2327" s="34" t="str">
        <f t="shared" si="2"/>
        <v>XIIPLG1</v>
      </c>
    </row>
    <row r="2328" ht="15.75" customHeight="1">
      <c r="A2328" s="15">
        <v>8186.0</v>
      </c>
      <c r="B2328" s="18" t="s">
        <v>10164</v>
      </c>
      <c r="C2328" s="29" t="s">
        <v>10165</v>
      </c>
      <c r="D2328" s="18" t="s">
        <v>10164</v>
      </c>
      <c r="E2328" s="34" t="s">
        <v>5268</v>
      </c>
      <c r="F2328" s="19" t="str">
        <f t="shared" si="1"/>
        <v>XIIPLG1</v>
      </c>
      <c r="G2328" s="19" t="s">
        <v>5408</v>
      </c>
      <c r="H2328" s="20" t="s">
        <v>4223</v>
      </c>
      <c r="I2328" s="19" t="s">
        <v>5409</v>
      </c>
      <c r="J2328" s="19" t="s">
        <v>5410</v>
      </c>
      <c r="K2328" s="21" t="s">
        <v>5415</v>
      </c>
      <c r="L2328" s="35" t="s">
        <v>7002</v>
      </c>
      <c r="M2328" s="29" t="s">
        <v>5267</v>
      </c>
      <c r="N2328" s="34" t="s">
        <v>5416</v>
      </c>
      <c r="O2328" s="34">
        <v>0.0</v>
      </c>
      <c r="P2328" s="18">
        <f>VLOOKUP($A2328,MasterData!$C$1:$I$3001,1,FALSE)</f>
        <v>8186</v>
      </c>
      <c r="Q2328" s="34" t="str">
        <f t="shared" si="2"/>
        <v>XIIPLG1</v>
      </c>
    </row>
    <row r="2329" ht="15.75" customHeight="1">
      <c r="A2329" s="15">
        <v>8214.0</v>
      </c>
      <c r="B2329" s="18" t="s">
        <v>10166</v>
      </c>
      <c r="C2329" s="29" t="s">
        <v>10167</v>
      </c>
      <c r="D2329" s="18" t="s">
        <v>10166</v>
      </c>
      <c r="E2329" s="34" t="s">
        <v>5270</v>
      </c>
      <c r="F2329" s="19" t="str">
        <f t="shared" si="1"/>
        <v>XIIPLG1</v>
      </c>
      <c r="G2329" s="19" t="s">
        <v>5408</v>
      </c>
      <c r="H2329" s="20" t="s">
        <v>4223</v>
      </c>
      <c r="I2329" s="19" t="s">
        <v>5409</v>
      </c>
      <c r="J2329" s="19" t="s">
        <v>5410</v>
      </c>
      <c r="K2329" s="21" t="s">
        <v>5415</v>
      </c>
      <c r="L2329" s="35" t="s">
        <v>7002</v>
      </c>
      <c r="M2329" s="29" t="s">
        <v>5269</v>
      </c>
      <c r="N2329" s="34" t="s">
        <v>5416</v>
      </c>
      <c r="O2329" s="34">
        <v>0.0</v>
      </c>
      <c r="P2329" s="18">
        <f>VLOOKUP($A2329,MasterData!$C$1:$I$3001,1,FALSE)</f>
        <v>8214</v>
      </c>
      <c r="Q2329" s="34" t="str">
        <f t="shared" si="2"/>
        <v>XIIPLG1</v>
      </c>
    </row>
    <row r="2330" ht="15.75" customHeight="1">
      <c r="A2330" s="15">
        <v>8250.0</v>
      </c>
      <c r="B2330" s="18" t="s">
        <v>10168</v>
      </c>
      <c r="C2330" s="29" t="s">
        <v>10169</v>
      </c>
      <c r="D2330" s="18" t="s">
        <v>10168</v>
      </c>
      <c r="E2330" s="34" t="s">
        <v>5272</v>
      </c>
      <c r="F2330" s="19" t="str">
        <f t="shared" si="1"/>
        <v>XIIPLG1</v>
      </c>
      <c r="G2330" s="19" t="s">
        <v>5408</v>
      </c>
      <c r="H2330" s="20" t="s">
        <v>4223</v>
      </c>
      <c r="I2330" s="19" t="s">
        <v>5409</v>
      </c>
      <c r="J2330" s="19" t="s">
        <v>5410</v>
      </c>
      <c r="K2330" s="21" t="s">
        <v>5415</v>
      </c>
      <c r="L2330" s="35" t="s">
        <v>7002</v>
      </c>
      <c r="M2330" s="29" t="s">
        <v>5271</v>
      </c>
      <c r="N2330" s="34" t="s">
        <v>5416</v>
      </c>
      <c r="O2330" s="34">
        <v>0.0</v>
      </c>
      <c r="P2330" s="18">
        <f>VLOOKUP($A2330,MasterData!$C$1:$I$3001,1,FALSE)</f>
        <v>8250</v>
      </c>
      <c r="Q2330" s="34" t="str">
        <f t="shared" si="2"/>
        <v>XIIPLG1</v>
      </c>
    </row>
    <row r="2331" ht="15.75" customHeight="1">
      <c r="A2331" s="15">
        <v>8259.0</v>
      </c>
      <c r="B2331" s="18" t="s">
        <v>10170</v>
      </c>
      <c r="C2331" s="29" t="s">
        <v>10171</v>
      </c>
      <c r="D2331" s="18" t="s">
        <v>10170</v>
      </c>
      <c r="E2331" s="34" t="s">
        <v>5274</v>
      </c>
      <c r="F2331" s="19" t="str">
        <f t="shared" si="1"/>
        <v>XIIPLG1</v>
      </c>
      <c r="G2331" s="19" t="s">
        <v>5408</v>
      </c>
      <c r="H2331" s="20" t="s">
        <v>4223</v>
      </c>
      <c r="I2331" s="19" t="s">
        <v>5409</v>
      </c>
      <c r="J2331" s="19" t="s">
        <v>5410</v>
      </c>
      <c r="K2331" s="21" t="s">
        <v>5415</v>
      </c>
      <c r="L2331" s="35" t="s">
        <v>7002</v>
      </c>
      <c r="M2331" s="29" t="s">
        <v>5273</v>
      </c>
      <c r="N2331" s="34" t="s">
        <v>5416</v>
      </c>
      <c r="O2331" s="34">
        <v>0.0</v>
      </c>
      <c r="P2331" s="18">
        <f>VLOOKUP($A2331,MasterData!$C$1:$I$3001,1,FALSE)</f>
        <v>8259</v>
      </c>
      <c r="Q2331" s="34" t="str">
        <f t="shared" si="2"/>
        <v>XIIPLG1</v>
      </c>
    </row>
    <row r="2332" ht="15.75" customHeight="1">
      <c r="A2332" s="15">
        <v>8262.0</v>
      </c>
      <c r="B2332" s="18" t="s">
        <v>10172</v>
      </c>
      <c r="C2332" s="29" t="s">
        <v>10173</v>
      </c>
      <c r="D2332" s="18" t="s">
        <v>10172</v>
      </c>
      <c r="E2332" s="34" t="s">
        <v>5276</v>
      </c>
      <c r="F2332" s="19" t="str">
        <f t="shared" si="1"/>
        <v>XIIPLG1</v>
      </c>
      <c r="G2332" s="19" t="s">
        <v>5408</v>
      </c>
      <c r="H2332" s="20" t="s">
        <v>4223</v>
      </c>
      <c r="I2332" s="19" t="s">
        <v>5409</v>
      </c>
      <c r="J2332" s="19" t="s">
        <v>5410</v>
      </c>
      <c r="K2332" s="21" t="s">
        <v>5415</v>
      </c>
      <c r="L2332" s="35" t="s">
        <v>7002</v>
      </c>
      <c r="M2332" s="29" t="s">
        <v>5275</v>
      </c>
      <c r="N2332" s="34" t="s">
        <v>5416</v>
      </c>
      <c r="O2332" s="34">
        <v>0.0</v>
      </c>
      <c r="P2332" s="18">
        <f>VLOOKUP($A2332,MasterData!$C$1:$I$3001,1,FALSE)</f>
        <v>8262</v>
      </c>
      <c r="Q2332" s="34" t="str">
        <f t="shared" si="2"/>
        <v>XIIPLG1</v>
      </c>
    </row>
    <row r="2333" ht="15.75" customHeight="1">
      <c r="A2333" s="15">
        <v>8279.0</v>
      </c>
      <c r="B2333" s="18" t="s">
        <v>10174</v>
      </c>
      <c r="C2333" s="29" t="s">
        <v>10175</v>
      </c>
      <c r="D2333" s="18" t="s">
        <v>10174</v>
      </c>
      <c r="E2333" s="34" t="s">
        <v>5278</v>
      </c>
      <c r="F2333" s="19" t="str">
        <f t="shared" si="1"/>
        <v>XIIPLG1</v>
      </c>
      <c r="G2333" s="19" t="s">
        <v>5408</v>
      </c>
      <c r="H2333" s="20" t="s">
        <v>4223</v>
      </c>
      <c r="I2333" s="19" t="s">
        <v>5409</v>
      </c>
      <c r="J2333" s="19" t="s">
        <v>5410</v>
      </c>
      <c r="K2333" s="21" t="s">
        <v>5415</v>
      </c>
      <c r="L2333" s="35" t="s">
        <v>7002</v>
      </c>
      <c r="M2333" s="29" t="s">
        <v>5277</v>
      </c>
      <c r="N2333" s="34" t="s">
        <v>5416</v>
      </c>
      <c r="O2333" s="34">
        <v>0.0</v>
      </c>
      <c r="P2333" s="18">
        <f>VLOOKUP($A2333,MasterData!$C$1:$I$3001,1,FALSE)</f>
        <v>8279</v>
      </c>
      <c r="Q2333" s="34" t="str">
        <f t="shared" si="2"/>
        <v>XIIPLG1</v>
      </c>
    </row>
    <row r="2334" ht="15.75" customHeight="1">
      <c r="A2334" s="15">
        <v>8295.0</v>
      </c>
      <c r="B2334" s="18" t="s">
        <v>10176</v>
      </c>
      <c r="C2334" s="29" t="s">
        <v>10177</v>
      </c>
      <c r="D2334" s="18" t="s">
        <v>10176</v>
      </c>
      <c r="E2334" s="34" t="s">
        <v>5280</v>
      </c>
      <c r="F2334" s="19" t="str">
        <f t="shared" si="1"/>
        <v>XIIPLG1</v>
      </c>
      <c r="G2334" s="19" t="s">
        <v>5408</v>
      </c>
      <c r="H2334" s="20" t="s">
        <v>4223</v>
      </c>
      <c r="I2334" s="19" t="s">
        <v>5409</v>
      </c>
      <c r="J2334" s="19" t="s">
        <v>5410</v>
      </c>
      <c r="K2334" s="21" t="s">
        <v>5415</v>
      </c>
      <c r="L2334" s="35" t="s">
        <v>7002</v>
      </c>
      <c r="M2334" s="29" t="s">
        <v>5279</v>
      </c>
      <c r="N2334" s="34" t="s">
        <v>5416</v>
      </c>
      <c r="O2334" s="34">
        <v>0.0</v>
      </c>
      <c r="P2334" s="18">
        <f>VLOOKUP($A2334,MasterData!$C$1:$I$3001,1,FALSE)</f>
        <v>8295</v>
      </c>
      <c r="Q2334" s="34" t="str">
        <f t="shared" si="2"/>
        <v>XIIPLG1</v>
      </c>
    </row>
    <row r="2335" ht="15.75" customHeight="1">
      <c r="A2335" s="15">
        <v>8296.0</v>
      </c>
      <c r="B2335" s="18" t="s">
        <v>10178</v>
      </c>
      <c r="C2335" s="29" t="s">
        <v>10179</v>
      </c>
      <c r="D2335" s="18" t="s">
        <v>10178</v>
      </c>
      <c r="E2335" s="34" t="s">
        <v>5282</v>
      </c>
      <c r="F2335" s="19" t="str">
        <f t="shared" si="1"/>
        <v>XIIPLG1</v>
      </c>
      <c r="G2335" s="19" t="s">
        <v>5408</v>
      </c>
      <c r="H2335" s="20" t="s">
        <v>4223</v>
      </c>
      <c r="I2335" s="19" t="s">
        <v>5409</v>
      </c>
      <c r="J2335" s="19" t="s">
        <v>5410</v>
      </c>
      <c r="K2335" s="21" t="s">
        <v>5415</v>
      </c>
      <c r="L2335" s="35" t="s">
        <v>7002</v>
      </c>
      <c r="M2335" s="29" t="s">
        <v>5281</v>
      </c>
      <c r="N2335" s="34" t="s">
        <v>5416</v>
      </c>
      <c r="O2335" s="34">
        <v>0.0</v>
      </c>
      <c r="P2335" s="18">
        <f>VLOOKUP($A2335,MasterData!$C$1:$I$3001,1,FALSE)</f>
        <v>8296</v>
      </c>
      <c r="Q2335" s="34" t="str">
        <f t="shared" si="2"/>
        <v>XIIPLG1</v>
      </c>
    </row>
    <row r="2336" ht="15.75" customHeight="1">
      <c r="A2336" s="15">
        <v>8305.0</v>
      </c>
      <c r="B2336" s="18" t="s">
        <v>10180</v>
      </c>
      <c r="C2336" s="29" t="s">
        <v>10181</v>
      </c>
      <c r="D2336" s="18" t="s">
        <v>10180</v>
      </c>
      <c r="E2336" s="34" t="s">
        <v>5284</v>
      </c>
      <c r="F2336" s="19" t="str">
        <f t="shared" si="1"/>
        <v>XIIPLG1</v>
      </c>
      <c r="G2336" s="19" t="s">
        <v>5408</v>
      </c>
      <c r="H2336" s="20" t="s">
        <v>4223</v>
      </c>
      <c r="I2336" s="19" t="s">
        <v>5409</v>
      </c>
      <c r="J2336" s="19" t="s">
        <v>5410</v>
      </c>
      <c r="K2336" s="21" t="s">
        <v>5415</v>
      </c>
      <c r="L2336" s="35" t="s">
        <v>7002</v>
      </c>
      <c r="M2336" s="29" t="s">
        <v>5283</v>
      </c>
      <c r="N2336" s="34" t="s">
        <v>5416</v>
      </c>
      <c r="O2336" s="34">
        <v>0.0</v>
      </c>
      <c r="P2336" s="18">
        <f>VLOOKUP($A2336,MasterData!$C$1:$I$3001,1,FALSE)</f>
        <v>8305</v>
      </c>
      <c r="Q2336" s="34" t="str">
        <f t="shared" si="2"/>
        <v>XIIPLG1</v>
      </c>
    </row>
    <row r="2337" ht="15.75" customHeight="1">
      <c r="A2337" s="15">
        <v>8323.0</v>
      </c>
      <c r="B2337" s="18" t="s">
        <v>10182</v>
      </c>
      <c r="C2337" s="29" t="s">
        <v>10183</v>
      </c>
      <c r="D2337" s="18" t="s">
        <v>10182</v>
      </c>
      <c r="E2337" s="34" t="s">
        <v>5286</v>
      </c>
      <c r="F2337" s="19" t="str">
        <f t="shared" si="1"/>
        <v>XIIPLG1</v>
      </c>
      <c r="G2337" s="19" t="s">
        <v>5408</v>
      </c>
      <c r="H2337" s="20" t="s">
        <v>4223</v>
      </c>
      <c r="I2337" s="19" t="s">
        <v>5409</v>
      </c>
      <c r="J2337" s="19" t="s">
        <v>5410</v>
      </c>
      <c r="K2337" s="21" t="s">
        <v>5415</v>
      </c>
      <c r="L2337" s="35" t="s">
        <v>7002</v>
      </c>
      <c r="M2337" s="29" t="s">
        <v>5285</v>
      </c>
      <c r="N2337" s="34" t="s">
        <v>5416</v>
      </c>
      <c r="O2337" s="34">
        <v>0.0</v>
      </c>
      <c r="P2337" s="18">
        <f>VLOOKUP($A2337,MasterData!$C$1:$I$3001,1,FALSE)</f>
        <v>8323</v>
      </c>
      <c r="Q2337" s="34" t="str">
        <f t="shared" si="2"/>
        <v>XIIPLG1</v>
      </c>
    </row>
    <row r="2338" ht="15.75" customHeight="1">
      <c r="A2338" s="15">
        <v>8335.0</v>
      </c>
      <c r="B2338" s="18" t="s">
        <v>10184</v>
      </c>
      <c r="C2338" s="29" t="s">
        <v>10185</v>
      </c>
      <c r="D2338" s="18" t="s">
        <v>10184</v>
      </c>
      <c r="E2338" s="34" t="s">
        <v>5288</v>
      </c>
      <c r="F2338" s="19" t="str">
        <f t="shared" si="1"/>
        <v>XIIPLG1</v>
      </c>
      <c r="G2338" s="19" t="s">
        <v>5408</v>
      </c>
      <c r="H2338" s="20" t="s">
        <v>4223</v>
      </c>
      <c r="I2338" s="19" t="s">
        <v>5409</v>
      </c>
      <c r="J2338" s="19" t="s">
        <v>5410</v>
      </c>
      <c r="K2338" s="21" t="s">
        <v>5415</v>
      </c>
      <c r="L2338" s="35" t="s">
        <v>7002</v>
      </c>
      <c r="M2338" s="29" t="s">
        <v>5287</v>
      </c>
      <c r="N2338" s="34" t="s">
        <v>5416</v>
      </c>
      <c r="O2338" s="34">
        <v>0.0</v>
      </c>
      <c r="P2338" s="18">
        <f>VLOOKUP($A2338,MasterData!$C$1:$I$3001,1,FALSE)</f>
        <v>8335</v>
      </c>
      <c r="Q2338" s="34" t="str">
        <f t="shared" si="2"/>
        <v>XIIPLG1</v>
      </c>
    </row>
    <row r="2339" ht="15.75" customHeight="1">
      <c r="A2339" s="15">
        <v>8336.0</v>
      </c>
      <c r="B2339" s="18" t="s">
        <v>10186</v>
      </c>
      <c r="C2339" s="29" t="s">
        <v>10187</v>
      </c>
      <c r="D2339" s="18" t="s">
        <v>10186</v>
      </c>
      <c r="E2339" s="34" t="s">
        <v>5290</v>
      </c>
      <c r="F2339" s="19" t="str">
        <f t="shared" si="1"/>
        <v>XIIPLG1</v>
      </c>
      <c r="G2339" s="19" t="s">
        <v>5408</v>
      </c>
      <c r="H2339" s="20" t="s">
        <v>4223</v>
      </c>
      <c r="I2339" s="19" t="s">
        <v>5409</v>
      </c>
      <c r="J2339" s="19" t="s">
        <v>5410</v>
      </c>
      <c r="K2339" s="21" t="s">
        <v>5415</v>
      </c>
      <c r="L2339" s="35" t="s">
        <v>7002</v>
      </c>
      <c r="M2339" s="29" t="s">
        <v>5289</v>
      </c>
      <c r="N2339" s="34" t="s">
        <v>5416</v>
      </c>
      <c r="O2339" s="34">
        <v>0.0</v>
      </c>
      <c r="P2339" s="18">
        <f>VLOOKUP($A2339,MasterData!$C$1:$I$3001,1,FALSE)</f>
        <v>8336</v>
      </c>
      <c r="Q2339" s="34" t="str">
        <f t="shared" si="2"/>
        <v>XIIPLG1</v>
      </c>
    </row>
    <row r="2340" ht="15.75" customHeight="1">
      <c r="A2340" s="15">
        <v>8358.0</v>
      </c>
      <c r="B2340" s="18" t="s">
        <v>10188</v>
      </c>
      <c r="C2340" s="37" t="s">
        <v>10189</v>
      </c>
      <c r="D2340" s="18" t="s">
        <v>10188</v>
      </c>
      <c r="E2340" s="3" t="s">
        <v>5292</v>
      </c>
      <c r="F2340" s="19" t="str">
        <f t="shared" si="1"/>
        <v>XIIPLG1</v>
      </c>
      <c r="G2340" s="19" t="s">
        <v>5408</v>
      </c>
      <c r="H2340" s="20" t="s">
        <v>4223</v>
      </c>
      <c r="I2340" s="19" t="s">
        <v>5409</v>
      </c>
      <c r="J2340" s="19" t="s">
        <v>5410</v>
      </c>
      <c r="K2340" s="21" t="s">
        <v>5415</v>
      </c>
      <c r="L2340" s="35" t="s">
        <v>7002</v>
      </c>
      <c r="M2340" s="29" t="s">
        <v>5291</v>
      </c>
      <c r="N2340" s="34" t="s">
        <v>5416</v>
      </c>
      <c r="O2340" s="34">
        <v>0.0</v>
      </c>
      <c r="P2340" s="18">
        <f>VLOOKUP($A2340,MasterData!$C$1:$I$3001,1,FALSE)</f>
        <v>8358</v>
      </c>
      <c r="Q2340" s="34" t="str">
        <f t="shared" si="2"/>
        <v>XIIPLG1</v>
      </c>
    </row>
    <row r="2341" ht="15.75" customHeight="1">
      <c r="A2341" s="15">
        <v>8399.0</v>
      </c>
      <c r="B2341" s="18" t="s">
        <v>10190</v>
      </c>
      <c r="C2341" s="29" t="s">
        <v>10191</v>
      </c>
      <c r="D2341" s="18" t="s">
        <v>10190</v>
      </c>
      <c r="E2341" s="34" t="s">
        <v>5294</v>
      </c>
      <c r="F2341" s="19" t="str">
        <f t="shared" si="1"/>
        <v>XIIPLG1</v>
      </c>
      <c r="G2341" s="19" t="s">
        <v>5408</v>
      </c>
      <c r="H2341" s="20" t="s">
        <v>4223</v>
      </c>
      <c r="I2341" s="19" t="s">
        <v>5409</v>
      </c>
      <c r="J2341" s="19" t="s">
        <v>5410</v>
      </c>
      <c r="K2341" s="21" t="s">
        <v>5415</v>
      </c>
      <c r="L2341" s="35" t="s">
        <v>7002</v>
      </c>
      <c r="M2341" s="29" t="s">
        <v>5293</v>
      </c>
      <c r="N2341" s="34" t="s">
        <v>5416</v>
      </c>
      <c r="O2341" s="34">
        <v>0.0</v>
      </c>
      <c r="P2341" s="18">
        <f>VLOOKUP($A2341,MasterData!$C$1:$I$3001,1,FALSE)</f>
        <v>8399</v>
      </c>
      <c r="Q2341" s="34" t="str">
        <f t="shared" si="2"/>
        <v>XIIPLG1</v>
      </c>
    </row>
    <row r="2342" ht="15.75" customHeight="1">
      <c r="A2342" s="15">
        <v>8400.0</v>
      </c>
      <c r="B2342" s="18" t="s">
        <v>10192</v>
      </c>
      <c r="C2342" s="29" t="s">
        <v>10193</v>
      </c>
      <c r="D2342" s="18" t="s">
        <v>10192</v>
      </c>
      <c r="E2342" s="34" t="s">
        <v>5296</v>
      </c>
      <c r="F2342" s="19" t="str">
        <f t="shared" si="1"/>
        <v>XIIPLG1</v>
      </c>
      <c r="G2342" s="19" t="s">
        <v>5408</v>
      </c>
      <c r="H2342" s="20" t="s">
        <v>4223</v>
      </c>
      <c r="I2342" s="19" t="s">
        <v>5409</v>
      </c>
      <c r="J2342" s="19" t="s">
        <v>5410</v>
      </c>
      <c r="K2342" s="21" t="s">
        <v>5415</v>
      </c>
      <c r="L2342" s="35" t="s">
        <v>7002</v>
      </c>
      <c r="M2342" s="29" t="s">
        <v>5295</v>
      </c>
      <c r="N2342" s="34" t="s">
        <v>5416</v>
      </c>
      <c r="O2342" s="34">
        <v>0.0</v>
      </c>
      <c r="P2342" s="18">
        <f>VLOOKUP($A2342,MasterData!$C$1:$I$3001,1,FALSE)</f>
        <v>8400</v>
      </c>
      <c r="Q2342" s="34" t="str">
        <f t="shared" si="2"/>
        <v>XIIPLG1</v>
      </c>
    </row>
    <row r="2343" ht="15.75" customHeight="1">
      <c r="A2343" s="15">
        <v>8412.0</v>
      </c>
      <c r="B2343" s="18" t="s">
        <v>10194</v>
      </c>
      <c r="C2343" s="29" t="s">
        <v>10195</v>
      </c>
      <c r="D2343" s="18" t="s">
        <v>10194</v>
      </c>
      <c r="E2343" s="34" t="s">
        <v>5298</v>
      </c>
      <c r="F2343" s="19" t="str">
        <f t="shared" si="1"/>
        <v>XIIPLG1</v>
      </c>
      <c r="G2343" s="19" t="s">
        <v>5408</v>
      </c>
      <c r="H2343" s="20" t="s">
        <v>4223</v>
      </c>
      <c r="I2343" s="19" t="s">
        <v>5409</v>
      </c>
      <c r="J2343" s="19" t="s">
        <v>5410</v>
      </c>
      <c r="K2343" s="21" t="s">
        <v>5415</v>
      </c>
      <c r="L2343" s="35" t="s">
        <v>7002</v>
      </c>
      <c r="M2343" s="29" t="s">
        <v>5297</v>
      </c>
      <c r="N2343" s="34" t="s">
        <v>5416</v>
      </c>
      <c r="O2343" s="34">
        <v>0.0</v>
      </c>
      <c r="P2343" s="18">
        <f>VLOOKUP($A2343,MasterData!$C$1:$I$3001,1,FALSE)</f>
        <v>8412</v>
      </c>
      <c r="Q2343" s="34" t="str">
        <f t="shared" si="2"/>
        <v>XIIPLG1</v>
      </c>
    </row>
    <row r="2344" ht="15.75" customHeight="1">
      <c r="A2344" s="15">
        <v>8431.0</v>
      </c>
      <c r="B2344" s="18" t="s">
        <v>10196</v>
      </c>
      <c r="C2344" s="29" t="s">
        <v>10197</v>
      </c>
      <c r="D2344" s="18" t="s">
        <v>10196</v>
      </c>
      <c r="E2344" s="34" t="s">
        <v>5300</v>
      </c>
      <c r="F2344" s="19" t="str">
        <f t="shared" si="1"/>
        <v>XIIPLG1</v>
      </c>
      <c r="G2344" s="19" t="s">
        <v>5408</v>
      </c>
      <c r="H2344" s="20" t="s">
        <v>4223</v>
      </c>
      <c r="I2344" s="19" t="s">
        <v>5409</v>
      </c>
      <c r="J2344" s="19" t="s">
        <v>5410</v>
      </c>
      <c r="K2344" s="21" t="s">
        <v>5415</v>
      </c>
      <c r="L2344" s="35" t="s">
        <v>7002</v>
      </c>
      <c r="M2344" s="29" t="s">
        <v>5299</v>
      </c>
      <c r="N2344" s="34" t="s">
        <v>5416</v>
      </c>
      <c r="O2344" s="34">
        <v>0.0</v>
      </c>
      <c r="P2344" s="18">
        <f>VLOOKUP($A2344,MasterData!$C$1:$I$3001,1,FALSE)</f>
        <v>8431</v>
      </c>
      <c r="Q2344" s="34" t="str">
        <f t="shared" si="2"/>
        <v>XIIPLG1</v>
      </c>
    </row>
    <row r="2345" ht="15.75" customHeight="1">
      <c r="A2345" s="15">
        <v>8474.0</v>
      </c>
      <c r="B2345" s="18" t="s">
        <v>10198</v>
      </c>
      <c r="C2345" s="29" t="s">
        <v>10199</v>
      </c>
      <c r="D2345" s="18" t="s">
        <v>10198</v>
      </c>
      <c r="E2345" s="34" t="s">
        <v>5302</v>
      </c>
      <c r="F2345" s="19" t="str">
        <f t="shared" si="1"/>
        <v>XIIPLG1</v>
      </c>
      <c r="G2345" s="19" t="s">
        <v>5408</v>
      </c>
      <c r="H2345" s="20" t="s">
        <v>4223</v>
      </c>
      <c r="I2345" s="19" t="s">
        <v>5409</v>
      </c>
      <c r="J2345" s="19" t="s">
        <v>5410</v>
      </c>
      <c r="K2345" s="21" t="s">
        <v>5415</v>
      </c>
      <c r="L2345" s="35" t="s">
        <v>7002</v>
      </c>
      <c r="M2345" s="29" t="s">
        <v>5301</v>
      </c>
      <c r="N2345" s="34" t="s">
        <v>5416</v>
      </c>
      <c r="O2345" s="34">
        <v>0.0</v>
      </c>
      <c r="P2345" s="18">
        <f>VLOOKUP($A2345,MasterData!$C$1:$I$3001,1,FALSE)</f>
        <v>8474</v>
      </c>
      <c r="Q2345" s="34" t="str">
        <f t="shared" si="2"/>
        <v>XIIPLG1</v>
      </c>
    </row>
    <row r="2346" ht="15.75" customHeight="1">
      <c r="A2346" s="15">
        <v>8492.0</v>
      </c>
      <c r="B2346" s="18" t="s">
        <v>10200</v>
      </c>
      <c r="C2346" s="29" t="s">
        <v>10201</v>
      </c>
      <c r="D2346" s="18" t="s">
        <v>10200</v>
      </c>
      <c r="E2346" s="34" t="s">
        <v>5304</v>
      </c>
      <c r="F2346" s="19" t="str">
        <f t="shared" si="1"/>
        <v>XIIPLG1</v>
      </c>
      <c r="G2346" s="19" t="s">
        <v>5408</v>
      </c>
      <c r="H2346" s="20" t="s">
        <v>4223</v>
      </c>
      <c r="I2346" s="19" t="s">
        <v>5409</v>
      </c>
      <c r="J2346" s="19" t="s">
        <v>5410</v>
      </c>
      <c r="K2346" s="21" t="s">
        <v>5415</v>
      </c>
      <c r="L2346" s="35" t="s">
        <v>7002</v>
      </c>
      <c r="M2346" s="29" t="s">
        <v>5303</v>
      </c>
      <c r="N2346" s="34" t="s">
        <v>5416</v>
      </c>
      <c r="O2346" s="34">
        <v>0.0</v>
      </c>
      <c r="P2346" s="18">
        <f>VLOOKUP($A2346,MasterData!$C$1:$I$3001,1,FALSE)</f>
        <v>8492</v>
      </c>
      <c r="Q2346" s="34" t="str">
        <f t="shared" si="2"/>
        <v>XIIPLG1</v>
      </c>
    </row>
    <row r="2347" ht="15.75" customHeight="1">
      <c r="A2347" s="15">
        <v>8493.0</v>
      </c>
      <c r="B2347" s="18" t="s">
        <v>10202</v>
      </c>
      <c r="C2347" s="29" t="s">
        <v>10203</v>
      </c>
      <c r="D2347" s="18" t="s">
        <v>10202</v>
      </c>
      <c r="E2347" s="34" t="s">
        <v>5306</v>
      </c>
      <c r="F2347" s="19" t="str">
        <f t="shared" si="1"/>
        <v>XIIPLG1</v>
      </c>
      <c r="G2347" s="19" t="s">
        <v>5408</v>
      </c>
      <c r="H2347" s="20" t="s">
        <v>4223</v>
      </c>
      <c r="I2347" s="19" t="s">
        <v>5409</v>
      </c>
      <c r="J2347" s="19" t="s">
        <v>5410</v>
      </c>
      <c r="K2347" s="21" t="s">
        <v>5415</v>
      </c>
      <c r="L2347" s="35" t="s">
        <v>7002</v>
      </c>
      <c r="M2347" s="29" t="s">
        <v>5305</v>
      </c>
      <c r="N2347" s="34" t="s">
        <v>5416</v>
      </c>
      <c r="O2347" s="34">
        <v>0.0</v>
      </c>
      <c r="P2347" s="18">
        <f>VLOOKUP($A2347,MasterData!$C$1:$I$3001,1,FALSE)</f>
        <v>8493</v>
      </c>
      <c r="Q2347" s="34" t="str">
        <f t="shared" si="2"/>
        <v>XIIPLG1</v>
      </c>
    </row>
    <row r="2348" ht="15.75" customHeight="1">
      <c r="A2348" s="15">
        <v>8551.0</v>
      </c>
      <c r="B2348" s="18" t="s">
        <v>10204</v>
      </c>
      <c r="C2348" s="29" t="s">
        <v>10205</v>
      </c>
      <c r="D2348" s="18" t="s">
        <v>10204</v>
      </c>
      <c r="E2348" s="34" t="s">
        <v>5308</v>
      </c>
      <c r="F2348" s="19" t="str">
        <f t="shared" si="1"/>
        <v>XIIPLG1</v>
      </c>
      <c r="G2348" s="19" t="s">
        <v>5408</v>
      </c>
      <c r="H2348" s="20" t="s">
        <v>4223</v>
      </c>
      <c r="I2348" s="19" t="s">
        <v>5409</v>
      </c>
      <c r="J2348" s="19" t="s">
        <v>5410</v>
      </c>
      <c r="K2348" s="21" t="s">
        <v>5415</v>
      </c>
      <c r="L2348" s="35" t="s">
        <v>7002</v>
      </c>
      <c r="M2348" s="29" t="s">
        <v>5307</v>
      </c>
      <c r="N2348" s="34" t="s">
        <v>5416</v>
      </c>
      <c r="O2348" s="34">
        <v>0.0</v>
      </c>
      <c r="P2348" s="18">
        <f>VLOOKUP($A2348,MasterData!$C$1:$I$3001,1,FALSE)</f>
        <v>8551</v>
      </c>
      <c r="Q2348" s="34" t="str">
        <f t="shared" si="2"/>
        <v>XIIPLG1</v>
      </c>
    </row>
    <row r="2349" ht="15.75" customHeight="1">
      <c r="A2349" s="15">
        <v>8556.0</v>
      </c>
      <c r="B2349" s="18" t="s">
        <v>10206</v>
      </c>
      <c r="C2349" s="29" t="s">
        <v>10207</v>
      </c>
      <c r="D2349" s="18" t="s">
        <v>10206</v>
      </c>
      <c r="E2349" s="34" t="s">
        <v>5310</v>
      </c>
      <c r="F2349" s="19" t="str">
        <f t="shared" si="1"/>
        <v>XIIPLG1</v>
      </c>
      <c r="G2349" s="19" t="s">
        <v>5408</v>
      </c>
      <c r="H2349" s="20" t="s">
        <v>4223</v>
      </c>
      <c r="I2349" s="19" t="s">
        <v>5409</v>
      </c>
      <c r="J2349" s="19" t="s">
        <v>5410</v>
      </c>
      <c r="K2349" s="21" t="s">
        <v>5415</v>
      </c>
      <c r="L2349" s="35" t="s">
        <v>7002</v>
      </c>
      <c r="M2349" s="29" t="s">
        <v>5309</v>
      </c>
      <c r="N2349" s="34" t="s">
        <v>5416</v>
      </c>
      <c r="O2349" s="34">
        <v>0.0</v>
      </c>
      <c r="P2349" s="18">
        <f>VLOOKUP($A2349,MasterData!$C$1:$I$3001,1,FALSE)</f>
        <v>8556</v>
      </c>
      <c r="Q2349" s="34" t="str">
        <f t="shared" si="2"/>
        <v>XIIPLG1</v>
      </c>
    </row>
    <row r="2350" ht="15.75" customHeight="1">
      <c r="A2350" s="15">
        <v>8618.0</v>
      </c>
      <c r="B2350" s="18" t="s">
        <v>10208</v>
      </c>
      <c r="C2350" s="29" t="s">
        <v>10209</v>
      </c>
      <c r="D2350" s="18" t="s">
        <v>10208</v>
      </c>
      <c r="E2350" s="34" t="s">
        <v>5312</v>
      </c>
      <c r="F2350" s="19" t="str">
        <f t="shared" si="1"/>
        <v>XIIPLG1</v>
      </c>
      <c r="G2350" s="19" t="s">
        <v>5408</v>
      </c>
      <c r="H2350" s="20" t="s">
        <v>4223</v>
      </c>
      <c r="I2350" s="19" t="s">
        <v>5409</v>
      </c>
      <c r="J2350" s="19" t="s">
        <v>5410</v>
      </c>
      <c r="K2350" s="21" t="s">
        <v>5415</v>
      </c>
      <c r="L2350" s="35" t="s">
        <v>7002</v>
      </c>
      <c r="M2350" s="29" t="s">
        <v>5311</v>
      </c>
      <c r="N2350" s="34" t="s">
        <v>5416</v>
      </c>
      <c r="O2350" s="34">
        <v>0.0</v>
      </c>
      <c r="P2350" s="18">
        <f>VLOOKUP($A2350,MasterData!$C$1:$I$3001,1,FALSE)</f>
        <v>8618</v>
      </c>
      <c r="Q2350" s="34" t="str">
        <f t="shared" si="2"/>
        <v>XIIPLG1</v>
      </c>
    </row>
    <row r="2351" ht="15.75" customHeight="1">
      <c r="A2351" s="15">
        <v>8622.0</v>
      </c>
      <c r="B2351" s="18" t="s">
        <v>10210</v>
      </c>
      <c r="C2351" s="29" t="s">
        <v>10211</v>
      </c>
      <c r="D2351" s="18" t="s">
        <v>10210</v>
      </c>
      <c r="E2351" s="34" t="s">
        <v>5314</v>
      </c>
      <c r="F2351" s="19" t="str">
        <f t="shared" si="1"/>
        <v>XIIPLG1</v>
      </c>
      <c r="G2351" s="19" t="s">
        <v>5408</v>
      </c>
      <c r="H2351" s="20" t="s">
        <v>4223</v>
      </c>
      <c r="I2351" s="19" t="s">
        <v>5409</v>
      </c>
      <c r="J2351" s="19" t="s">
        <v>5410</v>
      </c>
      <c r="K2351" s="21" t="s">
        <v>5415</v>
      </c>
      <c r="L2351" s="35" t="s">
        <v>7002</v>
      </c>
      <c r="M2351" s="29" t="s">
        <v>5313</v>
      </c>
      <c r="N2351" s="34" t="s">
        <v>5416</v>
      </c>
      <c r="O2351" s="34">
        <v>0.0</v>
      </c>
      <c r="P2351" s="18">
        <f>VLOOKUP($A2351,MasterData!$C$1:$I$3001,1,FALSE)</f>
        <v>8622</v>
      </c>
      <c r="Q2351" s="34" t="str">
        <f t="shared" si="2"/>
        <v>XIIPLG1</v>
      </c>
    </row>
    <row r="2352" ht="15.75" customHeight="1">
      <c r="A2352" s="15">
        <v>8628.0</v>
      </c>
      <c r="B2352" s="18" t="s">
        <v>10212</v>
      </c>
      <c r="C2352" s="29" t="s">
        <v>10213</v>
      </c>
      <c r="D2352" s="18" t="s">
        <v>10212</v>
      </c>
      <c r="E2352" s="34" t="s">
        <v>5316</v>
      </c>
      <c r="F2352" s="19" t="str">
        <f t="shared" si="1"/>
        <v>XIIPLG1</v>
      </c>
      <c r="G2352" s="19" t="s">
        <v>5408</v>
      </c>
      <c r="H2352" s="20" t="s">
        <v>4223</v>
      </c>
      <c r="I2352" s="19" t="s">
        <v>5409</v>
      </c>
      <c r="J2352" s="19" t="s">
        <v>5410</v>
      </c>
      <c r="K2352" s="21" t="s">
        <v>5415</v>
      </c>
      <c r="L2352" s="35" t="s">
        <v>7002</v>
      </c>
      <c r="M2352" s="29" t="s">
        <v>5315</v>
      </c>
      <c r="N2352" s="34" t="s">
        <v>5416</v>
      </c>
      <c r="O2352" s="34">
        <v>0.0</v>
      </c>
      <c r="P2352" s="18">
        <f>VLOOKUP($A2352,MasterData!$C$1:$I$3001,1,FALSE)</f>
        <v>8628</v>
      </c>
      <c r="Q2352" s="34" t="str">
        <f t="shared" si="2"/>
        <v>XIIPLG1</v>
      </c>
    </row>
    <row r="2353" ht="15.75" customHeight="1">
      <c r="A2353" s="15">
        <v>8029.0</v>
      </c>
      <c r="B2353" s="18" t="s">
        <v>10214</v>
      </c>
      <c r="C2353" s="29" t="s">
        <v>10215</v>
      </c>
      <c r="D2353" s="18" t="s">
        <v>10214</v>
      </c>
      <c r="E2353" s="34" t="s">
        <v>5318</v>
      </c>
      <c r="F2353" s="19" t="str">
        <f t="shared" si="1"/>
        <v>XIIPLG2</v>
      </c>
      <c r="G2353" s="19" t="s">
        <v>5408</v>
      </c>
      <c r="H2353" s="20" t="s">
        <v>4223</v>
      </c>
      <c r="I2353" s="19" t="s">
        <v>5409</v>
      </c>
      <c r="J2353" s="19" t="s">
        <v>5410</v>
      </c>
      <c r="K2353" s="21" t="s">
        <v>5415</v>
      </c>
      <c r="L2353" s="35" t="s">
        <v>7108</v>
      </c>
      <c r="M2353" s="29" t="s">
        <v>5317</v>
      </c>
      <c r="N2353" s="34" t="s">
        <v>5416</v>
      </c>
      <c r="O2353" s="34">
        <v>0.0</v>
      </c>
      <c r="P2353" s="18">
        <f>VLOOKUP($A2353,MasterData!$C$1:$I$3001,1,FALSE)</f>
        <v>8029</v>
      </c>
      <c r="Q2353" s="34" t="str">
        <f t="shared" si="2"/>
        <v>XIIPLG2</v>
      </c>
    </row>
    <row r="2354" ht="15.75" customHeight="1">
      <c r="A2354" s="15">
        <v>8034.0</v>
      </c>
      <c r="B2354" s="18" t="s">
        <v>10216</v>
      </c>
      <c r="C2354" s="29" t="s">
        <v>10217</v>
      </c>
      <c r="D2354" s="18" t="s">
        <v>10216</v>
      </c>
      <c r="E2354" s="34" t="s">
        <v>5320</v>
      </c>
      <c r="F2354" s="19" t="str">
        <f t="shared" si="1"/>
        <v>XIIPLG2</v>
      </c>
      <c r="G2354" s="19" t="s">
        <v>5408</v>
      </c>
      <c r="H2354" s="20" t="s">
        <v>4223</v>
      </c>
      <c r="I2354" s="19" t="s">
        <v>5409</v>
      </c>
      <c r="J2354" s="19" t="s">
        <v>5410</v>
      </c>
      <c r="K2354" s="21" t="s">
        <v>5415</v>
      </c>
      <c r="L2354" s="35" t="s">
        <v>7108</v>
      </c>
      <c r="M2354" s="29" t="s">
        <v>5319</v>
      </c>
      <c r="N2354" s="34" t="s">
        <v>5416</v>
      </c>
      <c r="O2354" s="34">
        <v>0.0</v>
      </c>
      <c r="P2354" s="18">
        <f>VLOOKUP($A2354,MasterData!$C$1:$I$3001,1,FALSE)</f>
        <v>8034</v>
      </c>
      <c r="Q2354" s="34" t="str">
        <f t="shared" si="2"/>
        <v>XIIPLG2</v>
      </c>
    </row>
    <row r="2355" ht="15.75" customHeight="1">
      <c r="A2355" s="15">
        <v>8045.0</v>
      </c>
      <c r="B2355" s="18" t="s">
        <v>10218</v>
      </c>
      <c r="C2355" s="29" t="s">
        <v>10219</v>
      </c>
      <c r="D2355" s="18" t="s">
        <v>10218</v>
      </c>
      <c r="E2355" s="34" t="s">
        <v>5322</v>
      </c>
      <c r="F2355" s="19" t="str">
        <f t="shared" si="1"/>
        <v>XIIPLG2</v>
      </c>
      <c r="G2355" s="19" t="s">
        <v>5408</v>
      </c>
      <c r="H2355" s="20" t="s">
        <v>4223</v>
      </c>
      <c r="I2355" s="19" t="s">
        <v>5409</v>
      </c>
      <c r="J2355" s="19" t="s">
        <v>5410</v>
      </c>
      <c r="K2355" s="21" t="s">
        <v>5415</v>
      </c>
      <c r="L2355" s="35" t="s">
        <v>7108</v>
      </c>
      <c r="M2355" s="29" t="s">
        <v>5321</v>
      </c>
      <c r="N2355" s="34" t="s">
        <v>5416</v>
      </c>
      <c r="O2355" s="34">
        <v>0.0</v>
      </c>
      <c r="P2355" s="18">
        <f>VLOOKUP($A2355,MasterData!$C$1:$I$3001,1,FALSE)</f>
        <v>8045</v>
      </c>
      <c r="Q2355" s="34" t="str">
        <f t="shared" si="2"/>
        <v>XIIPLG2</v>
      </c>
    </row>
    <row r="2356" ht="15.75" customHeight="1">
      <c r="A2356" s="15">
        <v>8067.0</v>
      </c>
      <c r="B2356" s="18" t="s">
        <v>10220</v>
      </c>
      <c r="C2356" s="29" t="s">
        <v>10221</v>
      </c>
      <c r="D2356" s="18" t="s">
        <v>10220</v>
      </c>
      <c r="E2356" s="34" t="s">
        <v>5324</v>
      </c>
      <c r="F2356" s="19" t="str">
        <f t="shared" si="1"/>
        <v>XIIPLG2</v>
      </c>
      <c r="G2356" s="19" t="s">
        <v>5408</v>
      </c>
      <c r="H2356" s="20" t="s">
        <v>4223</v>
      </c>
      <c r="I2356" s="19" t="s">
        <v>5409</v>
      </c>
      <c r="J2356" s="19" t="s">
        <v>5410</v>
      </c>
      <c r="K2356" s="21" t="s">
        <v>5415</v>
      </c>
      <c r="L2356" s="35" t="s">
        <v>7108</v>
      </c>
      <c r="M2356" s="29" t="s">
        <v>5323</v>
      </c>
      <c r="N2356" s="34" t="s">
        <v>5416</v>
      </c>
      <c r="O2356" s="34">
        <v>0.0</v>
      </c>
      <c r="P2356" s="18">
        <f>VLOOKUP($A2356,MasterData!$C$1:$I$3001,1,FALSE)</f>
        <v>8067</v>
      </c>
      <c r="Q2356" s="34" t="str">
        <f t="shared" si="2"/>
        <v>XIIPLG2</v>
      </c>
    </row>
    <row r="2357" ht="15.75" customHeight="1">
      <c r="A2357" s="15">
        <v>8070.0</v>
      </c>
      <c r="B2357" s="18" t="s">
        <v>10222</v>
      </c>
      <c r="C2357" s="29" t="s">
        <v>10223</v>
      </c>
      <c r="D2357" s="18" t="s">
        <v>10222</v>
      </c>
      <c r="E2357" s="34" t="s">
        <v>5326</v>
      </c>
      <c r="F2357" s="19" t="str">
        <f t="shared" si="1"/>
        <v>XIIPLG2</v>
      </c>
      <c r="G2357" s="19" t="s">
        <v>5408</v>
      </c>
      <c r="H2357" s="20" t="s">
        <v>4223</v>
      </c>
      <c r="I2357" s="19" t="s">
        <v>5409</v>
      </c>
      <c r="J2357" s="19" t="s">
        <v>5410</v>
      </c>
      <c r="K2357" s="21" t="s">
        <v>5415</v>
      </c>
      <c r="L2357" s="35" t="s">
        <v>7108</v>
      </c>
      <c r="M2357" s="29" t="s">
        <v>5325</v>
      </c>
      <c r="N2357" s="34" t="s">
        <v>5416</v>
      </c>
      <c r="O2357" s="34">
        <v>0.0</v>
      </c>
      <c r="P2357" s="18">
        <f>VLOOKUP($A2357,MasterData!$C$1:$I$3001,1,FALSE)</f>
        <v>8070</v>
      </c>
      <c r="Q2357" s="34" t="str">
        <f t="shared" si="2"/>
        <v>XIIPLG2</v>
      </c>
    </row>
    <row r="2358" ht="15.75" customHeight="1">
      <c r="A2358" s="15">
        <v>8072.0</v>
      </c>
      <c r="B2358" s="18" t="s">
        <v>10224</v>
      </c>
      <c r="C2358" s="29" t="s">
        <v>10225</v>
      </c>
      <c r="D2358" s="18" t="s">
        <v>10224</v>
      </c>
      <c r="E2358" s="34" t="s">
        <v>5328</v>
      </c>
      <c r="F2358" s="19" t="str">
        <f t="shared" si="1"/>
        <v>XIIPLG2</v>
      </c>
      <c r="G2358" s="19" t="s">
        <v>5408</v>
      </c>
      <c r="H2358" s="20" t="s">
        <v>4223</v>
      </c>
      <c r="I2358" s="19" t="s">
        <v>5409</v>
      </c>
      <c r="J2358" s="19" t="s">
        <v>5410</v>
      </c>
      <c r="K2358" s="21" t="s">
        <v>5415</v>
      </c>
      <c r="L2358" s="35" t="s">
        <v>7108</v>
      </c>
      <c r="M2358" s="29" t="s">
        <v>5327</v>
      </c>
      <c r="N2358" s="34" t="s">
        <v>5416</v>
      </c>
      <c r="O2358" s="34">
        <v>0.0</v>
      </c>
      <c r="P2358" s="18">
        <f>VLOOKUP($A2358,MasterData!$C$1:$I$3001,1,FALSE)</f>
        <v>8072</v>
      </c>
      <c r="Q2358" s="34" t="str">
        <f t="shared" si="2"/>
        <v>XIIPLG2</v>
      </c>
    </row>
    <row r="2359" ht="15.75" customHeight="1">
      <c r="A2359" s="15">
        <v>8096.0</v>
      </c>
      <c r="B2359" s="18" t="s">
        <v>10226</v>
      </c>
      <c r="C2359" s="29" t="s">
        <v>10227</v>
      </c>
      <c r="D2359" s="18" t="s">
        <v>10226</v>
      </c>
      <c r="E2359" s="34" t="s">
        <v>5330</v>
      </c>
      <c r="F2359" s="19" t="str">
        <f t="shared" si="1"/>
        <v>XIIPLG2</v>
      </c>
      <c r="G2359" s="19" t="s">
        <v>5408</v>
      </c>
      <c r="H2359" s="20" t="s">
        <v>4223</v>
      </c>
      <c r="I2359" s="19" t="s">
        <v>5409</v>
      </c>
      <c r="J2359" s="19" t="s">
        <v>5410</v>
      </c>
      <c r="K2359" s="21" t="s">
        <v>5415</v>
      </c>
      <c r="L2359" s="35" t="s">
        <v>7108</v>
      </c>
      <c r="M2359" s="29" t="s">
        <v>5329</v>
      </c>
      <c r="N2359" s="34" t="s">
        <v>5416</v>
      </c>
      <c r="O2359" s="34">
        <v>0.0</v>
      </c>
      <c r="P2359" s="18">
        <f>VLOOKUP($A2359,MasterData!$C$1:$I$3001,1,FALSE)</f>
        <v>8096</v>
      </c>
      <c r="Q2359" s="34" t="str">
        <f t="shared" si="2"/>
        <v>XIIPLG2</v>
      </c>
    </row>
    <row r="2360" ht="15.75" customHeight="1">
      <c r="A2360" s="15">
        <v>8100.0</v>
      </c>
      <c r="B2360" s="18" t="s">
        <v>10228</v>
      </c>
      <c r="C2360" s="29" t="s">
        <v>10229</v>
      </c>
      <c r="D2360" s="18" t="s">
        <v>10228</v>
      </c>
      <c r="E2360" s="34" t="s">
        <v>5332</v>
      </c>
      <c r="F2360" s="19" t="str">
        <f t="shared" si="1"/>
        <v>XIIPLG2</v>
      </c>
      <c r="G2360" s="19" t="s">
        <v>5408</v>
      </c>
      <c r="H2360" s="20" t="s">
        <v>4223</v>
      </c>
      <c r="I2360" s="19" t="s">
        <v>5409</v>
      </c>
      <c r="J2360" s="19" t="s">
        <v>5410</v>
      </c>
      <c r="K2360" s="21" t="s">
        <v>5415</v>
      </c>
      <c r="L2360" s="35" t="s">
        <v>7108</v>
      </c>
      <c r="M2360" s="29" t="s">
        <v>5331</v>
      </c>
      <c r="N2360" s="34" t="s">
        <v>5416</v>
      </c>
      <c r="O2360" s="34">
        <v>0.0</v>
      </c>
      <c r="P2360" s="18">
        <f>VLOOKUP($A2360,MasterData!$C$1:$I$3001,1,FALSE)</f>
        <v>8100</v>
      </c>
      <c r="Q2360" s="34" t="str">
        <f t="shared" si="2"/>
        <v>XIIPLG2</v>
      </c>
    </row>
    <row r="2361" ht="15.75" customHeight="1">
      <c r="A2361" s="15">
        <v>8139.0</v>
      </c>
      <c r="B2361" s="18" t="s">
        <v>10230</v>
      </c>
      <c r="C2361" s="29" t="s">
        <v>10231</v>
      </c>
      <c r="D2361" s="18" t="s">
        <v>10230</v>
      </c>
      <c r="E2361" s="34" t="s">
        <v>5334</v>
      </c>
      <c r="F2361" s="19" t="str">
        <f t="shared" si="1"/>
        <v>XIIPLG2</v>
      </c>
      <c r="G2361" s="19" t="s">
        <v>5408</v>
      </c>
      <c r="H2361" s="20" t="s">
        <v>4223</v>
      </c>
      <c r="I2361" s="19" t="s">
        <v>5409</v>
      </c>
      <c r="J2361" s="19" t="s">
        <v>5410</v>
      </c>
      <c r="K2361" s="21" t="s">
        <v>5415</v>
      </c>
      <c r="L2361" s="35" t="s">
        <v>7108</v>
      </c>
      <c r="M2361" s="29" t="s">
        <v>5333</v>
      </c>
      <c r="N2361" s="34" t="s">
        <v>5416</v>
      </c>
      <c r="O2361" s="34">
        <v>0.0</v>
      </c>
      <c r="P2361" s="18">
        <f>VLOOKUP($A2361,MasterData!$C$1:$I$3001,1,FALSE)</f>
        <v>8139</v>
      </c>
      <c r="Q2361" s="34" t="str">
        <f t="shared" si="2"/>
        <v>XIIPLG2</v>
      </c>
    </row>
    <row r="2362" ht="15.75" customHeight="1">
      <c r="A2362" s="15">
        <v>8147.0</v>
      </c>
      <c r="B2362" s="18" t="s">
        <v>10232</v>
      </c>
      <c r="C2362" s="29" t="s">
        <v>10233</v>
      </c>
      <c r="D2362" s="18" t="s">
        <v>10232</v>
      </c>
      <c r="E2362" s="34" t="s">
        <v>5336</v>
      </c>
      <c r="F2362" s="19" t="str">
        <f t="shared" si="1"/>
        <v>XIIPLG2</v>
      </c>
      <c r="G2362" s="19" t="s">
        <v>5408</v>
      </c>
      <c r="H2362" s="20" t="s">
        <v>4223</v>
      </c>
      <c r="I2362" s="19" t="s">
        <v>5409</v>
      </c>
      <c r="J2362" s="19" t="s">
        <v>5410</v>
      </c>
      <c r="K2362" s="21" t="s">
        <v>5415</v>
      </c>
      <c r="L2362" s="35" t="s">
        <v>7108</v>
      </c>
      <c r="M2362" s="29" t="s">
        <v>5335</v>
      </c>
      <c r="N2362" s="34" t="s">
        <v>5416</v>
      </c>
      <c r="O2362" s="34">
        <v>0.0</v>
      </c>
      <c r="P2362" s="18">
        <f>VLOOKUP($A2362,MasterData!$C$1:$I$3001,1,FALSE)</f>
        <v>8147</v>
      </c>
      <c r="Q2362" s="34" t="str">
        <f t="shared" si="2"/>
        <v>XIIPLG2</v>
      </c>
    </row>
    <row r="2363" ht="15.75" customHeight="1">
      <c r="A2363" s="15">
        <v>8165.0</v>
      </c>
      <c r="B2363" s="18" t="s">
        <v>10234</v>
      </c>
      <c r="C2363" s="29" t="s">
        <v>10235</v>
      </c>
      <c r="D2363" s="18" t="s">
        <v>10234</v>
      </c>
      <c r="E2363" s="34" t="s">
        <v>5338</v>
      </c>
      <c r="F2363" s="19" t="str">
        <f t="shared" si="1"/>
        <v>XIIPLG2</v>
      </c>
      <c r="G2363" s="19" t="s">
        <v>5408</v>
      </c>
      <c r="H2363" s="20" t="s">
        <v>4223</v>
      </c>
      <c r="I2363" s="19" t="s">
        <v>5409</v>
      </c>
      <c r="J2363" s="19" t="s">
        <v>5410</v>
      </c>
      <c r="K2363" s="21" t="s">
        <v>5415</v>
      </c>
      <c r="L2363" s="35" t="s">
        <v>7108</v>
      </c>
      <c r="M2363" s="29" t="s">
        <v>5337</v>
      </c>
      <c r="N2363" s="34" t="s">
        <v>5416</v>
      </c>
      <c r="O2363" s="34">
        <v>0.0</v>
      </c>
      <c r="P2363" s="18">
        <f>VLOOKUP($A2363,MasterData!$C$1:$I$3001,1,FALSE)</f>
        <v>8165</v>
      </c>
      <c r="Q2363" s="34" t="str">
        <f t="shared" si="2"/>
        <v>XIIPLG2</v>
      </c>
    </row>
    <row r="2364" ht="15.75" customHeight="1">
      <c r="A2364" s="15">
        <v>8183.0</v>
      </c>
      <c r="B2364" s="18" t="s">
        <v>10236</v>
      </c>
      <c r="C2364" s="29" t="s">
        <v>10237</v>
      </c>
      <c r="D2364" s="18" t="s">
        <v>10236</v>
      </c>
      <c r="E2364" s="34" t="s">
        <v>5340</v>
      </c>
      <c r="F2364" s="19" t="str">
        <f t="shared" si="1"/>
        <v>XIIPLG2</v>
      </c>
      <c r="G2364" s="19" t="s">
        <v>5408</v>
      </c>
      <c r="H2364" s="20" t="s">
        <v>4223</v>
      </c>
      <c r="I2364" s="19" t="s">
        <v>5409</v>
      </c>
      <c r="J2364" s="19" t="s">
        <v>5410</v>
      </c>
      <c r="K2364" s="21" t="s">
        <v>5415</v>
      </c>
      <c r="L2364" s="35" t="s">
        <v>7108</v>
      </c>
      <c r="M2364" s="29" t="s">
        <v>5339</v>
      </c>
      <c r="N2364" s="34" t="s">
        <v>5416</v>
      </c>
      <c r="O2364" s="34">
        <v>0.0</v>
      </c>
      <c r="P2364" s="18">
        <f>VLOOKUP($A2364,MasterData!$C$1:$I$3001,1,FALSE)</f>
        <v>8183</v>
      </c>
      <c r="Q2364" s="34" t="str">
        <f t="shared" si="2"/>
        <v>XIIPLG2</v>
      </c>
    </row>
    <row r="2365" ht="15.75" customHeight="1">
      <c r="A2365" s="15">
        <v>8206.0</v>
      </c>
      <c r="B2365" s="18" t="s">
        <v>10238</v>
      </c>
      <c r="C2365" s="29" t="s">
        <v>10239</v>
      </c>
      <c r="D2365" s="18" t="s">
        <v>10238</v>
      </c>
      <c r="E2365" s="34" t="s">
        <v>5342</v>
      </c>
      <c r="F2365" s="19" t="str">
        <f t="shared" si="1"/>
        <v>XIIPLG2</v>
      </c>
      <c r="G2365" s="19" t="s">
        <v>5408</v>
      </c>
      <c r="H2365" s="20" t="s">
        <v>4223</v>
      </c>
      <c r="I2365" s="19" t="s">
        <v>5409</v>
      </c>
      <c r="J2365" s="19" t="s">
        <v>5410</v>
      </c>
      <c r="K2365" s="21" t="s">
        <v>5415</v>
      </c>
      <c r="L2365" s="35" t="s">
        <v>7108</v>
      </c>
      <c r="M2365" s="29" t="s">
        <v>5341</v>
      </c>
      <c r="N2365" s="34" t="s">
        <v>5416</v>
      </c>
      <c r="O2365" s="34">
        <v>0.0</v>
      </c>
      <c r="P2365" s="18">
        <f>VLOOKUP($A2365,MasterData!$C$1:$I$3001,1,FALSE)</f>
        <v>8206</v>
      </c>
      <c r="Q2365" s="34" t="str">
        <f t="shared" si="2"/>
        <v>XIIPLG2</v>
      </c>
    </row>
    <row r="2366" ht="15.75" customHeight="1">
      <c r="A2366" s="15">
        <v>8225.0</v>
      </c>
      <c r="B2366" s="18" t="s">
        <v>10240</v>
      </c>
      <c r="C2366" s="37" t="s">
        <v>10241</v>
      </c>
      <c r="D2366" s="18" t="s">
        <v>10240</v>
      </c>
      <c r="E2366" s="34" t="s">
        <v>5344</v>
      </c>
      <c r="F2366" s="19" t="str">
        <f t="shared" si="1"/>
        <v>XIIPLG2</v>
      </c>
      <c r="G2366" s="19" t="s">
        <v>5408</v>
      </c>
      <c r="H2366" s="20" t="s">
        <v>4223</v>
      </c>
      <c r="I2366" s="19" t="s">
        <v>5409</v>
      </c>
      <c r="J2366" s="19" t="s">
        <v>5410</v>
      </c>
      <c r="K2366" s="21" t="s">
        <v>5415</v>
      </c>
      <c r="L2366" s="35" t="s">
        <v>7108</v>
      </c>
      <c r="M2366" s="29" t="s">
        <v>5343</v>
      </c>
      <c r="N2366" s="34" t="s">
        <v>5416</v>
      </c>
      <c r="O2366" s="34">
        <v>0.0</v>
      </c>
      <c r="P2366" s="18">
        <f>VLOOKUP($A2366,MasterData!$C$1:$I$3001,1,FALSE)</f>
        <v>8225</v>
      </c>
      <c r="Q2366" s="34" t="str">
        <f t="shared" si="2"/>
        <v>XIIPLG2</v>
      </c>
    </row>
    <row r="2367" ht="15.75" customHeight="1">
      <c r="A2367" s="15">
        <v>8231.0</v>
      </c>
      <c r="B2367" s="18" t="s">
        <v>10242</v>
      </c>
      <c r="C2367" s="29" t="s">
        <v>10243</v>
      </c>
      <c r="D2367" s="18" t="s">
        <v>10242</v>
      </c>
      <c r="E2367" s="34" t="s">
        <v>5346</v>
      </c>
      <c r="F2367" s="19" t="str">
        <f t="shared" si="1"/>
        <v>XIIPLG2</v>
      </c>
      <c r="G2367" s="19" t="s">
        <v>5408</v>
      </c>
      <c r="H2367" s="20" t="s">
        <v>4223</v>
      </c>
      <c r="I2367" s="19" t="s">
        <v>5409</v>
      </c>
      <c r="J2367" s="19" t="s">
        <v>5410</v>
      </c>
      <c r="K2367" s="21" t="s">
        <v>5415</v>
      </c>
      <c r="L2367" s="35" t="s">
        <v>7108</v>
      </c>
      <c r="M2367" s="29" t="s">
        <v>5345</v>
      </c>
      <c r="N2367" s="34" t="s">
        <v>5416</v>
      </c>
      <c r="O2367" s="34">
        <v>0.0</v>
      </c>
      <c r="P2367" s="18">
        <f>VLOOKUP($A2367,MasterData!$C$1:$I$3001,1,FALSE)</f>
        <v>8231</v>
      </c>
      <c r="Q2367" s="34" t="str">
        <f t="shared" si="2"/>
        <v>XIIPLG2</v>
      </c>
    </row>
    <row r="2368" ht="15.75" customHeight="1">
      <c r="A2368" s="15">
        <v>8240.0</v>
      </c>
      <c r="B2368" s="18" t="s">
        <v>10244</v>
      </c>
      <c r="C2368" s="37" t="s">
        <v>10245</v>
      </c>
      <c r="D2368" s="18" t="s">
        <v>10244</v>
      </c>
      <c r="E2368" s="34" t="s">
        <v>5348</v>
      </c>
      <c r="F2368" s="19" t="str">
        <f t="shared" si="1"/>
        <v>XIIPLG2</v>
      </c>
      <c r="G2368" s="19" t="s">
        <v>5408</v>
      </c>
      <c r="H2368" s="20" t="s">
        <v>4223</v>
      </c>
      <c r="I2368" s="19" t="s">
        <v>5409</v>
      </c>
      <c r="J2368" s="19" t="s">
        <v>5410</v>
      </c>
      <c r="K2368" s="21" t="s">
        <v>5415</v>
      </c>
      <c r="L2368" s="35" t="s">
        <v>7108</v>
      </c>
      <c r="M2368" s="29" t="s">
        <v>5347</v>
      </c>
      <c r="N2368" s="34" t="s">
        <v>5416</v>
      </c>
      <c r="O2368" s="34">
        <v>0.0</v>
      </c>
      <c r="P2368" s="18">
        <f>VLOOKUP($A2368,MasterData!$C$1:$I$3001,1,FALSE)</f>
        <v>8240</v>
      </c>
      <c r="Q2368" s="34" t="str">
        <f t="shared" si="2"/>
        <v>XIIPLG2</v>
      </c>
    </row>
    <row r="2369" ht="15.75" customHeight="1">
      <c r="A2369" s="15">
        <v>8255.0</v>
      </c>
      <c r="B2369" s="18" t="s">
        <v>10246</v>
      </c>
      <c r="C2369" s="29" t="s">
        <v>10247</v>
      </c>
      <c r="D2369" s="18" t="s">
        <v>10246</v>
      </c>
      <c r="E2369" s="34" t="s">
        <v>5350</v>
      </c>
      <c r="F2369" s="19" t="str">
        <f t="shared" si="1"/>
        <v>XIIPLG2</v>
      </c>
      <c r="G2369" s="19" t="s">
        <v>5408</v>
      </c>
      <c r="H2369" s="20" t="s">
        <v>4223</v>
      </c>
      <c r="I2369" s="19" t="s">
        <v>5409</v>
      </c>
      <c r="J2369" s="19" t="s">
        <v>5410</v>
      </c>
      <c r="K2369" s="21" t="s">
        <v>5415</v>
      </c>
      <c r="L2369" s="35" t="s">
        <v>7108</v>
      </c>
      <c r="M2369" s="29" t="s">
        <v>5349</v>
      </c>
      <c r="N2369" s="34" t="s">
        <v>5416</v>
      </c>
      <c r="O2369" s="34">
        <v>0.0</v>
      </c>
      <c r="P2369" s="18">
        <f>VLOOKUP($A2369,MasterData!$C$1:$I$3001,1,FALSE)</f>
        <v>8255</v>
      </c>
      <c r="Q2369" s="34" t="str">
        <f t="shared" si="2"/>
        <v>XIIPLG2</v>
      </c>
    </row>
    <row r="2370" ht="15.75" customHeight="1">
      <c r="A2370" s="15">
        <v>8273.0</v>
      </c>
      <c r="B2370" s="18" t="s">
        <v>10248</v>
      </c>
      <c r="C2370" s="29" t="s">
        <v>10249</v>
      </c>
      <c r="D2370" s="18" t="s">
        <v>10248</v>
      </c>
      <c r="E2370" s="34" t="s">
        <v>5352</v>
      </c>
      <c r="F2370" s="19" t="str">
        <f t="shared" si="1"/>
        <v>XIIPLG2</v>
      </c>
      <c r="G2370" s="19" t="s">
        <v>5408</v>
      </c>
      <c r="H2370" s="20" t="s">
        <v>4223</v>
      </c>
      <c r="I2370" s="19" t="s">
        <v>5409</v>
      </c>
      <c r="J2370" s="19" t="s">
        <v>5410</v>
      </c>
      <c r="K2370" s="21" t="s">
        <v>5415</v>
      </c>
      <c r="L2370" s="35" t="s">
        <v>7108</v>
      </c>
      <c r="M2370" s="29" t="s">
        <v>5351</v>
      </c>
      <c r="N2370" s="34" t="s">
        <v>5416</v>
      </c>
      <c r="O2370" s="34">
        <v>0.0</v>
      </c>
      <c r="P2370" s="18">
        <f>VLOOKUP($A2370,MasterData!$C$1:$I$3001,1,FALSE)</f>
        <v>8273</v>
      </c>
      <c r="Q2370" s="34" t="str">
        <f t="shared" si="2"/>
        <v>XIIPLG2</v>
      </c>
    </row>
    <row r="2371" ht="15.75" customHeight="1">
      <c r="A2371" s="15">
        <v>8294.0</v>
      </c>
      <c r="B2371" s="18" t="s">
        <v>10250</v>
      </c>
      <c r="C2371" s="29" t="s">
        <v>10251</v>
      </c>
      <c r="D2371" s="18" t="s">
        <v>10250</v>
      </c>
      <c r="E2371" s="34" t="s">
        <v>5354</v>
      </c>
      <c r="F2371" s="19" t="str">
        <f t="shared" si="1"/>
        <v>XIIPLG2</v>
      </c>
      <c r="G2371" s="19" t="s">
        <v>5408</v>
      </c>
      <c r="H2371" s="20" t="s">
        <v>4223</v>
      </c>
      <c r="I2371" s="19" t="s">
        <v>5409</v>
      </c>
      <c r="J2371" s="19" t="s">
        <v>5410</v>
      </c>
      <c r="K2371" s="21" t="s">
        <v>5415</v>
      </c>
      <c r="L2371" s="35" t="s">
        <v>7108</v>
      </c>
      <c r="M2371" s="29" t="s">
        <v>5353</v>
      </c>
      <c r="N2371" s="34" t="s">
        <v>5416</v>
      </c>
      <c r="O2371" s="34">
        <v>0.0</v>
      </c>
      <c r="P2371" s="18">
        <f>VLOOKUP($A2371,MasterData!$C$1:$I$3001,1,FALSE)</f>
        <v>8294</v>
      </c>
      <c r="Q2371" s="34" t="str">
        <f t="shared" si="2"/>
        <v>XIIPLG2</v>
      </c>
    </row>
    <row r="2372" ht="15.75" customHeight="1">
      <c r="A2372" s="15">
        <v>8312.0</v>
      </c>
      <c r="B2372" s="18" t="s">
        <v>10252</v>
      </c>
      <c r="C2372" s="29" t="s">
        <v>10253</v>
      </c>
      <c r="D2372" s="18" t="s">
        <v>10252</v>
      </c>
      <c r="E2372" s="34" t="s">
        <v>5356</v>
      </c>
      <c r="F2372" s="19" t="str">
        <f t="shared" si="1"/>
        <v>XIIPLG2</v>
      </c>
      <c r="G2372" s="19" t="s">
        <v>5408</v>
      </c>
      <c r="H2372" s="20" t="s">
        <v>4223</v>
      </c>
      <c r="I2372" s="19" t="s">
        <v>5409</v>
      </c>
      <c r="J2372" s="19" t="s">
        <v>5410</v>
      </c>
      <c r="K2372" s="21" t="s">
        <v>5415</v>
      </c>
      <c r="L2372" s="35" t="s">
        <v>7108</v>
      </c>
      <c r="M2372" s="29" t="s">
        <v>5355</v>
      </c>
      <c r="N2372" s="34" t="s">
        <v>5416</v>
      </c>
      <c r="O2372" s="34">
        <v>0.0</v>
      </c>
      <c r="P2372" s="18">
        <f>VLOOKUP($A2372,MasterData!$C$1:$I$3001,1,FALSE)</f>
        <v>8312</v>
      </c>
      <c r="Q2372" s="34" t="str">
        <f t="shared" si="2"/>
        <v>XIIPLG2</v>
      </c>
    </row>
    <row r="2373" ht="15.75" customHeight="1">
      <c r="A2373" s="15">
        <v>8332.0</v>
      </c>
      <c r="B2373" s="18" t="s">
        <v>10254</v>
      </c>
      <c r="C2373" s="29" t="s">
        <v>10255</v>
      </c>
      <c r="D2373" s="18" t="s">
        <v>10254</v>
      </c>
      <c r="E2373" s="34" t="s">
        <v>5358</v>
      </c>
      <c r="F2373" s="19" t="str">
        <f t="shared" si="1"/>
        <v>XIIPLG2</v>
      </c>
      <c r="G2373" s="19" t="s">
        <v>5408</v>
      </c>
      <c r="H2373" s="20" t="s">
        <v>4223</v>
      </c>
      <c r="I2373" s="19" t="s">
        <v>5409</v>
      </c>
      <c r="J2373" s="19" t="s">
        <v>5410</v>
      </c>
      <c r="K2373" s="21" t="s">
        <v>5415</v>
      </c>
      <c r="L2373" s="35" t="s">
        <v>7108</v>
      </c>
      <c r="M2373" s="29" t="s">
        <v>5357</v>
      </c>
      <c r="N2373" s="34" t="s">
        <v>5416</v>
      </c>
      <c r="O2373" s="34">
        <v>0.0</v>
      </c>
      <c r="P2373" s="18">
        <f>VLOOKUP($A2373,MasterData!$C$1:$I$3001,1,FALSE)</f>
        <v>8332</v>
      </c>
      <c r="Q2373" s="34" t="str">
        <f t="shared" si="2"/>
        <v>XIIPLG2</v>
      </c>
    </row>
    <row r="2374" ht="15.75" customHeight="1">
      <c r="A2374" s="15">
        <v>8346.0</v>
      </c>
      <c r="B2374" s="18" t="s">
        <v>10256</v>
      </c>
      <c r="C2374" s="29" t="s">
        <v>10257</v>
      </c>
      <c r="D2374" s="18" t="s">
        <v>10256</v>
      </c>
      <c r="E2374" s="34" t="s">
        <v>5360</v>
      </c>
      <c r="F2374" s="19" t="str">
        <f t="shared" si="1"/>
        <v>XIIPLG2</v>
      </c>
      <c r="G2374" s="19" t="s">
        <v>5408</v>
      </c>
      <c r="H2374" s="20" t="s">
        <v>4223</v>
      </c>
      <c r="I2374" s="19" t="s">
        <v>5409</v>
      </c>
      <c r="J2374" s="19" t="s">
        <v>5410</v>
      </c>
      <c r="K2374" s="21" t="s">
        <v>5415</v>
      </c>
      <c r="L2374" s="35" t="s">
        <v>7108</v>
      </c>
      <c r="M2374" s="29" t="s">
        <v>5359</v>
      </c>
      <c r="N2374" s="34" t="s">
        <v>5416</v>
      </c>
      <c r="O2374" s="34">
        <v>0.0</v>
      </c>
      <c r="P2374" s="18">
        <f>VLOOKUP($A2374,MasterData!$C$1:$I$3001,1,FALSE)</f>
        <v>8346</v>
      </c>
      <c r="Q2374" s="34" t="str">
        <f t="shared" si="2"/>
        <v>XIIPLG2</v>
      </c>
    </row>
    <row r="2375" ht="15.75" customHeight="1">
      <c r="A2375" s="15">
        <v>8363.0</v>
      </c>
      <c r="B2375" s="18" t="s">
        <v>10258</v>
      </c>
      <c r="C2375" s="29" t="s">
        <v>10259</v>
      </c>
      <c r="D2375" s="18" t="s">
        <v>10258</v>
      </c>
      <c r="E2375" s="34" t="s">
        <v>5362</v>
      </c>
      <c r="F2375" s="19" t="str">
        <f t="shared" si="1"/>
        <v>XIIPLG2</v>
      </c>
      <c r="G2375" s="19" t="s">
        <v>5408</v>
      </c>
      <c r="H2375" s="20" t="s">
        <v>4223</v>
      </c>
      <c r="I2375" s="19" t="s">
        <v>5409</v>
      </c>
      <c r="J2375" s="19" t="s">
        <v>5410</v>
      </c>
      <c r="K2375" s="21" t="s">
        <v>5415</v>
      </c>
      <c r="L2375" s="35" t="s">
        <v>7108</v>
      </c>
      <c r="M2375" s="29" t="s">
        <v>5361</v>
      </c>
      <c r="N2375" s="34" t="s">
        <v>5416</v>
      </c>
      <c r="O2375" s="34">
        <v>0.0</v>
      </c>
      <c r="P2375" s="18">
        <f>VLOOKUP($A2375,MasterData!$C$1:$I$3001,1,FALSE)</f>
        <v>8363</v>
      </c>
      <c r="Q2375" s="34" t="str">
        <f t="shared" si="2"/>
        <v>XIIPLG2</v>
      </c>
    </row>
    <row r="2376" ht="15.75" customHeight="1">
      <c r="A2376" s="15">
        <v>8372.0</v>
      </c>
      <c r="B2376" s="18" t="s">
        <v>10260</v>
      </c>
      <c r="C2376" s="29" t="s">
        <v>10261</v>
      </c>
      <c r="D2376" s="18" t="s">
        <v>10260</v>
      </c>
      <c r="E2376" s="34" t="s">
        <v>5364</v>
      </c>
      <c r="F2376" s="19" t="str">
        <f t="shared" si="1"/>
        <v>XIIPLG2</v>
      </c>
      <c r="G2376" s="19" t="s">
        <v>5408</v>
      </c>
      <c r="H2376" s="20" t="s">
        <v>4223</v>
      </c>
      <c r="I2376" s="19" t="s">
        <v>5409</v>
      </c>
      <c r="J2376" s="19" t="s">
        <v>5410</v>
      </c>
      <c r="K2376" s="21" t="s">
        <v>5415</v>
      </c>
      <c r="L2376" s="35" t="s">
        <v>7108</v>
      </c>
      <c r="M2376" s="29" t="s">
        <v>5363</v>
      </c>
      <c r="N2376" s="34" t="s">
        <v>5416</v>
      </c>
      <c r="O2376" s="34">
        <v>0.0</v>
      </c>
      <c r="P2376" s="18">
        <f>VLOOKUP($A2376,MasterData!$C$1:$I$3001,1,FALSE)</f>
        <v>8372</v>
      </c>
      <c r="Q2376" s="34" t="str">
        <f t="shared" si="2"/>
        <v>XIIPLG2</v>
      </c>
    </row>
    <row r="2377" ht="15.75" customHeight="1">
      <c r="A2377" s="15">
        <v>8374.0</v>
      </c>
      <c r="B2377" s="18" t="s">
        <v>10262</v>
      </c>
      <c r="C2377" s="29" t="s">
        <v>10263</v>
      </c>
      <c r="D2377" s="18" t="s">
        <v>10262</v>
      </c>
      <c r="E2377" s="34" t="s">
        <v>5366</v>
      </c>
      <c r="F2377" s="19" t="str">
        <f t="shared" si="1"/>
        <v>XIIPLG2</v>
      </c>
      <c r="G2377" s="19" t="s">
        <v>5408</v>
      </c>
      <c r="H2377" s="20" t="s">
        <v>4223</v>
      </c>
      <c r="I2377" s="19" t="s">
        <v>5409</v>
      </c>
      <c r="J2377" s="19" t="s">
        <v>5410</v>
      </c>
      <c r="K2377" s="21" t="s">
        <v>5415</v>
      </c>
      <c r="L2377" s="35" t="s">
        <v>7108</v>
      </c>
      <c r="M2377" s="29" t="s">
        <v>5365</v>
      </c>
      <c r="N2377" s="34" t="s">
        <v>5416</v>
      </c>
      <c r="O2377" s="34">
        <v>0.0</v>
      </c>
      <c r="P2377" s="18">
        <f>VLOOKUP($A2377,MasterData!$C$1:$I$3001,1,FALSE)</f>
        <v>8374</v>
      </c>
      <c r="Q2377" s="34" t="str">
        <f t="shared" si="2"/>
        <v>XIIPLG2</v>
      </c>
    </row>
    <row r="2378" ht="15.75" customHeight="1">
      <c r="A2378" s="15">
        <v>8462.0</v>
      </c>
      <c r="B2378" s="18" t="s">
        <v>10264</v>
      </c>
      <c r="C2378" s="29" t="s">
        <v>10265</v>
      </c>
      <c r="D2378" s="18" t="s">
        <v>10264</v>
      </c>
      <c r="E2378" s="34" t="s">
        <v>5368</v>
      </c>
      <c r="F2378" s="19" t="str">
        <f t="shared" si="1"/>
        <v>XIIPLG2</v>
      </c>
      <c r="G2378" s="19" t="s">
        <v>5408</v>
      </c>
      <c r="H2378" s="20" t="s">
        <v>4223</v>
      </c>
      <c r="I2378" s="19" t="s">
        <v>5409</v>
      </c>
      <c r="J2378" s="19" t="s">
        <v>5410</v>
      </c>
      <c r="K2378" s="21" t="s">
        <v>5415</v>
      </c>
      <c r="L2378" s="35" t="s">
        <v>7108</v>
      </c>
      <c r="M2378" s="29" t="s">
        <v>5367</v>
      </c>
      <c r="N2378" s="34" t="s">
        <v>5416</v>
      </c>
      <c r="O2378" s="34">
        <v>0.0</v>
      </c>
      <c r="P2378" s="18">
        <f>VLOOKUP($A2378,MasterData!$C$1:$I$3001,1,FALSE)</f>
        <v>8462</v>
      </c>
      <c r="Q2378" s="34" t="str">
        <f t="shared" si="2"/>
        <v>XIIPLG2</v>
      </c>
    </row>
    <row r="2379" ht="15.75" customHeight="1">
      <c r="A2379" s="15">
        <v>8469.0</v>
      </c>
      <c r="B2379" s="18" t="s">
        <v>10266</v>
      </c>
      <c r="C2379" s="29" t="s">
        <v>10267</v>
      </c>
      <c r="D2379" s="18" t="s">
        <v>10266</v>
      </c>
      <c r="E2379" s="34" t="s">
        <v>5370</v>
      </c>
      <c r="F2379" s="19" t="str">
        <f t="shared" si="1"/>
        <v>XIIPLG2</v>
      </c>
      <c r="G2379" s="19" t="s">
        <v>5408</v>
      </c>
      <c r="H2379" s="20" t="s">
        <v>4223</v>
      </c>
      <c r="I2379" s="19" t="s">
        <v>5409</v>
      </c>
      <c r="J2379" s="19" t="s">
        <v>5410</v>
      </c>
      <c r="K2379" s="21" t="s">
        <v>5415</v>
      </c>
      <c r="L2379" s="35" t="s">
        <v>7108</v>
      </c>
      <c r="M2379" s="29" t="s">
        <v>5369</v>
      </c>
      <c r="N2379" s="34" t="s">
        <v>5416</v>
      </c>
      <c r="O2379" s="34">
        <v>0.0</v>
      </c>
      <c r="P2379" s="18">
        <f>VLOOKUP($A2379,MasterData!$C$1:$I$3001,1,FALSE)</f>
        <v>8469</v>
      </c>
      <c r="Q2379" s="34" t="str">
        <f t="shared" si="2"/>
        <v>XIIPLG2</v>
      </c>
    </row>
    <row r="2380" ht="15.75" customHeight="1">
      <c r="A2380" s="15">
        <v>8477.0</v>
      </c>
      <c r="B2380" s="18" t="s">
        <v>10268</v>
      </c>
      <c r="C2380" s="29" t="s">
        <v>10269</v>
      </c>
      <c r="D2380" s="18" t="s">
        <v>10268</v>
      </c>
      <c r="E2380" s="34" t="s">
        <v>5372</v>
      </c>
      <c r="F2380" s="19" t="str">
        <f t="shared" si="1"/>
        <v>XIIPLG2</v>
      </c>
      <c r="G2380" s="19" t="s">
        <v>5408</v>
      </c>
      <c r="H2380" s="20" t="s">
        <v>4223</v>
      </c>
      <c r="I2380" s="19" t="s">
        <v>5409</v>
      </c>
      <c r="J2380" s="19" t="s">
        <v>5410</v>
      </c>
      <c r="K2380" s="21" t="s">
        <v>5415</v>
      </c>
      <c r="L2380" s="35" t="s">
        <v>7108</v>
      </c>
      <c r="M2380" s="29" t="s">
        <v>5371</v>
      </c>
      <c r="N2380" s="34" t="s">
        <v>5416</v>
      </c>
      <c r="O2380" s="34">
        <v>0.0</v>
      </c>
      <c r="P2380" s="18">
        <f>VLOOKUP($A2380,MasterData!$C$1:$I$3001,1,FALSE)</f>
        <v>8477</v>
      </c>
      <c r="Q2380" s="34" t="str">
        <f t="shared" si="2"/>
        <v>XIIPLG2</v>
      </c>
    </row>
    <row r="2381" ht="15.75" customHeight="1">
      <c r="A2381" s="15">
        <v>8501.0</v>
      </c>
      <c r="B2381" s="18" t="s">
        <v>10270</v>
      </c>
      <c r="C2381" s="29" t="s">
        <v>10271</v>
      </c>
      <c r="D2381" s="18" t="s">
        <v>10270</v>
      </c>
      <c r="E2381" s="34" t="s">
        <v>5374</v>
      </c>
      <c r="F2381" s="19" t="str">
        <f t="shared" si="1"/>
        <v>XIIPLG2</v>
      </c>
      <c r="G2381" s="19" t="s">
        <v>5408</v>
      </c>
      <c r="H2381" s="20" t="s">
        <v>4223</v>
      </c>
      <c r="I2381" s="19" t="s">
        <v>5409</v>
      </c>
      <c r="J2381" s="19" t="s">
        <v>5410</v>
      </c>
      <c r="K2381" s="21" t="s">
        <v>5415</v>
      </c>
      <c r="L2381" s="35" t="s">
        <v>7108</v>
      </c>
      <c r="M2381" s="29" t="s">
        <v>5373</v>
      </c>
      <c r="N2381" s="34" t="s">
        <v>5416</v>
      </c>
      <c r="O2381" s="34">
        <v>0.0</v>
      </c>
      <c r="P2381" s="18">
        <f>VLOOKUP($A2381,MasterData!$C$1:$I$3001,1,FALSE)</f>
        <v>8501</v>
      </c>
      <c r="Q2381" s="34" t="str">
        <f t="shared" si="2"/>
        <v>XIIPLG2</v>
      </c>
    </row>
    <row r="2382" ht="15.75" customHeight="1">
      <c r="A2382" s="15">
        <v>8522.0</v>
      </c>
      <c r="B2382" s="18" t="s">
        <v>10272</v>
      </c>
      <c r="C2382" s="29" t="s">
        <v>10273</v>
      </c>
      <c r="D2382" s="18" t="s">
        <v>10272</v>
      </c>
      <c r="E2382" s="34" t="s">
        <v>5376</v>
      </c>
      <c r="F2382" s="19" t="str">
        <f t="shared" si="1"/>
        <v>XIIPLG2</v>
      </c>
      <c r="G2382" s="19" t="s">
        <v>5408</v>
      </c>
      <c r="H2382" s="20" t="s">
        <v>4223</v>
      </c>
      <c r="I2382" s="19" t="s">
        <v>5409</v>
      </c>
      <c r="J2382" s="19" t="s">
        <v>5410</v>
      </c>
      <c r="K2382" s="21" t="s">
        <v>5415</v>
      </c>
      <c r="L2382" s="35" t="s">
        <v>7108</v>
      </c>
      <c r="M2382" s="29" t="s">
        <v>5375</v>
      </c>
      <c r="N2382" s="34" t="s">
        <v>5416</v>
      </c>
      <c r="O2382" s="34">
        <v>0.0</v>
      </c>
      <c r="P2382" s="18">
        <f>VLOOKUP($A2382,MasterData!$C$1:$I$3001,1,FALSE)</f>
        <v>8522</v>
      </c>
      <c r="Q2382" s="34" t="str">
        <f t="shared" si="2"/>
        <v>XIIPLG2</v>
      </c>
    </row>
    <row r="2383" ht="15.75" customHeight="1">
      <c r="A2383" s="15">
        <v>8533.0</v>
      </c>
      <c r="B2383" s="18" t="s">
        <v>10274</v>
      </c>
      <c r="C2383" s="29" t="s">
        <v>10275</v>
      </c>
      <c r="D2383" s="18" t="s">
        <v>10274</v>
      </c>
      <c r="E2383" s="34" t="s">
        <v>5378</v>
      </c>
      <c r="F2383" s="19" t="str">
        <f t="shared" si="1"/>
        <v>XIIPLG2</v>
      </c>
      <c r="G2383" s="19" t="s">
        <v>5408</v>
      </c>
      <c r="H2383" s="20" t="s">
        <v>4223</v>
      </c>
      <c r="I2383" s="19" t="s">
        <v>5409</v>
      </c>
      <c r="J2383" s="19" t="s">
        <v>5410</v>
      </c>
      <c r="K2383" s="21" t="s">
        <v>5415</v>
      </c>
      <c r="L2383" s="35" t="s">
        <v>7108</v>
      </c>
      <c r="M2383" s="29" t="s">
        <v>5377</v>
      </c>
      <c r="N2383" s="34" t="s">
        <v>5416</v>
      </c>
      <c r="O2383" s="34">
        <v>0.0</v>
      </c>
      <c r="P2383" s="18">
        <f>VLOOKUP($A2383,MasterData!$C$1:$I$3001,1,FALSE)</f>
        <v>8533</v>
      </c>
      <c r="Q2383" s="34" t="str">
        <f t="shared" si="2"/>
        <v>XIIPLG2</v>
      </c>
    </row>
    <row r="2384" ht="15.75" customHeight="1">
      <c r="A2384" s="15">
        <v>8567.0</v>
      </c>
      <c r="B2384" s="18" t="s">
        <v>10276</v>
      </c>
      <c r="C2384" s="29" t="s">
        <v>10277</v>
      </c>
      <c r="D2384" s="18" t="s">
        <v>10276</v>
      </c>
      <c r="E2384" s="34" t="s">
        <v>5380</v>
      </c>
      <c r="F2384" s="19" t="str">
        <f t="shared" si="1"/>
        <v>XIIPLG2</v>
      </c>
      <c r="G2384" s="19" t="s">
        <v>5408</v>
      </c>
      <c r="H2384" s="20" t="s">
        <v>4223</v>
      </c>
      <c r="I2384" s="19" t="s">
        <v>5409</v>
      </c>
      <c r="J2384" s="19" t="s">
        <v>5410</v>
      </c>
      <c r="K2384" s="21" t="s">
        <v>5415</v>
      </c>
      <c r="L2384" s="35" t="s">
        <v>7108</v>
      </c>
      <c r="M2384" s="29" t="s">
        <v>5379</v>
      </c>
      <c r="N2384" s="34" t="s">
        <v>5416</v>
      </c>
      <c r="O2384" s="34">
        <v>0.0</v>
      </c>
      <c r="P2384" s="18">
        <f>VLOOKUP($A2384,MasterData!$C$1:$I$3001,1,FALSE)</f>
        <v>8567</v>
      </c>
      <c r="Q2384" s="34" t="str">
        <f t="shared" si="2"/>
        <v>XIIPLG2</v>
      </c>
    </row>
    <row r="2385" ht="15.75" customHeight="1">
      <c r="A2385" s="15">
        <v>8570.0</v>
      </c>
      <c r="B2385" s="18" t="s">
        <v>10278</v>
      </c>
      <c r="C2385" s="29" t="s">
        <v>10279</v>
      </c>
      <c r="D2385" s="18" t="s">
        <v>10278</v>
      </c>
      <c r="E2385" s="34" t="s">
        <v>5382</v>
      </c>
      <c r="F2385" s="19" t="str">
        <f t="shared" si="1"/>
        <v>XIIPLG2</v>
      </c>
      <c r="G2385" s="19" t="s">
        <v>5408</v>
      </c>
      <c r="H2385" s="20" t="s">
        <v>4223</v>
      </c>
      <c r="I2385" s="19" t="s">
        <v>5409</v>
      </c>
      <c r="J2385" s="19" t="s">
        <v>5410</v>
      </c>
      <c r="K2385" s="21" t="s">
        <v>5415</v>
      </c>
      <c r="L2385" s="35" t="s">
        <v>7108</v>
      </c>
      <c r="M2385" s="29" t="s">
        <v>5381</v>
      </c>
      <c r="N2385" s="34" t="s">
        <v>5416</v>
      </c>
      <c r="O2385" s="34">
        <v>0.0</v>
      </c>
      <c r="P2385" s="18">
        <f>VLOOKUP($A2385,MasterData!$C$1:$I$3001,1,FALSE)</f>
        <v>8570</v>
      </c>
      <c r="Q2385" s="34" t="str">
        <f t="shared" si="2"/>
        <v>XIIPLG2</v>
      </c>
    </row>
    <row r="2386" ht="15.75" customHeight="1">
      <c r="A2386" s="15">
        <v>8583.0</v>
      </c>
      <c r="B2386" s="18" t="s">
        <v>10280</v>
      </c>
      <c r="C2386" s="29" t="s">
        <v>10281</v>
      </c>
      <c r="D2386" s="18" t="s">
        <v>10280</v>
      </c>
      <c r="E2386" s="34" t="s">
        <v>5384</v>
      </c>
      <c r="F2386" s="19" t="str">
        <f t="shared" si="1"/>
        <v>XIIPLG2</v>
      </c>
      <c r="G2386" s="19" t="s">
        <v>5408</v>
      </c>
      <c r="H2386" s="20" t="s">
        <v>4223</v>
      </c>
      <c r="I2386" s="19" t="s">
        <v>5409</v>
      </c>
      <c r="J2386" s="19" t="s">
        <v>5410</v>
      </c>
      <c r="K2386" s="21" t="s">
        <v>5415</v>
      </c>
      <c r="L2386" s="35" t="s">
        <v>7108</v>
      </c>
      <c r="M2386" s="29" t="s">
        <v>5383</v>
      </c>
      <c r="N2386" s="34" t="s">
        <v>5416</v>
      </c>
      <c r="O2386" s="34">
        <v>0.0</v>
      </c>
      <c r="P2386" s="18">
        <f>VLOOKUP($A2386,MasterData!$C$1:$I$3001,1,FALSE)</f>
        <v>8583</v>
      </c>
      <c r="Q2386" s="34" t="str">
        <f t="shared" si="2"/>
        <v>XIIPLG2</v>
      </c>
    </row>
    <row r="2387" ht="15.75" customHeight="1">
      <c r="A2387" s="15">
        <v>8586.0</v>
      </c>
      <c r="B2387" s="18" t="s">
        <v>10282</v>
      </c>
      <c r="C2387" s="29" t="s">
        <v>10283</v>
      </c>
      <c r="D2387" s="18" t="s">
        <v>10282</v>
      </c>
      <c r="E2387" s="34" t="s">
        <v>5386</v>
      </c>
      <c r="F2387" s="19" t="str">
        <f t="shared" si="1"/>
        <v>XIIPLG2</v>
      </c>
      <c r="G2387" s="19" t="s">
        <v>5408</v>
      </c>
      <c r="H2387" s="20" t="s">
        <v>4223</v>
      </c>
      <c r="I2387" s="19" t="s">
        <v>5409</v>
      </c>
      <c r="J2387" s="19" t="s">
        <v>5410</v>
      </c>
      <c r="K2387" s="21" t="s">
        <v>5415</v>
      </c>
      <c r="L2387" s="35" t="s">
        <v>7108</v>
      </c>
      <c r="M2387" s="29" t="s">
        <v>5385</v>
      </c>
      <c r="N2387" s="34" t="s">
        <v>5416</v>
      </c>
      <c r="O2387" s="34">
        <v>0.0</v>
      </c>
      <c r="P2387" s="18">
        <f>VLOOKUP($A2387,MasterData!$C$1:$I$3001,1,FALSE)</f>
        <v>8586</v>
      </c>
      <c r="Q2387" s="34" t="str">
        <f t="shared" si="2"/>
        <v>XIIPLG2</v>
      </c>
    </row>
    <row r="2388" ht="15.75" customHeight="1">
      <c r="A2388" s="40">
        <v>8591.0</v>
      </c>
      <c r="B2388" s="34" t="s">
        <v>10284</v>
      </c>
      <c r="C2388" s="29" t="s">
        <v>10285</v>
      </c>
      <c r="D2388" s="34" t="s">
        <v>10284</v>
      </c>
      <c r="E2388" s="34" t="s">
        <v>5388</v>
      </c>
      <c r="F2388" s="19" t="str">
        <f t="shared" si="1"/>
        <v>XIIPLG2</v>
      </c>
      <c r="G2388" s="19" t="s">
        <v>5408</v>
      </c>
      <c r="H2388" s="38" t="s">
        <v>4223</v>
      </c>
      <c r="I2388" s="19" t="s">
        <v>5409</v>
      </c>
      <c r="J2388" s="19" t="s">
        <v>5410</v>
      </c>
      <c r="K2388" s="41" t="s">
        <v>5415</v>
      </c>
      <c r="L2388" s="35" t="s">
        <v>7108</v>
      </c>
      <c r="M2388" s="29" t="s">
        <v>5387</v>
      </c>
      <c r="N2388" s="34" t="s">
        <v>5416</v>
      </c>
      <c r="O2388" s="34">
        <v>0.0</v>
      </c>
      <c r="P2388" s="18">
        <f>VLOOKUP($A2388,MasterData!$C$1:$I$3001,1,FALSE)</f>
        <v>8591</v>
      </c>
      <c r="Q2388" s="34" t="str">
        <f t="shared" si="2"/>
        <v>XIIPLG2</v>
      </c>
    </row>
    <row r="2389" ht="15.75" customHeight="1">
      <c r="A2389" s="40"/>
      <c r="B2389" s="29"/>
      <c r="C2389" s="4"/>
      <c r="D2389" s="34"/>
      <c r="E2389" s="39"/>
      <c r="F2389" s="35"/>
      <c r="G2389" s="35"/>
      <c r="H2389" s="38"/>
      <c r="I2389" s="35"/>
      <c r="J2389" s="35"/>
      <c r="K2389" s="42"/>
      <c r="L2389" s="38"/>
      <c r="M2389" s="43"/>
      <c r="N2389" s="34"/>
      <c r="O2389" s="34"/>
      <c r="P2389" s="34"/>
      <c r="Q2389" s="34"/>
    </row>
    <row r="2390" ht="15.75" customHeight="1">
      <c r="A2390" s="40"/>
      <c r="B2390" s="29"/>
      <c r="C2390" s="4"/>
      <c r="D2390" s="34"/>
      <c r="E2390" s="39"/>
      <c r="F2390" s="35"/>
      <c r="G2390" s="35"/>
      <c r="H2390" s="38"/>
      <c r="I2390" s="35"/>
      <c r="J2390" s="35"/>
      <c r="K2390" s="42"/>
      <c r="L2390" s="38"/>
      <c r="M2390" s="43"/>
      <c r="N2390" s="34"/>
      <c r="O2390" s="34"/>
      <c r="P2390" s="34"/>
      <c r="Q2390" s="34"/>
    </row>
    <row r="2391" ht="15.75" customHeight="1">
      <c r="A2391" s="40"/>
      <c r="B2391" s="29"/>
      <c r="C2391" s="4"/>
      <c r="D2391" s="34"/>
      <c r="E2391" s="39"/>
      <c r="F2391" s="35"/>
      <c r="G2391" s="35"/>
      <c r="H2391" s="38"/>
      <c r="I2391" s="35"/>
      <c r="J2391" s="35"/>
      <c r="K2391" s="42"/>
      <c r="L2391" s="38"/>
      <c r="M2391" s="43"/>
      <c r="N2391" s="34"/>
      <c r="O2391" s="34"/>
      <c r="P2391" s="34"/>
      <c r="Q2391" s="34"/>
    </row>
    <row r="2392" ht="15.75" customHeight="1">
      <c r="A2392" s="40"/>
      <c r="B2392" s="29"/>
      <c r="C2392" s="4"/>
      <c r="D2392" s="34"/>
      <c r="E2392" s="39"/>
      <c r="F2392" s="35"/>
      <c r="G2392" s="35"/>
      <c r="H2392" s="38"/>
      <c r="I2392" s="35"/>
      <c r="J2392" s="35"/>
      <c r="K2392" s="42"/>
      <c r="L2392" s="38"/>
      <c r="M2392" s="43"/>
      <c r="N2392" s="34"/>
      <c r="O2392" s="34"/>
      <c r="P2392" s="34"/>
      <c r="Q2392" s="34"/>
    </row>
    <row r="2393" ht="15.75" customHeight="1">
      <c r="A2393" s="40"/>
      <c r="B2393" s="29"/>
      <c r="C2393" s="4"/>
      <c r="D2393" s="34"/>
      <c r="E2393" s="39"/>
      <c r="F2393" s="35"/>
      <c r="G2393" s="35"/>
      <c r="H2393" s="38"/>
      <c r="I2393" s="35"/>
      <c r="J2393" s="35"/>
      <c r="K2393" s="42"/>
      <c r="L2393" s="38"/>
      <c r="M2393" s="43"/>
      <c r="N2393" s="34"/>
      <c r="O2393" s="34"/>
      <c r="P2393" s="34"/>
      <c r="Q2393" s="34"/>
    </row>
    <row r="2394" ht="15.75" customHeight="1">
      <c r="A2394" s="40"/>
      <c r="B2394" s="29"/>
      <c r="C2394" s="4"/>
      <c r="D2394" s="34"/>
      <c r="E2394" s="39"/>
      <c r="F2394" s="35"/>
      <c r="G2394" s="35"/>
      <c r="H2394" s="38"/>
      <c r="I2394" s="35"/>
      <c r="J2394" s="35"/>
      <c r="K2394" s="42"/>
      <c r="L2394" s="38"/>
      <c r="M2394" s="43"/>
      <c r="N2394" s="34"/>
      <c r="O2394" s="34"/>
      <c r="P2394" s="34"/>
      <c r="Q2394" s="34"/>
    </row>
    <row r="2395" ht="15.75" customHeight="1">
      <c r="A2395" s="40"/>
      <c r="B2395" s="29"/>
      <c r="C2395" s="4"/>
      <c r="D2395" s="34"/>
      <c r="E2395" s="39"/>
      <c r="F2395" s="35"/>
      <c r="G2395" s="35"/>
      <c r="H2395" s="38"/>
      <c r="I2395" s="35"/>
      <c r="J2395" s="35"/>
      <c r="K2395" s="42"/>
      <c r="L2395" s="38"/>
      <c r="M2395" s="43"/>
      <c r="N2395" s="34"/>
      <c r="O2395" s="34"/>
      <c r="P2395" s="34"/>
      <c r="Q2395" s="34"/>
    </row>
    <row r="2396" ht="15.75" customHeight="1">
      <c r="A2396" s="40"/>
      <c r="B2396" s="29"/>
      <c r="C2396" s="4"/>
      <c r="D2396" s="34"/>
      <c r="E2396" s="39"/>
      <c r="F2396" s="35"/>
      <c r="G2396" s="35"/>
      <c r="H2396" s="38"/>
      <c r="I2396" s="35"/>
      <c r="J2396" s="35"/>
      <c r="K2396" s="42"/>
      <c r="L2396" s="38"/>
      <c r="M2396" s="43"/>
      <c r="N2396" s="34"/>
      <c r="O2396" s="34"/>
      <c r="P2396" s="34"/>
      <c r="Q2396" s="34"/>
    </row>
    <row r="2397" ht="15.75" customHeight="1">
      <c r="A2397" s="40"/>
      <c r="B2397" s="29"/>
      <c r="C2397" s="4"/>
      <c r="D2397" s="34"/>
      <c r="E2397" s="39"/>
      <c r="F2397" s="35"/>
      <c r="G2397" s="35"/>
      <c r="H2397" s="38"/>
      <c r="I2397" s="35"/>
      <c r="J2397" s="35"/>
      <c r="K2397" s="42"/>
      <c r="L2397" s="38"/>
      <c r="M2397" s="43"/>
      <c r="N2397" s="34"/>
      <c r="O2397" s="34"/>
      <c r="P2397" s="34"/>
      <c r="Q2397" s="34"/>
    </row>
    <row r="2398" ht="15.75" customHeight="1">
      <c r="A2398" s="40"/>
      <c r="B2398" s="29"/>
      <c r="C2398" s="4"/>
      <c r="D2398" s="34"/>
      <c r="E2398" s="39"/>
      <c r="F2398" s="35"/>
      <c r="G2398" s="35"/>
      <c r="H2398" s="38"/>
      <c r="I2398" s="35"/>
      <c r="J2398" s="35"/>
      <c r="K2398" s="42"/>
      <c r="L2398" s="38"/>
      <c r="M2398" s="43"/>
      <c r="N2398" s="34"/>
      <c r="O2398" s="34"/>
      <c r="P2398" s="34"/>
      <c r="Q2398" s="34"/>
    </row>
    <row r="2399" ht="15.75" customHeight="1">
      <c r="A2399" s="40"/>
      <c r="B2399" s="29"/>
      <c r="C2399" s="4"/>
      <c r="D2399" s="34"/>
      <c r="E2399" s="39"/>
      <c r="F2399" s="35"/>
      <c r="G2399" s="35"/>
      <c r="H2399" s="38"/>
      <c r="I2399" s="35"/>
      <c r="J2399" s="35"/>
      <c r="K2399" s="42"/>
      <c r="L2399" s="38"/>
      <c r="M2399" s="43"/>
      <c r="N2399" s="34"/>
      <c r="O2399" s="34"/>
      <c r="P2399" s="34"/>
      <c r="Q2399" s="34"/>
    </row>
    <row r="2400" ht="15.75" customHeight="1">
      <c r="A2400" s="40"/>
      <c r="B2400" s="29"/>
      <c r="C2400" s="4"/>
      <c r="D2400" s="34"/>
      <c r="E2400" s="39"/>
      <c r="F2400" s="35"/>
      <c r="G2400" s="35"/>
      <c r="H2400" s="38"/>
      <c r="I2400" s="35"/>
      <c r="J2400" s="35"/>
      <c r="K2400" s="42"/>
      <c r="L2400" s="38"/>
      <c r="M2400" s="43"/>
      <c r="N2400" s="34"/>
      <c r="O2400" s="34"/>
      <c r="P2400" s="34"/>
      <c r="Q2400" s="34"/>
    </row>
    <row r="2401" ht="15.75" customHeight="1">
      <c r="A2401" s="40"/>
      <c r="B2401" s="29"/>
      <c r="C2401" s="4"/>
      <c r="D2401" s="34"/>
      <c r="E2401" s="39"/>
      <c r="F2401" s="35"/>
      <c r="G2401" s="35"/>
      <c r="H2401" s="38"/>
      <c r="I2401" s="35"/>
      <c r="J2401" s="35"/>
      <c r="K2401" s="42"/>
      <c r="L2401" s="38"/>
      <c r="M2401" s="43"/>
      <c r="N2401" s="34"/>
      <c r="O2401" s="34"/>
      <c r="P2401" s="34"/>
      <c r="Q2401" s="34"/>
    </row>
    <row r="2402" ht="15.75" customHeight="1">
      <c r="A2402" s="40"/>
      <c r="B2402" s="29"/>
      <c r="C2402" s="4"/>
      <c r="D2402" s="34"/>
      <c r="E2402" s="39"/>
      <c r="F2402" s="35"/>
      <c r="G2402" s="35"/>
      <c r="H2402" s="38"/>
      <c r="I2402" s="35"/>
      <c r="J2402" s="35"/>
      <c r="K2402" s="42"/>
      <c r="L2402" s="38"/>
      <c r="M2402" s="43"/>
      <c r="N2402" s="34"/>
      <c r="O2402" s="34"/>
      <c r="P2402" s="34"/>
      <c r="Q2402" s="34"/>
    </row>
    <row r="2403" ht="15.75" customHeight="1">
      <c r="A2403" s="40"/>
      <c r="B2403" s="29"/>
      <c r="C2403" s="4"/>
      <c r="D2403" s="34"/>
      <c r="E2403" s="39"/>
      <c r="F2403" s="35"/>
      <c r="G2403" s="35"/>
      <c r="H2403" s="38"/>
      <c r="I2403" s="35"/>
      <c r="J2403" s="35"/>
      <c r="K2403" s="42"/>
      <c r="L2403" s="38"/>
      <c r="M2403" s="43"/>
      <c r="N2403" s="34"/>
      <c r="O2403" s="34"/>
      <c r="P2403" s="34"/>
      <c r="Q2403" s="34"/>
    </row>
    <row r="2404" ht="15.75" customHeight="1">
      <c r="A2404" s="40"/>
      <c r="B2404" s="29"/>
      <c r="C2404" s="4"/>
      <c r="D2404" s="34"/>
      <c r="E2404" s="39"/>
      <c r="F2404" s="35"/>
      <c r="G2404" s="35"/>
      <c r="H2404" s="38"/>
      <c r="I2404" s="35"/>
      <c r="J2404" s="35"/>
      <c r="K2404" s="42"/>
      <c r="L2404" s="38"/>
      <c r="M2404" s="43"/>
      <c r="N2404" s="34"/>
      <c r="O2404" s="34"/>
      <c r="P2404" s="34"/>
      <c r="Q2404" s="34"/>
    </row>
    <row r="2405" ht="15.75" customHeight="1">
      <c r="A2405" s="40"/>
      <c r="B2405" s="29"/>
      <c r="C2405" s="4"/>
      <c r="D2405" s="34"/>
      <c r="E2405" s="39"/>
      <c r="F2405" s="35"/>
      <c r="G2405" s="35"/>
      <c r="H2405" s="38"/>
      <c r="I2405" s="35"/>
      <c r="J2405" s="35"/>
      <c r="K2405" s="42"/>
      <c r="L2405" s="38"/>
      <c r="M2405" s="43"/>
      <c r="N2405" s="34"/>
      <c r="O2405" s="34"/>
      <c r="P2405" s="34"/>
      <c r="Q2405" s="34"/>
    </row>
    <row r="2406" ht="15.75" customHeight="1">
      <c r="A2406" s="40"/>
      <c r="B2406" s="29"/>
      <c r="C2406" s="4"/>
      <c r="D2406" s="34"/>
      <c r="E2406" s="39"/>
      <c r="F2406" s="35"/>
      <c r="G2406" s="35"/>
      <c r="H2406" s="38"/>
      <c r="I2406" s="35"/>
      <c r="J2406" s="35"/>
      <c r="K2406" s="42"/>
      <c r="L2406" s="38"/>
      <c r="M2406" s="43"/>
      <c r="N2406" s="34"/>
      <c r="O2406" s="34"/>
      <c r="P2406" s="34"/>
      <c r="Q2406" s="34"/>
    </row>
    <row r="2407" ht="15.75" customHeight="1">
      <c r="A2407" s="40"/>
      <c r="B2407" s="29"/>
      <c r="C2407" s="4"/>
      <c r="D2407" s="34"/>
      <c r="E2407" s="39"/>
      <c r="F2407" s="35"/>
      <c r="G2407" s="35"/>
      <c r="H2407" s="38"/>
      <c r="I2407" s="35"/>
      <c r="J2407" s="35"/>
      <c r="K2407" s="42"/>
      <c r="L2407" s="38"/>
      <c r="M2407" s="43"/>
      <c r="N2407" s="34"/>
      <c r="O2407" s="34"/>
      <c r="P2407" s="34"/>
      <c r="Q2407" s="34"/>
    </row>
    <row r="2408" ht="15.75" customHeight="1">
      <c r="A2408" s="40"/>
      <c r="B2408" s="29"/>
      <c r="C2408" s="4"/>
      <c r="D2408" s="34"/>
      <c r="E2408" s="39"/>
      <c r="F2408" s="35"/>
      <c r="G2408" s="35"/>
      <c r="H2408" s="38"/>
      <c r="I2408" s="35"/>
      <c r="J2408" s="35"/>
      <c r="K2408" s="42"/>
      <c r="L2408" s="38"/>
      <c r="M2408" s="43"/>
      <c r="N2408" s="34"/>
      <c r="O2408" s="34"/>
      <c r="P2408" s="34"/>
      <c r="Q2408" s="34"/>
    </row>
    <row r="2409" ht="15.75" customHeight="1">
      <c r="A2409" s="40"/>
      <c r="B2409" s="29"/>
      <c r="C2409" s="4"/>
      <c r="D2409" s="34"/>
      <c r="E2409" s="39"/>
      <c r="F2409" s="35"/>
      <c r="G2409" s="35"/>
      <c r="H2409" s="38"/>
      <c r="I2409" s="35"/>
      <c r="J2409" s="35"/>
      <c r="K2409" s="42"/>
      <c r="L2409" s="38"/>
      <c r="M2409" s="43"/>
      <c r="N2409" s="34"/>
      <c r="O2409" s="34"/>
      <c r="P2409" s="34"/>
      <c r="Q2409" s="34"/>
    </row>
    <row r="2410" ht="15.75" customHeight="1">
      <c r="A2410" s="40"/>
      <c r="B2410" s="29"/>
      <c r="C2410" s="4"/>
      <c r="D2410" s="34"/>
      <c r="E2410" s="39"/>
      <c r="F2410" s="35"/>
      <c r="G2410" s="35"/>
      <c r="H2410" s="38"/>
      <c r="I2410" s="35"/>
      <c r="J2410" s="35"/>
      <c r="K2410" s="42"/>
      <c r="L2410" s="38"/>
      <c r="M2410" s="43"/>
      <c r="N2410" s="34"/>
      <c r="O2410" s="34"/>
      <c r="P2410" s="34"/>
      <c r="Q2410" s="34"/>
    </row>
    <row r="2411" ht="15.75" customHeight="1">
      <c r="A2411" s="40"/>
      <c r="B2411" s="29"/>
      <c r="C2411" s="4"/>
      <c r="D2411" s="34"/>
      <c r="E2411" s="39"/>
      <c r="F2411" s="35"/>
      <c r="G2411" s="35"/>
      <c r="H2411" s="38"/>
      <c r="I2411" s="35"/>
      <c r="J2411" s="35"/>
      <c r="K2411" s="42"/>
      <c r="L2411" s="38"/>
      <c r="M2411" s="43"/>
      <c r="N2411" s="34"/>
      <c r="O2411" s="34"/>
      <c r="P2411" s="34"/>
      <c r="Q2411" s="34"/>
    </row>
    <row r="2412" ht="15.75" customHeight="1">
      <c r="A2412" s="40"/>
      <c r="B2412" s="29"/>
      <c r="C2412" s="4"/>
      <c r="D2412" s="34"/>
      <c r="E2412" s="39"/>
      <c r="F2412" s="35"/>
      <c r="G2412" s="35"/>
      <c r="H2412" s="38"/>
      <c r="I2412" s="35"/>
      <c r="J2412" s="35"/>
      <c r="K2412" s="42"/>
      <c r="L2412" s="38"/>
      <c r="M2412" s="43"/>
      <c r="N2412" s="34"/>
      <c r="O2412" s="34"/>
      <c r="P2412" s="34"/>
      <c r="Q2412" s="34"/>
    </row>
    <row r="2413" ht="15.75" customHeight="1">
      <c r="A2413" s="40"/>
      <c r="B2413" s="29"/>
      <c r="C2413" s="4"/>
      <c r="D2413" s="34"/>
      <c r="E2413" s="39"/>
      <c r="F2413" s="35"/>
      <c r="G2413" s="35"/>
      <c r="H2413" s="38"/>
      <c r="I2413" s="35"/>
      <c r="J2413" s="35"/>
      <c r="K2413" s="42"/>
      <c r="L2413" s="38"/>
      <c r="M2413" s="43"/>
      <c r="N2413" s="34"/>
      <c r="O2413" s="34"/>
      <c r="P2413" s="34"/>
      <c r="Q2413" s="34"/>
    </row>
    <row r="2414" ht="15.75" customHeight="1">
      <c r="A2414" s="40"/>
      <c r="B2414" s="29"/>
      <c r="C2414" s="4"/>
      <c r="D2414" s="34"/>
      <c r="E2414" s="39"/>
      <c r="F2414" s="35"/>
      <c r="G2414" s="35"/>
      <c r="H2414" s="38"/>
      <c r="I2414" s="35"/>
      <c r="J2414" s="35"/>
      <c r="K2414" s="42"/>
      <c r="L2414" s="38"/>
      <c r="M2414" s="43"/>
      <c r="N2414" s="34"/>
      <c r="O2414" s="34"/>
      <c r="P2414" s="34"/>
      <c r="Q2414" s="34"/>
    </row>
    <row r="2415" ht="15.75" customHeight="1">
      <c r="A2415" s="40"/>
      <c r="B2415" s="29"/>
      <c r="C2415" s="4"/>
      <c r="D2415" s="34"/>
      <c r="E2415" s="39"/>
      <c r="F2415" s="35"/>
      <c r="G2415" s="35"/>
      <c r="H2415" s="38"/>
      <c r="I2415" s="35"/>
      <c r="J2415" s="35"/>
      <c r="K2415" s="42"/>
      <c r="L2415" s="38"/>
      <c r="M2415" s="43"/>
      <c r="N2415" s="34"/>
      <c r="O2415" s="34"/>
      <c r="P2415" s="34"/>
      <c r="Q2415" s="34"/>
    </row>
    <row r="2416" ht="15.75" customHeight="1">
      <c r="A2416" s="40"/>
      <c r="B2416" s="29"/>
      <c r="C2416" s="4"/>
      <c r="D2416" s="34"/>
      <c r="E2416" s="39"/>
      <c r="F2416" s="35"/>
      <c r="G2416" s="35"/>
      <c r="H2416" s="38"/>
      <c r="I2416" s="35"/>
      <c r="J2416" s="35"/>
      <c r="K2416" s="42"/>
      <c r="L2416" s="38"/>
      <c r="M2416" s="43"/>
      <c r="N2416" s="34"/>
      <c r="O2416" s="34"/>
      <c r="P2416" s="34"/>
      <c r="Q2416" s="34"/>
    </row>
    <row r="2417" ht="15.75" customHeight="1">
      <c r="A2417" s="40"/>
      <c r="B2417" s="29"/>
      <c r="C2417" s="4"/>
      <c r="D2417" s="34"/>
      <c r="E2417" s="39"/>
      <c r="F2417" s="35"/>
      <c r="G2417" s="35"/>
      <c r="H2417" s="38"/>
      <c r="I2417" s="35"/>
      <c r="J2417" s="35"/>
      <c r="K2417" s="42"/>
      <c r="L2417" s="38"/>
      <c r="M2417" s="43"/>
      <c r="N2417" s="34"/>
      <c r="O2417" s="34"/>
      <c r="P2417" s="34"/>
      <c r="Q2417" s="34"/>
    </row>
    <row r="2418" ht="15.75" customHeight="1">
      <c r="A2418" s="40"/>
      <c r="B2418" s="29"/>
      <c r="C2418" s="4"/>
      <c r="D2418" s="34"/>
      <c r="E2418" s="39"/>
      <c r="F2418" s="35"/>
      <c r="G2418" s="35"/>
      <c r="H2418" s="38"/>
      <c r="I2418" s="35"/>
      <c r="J2418" s="35"/>
      <c r="K2418" s="42"/>
      <c r="L2418" s="38"/>
      <c r="M2418" s="43"/>
      <c r="N2418" s="34"/>
      <c r="O2418" s="34"/>
      <c r="P2418" s="34"/>
      <c r="Q2418" s="34"/>
    </row>
    <row r="2419" ht="15.75" customHeight="1">
      <c r="A2419" s="40"/>
      <c r="B2419" s="29"/>
      <c r="C2419" s="4"/>
      <c r="D2419" s="34"/>
      <c r="E2419" s="39"/>
      <c r="F2419" s="35"/>
      <c r="G2419" s="35"/>
      <c r="H2419" s="38"/>
      <c r="I2419" s="35"/>
      <c r="J2419" s="35"/>
      <c r="K2419" s="42"/>
      <c r="L2419" s="38"/>
      <c r="M2419" s="43"/>
      <c r="N2419" s="34"/>
      <c r="O2419" s="34"/>
      <c r="P2419" s="34"/>
      <c r="Q2419" s="34"/>
    </row>
    <row r="2420" ht="15.75" customHeight="1">
      <c r="A2420" s="40"/>
      <c r="B2420" s="29"/>
      <c r="C2420" s="4"/>
      <c r="D2420" s="34"/>
      <c r="E2420" s="39"/>
      <c r="F2420" s="35"/>
      <c r="G2420" s="35"/>
      <c r="H2420" s="38"/>
      <c r="I2420" s="35"/>
      <c r="J2420" s="35"/>
      <c r="K2420" s="42"/>
      <c r="L2420" s="38"/>
      <c r="M2420" s="43"/>
      <c r="N2420" s="34"/>
      <c r="O2420" s="34"/>
      <c r="P2420" s="34"/>
      <c r="Q2420" s="34"/>
    </row>
    <row r="2421" ht="15.75" customHeight="1">
      <c r="A2421" s="40"/>
      <c r="B2421" s="29"/>
      <c r="C2421" s="4"/>
      <c r="D2421" s="34"/>
      <c r="E2421" s="39"/>
      <c r="F2421" s="35"/>
      <c r="G2421" s="35"/>
      <c r="H2421" s="38"/>
      <c r="I2421" s="35"/>
      <c r="J2421" s="35"/>
      <c r="K2421" s="42"/>
      <c r="L2421" s="38"/>
      <c r="M2421" s="43"/>
      <c r="N2421" s="34"/>
      <c r="O2421" s="34"/>
      <c r="P2421" s="34"/>
      <c r="Q2421" s="34"/>
    </row>
    <row r="2422" ht="15.75" customHeight="1">
      <c r="A2422" s="40"/>
      <c r="B2422" s="29"/>
      <c r="C2422" s="4"/>
      <c r="D2422" s="34"/>
      <c r="E2422" s="39"/>
      <c r="F2422" s="35"/>
      <c r="G2422" s="35"/>
      <c r="H2422" s="38"/>
      <c r="I2422" s="35"/>
      <c r="J2422" s="35"/>
      <c r="K2422" s="42"/>
      <c r="L2422" s="38"/>
      <c r="M2422" s="43"/>
      <c r="N2422" s="34"/>
      <c r="O2422" s="34"/>
      <c r="P2422" s="34"/>
      <c r="Q2422" s="34"/>
    </row>
    <row r="2423" ht="15.75" customHeight="1">
      <c r="A2423" s="40"/>
      <c r="B2423" s="29"/>
      <c r="C2423" s="4"/>
      <c r="D2423" s="34"/>
      <c r="E2423" s="39"/>
      <c r="F2423" s="35"/>
      <c r="G2423" s="35"/>
      <c r="H2423" s="38"/>
      <c r="I2423" s="35"/>
      <c r="J2423" s="35"/>
      <c r="K2423" s="42"/>
      <c r="L2423" s="38"/>
      <c r="M2423" s="43"/>
      <c r="N2423" s="34"/>
      <c r="O2423" s="34"/>
      <c r="P2423" s="34"/>
      <c r="Q2423" s="34"/>
    </row>
    <row r="2424" ht="15.75" customHeight="1">
      <c r="A2424" s="40"/>
      <c r="B2424" s="29"/>
      <c r="C2424" s="4"/>
      <c r="D2424" s="34"/>
      <c r="E2424" s="39"/>
      <c r="F2424" s="35"/>
      <c r="G2424" s="35"/>
      <c r="H2424" s="38"/>
      <c r="I2424" s="35"/>
      <c r="J2424" s="35"/>
      <c r="K2424" s="42"/>
      <c r="L2424" s="38"/>
      <c r="M2424" s="43"/>
      <c r="N2424" s="34"/>
      <c r="O2424" s="34"/>
      <c r="P2424" s="34"/>
      <c r="Q2424" s="34"/>
    </row>
    <row r="2425" ht="15.75" customHeight="1">
      <c r="A2425" s="40"/>
      <c r="B2425" s="29"/>
      <c r="C2425" s="4"/>
      <c r="D2425" s="34"/>
      <c r="E2425" s="39"/>
      <c r="F2425" s="35"/>
      <c r="G2425" s="35"/>
      <c r="H2425" s="38"/>
      <c r="I2425" s="35"/>
      <c r="J2425" s="35"/>
      <c r="K2425" s="42"/>
      <c r="L2425" s="38"/>
      <c r="M2425" s="43"/>
      <c r="N2425" s="34"/>
      <c r="O2425" s="34"/>
      <c r="P2425" s="34"/>
      <c r="Q2425" s="34"/>
    </row>
    <row r="2426" ht="15.75" customHeight="1">
      <c r="A2426" s="40"/>
      <c r="B2426" s="29"/>
      <c r="C2426" s="4"/>
      <c r="D2426" s="34"/>
      <c r="E2426" s="39"/>
      <c r="F2426" s="35"/>
      <c r="G2426" s="35"/>
      <c r="H2426" s="38"/>
      <c r="I2426" s="35"/>
      <c r="J2426" s="35"/>
      <c r="K2426" s="42"/>
      <c r="L2426" s="38"/>
      <c r="M2426" s="43"/>
      <c r="N2426" s="34"/>
      <c r="O2426" s="34"/>
      <c r="P2426" s="34"/>
      <c r="Q2426" s="34"/>
    </row>
    <row r="2427" ht="15.75" customHeight="1">
      <c r="A2427" s="40"/>
      <c r="B2427" s="29"/>
      <c r="C2427" s="4"/>
      <c r="D2427" s="34"/>
      <c r="E2427" s="39"/>
      <c r="F2427" s="35"/>
      <c r="G2427" s="35"/>
      <c r="H2427" s="38"/>
      <c r="I2427" s="35"/>
      <c r="J2427" s="35"/>
      <c r="K2427" s="42"/>
      <c r="L2427" s="38"/>
      <c r="M2427" s="43"/>
      <c r="N2427" s="34"/>
      <c r="O2427" s="34"/>
      <c r="P2427" s="34"/>
      <c r="Q2427" s="34"/>
    </row>
    <row r="2428" ht="15.75" customHeight="1">
      <c r="A2428" s="40"/>
      <c r="B2428" s="29"/>
      <c r="C2428" s="4"/>
      <c r="D2428" s="34"/>
      <c r="E2428" s="39"/>
      <c r="F2428" s="35"/>
      <c r="G2428" s="35"/>
      <c r="H2428" s="38"/>
      <c r="I2428" s="35"/>
      <c r="J2428" s="35"/>
      <c r="K2428" s="42"/>
      <c r="L2428" s="38"/>
      <c r="M2428" s="43"/>
      <c r="N2428" s="34"/>
      <c r="O2428" s="34"/>
      <c r="P2428" s="34"/>
      <c r="Q2428" s="34"/>
    </row>
    <row r="2429" ht="15.75" customHeight="1">
      <c r="A2429" s="40"/>
      <c r="B2429" s="29"/>
      <c r="C2429" s="4"/>
      <c r="D2429" s="34"/>
      <c r="E2429" s="39"/>
      <c r="F2429" s="35"/>
      <c r="G2429" s="35"/>
      <c r="H2429" s="38"/>
      <c r="I2429" s="35"/>
      <c r="J2429" s="35"/>
      <c r="K2429" s="42"/>
      <c r="L2429" s="38"/>
      <c r="M2429" s="43"/>
      <c r="N2429" s="34"/>
      <c r="O2429" s="34"/>
      <c r="P2429" s="34"/>
      <c r="Q2429" s="34"/>
    </row>
    <row r="2430" ht="15.75" customHeight="1">
      <c r="A2430" s="40"/>
      <c r="B2430" s="29"/>
      <c r="C2430" s="4"/>
      <c r="D2430" s="34"/>
      <c r="E2430" s="39"/>
      <c r="F2430" s="35"/>
      <c r="G2430" s="35"/>
      <c r="H2430" s="38"/>
      <c r="I2430" s="35"/>
      <c r="J2430" s="35"/>
      <c r="K2430" s="42"/>
      <c r="L2430" s="38"/>
      <c r="M2430" s="43"/>
      <c r="N2430" s="34"/>
      <c r="O2430" s="34"/>
      <c r="P2430" s="34"/>
      <c r="Q2430" s="34"/>
    </row>
    <row r="2431" ht="15.75" customHeight="1">
      <c r="A2431" s="40"/>
      <c r="B2431" s="29"/>
      <c r="C2431" s="4"/>
      <c r="D2431" s="34"/>
      <c r="E2431" s="39"/>
      <c r="F2431" s="35"/>
      <c r="G2431" s="35"/>
      <c r="H2431" s="38"/>
      <c r="I2431" s="35"/>
      <c r="J2431" s="35"/>
      <c r="K2431" s="42"/>
      <c r="L2431" s="38"/>
      <c r="M2431" s="43"/>
      <c r="N2431" s="34"/>
      <c r="O2431" s="34"/>
      <c r="P2431" s="34"/>
      <c r="Q2431" s="34"/>
    </row>
    <row r="2432" ht="15.75" customHeight="1">
      <c r="A2432" s="40"/>
      <c r="B2432" s="29"/>
      <c r="C2432" s="4"/>
      <c r="D2432" s="34"/>
      <c r="E2432" s="39"/>
      <c r="F2432" s="35"/>
      <c r="G2432" s="35"/>
      <c r="H2432" s="38"/>
      <c r="I2432" s="35"/>
      <c r="J2432" s="35"/>
      <c r="K2432" s="42"/>
      <c r="L2432" s="38"/>
      <c r="M2432" s="43"/>
      <c r="N2432" s="34"/>
      <c r="O2432" s="34"/>
      <c r="P2432" s="34"/>
      <c r="Q2432" s="34"/>
    </row>
    <row r="2433" ht="15.75" customHeight="1">
      <c r="A2433" s="40"/>
      <c r="B2433" s="29"/>
      <c r="C2433" s="4"/>
      <c r="D2433" s="34"/>
      <c r="E2433" s="39"/>
      <c r="F2433" s="35"/>
      <c r="G2433" s="35"/>
      <c r="H2433" s="38"/>
      <c r="I2433" s="35"/>
      <c r="J2433" s="35"/>
      <c r="K2433" s="42"/>
      <c r="L2433" s="38"/>
      <c r="M2433" s="43"/>
      <c r="N2433" s="34"/>
      <c r="O2433" s="34"/>
      <c r="P2433" s="34"/>
      <c r="Q2433" s="34"/>
    </row>
    <row r="2434" ht="15.75" customHeight="1">
      <c r="A2434" s="40"/>
      <c r="B2434" s="29"/>
      <c r="C2434" s="4"/>
      <c r="D2434" s="34"/>
      <c r="E2434" s="39"/>
      <c r="F2434" s="35"/>
      <c r="G2434" s="35"/>
      <c r="H2434" s="38"/>
      <c r="I2434" s="35"/>
      <c r="J2434" s="35"/>
      <c r="K2434" s="42"/>
      <c r="L2434" s="38"/>
      <c r="M2434" s="43"/>
      <c r="N2434" s="34"/>
      <c r="O2434" s="34"/>
      <c r="P2434" s="34"/>
      <c r="Q2434" s="34"/>
    </row>
    <row r="2435" ht="15.75" customHeight="1">
      <c r="A2435" s="40"/>
      <c r="B2435" s="29"/>
      <c r="C2435" s="4"/>
      <c r="D2435" s="34"/>
      <c r="E2435" s="39"/>
      <c r="F2435" s="35"/>
      <c r="G2435" s="35"/>
      <c r="H2435" s="38"/>
      <c r="I2435" s="35"/>
      <c r="J2435" s="35"/>
      <c r="K2435" s="42"/>
      <c r="L2435" s="38"/>
      <c r="M2435" s="43"/>
      <c r="N2435" s="34"/>
      <c r="O2435" s="34"/>
      <c r="P2435" s="34"/>
      <c r="Q2435" s="34"/>
    </row>
    <row r="2436" ht="15.75" customHeight="1">
      <c r="A2436" s="40"/>
      <c r="B2436" s="29"/>
      <c r="C2436" s="4"/>
      <c r="D2436" s="34"/>
      <c r="E2436" s="39"/>
      <c r="F2436" s="35"/>
      <c r="G2436" s="35"/>
      <c r="H2436" s="38"/>
      <c r="I2436" s="35"/>
      <c r="J2436" s="35"/>
      <c r="K2436" s="42"/>
      <c r="L2436" s="38"/>
      <c r="M2436" s="43"/>
      <c r="N2436" s="34"/>
      <c r="O2436" s="34"/>
      <c r="P2436" s="34"/>
      <c r="Q2436" s="34"/>
    </row>
    <row r="2437" ht="15.75" customHeight="1">
      <c r="A2437" s="40"/>
      <c r="B2437" s="29"/>
      <c r="C2437" s="4"/>
      <c r="D2437" s="34"/>
      <c r="E2437" s="39"/>
      <c r="F2437" s="35"/>
      <c r="G2437" s="35"/>
      <c r="H2437" s="38"/>
      <c r="I2437" s="35"/>
      <c r="J2437" s="35"/>
      <c r="K2437" s="42"/>
      <c r="L2437" s="38"/>
      <c r="M2437" s="43"/>
      <c r="N2437" s="34"/>
      <c r="O2437" s="34"/>
      <c r="P2437" s="34"/>
      <c r="Q2437" s="34"/>
    </row>
    <row r="2438" ht="15.75" customHeight="1">
      <c r="A2438" s="40"/>
      <c r="B2438" s="29"/>
      <c r="C2438" s="4"/>
      <c r="D2438" s="34"/>
      <c r="E2438" s="39"/>
      <c r="F2438" s="35"/>
      <c r="G2438" s="35"/>
      <c r="H2438" s="38"/>
      <c r="I2438" s="35"/>
      <c r="J2438" s="35"/>
      <c r="K2438" s="42"/>
      <c r="L2438" s="38"/>
      <c r="M2438" s="43"/>
      <c r="N2438" s="34"/>
      <c r="O2438" s="34"/>
      <c r="P2438" s="34"/>
      <c r="Q2438" s="34"/>
    </row>
    <row r="2439" ht="15.75" customHeight="1">
      <c r="A2439" s="40"/>
      <c r="B2439" s="29"/>
      <c r="C2439" s="4"/>
      <c r="D2439" s="34"/>
      <c r="E2439" s="39"/>
      <c r="F2439" s="35"/>
      <c r="G2439" s="35"/>
      <c r="H2439" s="38"/>
      <c r="I2439" s="35"/>
      <c r="J2439" s="35"/>
      <c r="K2439" s="42"/>
      <c r="L2439" s="38"/>
      <c r="M2439" s="43"/>
      <c r="N2439" s="34"/>
      <c r="O2439" s="34"/>
      <c r="P2439" s="34"/>
      <c r="Q2439" s="34"/>
    </row>
    <row r="2440" ht="15.75" customHeight="1">
      <c r="A2440" s="40"/>
      <c r="B2440" s="29"/>
      <c r="C2440" s="4"/>
      <c r="D2440" s="34"/>
      <c r="E2440" s="39"/>
      <c r="F2440" s="35"/>
      <c r="G2440" s="35"/>
      <c r="H2440" s="38"/>
      <c r="I2440" s="35"/>
      <c r="J2440" s="35"/>
      <c r="K2440" s="42"/>
      <c r="L2440" s="38"/>
      <c r="M2440" s="43"/>
      <c r="N2440" s="34"/>
      <c r="O2440" s="34"/>
      <c r="P2440" s="34"/>
      <c r="Q2440" s="34"/>
    </row>
    <row r="2441" ht="15.75" customHeight="1">
      <c r="A2441" s="40"/>
      <c r="B2441" s="29"/>
      <c r="C2441" s="4"/>
      <c r="D2441" s="34"/>
      <c r="E2441" s="39"/>
      <c r="F2441" s="35"/>
      <c r="G2441" s="35"/>
      <c r="H2441" s="38"/>
      <c r="I2441" s="35"/>
      <c r="J2441" s="35"/>
      <c r="K2441" s="42"/>
      <c r="L2441" s="38"/>
      <c r="M2441" s="43"/>
      <c r="N2441" s="34"/>
      <c r="O2441" s="34"/>
      <c r="P2441" s="34"/>
      <c r="Q2441" s="34"/>
    </row>
    <row r="2442" ht="15.75" customHeight="1">
      <c r="A2442" s="40"/>
      <c r="B2442" s="29"/>
      <c r="C2442" s="4"/>
      <c r="D2442" s="34"/>
      <c r="E2442" s="39"/>
      <c r="F2442" s="35"/>
      <c r="G2442" s="35"/>
      <c r="H2442" s="38"/>
      <c r="I2442" s="35"/>
      <c r="J2442" s="35"/>
      <c r="K2442" s="42"/>
      <c r="L2442" s="38"/>
      <c r="M2442" s="43"/>
      <c r="N2442" s="34"/>
      <c r="O2442" s="34"/>
      <c r="P2442" s="34"/>
      <c r="Q2442" s="34"/>
    </row>
    <row r="2443" ht="15.75" customHeight="1">
      <c r="A2443" s="40"/>
      <c r="B2443" s="29"/>
      <c r="C2443" s="4"/>
      <c r="D2443" s="34"/>
      <c r="E2443" s="39"/>
      <c r="F2443" s="35"/>
      <c r="G2443" s="35"/>
      <c r="H2443" s="38"/>
      <c r="I2443" s="35"/>
      <c r="J2443" s="35"/>
      <c r="K2443" s="42"/>
      <c r="L2443" s="38"/>
      <c r="M2443" s="43"/>
      <c r="N2443" s="34"/>
      <c r="O2443" s="34"/>
      <c r="P2443" s="34"/>
      <c r="Q2443" s="34"/>
    </row>
    <row r="2444" ht="15.75" customHeight="1">
      <c r="A2444" s="40"/>
      <c r="B2444" s="29"/>
      <c r="C2444" s="4"/>
      <c r="D2444" s="34"/>
      <c r="E2444" s="39"/>
      <c r="F2444" s="35"/>
      <c r="G2444" s="35"/>
      <c r="H2444" s="38"/>
      <c r="I2444" s="35"/>
      <c r="J2444" s="35"/>
      <c r="K2444" s="42"/>
      <c r="L2444" s="38"/>
      <c r="M2444" s="43"/>
      <c r="N2444" s="34"/>
      <c r="O2444" s="34"/>
      <c r="P2444" s="34"/>
      <c r="Q2444" s="34"/>
    </row>
    <row r="2445" ht="15.75" customHeight="1">
      <c r="A2445" s="40"/>
      <c r="B2445" s="29"/>
      <c r="C2445" s="4"/>
      <c r="D2445" s="34"/>
      <c r="E2445" s="39"/>
      <c r="F2445" s="35"/>
      <c r="G2445" s="35"/>
      <c r="H2445" s="38"/>
      <c r="I2445" s="35"/>
      <c r="J2445" s="35"/>
      <c r="K2445" s="42"/>
      <c r="L2445" s="38"/>
      <c r="M2445" s="43"/>
      <c r="N2445" s="34"/>
      <c r="O2445" s="34"/>
      <c r="P2445" s="34"/>
      <c r="Q2445" s="34"/>
    </row>
    <row r="2446" ht="15.75" customHeight="1">
      <c r="A2446" s="40"/>
      <c r="B2446" s="29"/>
      <c r="C2446" s="4"/>
      <c r="D2446" s="34"/>
      <c r="E2446" s="39"/>
      <c r="F2446" s="35"/>
      <c r="G2446" s="35"/>
      <c r="H2446" s="38"/>
      <c r="I2446" s="35"/>
      <c r="J2446" s="35"/>
      <c r="K2446" s="42"/>
      <c r="L2446" s="38"/>
      <c r="M2446" s="43"/>
      <c r="N2446" s="34"/>
      <c r="O2446" s="34"/>
      <c r="P2446" s="34"/>
      <c r="Q2446" s="34"/>
    </row>
    <row r="2447" ht="15.75" customHeight="1">
      <c r="A2447" s="40"/>
      <c r="B2447" s="29"/>
      <c r="C2447" s="4"/>
      <c r="D2447" s="34"/>
      <c r="E2447" s="39"/>
      <c r="F2447" s="35"/>
      <c r="G2447" s="35"/>
      <c r="H2447" s="38"/>
      <c r="I2447" s="35"/>
      <c r="J2447" s="35"/>
      <c r="K2447" s="42"/>
      <c r="L2447" s="38"/>
      <c r="M2447" s="43"/>
      <c r="N2447" s="34"/>
      <c r="O2447" s="34"/>
      <c r="P2447" s="34"/>
      <c r="Q2447" s="34"/>
    </row>
    <row r="2448" ht="15.75" customHeight="1">
      <c r="A2448" s="40"/>
      <c r="B2448" s="29"/>
      <c r="C2448" s="4"/>
      <c r="D2448" s="34"/>
      <c r="E2448" s="39"/>
      <c r="F2448" s="35"/>
      <c r="G2448" s="35"/>
      <c r="H2448" s="38"/>
      <c r="I2448" s="35"/>
      <c r="J2448" s="35"/>
      <c r="K2448" s="42"/>
      <c r="L2448" s="38"/>
      <c r="M2448" s="43"/>
      <c r="N2448" s="34"/>
      <c r="O2448" s="34"/>
      <c r="P2448" s="34"/>
      <c r="Q2448" s="34"/>
    </row>
    <row r="2449" ht="15.75" customHeight="1">
      <c r="A2449" s="40"/>
      <c r="B2449" s="29"/>
      <c r="C2449" s="4"/>
      <c r="D2449" s="34"/>
      <c r="E2449" s="39"/>
      <c r="F2449" s="35"/>
      <c r="G2449" s="35"/>
      <c r="H2449" s="38"/>
      <c r="I2449" s="35"/>
      <c r="J2449" s="35"/>
      <c r="K2449" s="42"/>
      <c r="L2449" s="38"/>
      <c r="M2449" s="43"/>
      <c r="N2449" s="34"/>
      <c r="O2449" s="34"/>
      <c r="P2449" s="34"/>
      <c r="Q2449" s="34"/>
    </row>
    <row r="2450" ht="15.75" customHeight="1">
      <c r="A2450" s="40"/>
      <c r="B2450" s="29"/>
      <c r="C2450" s="4"/>
      <c r="D2450" s="34"/>
      <c r="E2450" s="39"/>
      <c r="F2450" s="35"/>
      <c r="G2450" s="35"/>
      <c r="H2450" s="38"/>
      <c r="I2450" s="35"/>
      <c r="J2450" s="35"/>
      <c r="K2450" s="42"/>
      <c r="L2450" s="38"/>
      <c r="M2450" s="43"/>
      <c r="N2450" s="34"/>
      <c r="O2450" s="34"/>
      <c r="P2450" s="34"/>
      <c r="Q2450" s="34"/>
    </row>
    <row r="2451" ht="15.75" customHeight="1">
      <c r="A2451" s="40"/>
      <c r="B2451" s="29"/>
      <c r="C2451" s="4"/>
      <c r="D2451" s="34"/>
      <c r="E2451" s="39"/>
      <c r="F2451" s="35"/>
      <c r="G2451" s="35"/>
      <c r="H2451" s="38"/>
      <c r="I2451" s="35"/>
      <c r="J2451" s="35"/>
      <c r="K2451" s="42"/>
      <c r="L2451" s="38"/>
      <c r="M2451" s="43"/>
      <c r="N2451" s="34"/>
      <c r="O2451" s="34"/>
      <c r="P2451" s="34"/>
      <c r="Q2451" s="34"/>
    </row>
    <row r="2452" ht="15.75" customHeight="1">
      <c r="A2452" s="40"/>
      <c r="B2452" s="29"/>
      <c r="C2452" s="4"/>
      <c r="D2452" s="34"/>
      <c r="E2452" s="39"/>
      <c r="F2452" s="35"/>
      <c r="G2452" s="35"/>
      <c r="H2452" s="38"/>
      <c r="I2452" s="35"/>
      <c r="J2452" s="35"/>
      <c r="K2452" s="42"/>
      <c r="L2452" s="38"/>
      <c r="M2452" s="43"/>
      <c r="N2452" s="34"/>
      <c r="O2452" s="34"/>
      <c r="P2452" s="34"/>
      <c r="Q2452" s="34"/>
    </row>
    <row r="2453" ht="15.75" customHeight="1">
      <c r="A2453" s="40"/>
      <c r="B2453" s="29"/>
      <c r="C2453" s="4"/>
      <c r="D2453" s="34"/>
      <c r="E2453" s="39"/>
      <c r="F2453" s="35"/>
      <c r="G2453" s="35"/>
      <c r="H2453" s="38"/>
      <c r="I2453" s="35"/>
      <c r="J2453" s="35"/>
      <c r="K2453" s="42"/>
      <c r="L2453" s="38"/>
      <c r="M2453" s="43"/>
      <c r="N2453" s="34"/>
      <c r="O2453" s="34"/>
      <c r="P2453" s="34"/>
      <c r="Q2453" s="34"/>
    </row>
    <row r="2454" ht="15.75" customHeight="1">
      <c r="A2454" s="40"/>
      <c r="B2454" s="29"/>
      <c r="C2454" s="4"/>
      <c r="D2454" s="34"/>
      <c r="E2454" s="39"/>
      <c r="F2454" s="35"/>
      <c r="G2454" s="35"/>
      <c r="H2454" s="38"/>
      <c r="I2454" s="35"/>
      <c r="J2454" s="35"/>
      <c r="K2454" s="42"/>
      <c r="L2454" s="38"/>
      <c r="M2454" s="43"/>
      <c r="N2454" s="34"/>
      <c r="O2454" s="34"/>
      <c r="P2454" s="34"/>
      <c r="Q2454" s="34"/>
    </row>
    <row r="2455" ht="15.75" customHeight="1">
      <c r="A2455" s="40"/>
      <c r="B2455" s="29"/>
      <c r="C2455" s="4"/>
      <c r="D2455" s="34"/>
      <c r="E2455" s="39"/>
      <c r="F2455" s="35"/>
      <c r="G2455" s="35"/>
      <c r="H2455" s="38"/>
      <c r="I2455" s="35"/>
      <c r="J2455" s="35"/>
      <c r="K2455" s="42"/>
      <c r="L2455" s="38"/>
      <c r="M2455" s="43"/>
      <c r="N2455" s="34"/>
      <c r="O2455" s="34"/>
      <c r="P2455" s="34"/>
      <c r="Q2455" s="34"/>
    </row>
    <row r="2456" ht="15.75" customHeight="1">
      <c r="A2456" s="40"/>
      <c r="B2456" s="29"/>
      <c r="C2456" s="4"/>
      <c r="D2456" s="34"/>
      <c r="E2456" s="39"/>
      <c r="F2456" s="35"/>
      <c r="G2456" s="35"/>
      <c r="H2456" s="38"/>
      <c r="I2456" s="35"/>
      <c r="J2456" s="35"/>
      <c r="K2456" s="42"/>
      <c r="L2456" s="38"/>
      <c r="M2456" s="43"/>
      <c r="N2456" s="34"/>
      <c r="O2456" s="34"/>
      <c r="P2456" s="34"/>
      <c r="Q2456" s="34"/>
    </row>
    <row r="2457" ht="15.75" customHeight="1">
      <c r="A2457" s="40"/>
      <c r="B2457" s="29"/>
      <c r="C2457" s="4"/>
      <c r="D2457" s="34"/>
      <c r="E2457" s="39"/>
      <c r="F2457" s="35"/>
      <c r="G2457" s="35"/>
      <c r="H2457" s="38"/>
      <c r="I2457" s="35"/>
      <c r="J2457" s="35"/>
      <c r="K2457" s="42"/>
      <c r="L2457" s="38"/>
      <c r="M2457" s="43"/>
      <c r="N2457" s="34"/>
      <c r="O2457" s="34"/>
      <c r="P2457" s="34"/>
      <c r="Q2457" s="34"/>
    </row>
    <row r="2458" ht="15.75" customHeight="1">
      <c r="A2458" s="40"/>
      <c r="B2458" s="29"/>
      <c r="C2458" s="4"/>
      <c r="D2458" s="34"/>
      <c r="E2458" s="39"/>
      <c r="F2458" s="35"/>
      <c r="G2458" s="35"/>
      <c r="H2458" s="38"/>
      <c r="I2458" s="35"/>
      <c r="J2458" s="35"/>
      <c r="K2458" s="42"/>
      <c r="L2458" s="38"/>
      <c r="M2458" s="43"/>
      <c r="N2458" s="34"/>
      <c r="O2458" s="34"/>
      <c r="P2458" s="34"/>
      <c r="Q2458" s="34"/>
    </row>
    <row r="2459" ht="15.75" customHeight="1">
      <c r="A2459" s="40"/>
      <c r="B2459" s="29"/>
      <c r="C2459" s="4"/>
      <c r="D2459" s="34"/>
      <c r="E2459" s="39"/>
      <c r="F2459" s="35"/>
      <c r="G2459" s="35"/>
      <c r="H2459" s="38"/>
      <c r="I2459" s="35"/>
      <c r="J2459" s="35"/>
      <c r="K2459" s="42"/>
      <c r="L2459" s="38"/>
      <c r="M2459" s="43"/>
      <c r="N2459" s="34"/>
      <c r="O2459" s="34"/>
      <c r="P2459" s="34"/>
      <c r="Q2459" s="34"/>
    </row>
    <row r="2460" ht="15.75" customHeight="1">
      <c r="A2460" s="40"/>
      <c r="B2460" s="29"/>
      <c r="C2460" s="4"/>
      <c r="D2460" s="34"/>
      <c r="E2460" s="39"/>
      <c r="F2460" s="35"/>
      <c r="G2460" s="35"/>
      <c r="H2460" s="38"/>
      <c r="I2460" s="35"/>
      <c r="J2460" s="35"/>
      <c r="K2460" s="42"/>
      <c r="L2460" s="38"/>
      <c r="M2460" s="43"/>
      <c r="N2460" s="34"/>
      <c r="O2460" s="34"/>
      <c r="P2460" s="34"/>
      <c r="Q2460" s="34"/>
    </row>
    <row r="2461" ht="15.75" customHeight="1">
      <c r="A2461" s="40"/>
      <c r="B2461" s="29"/>
      <c r="C2461" s="4"/>
      <c r="D2461" s="34"/>
      <c r="E2461" s="39"/>
      <c r="F2461" s="35"/>
      <c r="G2461" s="35"/>
      <c r="H2461" s="38"/>
      <c r="I2461" s="35"/>
      <c r="J2461" s="35"/>
      <c r="K2461" s="42"/>
      <c r="L2461" s="38"/>
      <c r="M2461" s="43"/>
      <c r="N2461" s="34"/>
      <c r="O2461" s="34"/>
      <c r="P2461" s="34"/>
      <c r="Q2461" s="34"/>
    </row>
    <row r="2462" ht="15.75" customHeight="1">
      <c r="A2462" s="40"/>
      <c r="B2462" s="29"/>
      <c r="C2462" s="4"/>
      <c r="D2462" s="34"/>
      <c r="E2462" s="39"/>
      <c r="F2462" s="35"/>
      <c r="G2462" s="35"/>
      <c r="H2462" s="38"/>
      <c r="I2462" s="35"/>
      <c r="J2462" s="35"/>
      <c r="K2462" s="42"/>
      <c r="L2462" s="38"/>
      <c r="M2462" s="43"/>
      <c r="N2462" s="34"/>
      <c r="O2462" s="34"/>
      <c r="P2462" s="34"/>
      <c r="Q2462" s="34"/>
    </row>
    <row r="2463" ht="15.75" customHeight="1">
      <c r="A2463" s="40"/>
      <c r="B2463" s="29"/>
      <c r="C2463" s="4"/>
      <c r="D2463" s="34"/>
      <c r="E2463" s="39"/>
      <c r="F2463" s="35"/>
      <c r="G2463" s="35"/>
      <c r="H2463" s="38"/>
      <c r="I2463" s="35"/>
      <c r="J2463" s="35"/>
      <c r="K2463" s="42"/>
      <c r="L2463" s="38"/>
      <c r="M2463" s="43"/>
      <c r="N2463" s="34"/>
      <c r="O2463" s="34"/>
      <c r="P2463" s="34"/>
      <c r="Q2463" s="34"/>
    </row>
    <row r="2464" ht="15.75" customHeight="1">
      <c r="A2464" s="40"/>
      <c r="B2464" s="29"/>
      <c r="C2464" s="4"/>
      <c r="D2464" s="34"/>
      <c r="E2464" s="39"/>
      <c r="F2464" s="35"/>
      <c r="G2464" s="35"/>
      <c r="H2464" s="38"/>
      <c r="I2464" s="35"/>
      <c r="J2464" s="35"/>
      <c r="K2464" s="42"/>
      <c r="L2464" s="38"/>
      <c r="M2464" s="43"/>
      <c r="N2464" s="34"/>
      <c r="O2464" s="34"/>
      <c r="P2464" s="34"/>
      <c r="Q2464" s="34"/>
    </row>
    <row r="2465" ht="15.75" customHeight="1">
      <c r="A2465" s="40"/>
      <c r="B2465" s="29"/>
      <c r="C2465" s="4"/>
      <c r="D2465" s="34"/>
      <c r="E2465" s="39"/>
      <c r="F2465" s="35"/>
      <c r="G2465" s="35"/>
      <c r="H2465" s="38"/>
      <c r="I2465" s="35"/>
      <c r="J2465" s="35"/>
      <c r="K2465" s="42"/>
      <c r="L2465" s="38"/>
      <c r="M2465" s="43"/>
      <c r="N2465" s="34"/>
      <c r="O2465" s="34"/>
      <c r="P2465" s="34"/>
      <c r="Q2465" s="34"/>
    </row>
    <row r="2466" ht="15.75" customHeight="1">
      <c r="A2466" s="40"/>
      <c r="B2466" s="29"/>
      <c r="C2466" s="4"/>
      <c r="D2466" s="34"/>
      <c r="E2466" s="39"/>
      <c r="F2466" s="35"/>
      <c r="G2466" s="35"/>
      <c r="H2466" s="38"/>
      <c r="I2466" s="35"/>
      <c r="J2466" s="35"/>
      <c r="K2466" s="42"/>
      <c r="L2466" s="38"/>
      <c r="M2466" s="43"/>
      <c r="N2466" s="34"/>
      <c r="O2466" s="34"/>
      <c r="P2466" s="34"/>
      <c r="Q2466" s="34"/>
    </row>
    <row r="2467" ht="15.75" customHeight="1">
      <c r="A2467" s="40"/>
      <c r="B2467" s="29"/>
      <c r="C2467" s="4"/>
      <c r="D2467" s="34"/>
      <c r="E2467" s="39"/>
      <c r="F2467" s="35"/>
      <c r="G2467" s="35"/>
      <c r="H2467" s="38"/>
      <c r="I2467" s="35"/>
      <c r="J2467" s="35"/>
      <c r="K2467" s="42"/>
      <c r="L2467" s="38"/>
      <c r="M2467" s="43"/>
      <c r="N2467" s="34"/>
      <c r="O2467" s="34"/>
      <c r="P2467" s="34"/>
      <c r="Q2467" s="34"/>
    </row>
    <row r="2468" ht="15.75" customHeight="1">
      <c r="A2468" s="40"/>
      <c r="B2468" s="29"/>
      <c r="C2468" s="4"/>
      <c r="D2468" s="34"/>
      <c r="E2468" s="39"/>
      <c r="F2468" s="35"/>
      <c r="G2468" s="35"/>
      <c r="H2468" s="38"/>
      <c r="I2468" s="35"/>
      <c r="J2468" s="35"/>
      <c r="K2468" s="42"/>
      <c r="L2468" s="38"/>
      <c r="M2468" s="43"/>
      <c r="N2468" s="34"/>
      <c r="O2468" s="34"/>
      <c r="P2468" s="34"/>
      <c r="Q2468" s="34"/>
    </row>
    <row r="2469" ht="15.75" customHeight="1">
      <c r="A2469" s="40"/>
      <c r="B2469" s="29"/>
      <c r="C2469" s="4"/>
      <c r="D2469" s="34"/>
      <c r="E2469" s="39"/>
      <c r="F2469" s="35"/>
      <c r="G2469" s="35"/>
      <c r="H2469" s="38"/>
      <c r="I2469" s="35"/>
      <c r="J2469" s="35"/>
      <c r="K2469" s="42"/>
      <c r="L2469" s="38"/>
      <c r="M2469" s="43"/>
      <c r="N2469" s="34"/>
      <c r="O2469" s="34"/>
      <c r="P2469" s="34"/>
      <c r="Q2469" s="34"/>
    </row>
    <row r="2470" ht="15.75" customHeight="1">
      <c r="A2470" s="40"/>
      <c r="B2470" s="29"/>
      <c r="C2470" s="4"/>
      <c r="D2470" s="34"/>
      <c r="E2470" s="39"/>
      <c r="F2470" s="35"/>
      <c r="G2470" s="35"/>
      <c r="H2470" s="38"/>
      <c r="I2470" s="35"/>
      <c r="J2470" s="35"/>
      <c r="K2470" s="42"/>
      <c r="L2470" s="38"/>
      <c r="M2470" s="43"/>
      <c r="N2470" s="34"/>
      <c r="O2470" s="34"/>
      <c r="P2470" s="34"/>
      <c r="Q2470" s="34"/>
    </row>
    <row r="2471" ht="15.75" customHeight="1">
      <c r="A2471" s="40"/>
      <c r="B2471" s="29"/>
      <c r="C2471" s="4"/>
      <c r="D2471" s="34"/>
      <c r="E2471" s="39"/>
      <c r="F2471" s="35"/>
      <c r="G2471" s="35"/>
      <c r="H2471" s="38"/>
      <c r="I2471" s="35"/>
      <c r="J2471" s="35"/>
      <c r="K2471" s="42"/>
      <c r="L2471" s="38"/>
      <c r="M2471" s="43"/>
      <c r="N2471" s="34"/>
      <c r="O2471" s="34"/>
      <c r="P2471" s="34"/>
      <c r="Q2471" s="34"/>
    </row>
    <row r="2472" ht="15.75" customHeight="1">
      <c r="A2472" s="40"/>
      <c r="B2472" s="29"/>
      <c r="C2472" s="4"/>
      <c r="D2472" s="34"/>
      <c r="E2472" s="39"/>
      <c r="F2472" s="35"/>
      <c r="G2472" s="35"/>
      <c r="H2472" s="38"/>
      <c r="I2472" s="35"/>
      <c r="J2472" s="35"/>
      <c r="K2472" s="42"/>
      <c r="L2472" s="38"/>
      <c r="M2472" s="43"/>
      <c r="N2472" s="34"/>
      <c r="O2472" s="34"/>
      <c r="P2472" s="34"/>
      <c r="Q2472" s="34"/>
    </row>
    <row r="2473" ht="15.75" customHeight="1">
      <c r="A2473" s="40"/>
      <c r="B2473" s="29"/>
      <c r="C2473" s="4"/>
      <c r="D2473" s="34"/>
      <c r="E2473" s="39"/>
      <c r="F2473" s="35"/>
      <c r="G2473" s="35"/>
      <c r="H2473" s="38"/>
      <c r="I2473" s="35"/>
      <c r="J2473" s="35"/>
      <c r="K2473" s="42"/>
      <c r="L2473" s="38"/>
      <c r="M2473" s="43"/>
      <c r="N2473" s="34"/>
      <c r="O2473" s="34"/>
      <c r="P2473" s="34"/>
      <c r="Q2473" s="34"/>
    </row>
    <row r="2474" ht="15.75" customHeight="1">
      <c r="A2474" s="40"/>
      <c r="B2474" s="29"/>
      <c r="C2474" s="4"/>
      <c r="D2474" s="34"/>
      <c r="E2474" s="39"/>
      <c r="F2474" s="35"/>
      <c r="G2474" s="35"/>
      <c r="H2474" s="38"/>
      <c r="I2474" s="35"/>
      <c r="J2474" s="35"/>
      <c r="K2474" s="42"/>
      <c r="L2474" s="38"/>
      <c r="M2474" s="43"/>
      <c r="N2474" s="34"/>
      <c r="O2474" s="34"/>
      <c r="P2474" s="34"/>
      <c r="Q2474" s="34"/>
    </row>
    <row r="2475" ht="15.75" customHeight="1">
      <c r="A2475" s="40"/>
      <c r="B2475" s="29"/>
      <c r="C2475" s="4"/>
      <c r="D2475" s="34"/>
      <c r="E2475" s="39"/>
      <c r="F2475" s="35"/>
      <c r="G2475" s="35"/>
      <c r="H2475" s="38"/>
      <c r="I2475" s="35"/>
      <c r="J2475" s="35"/>
      <c r="K2475" s="42"/>
      <c r="L2475" s="38"/>
      <c r="M2475" s="43"/>
      <c r="N2475" s="34"/>
      <c r="O2475" s="34"/>
      <c r="P2475" s="34"/>
      <c r="Q2475" s="34"/>
    </row>
    <row r="2476" ht="15.75" customHeight="1">
      <c r="A2476" s="40"/>
      <c r="B2476" s="29"/>
      <c r="C2476" s="4"/>
      <c r="D2476" s="34"/>
      <c r="E2476" s="39"/>
      <c r="F2476" s="35"/>
      <c r="G2476" s="35"/>
      <c r="H2476" s="38"/>
      <c r="I2476" s="35"/>
      <c r="J2476" s="35"/>
      <c r="K2476" s="42"/>
      <c r="L2476" s="38"/>
      <c r="M2476" s="43"/>
      <c r="N2476" s="34"/>
      <c r="O2476" s="34"/>
      <c r="P2476" s="34"/>
      <c r="Q2476" s="34"/>
    </row>
    <row r="2477" ht="15.75" customHeight="1">
      <c r="A2477" s="40"/>
      <c r="B2477" s="29"/>
      <c r="C2477" s="4"/>
      <c r="D2477" s="34"/>
      <c r="E2477" s="39"/>
      <c r="F2477" s="35"/>
      <c r="G2477" s="35"/>
      <c r="H2477" s="38"/>
      <c r="I2477" s="35"/>
      <c r="J2477" s="35"/>
      <c r="K2477" s="42"/>
      <c r="L2477" s="38"/>
      <c r="M2477" s="43"/>
      <c r="N2477" s="34"/>
      <c r="O2477" s="34"/>
      <c r="P2477" s="34"/>
      <c r="Q2477" s="34"/>
    </row>
    <row r="2478" ht="15.75" customHeight="1">
      <c r="A2478" s="40"/>
      <c r="B2478" s="29"/>
      <c r="C2478" s="4"/>
      <c r="D2478" s="34"/>
      <c r="E2478" s="39"/>
      <c r="F2478" s="35"/>
      <c r="G2478" s="35"/>
      <c r="H2478" s="38"/>
      <c r="I2478" s="35"/>
      <c r="J2478" s="35"/>
      <c r="K2478" s="42"/>
      <c r="L2478" s="38"/>
      <c r="M2478" s="43"/>
      <c r="N2478" s="34"/>
      <c r="O2478" s="34"/>
      <c r="P2478" s="34"/>
      <c r="Q2478" s="34"/>
    </row>
    <row r="2479" ht="15.75" customHeight="1">
      <c r="A2479" s="40"/>
      <c r="B2479" s="29"/>
      <c r="C2479" s="4"/>
      <c r="D2479" s="34"/>
      <c r="E2479" s="39"/>
      <c r="F2479" s="35"/>
      <c r="G2479" s="35"/>
      <c r="H2479" s="38"/>
      <c r="I2479" s="35"/>
      <c r="J2479" s="35"/>
      <c r="K2479" s="42"/>
      <c r="L2479" s="38"/>
      <c r="M2479" s="43"/>
      <c r="N2479" s="34"/>
      <c r="O2479" s="34"/>
      <c r="P2479" s="34"/>
      <c r="Q2479" s="34"/>
    </row>
    <row r="2480" ht="15.75" customHeight="1">
      <c r="A2480" s="40"/>
      <c r="B2480" s="29"/>
      <c r="C2480" s="4"/>
      <c r="D2480" s="34"/>
      <c r="E2480" s="39"/>
      <c r="F2480" s="35"/>
      <c r="G2480" s="35"/>
      <c r="H2480" s="38"/>
      <c r="I2480" s="35"/>
      <c r="J2480" s="35"/>
      <c r="K2480" s="42"/>
      <c r="L2480" s="38"/>
      <c r="M2480" s="43"/>
      <c r="N2480" s="34"/>
      <c r="O2480" s="34"/>
      <c r="P2480" s="34"/>
      <c r="Q2480" s="34"/>
    </row>
    <row r="2481" ht="15.75" customHeight="1">
      <c r="A2481" s="40"/>
      <c r="B2481" s="29"/>
      <c r="C2481" s="4"/>
      <c r="D2481" s="34"/>
      <c r="E2481" s="39"/>
      <c r="F2481" s="35"/>
      <c r="G2481" s="35"/>
      <c r="H2481" s="38"/>
      <c r="I2481" s="35"/>
      <c r="J2481" s="35"/>
      <c r="K2481" s="42"/>
      <c r="L2481" s="38"/>
      <c r="M2481" s="43"/>
      <c r="N2481" s="34"/>
      <c r="O2481" s="34"/>
      <c r="P2481" s="34"/>
      <c r="Q2481" s="34"/>
    </row>
    <row r="2482" ht="15.75" customHeight="1">
      <c r="A2482" s="40"/>
      <c r="B2482" s="29"/>
      <c r="C2482" s="4"/>
      <c r="D2482" s="34"/>
      <c r="E2482" s="39"/>
      <c r="F2482" s="35"/>
      <c r="G2482" s="35"/>
      <c r="H2482" s="38"/>
      <c r="I2482" s="35"/>
      <c r="J2482" s="35"/>
      <c r="K2482" s="42"/>
      <c r="L2482" s="38"/>
      <c r="M2482" s="43"/>
      <c r="N2482" s="34"/>
      <c r="O2482" s="34"/>
      <c r="P2482" s="34"/>
      <c r="Q2482" s="34"/>
    </row>
    <row r="2483" ht="15.75" customHeight="1">
      <c r="A2483" s="40"/>
      <c r="B2483" s="29"/>
      <c r="C2483" s="4"/>
      <c r="D2483" s="34"/>
      <c r="E2483" s="39"/>
      <c r="F2483" s="35"/>
      <c r="G2483" s="35"/>
      <c r="H2483" s="38"/>
      <c r="I2483" s="35"/>
      <c r="J2483" s="35"/>
      <c r="K2483" s="42"/>
      <c r="L2483" s="38"/>
      <c r="M2483" s="43"/>
      <c r="N2483" s="34"/>
      <c r="O2483" s="34"/>
      <c r="P2483" s="34"/>
      <c r="Q2483" s="34"/>
    </row>
    <row r="2484" ht="15.75" customHeight="1">
      <c r="A2484" s="40"/>
      <c r="B2484" s="29"/>
      <c r="C2484" s="4"/>
      <c r="D2484" s="34"/>
      <c r="E2484" s="39"/>
      <c r="F2484" s="35"/>
      <c r="G2484" s="35"/>
      <c r="H2484" s="38"/>
      <c r="I2484" s="35"/>
      <c r="J2484" s="35"/>
      <c r="K2484" s="42"/>
      <c r="L2484" s="38"/>
      <c r="M2484" s="43"/>
      <c r="N2484" s="34"/>
      <c r="O2484" s="34"/>
      <c r="P2484" s="34"/>
      <c r="Q2484" s="34"/>
    </row>
    <row r="2485" ht="15.75" customHeight="1">
      <c r="A2485" s="40"/>
      <c r="B2485" s="29"/>
      <c r="C2485" s="4"/>
      <c r="D2485" s="34"/>
      <c r="E2485" s="39"/>
      <c r="F2485" s="35"/>
      <c r="G2485" s="35"/>
      <c r="H2485" s="38"/>
      <c r="I2485" s="35"/>
      <c r="J2485" s="35"/>
      <c r="K2485" s="42"/>
      <c r="L2485" s="38"/>
      <c r="M2485" s="43"/>
      <c r="N2485" s="34"/>
      <c r="O2485" s="34"/>
      <c r="P2485" s="34"/>
      <c r="Q2485" s="34"/>
    </row>
    <row r="2486" ht="15.75" customHeight="1">
      <c r="A2486" s="40"/>
      <c r="B2486" s="29"/>
      <c r="C2486" s="4"/>
      <c r="D2486" s="34"/>
      <c r="E2486" s="39"/>
      <c r="F2486" s="35"/>
      <c r="G2486" s="35"/>
      <c r="H2486" s="38"/>
      <c r="I2486" s="35"/>
      <c r="J2486" s="35"/>
      <c r="K2486" s="42"/>
      <c r="L2486" s="38"/>
      <c r="M2486" s="43"/>
      <c r="N2486" s="34"/>
      <c r="O2486" s="34"/>
      <c r="P2486" s="34"/>
      <c r="Q2486" s="34"/>
    </row>
    <row r="2487" ht="15.75" customHeight="1">
      <c r="A2487" s="40"/>
      <c r="B2487" s="29"/>
      <c r="C2487" s="4"/>
      <c r="D2487" s="34"/>
      <c r="E2487" s="39"/>
      <c r="F2487" s="35"/>
      <c r="G2487" s="35"/>
      <c r="H2487" s="38"/>
      <c r="I2487" s="35"/>
      <c r="J2487" s="35"/>
      <c r="K2487" s="42"/>
      <c r="L2487" s="38"/>
      <c r="M2487" s="43"/>
      <c r="N2487" s="34"/>
      <c r="O2487" s="34"/>
      <c r="P2487" s="34"/>
      <c r="Q2487" s="34"/>
    </row>
    <row r="2488" ht="15.75" customHeight="1">
      <c r="A2488" s="40"/>
      <c r="B2488" s="29"/>
      <c r="C2488" s="4"/>
      <c r="D2488" s="34"/>
      <c r="E2488" s="39"/>
      <c r="F2488" s="35"/>
      <c r="G2488" s="35"/>
      <c r="H2488" s="38"/>
      <c r="I2488" s="35"/>
      <c r="J2488" s="35"/>
      <c r="K2488" s="42"/>
      <c r="L2488" s="38"/>
      <c r="M2488" s="43"/>
      <c r="N2488" s="34"/>
      <c r="O2488" s="34"/>
      <c r="P2488" s="34"/>
      <c r="Q2488" s="34"/>
    </row>
    <row r="2489" ht="15.75" customHeight="1">
      <c r="A2489" s="40"/>
      <c r="B2489" s="29"/>
      <c r="C2489" s="4"/>
      <c r="D2489" s="34"/>
      <c r="E2489" s="39"/>
      <c r="F2489" s="35"/>
      <c r="G2489" s="35"/>
      <c r="H2489" s="38"/>
      <c r="I2489" s="35"/>
      <c r="J2489" s="35"/>
      <c r="K2489" s="42"/>
      <c r="L2489" s="38"/>
      <c r="M2489" s="43"/>
      <c r="N2489" s="34"/>
      <c r="O2489" s="34"/>
      <c r="P2489" s="34"/>
      <c r="Q2489" s="34"/>
    </row>
    <row r="2490" ht="15.75" customHeight="1">
      <c r="A2490" s="40"/>
      <c r="B2490" s="29"/>
      <c r="C2490" s="4"/>
      <c r="D2490" s="34"/>
      <c r="E2490" s="39"/>
      <c r="F2490" s="35"/>
      <c r="G2490" s="35"/>
      <c r="H2490" s="38"/>
      <c r="I2490" s="35"/>
      <c r="J2490" s="35"/>
      <c r="K2490" s="42"/>
      <c r="L2490" s="38"/>
      <c r="M2490" s="43"/>
      <c r="N2490" s="34"/>
      <c r="O2490" s="34"/>
      <c r="P2490" s="34"/>
      <c r="Q2490" s="34"/>
    </row>
    <row r="2491" ht="15.75" customHeight="1">
      <c r="A2491" s="40"/>
      <c r="B2491" s="29"/>
      <c r="C2491" s="4"/>
      <c r="D2491" s="34"/>
      <c r="E2491" s="39"/>
      <c r="F2491" s="35"/>
      <c r="G2491" s="35"/>
      <c r="H2491" s="38"/>
      <c r="I2491" s="35"/>
      <c r="J2491" s="35"/>
      <c r="K2491" s="42"/>
      <c r="L2491" s="38"/>
      <c r="M2491" s="43"/>
      <c r="N2491" s="34"/>
      <c r="O2491" s="34"/>
      <c r="P2491" s="34"/>
      <c r="Q2491" s="34"/>
    </row>
    <row r="2492" ht="15.75" customHeight="1">
      <c r="A2492" s="40"/>
      <c r="B2492" s="29"/>
      <c r="C2492" s="4"/>
      <c r="D2492" s="34"/>
      <c r="E2492" s="39"/>
      <c r="F2492" s="35"/>
      <c r="G2492" s="35"/>
      <c r="H2492" s="38"/>
      <c r="I2492" s="35"/>
      <c r="J2492" s="35"/>
      <c r="K2492" s="42"/>
      <c r="L2492" s="38"/>
      <c r="M2492" s="43"/>
      <c r="N2492" s="34"/>
      <c r="O2492" s="34"/>
      <c r="P2492" s="34"/>
      <c r="Q2492" s="34"/>
    </row>
    <row r="2493" ht="15.75" customHeight="1">
      <c r="A2493" s="40"/>
      <c r="B2493" s="29"/>
      <c r="C2493" s="4"/>
      <c r="D2493" s="34"/>
      <c r="E2493" s="39"/>
      <c r="F2493" s="35"/>
      <c r="G2493" s="35"/>
      <c r="H2493" s="38"/>
      <c r="I2493" s="35"/>
      <c r="J2493" s="35"/>
      <c r="K2493" s="42"/>
      <c r="L2493" s="38"/>
      <c r="M2493" s="43"/>
      <c r="N2493" s="34"/>
      <c r="O2493" s="34"/>
      <c r="P2493" s="34"/>
      <c r="Q2493" s="34"/>
    </row>
    <row r="2494" ht="15.75" customHeight="1">
      <c r="A2494" s="40"/>
      <c r="B2494" s="29"/>
      <c r="C2494" s="4"/>
      <c r="D2494" s="34"/>
      <c r="E2494" s="39"/>
      <c r="F2494" s="35"/>
      <c r="G2494" s="35"/>
      <c r="H2494" s="38"/>
      <c r="I2494" s="35"/>
      <c r="J2494" s="35"/>
      <c r="K2494" s="42"/>
      <c r="L2494" s="38"/>
      <c r="M2494" s="43"/>
      <c r="N2494" s="34"/>
      <c r="O2494" s="34"/>
      <c r="P2494" s="34"/>
      <c r="Q2494" s="34"/>
    </row>
    <row r="2495" ht="15.75" customHeight="1">
      <c r="A2495" s="40"/>
      <c r="B2495" s="29"/>
      <c r="C2495" s="4"/>
      <c r="D2495" s="34"/>
      <c r="E2495" s="39"/>
      <c r="F2495" s="35"/>
      <c r="G2495" s="35"/>
      <c r="H2495" s="38"/>
      <c r="I2495" s="35"/>
      <c r="J2495" s="35"/>
      <c r="K2495" s="42"/>
      <c r="L2495" s="38"/>
      <c r="M2495" s="43"/>
      <c r="N2495" s="34"/>
      <c r="O2495" s="34"/>
      <c r="P2495" s="34"/>
      <c r="Q2495" s="34"/>
    </row>
    <row r="2496" ht="15.75" customHeight="1">
      <c r="A2496" s="40"/>
      <c r="B2496" s="29"/>
      <c r="C2496" s="4"/>
      <c r="D2496" s="34"/>
      <c r="E2496" s="39"/>
      <c r="F2496" s="35"/>
      <c r="G2496" s="35"/>
      <c r="H2496" s="38"/>
      <c r="I2496" s="35"/>
      <c r="J2496" s="35"/>
      <c r="K2496" s="42"/>
      <c r="L2496" s="38"/>
      <c r="M2496" s="43"/>
      <c r="N2496" s="34"/>
      <c r="O2496" s="34"/>
      <c r="P2496" s="34"/>
      <c r="Q2496" s="34"/>
    </row>
    <row r="2497" ht="15.75" customHeight="1">
      <c r="A2497" s="40"/>
      <c r="B2497" s="29"/>
      <c r="C2497" s="4"/>
      <c r="D2497" s="34"/>
      <c r="E2497" s="39"/>
      <c r="F2497" s="35"/>
      <c r="G2497" s="35"/>
      <c r="H2497" s="38"/>
      <c r="I2497" s="35"/>
      <c r="J2497" s="35"/>
      <c r="K2497" s="42"/>
      <c r="L2497" s="38"/>
      <c r="M2497" s="43"/>
      <c r="N2497" s="34"/>
      <c r="O2497" s="34"/>
      <c r="P2497" s="34"/>
      <c r="Q2497" s="34"/>
    </row>
    <row r="2498" ht="15.75" customHeight="1">
      <c r="A2498" s="40"/>
      <c r="B2498" s="29"/>
      <c r="C2498" s="4"/>
      <c r="D2498" s="34"/>
      <c r="E2498" s="39"/>
      <c r="F2498" s="35"/>
      <c r="G2498" s="35"/>
      <c r="H2498" s="38"/>
      <c r="I2498" s="35"/>
      <c r="J2498" s="35"/>
      <c r="K2498" s="42"/>
      <c r="L2498" s="38"/>
      <c r="M2498" s="43"/>
      <c r="N2498" s="34"/>
      <c r="O2498" s="34"/>
      <c r="P2498" s="34"/>
      <c r="Q2498" s="34"/>
    </row>
    <row r="2499" ht="15.75" customHeight="1">
      <c r="A2499" s="40"/>
      <c r="B2499" s="29"/>
      <c r="C2499" s="4"/>
      <c r="D2499" s="34"/>
      <c r="E2499" s="39"/>
      <c r="F2499" s="35"/>
      <c r="G2499" s="35"/>
      <c r="H2499" s="38"/>
      <c r="I2499" s="35"/>
      <c r="J2499" s="35"/>
      <c r="K2499" s="42"/>
      <c r="L2499" s="38"/>
      <c r="M2499" s="43"/>
      <c r="N2499" s="34"/>
      <c r="O2499" s="34"/>
      <c r="P2499" s="34"/>
      <c r="Q2499" s="34"/>
    </row>
    <row r="2500" ht="15.75" customHeight="1">
      <c r="A2500" s="40"/>
      <c r="B2500" s="29"/>
      <c r="C2500" s="4"/>
      <c r="D2500" s="34"/>
      <c r="E2500" s="39"/>
      <c r="F2500" s="35"/>
      <c r="G2500" s="35"/>
      <c r="H2500" s="38"/>
      <c r="I2500" s="35"/>
      <c r="J2500" s="35"/>
      <c r="K2500" s="42"/>
      <c r="L2500" s="38"/>
      <c r="M2500" s="43"/>
      <c r="N2500" s="34"/>
      <c r="O2500" s="34"/>
      <c r="P2500" s="34"/>
      <c r="Q2500" s="34"/>
    </row>
    <row r="2501" ht="15.75" customHeight="1">
      <c r="A2501" s="40"/>
      <c r="B2501" s="29"/>
      <c r="C2501" s="4"/>
      <c r="D2501" s="34"/>
      <c r="E2501" s="39"/>
      <c r="F2501" s="35"/>
      <c r="G2501" s="35"/>
      <c r="H2501" s="38"/>
      <c r="I2501" s="35"/>
      <c r="J2501" s="35"/>
      <c r="K2501" s="42"/>
      <c r="L2501" s="38"/>
      <c r="M2501" s="43"/>
      <c r="N2501" s="34"/>
      <c r="O2501" s="34"/>
      <c r="P2501" s="34"/>
      <c r="Q2501" s="34"/>
    </row>
    <row r="2502" ht="15.75" customHeight="1">
      <c r="A2502" s="40"/>
      <c r="B2502" s="29"/>
      <c r="C2502" s="4"/>
      <c r="D2502" s="34"/>
      <c r="E2502" s="39"/>
      <c r="F2502" s="35"/>
      <c r="G2502" s="35"/>
      <c r="H2502" s="38"/>
      <c r="I2502" s="35"/>
      <c r="J2502" s="35"/>
      <c r="K2502" s="42"/>
      <c r="L2502" s="38"/>
      <c r="M2502" s="43"/>
      <c r="N2502" s="34"/>
      <c r="O2502" s="34"/>
      <c r="P2502" s="34"/>
      <c r="Q2502" s="34"/>
    </row>
    <row r="2503" ht="15.75" customHeight="1">
      <c r="A2503" s="40"/>
      <c r="B2503" s="29"/>
      <c r="C2503" s="4"/>
      <c r="D2503" s="34"/>
      <c r="E2503" s="39"/>
      <c r="F2503" s="35"/>
      <c r="G2503" s="35"/>
      <c r="H2503" s="38"/>
      <c r="I2503" s="35"/>
      <c r="J2503" s="35"/>
      <c r="K2503" s="42"/>
      <c r="L2503" s="38"/>
      <c r="M2503" s="43"/>
      <c r="N2503" s="34"/>
      <c r="O2503" s="34"/>
      <c r="P2503" s="34"/>
      <c r="Q2503" s="34"/>
    </row>
    <row r="2504" ht="15.75" customHeight="1">
      <c r="A2504" s="40"/>
      <c r="B2504" s="29"/>
      <c r="C2504" s="4"/>
      <c r="D2504" s="34"/>
      <c r="E2504" s="39"/>
      <c r="F2504" s="35"/>
      <c r="G2504" s="35"/>
      <c r="H2504" s="38"/>
      <c r="I2504" s="35"/>
      <c r="J2504" s="35"/>
      <c r="K2504" s="42"/>
      <c r="L2504" s="38"/>
      <c r="M2504" s="43"/>
      <c r="N2504" s="34"/>
      <c r="O2504" s="34"/>
      <c r="P2504" s="34"/>
      <c r="Q2504" s="34"/>
    </row>
    <row r="2505" ht="15.75" customHeight="1">
      <c r="A2505" s="40"/>
      <c r="B2505" s="29"/>
      <c r="C2505" s="4"/>
      <c r="D2505" s="34"/>
      <c r="E2505" s="39"/>
      <c r="F2505" s="35"/>
      <c r="G2505" s="35"/>
      <c r="H2505" s="38"/>
      <c r="I2505" s="35"/>
      <c r="J2505" s="35"/>
      <c r="K2505" s="42"/>
      <c r="L2505" s="38"/>
      <c r="M2505" s="43"/>
      <c r="N2505" s="34"/>
      <c r="O2505" s="34"/>
      <c r="P2505" s="34"/>
      <c r="Q2505" s="34"/>
    </row>
    <row r="2506" ht="15.75" customHeight="1">
      <c r="A2506" s="40"/>
      <c r="B2506" s="29"/>
      <c r="C2506" s="4"/>
      <c r="D2506" s="34"/>
      <c r="E2506" s="39"/>
      <c r="F2506" s="35"/>
      <c r="G2506" s="35"/>
      <c r="H2506" s="38"/>
      <c r="I2506" s="35"/>
      <c r="J2506" s="35"/>
      <c r="K2506" s="42"/>
      <c r="L2506" s="38"/>
      <c r="M2506" s="43"/>
      <c r="N2506" s="34"/>
      <c r="O2506" s="34"/>
      <c r="P2506" s="34"/>
      <c r="Q2506" s="34"/>
    </row>
    <row r="2507" ht="15.75" customHeight="1">
      <c r="A2507" s="40"/>
      <c r="B2507" s="29"/>
      <c r="C2507" s="4"/>
      <c r="D2507" s="34"/>
      <c r="E2507" s="39"/>
      <c r="F2507" s="35"/>
      <c r="G2507" s="35"/>
      <c r="H2507" s="38"/>
      <c r="I2507" s="35"/>
      <c r="J2507" s="35"/>
      <c r="K2507" s="42"/>
      <c r="L2507" s="38"/>
      <c r="M2507" s="43"/>
      <c r="N2507" s="34"/>
      <c r="O2507" s="34"/>
      <c r="P2507" s="34"/>
      <c r="Q2507" s="34"/>
    </row>
    <row r="2508" ht="15.75" customHeight="1">
      <c r="A2508" s="40"/>
      <c r="B2508" s="29"/>
      <c r="C2508" s="4"/>
      <c r="D2508" s="34"/>
      <c r="E2508" s="39"/>
      <c r="F2508" s="35"/>
      <c r="G2508" s="35"/>
      <c r="H2508" s="38"/>
      <c r="I2508" s="35"/>
      <c r="J2508" s="35"/>
      <c r="K2508" s="42"/>
      <c r="L2508" s="38"/>
      <c r="M2508" s="43"/>
      <c r="N2508" s="34"/>
      <c r="O2508" s="34"/>
      <c r="P2508" s="34"/>
      <c r="Q2508" s="34"/>
    </row>
    <row r="2509" ht="15.75" customHeight="1">
      <c r="A2509" s="40"/>
      <c r="B2509" s="29"/>
      <c r="C2509" s="4"/>
      <c r="D2509" s="34"/>
      <c r="E2509" s="39"/>
      <c r="F2509" s="35"/>
      <c r="G2509" s="35"/>
      <c r="H2509" s="38"/>
      <c r="I2509" s="35"/>
      <c r="J2509" s="35"/>
      <c r="K2509" s="42"/>
      <c r="L2509" s="38"/>
      <c r="M2509" s="43"/>
      <c r="N2509" s="34"/>
      <c r="O2509" s="34"/>
      <c r="P2509" s="34"/>
      <c r="Q2509" s="34"/>
    </row>
    <row r="2510" ht="15.75" customHeight="1">
      <c r="A2510" s="40"/>
      <c r="B2510" s="29"/>
      <c r="C2510" s="4"/>
      <c r="D2510" s="34"/>
      <c r="E2510" s="39"/>
      <c r="F2510" s="35"/>
      <c r="G2510" s="35"/>
      <c r="H2510" s="38"/>
      <c r="I2510" s="35"/>
      <c r="J2510" s="35"/>
      <c r="K2510" s="42"/>
      <c r="L2510" s="38"/>
      <c r="M2510" s="43"/>
      <c r="N2510" s="34"/>
      <c r="O2510" s="34"/>
      <c r="P2510" s="34"/>
      <c r="Q2510" s="34"/>
    </row>
    <row r="2511" ht="15.75" customHeight="1">
      <c r="A2511" s="40"/>
      <c r="B2511" s="29"/>
      <c r="C2511" s="4"/>
      <c r="D2511" s="34"/>
      <c r="E2511" s="39"/>
      <c r="F2511" s="35"/>
      <c r="G2511" s="35"/>
      <c r="H2511" s="38"/>
      <c r="I2511" s="35"/>
      <c r="J2511" s="35"/>
      <c r="K2511" s="42"/>
      <c r="L2511" s="38"/>
      <c r="M2511" s="43"/>
      <c r="N2511" s="34"/>
      <c r="O2511" s="34"/>
      <c r="P2511" s="34"/>
      <c r="Q2511" s="34"/>
    </row>
    <row r="2512" ht="15.75" customHeight="1">
      <c r="A2512" s="40"/>
      <c r="B2512" s="29"/>
      <c r="C2512" s="4"/>
      <c r="D2512" s="34"/>
      <c r="E2512" s="39"/>
      <c r="F2512" s="35"/>
      <c r="G2512" s="35"/>
      <c r="H2512" s="38"/>
      <c r="I2512" s="35"/>
      <c r="J2512" s="35"/>
      <c r="K2512" s="42"/>
      <c r="L2512" s="38"/>
      <c r="M2512" s="43"/>
      <c r="N2512" s="34"/>
      <c r="O2512" s="34"/>
      <c r="P2512" s="34"/>
      <c r="Q2512" s="34"/>
    </row>
    <row r="2513" ht="15.75" customHeight="1">
      <c r="A2513" s="40"/>
      <c r="B2513" s="29"/>
      <c r="C2513" s="4"/>
      <c r="D2513" s="34"/>
      <c r="E2513" s="39"/>
      <c r="F2513" s="35"/>
      <c r="G2513" s="35"/>
      <c r="H2513" s="38"/>
      <c r="I2513" s="35"/>
      <c r="J2513" s="35"/>
      <c r="K2513" s="42"/>
      <c r="L2513" s="38"/>
      <c r="M2513" s="43"/>
      <c r="N2513" s="34"/>
      <c r="O2513" s="34"/>
      <c r="P2513" s="34"/>
      <c r="Q2513" s="34"/>
    </row>
    <row r="2514" ht="15.75" customHeight="1">
      <c r="A2514" s="40"/>
      <c r="B2514" s="29"/>
      <c r="C2514" s="4"/>
      <c r="D2514" s="34"/>
      <c r="E2514" s="39"/>
      <c r="F2514" s="35"/>
      <c r="G2514" s="35"/>
      <c r="H2514" s="38"/>
      <c r="I2514" s="35"/>
      <c r="J2514" s="35"/>
      <c r="K2514" s="42"/>
      <c r="L2514" s="38"/>
      <c r="M2514" s="43"/>
      <c r="N2514" s="34"/>
      <c r="O2514" s="34"/>
      <c r="P2514" s="34"/>
      <c r="Q2514" s="34"/>
    </row>
    <row r="2515" ht="15.75" customHeight="1">
      <c r="A2515" s="40"/>
      <c r="B2515" s="29"/>
      <c r="C2515" s="4"/>
      <c r="D2515" s="34"/>
      <c r="E2515" s="39"/>
      <c r="F2515" s="35"/>
      <c r="G2515" s="35"/>
      <c r="H2515" s="38"/>
      <c r="I2515" s="35"/>
      <c r="J2515" s="35"/>
      <c r="K2515" s="42"/>
      <c r="L2515" s="38"/>
      <c r="M2515" s="43"/>
      <c r="N2515" s="34"/>
      <c r="O2515" s="34"/>
      <c r="P2515" s="34"/>
      <c r="Q2515" s="34"/>
    </row>
    <row r="2516" ht="15.75" customHeight="1">
      <c r="A2516" s="40"/>
      <c r="B2516" s="29"/>
      <c r="C2516" s="4"/>
      <c r="D2516" s="34"/>
      <c r="E2516" s="39"/>
      <c r="F2516" s="35"/>
      <c r="G2516" s="35"/>
      <c r="H2516" s="38"/>
      <c r="I2516" s="35"/>
      <c r="J2516" s="35"/>
      <c r="K2516" s="42"/>
      <c r="L2516" s="38"/>
      <c r="M2516" s="43"/>
      <c r="N2516" s="34"/>
      <c r="O2516" s="34"/>
      <c r="P2516" s="34"/>
      <c r="Q2516" s="34"/>
    </row>
    <row r="2517" ht="15.75" customHeight="1">
      <c r="A2517" s="40"/>
      <c r="B2517" s="29"/>
      <c r="C2517" s="4"/>
      <c r="D2517" s="34"/>
      <c r="E2517" s="39"/>
      <c r="F2517" s="35"/>
      <c r="G2517" s="35"/>
      <c r="H2517" s="38"/>
      <c r="I2517" s="35"/>
      <c r="J2517" s="35"/>
      <c r="K2517" s="42"/>
      <c r="L2517" s="38"/>
      <c r="M2517" s="43"/>
      <c r="N2517" s="34"/>
      <c r="O2517" s="34"/>
      <c r="P2517" s="34"/>
      <c r="Q2517" s="34"/>
    </row>
    <row r="2518" ht="15.75" customHeight="1">
      <c r="A2518" s="40"/>
      <c r="B2518" s="29"/>
      <c r="C2518" s="4"/>
      <c r="D2518" s="34"/>
      <c r="E2518" s="39"/>
      <c r="F2518" s="35"/>
      <c r="G2518" s="35"/>
      <c r="H2518" s="38"/>
      <c r="I2518" s="35"/>
      <c r="J2518" s="35"/>
      <c r="K2518" s="42"/>
      <c r="L2518" s="38"/>
      <c r="M2518" s="43"/>
      <c r="N2518" s="34"/>
      <c r="O2518" s="34"/>
      <c r="P2518" s="34"/>
      <c r="Q2518" s="34"/>
    </row>
    <row r="2519" ht="15.75" customHeight="1">
      <c r="A2519" s="40"/>
      <c r="B2519" s="29"/>
      <c r="C2519" s="4"/>
      <c r="D2519" s="34"/>
      <c r="E2519" s="39"/>
      <c r="F2519" s="35"/>
      <c r="G2519" s="35"/>
      <c r="H2519" s="38"/>
      <c r="I2519" s="35"/>
      <c r="J2519" s="35"/>
      <c r="K2519" s="42"/>
      <c r="L2519" s="38"/>
      <c r="M2519" s="43"/>
      <c r="N2519" s="34"/>
      <c r="O2519" s="34"/>
      <c r="P2519" s="34"/>
      <c r="Q2519" s="34"/>
    </row>
    <row r="2520" ht="15.75" customHeight="1">
      <c r="A2520" s="40"/>
      <c r="B2520" s="29"/>
      <c r="C2520" s="4"/>
      <c r="D2520" s="34"/>
      <c r="E2520" s="39"/>
      <c r="F2520" s="35"/>
      <c r="G2520" s="35"/>
      <c r="H2520" s="38"/>
      <c r="I2520" s="35"/>
      <c r="J2520" s="35"/>
      <c r="K2520" s="42"/>
      <c r="L2520" s="38"/>
      <c r="M2520" s="43"/>
      <c r="N2520" s="34"/>
      <c r="O2520" s="34"/>
      <c r="P2520" s="34"/>
      <c r="Q2520" s="34"/>
    </row>
    <row r="2521" ht="15.75" customHeight="1">
      <c r="A2521" s="40"/>
      <c r="B2521" s="29"/>
      <c r="C2521" s="4"/>
      <c r="D2521" s="34"/>
      <c r="E2521" s="39"/>
      <c r="F2521" s="35"/>
      <c r="G2521" s="35"/>
      <c r="H2521" s="38"/>
      <c r="I2521" s="35"/>
      <c r="J2521" s="35"/>
      <c r="K2521" s="42"/>
      <c r="L2521" s="38"/>
      <c r="M2521" s="43"/>
      <c r="N2521" s="34"/>
      <c r="O2521" s="34"/>
      <c r="P2521" s="34"/>
      <c r="Q2521" s="34"/>
    </row>
    <row r="2522" ht="15.75" customHeight="1">
      <c r="A2522" s="40"/>
      <c r="B2522" s="29"/>
      <c r="C2522" s="4"/>
      <c r="D2522" s="34"/>
      <c r="E2522" s="39"/>
      <c r="F2522" s="35"/>
      <c r="G2522" s="35"/>
      <c r="H2522" s="38"/>
      <c r="I2522" s="35"/>
      <c r="J2522" s="35"/>
      <c r="K2522" s="42"/>
      <c r="L2522" s="38"/>
      <c r="M2522" s="43"/>
      <c r="N2522" s="34"/>
      <c r="O2522" s="34"/>
      <c r="P2522" s="34"/>
      <c r="Q2522" s="34"/>
    </row>
    <row r="2523" ht="15.75" customHeight="1">
      <c r="A2523" s="40"/>
      <c r="B2523" s="29"/>
      <c r="C2523" s="4"/>
      <c r="D2523" s="34"/>
      <c r="E2523" s="39"/>
      <c r="F2523" s="35"/>
      <c r="G2523" s="35"/>
      <c r="H2523" s="38"/>
      <c r="I2523" s="35"/>
      <c r="J2523" s="35"/>
      <c r="K2523" s="42"/>
      <c r="L2523" s="38"/>
      <c r="M2523" s="43"/>
      <c r="N2523" s="34"/>
      <c r="O2523" s="34"/>
      <c r="P2523" s="34"/>
      <c r="Q2523" s="34"/>
    </row>
    <row r="2524" ht="15.75" customHeight="1">
      <c r="A2524" s="40"/>
      <c r="B2524" s="29"/>
      <c r="C2524" s="4"/>
      <c r="D2524" s="34"/>
      <c r="E2524" s="39"/>
      <c r="F2524" s="35"/>
      <c r="G2524" s="35"/>
      <c r="H2524" s="38"/>
      <c r="I2524" s="35"/>
      <c r="J2524" s="35"/>
      <c r="K2524" s="42"/>
      <c r="L2524" s="38"/>
      <c r="M2524" s="43"/>
      <c r="N2524" s="34"/>
      <c r="O2524" s="34"/>
      <c r="P2524" s="34"/>
      <c r="Q2524" s="34"/>
    </row>
    <row r="2525" ht="15.75" customHeight="1">
      <c r="A2525" s="40"/>
      <c r="B2525" s="29"/>
      <c r="C2525" s="4"/>
      <c r="D2525" s="34"/>
      <c r="E2525" s="39"/>
      <c r="F2525" s="35"/>
      <c r="G2525" s="35"/>
      <c r="H2525" s="38"/>
      <c r="I2525" s="35"/>
      <c r="J2525" s="35"/>
      <c r="K2525" s="42"/>
      <c r="L2525" s="38"/>
      <c r="M2525" s="43"/>
      <c r="N2525" s="34"/>
      <c r="O2525" s="34"/>
      <c r="P2525" s="34"/>
      <c r="Q2525" s="34"/>
    </row>
    <row r="2526" ht="15.75" customHeight="1">
      <c r="A2526" s="40"/>
      <c r="B2526" s="29"/>
      <c r="C2526" s="4"/>
      <c r="D2526" s="34"/>
      <c r="E2526" s="39"/>
      <c r="F2526" s="35"/>
      <c r="G2526" s="35"/>
      <c r="H2526" s="38"/>
      <c r="I2526" s="35"/>
      <c r="J2526" s="35"/>
      <c r="K2526" s="42"/>
      <c r="L2526" s="38"/>
      <c r="M2526" s="43"/>
      <c r="N2526" s="34"/>
      <c r="O2526" s="34"/>
      <c r="P2526" s="34"/>
      <c r="Q2526" s="34"/>
    </row>
    <row r="2527" ht="15.75" customHeight="1">
      <c r="A2527" s="40"/>
      <c r="B2527" s="29"/>
      <c r="C2527" s="4"/>
      <c r="D2527" s="34"/>
      <c r="E2527" s="39"/>
      <c r="F2527" s="35"/>
      <c r="G2527" s="35"/>
      <c r="H2527" s="38"/>
      <c r="I2527" s="35"/>
      <c r="J2527" s="35"/>
      <c r="K2527" s="42"/>
      <c r="L2527" s="38"/>
      <c r="M2527" s="43"/>
      <c r="N2527" s="34"/>
      <c r="O2527" s="34"/>
      <c r="P2527" s="34"/>
      <c r="Q2527" s="34"/>
    </row>
    <row r="2528" ht="15.75" customHeight="1">
      <c r="A2528" s="40"/>
      <c r="B2528" s="29"/>
      <c r="C2528" s="4"/>
      <c r="D2528" s="34"/>
      <c r="E2528" s="39"/>
      <c r="F2528" s="35"/>
      <c r="G2528" s="35"/>
      <c r="H2528" s="38"/>
      <c r="I2528" s="35"/>
      <c r="J2528" s="35"/>
      <c r="K2528" s="42"/>
      <c r="L2528" s="38"/>
      <c r="M2528" s="43"/>
      <c r="N2528" s="34"/>
      <c r="O2528" s="34"/>
      <c r="P2528" s="34"/>
      <c r="Q2528" s="34"/>
    </row>
    <row r="2529" ht="15.75" customHeight="1">
      <c r="A2529" s="40"/>
      <c r="B2529" s="29"/>
      <c r="C2529" s="4"/>
      <c r="D2529" s="34"/>
      <c r="E2529" s="39"/>
      <c r="F2529" s="35"/>
      <c r="G2529" s="35"/>
      <c r="H2529" s="38"/>
      <c r="I2529" s="35"/>
      <c r="J2529" s="35"/>
      <c r="K2529" s="42"/>
      <c r="L2529" s="38"/>
      <c r="M2529" s="43"/>
      <c r="N2529" s="34"/>
      <c r="O2529" s="34"/>
      <c r="P2529" s="34"/>
      <c r="Q2529" s="34"/>
    </row>
    <row r="2530" ht="15.75" customHeight="1">
      <c r="A2530" s="40"/>
      <c r="B2530" s="29"/>
      <c r="C2530" s="4"/>
      <c r="D2530" s="34"/>
      <c r="E2530" s="39"/>
      <c r="F2530" s="35"/>
      <c r="G2530" s="35"/>
      <c r="H2530" s="38"/>
      <c r="I2530" s="35"/>
      <c r="J2530" s="35"/>
      <c r="K2530" s="42"/>
      <c r="L2530" s="38"/>
      <c r="M2530" s="43"/>
      <c r="N2530" s="34"/>
      <c r="O2530" s="34"/>
      <c r="P2530" s="34"/>
      <c r="Q2530" s="34"/>
    </row>
    <row r="2531" ht="15.75" customHeight="1">
      <c r="A2531" s="40"/>
      <c r="B2531" s="29"/>
      <c r="C2531" s="4"/>
      <c r="D2531" s="34"/>
      <c r="E2531" s="39"/>
      <c r="F2531" s="35"/>
      <c r="G2531" s="35"/>
      <c r="H2531" s="38"/>
      <c r="I2531" s="35"/>
      <c r="J2531" s="35"/>
      <c r="K2531" s="42"/>
      <c r="L2531" s="38"/>
      <c r="M2531" s="43"/>
      <c r="N2531" s="34"/>
      <c r="O2531" s="34"/>
      <c r="P2531" s="34"/>
      <c r="Q2531" s="34"/>
    </row>
    <row r="2532" ht="15.75" customHeight="1">
      <c r="A2532" s="40"/>
      <c r="B2532" s="29"/>
      <c r="C2532" s="4"/>
      <c r="D2532" s="34"/>
      <c r="E2532" s="39"/>
      <c r="F2532" s="35"/>
      <c r="G2532" s="35"/>
      <c r="H2532" s="38"/>
      <c r="I2532" s="35"/>
      <c r="J2532" s="35"/>
      <c r="K2532" s="42"/>
      <c r="L2532" s="38"/>
      <c r="M2532" s="43"/>
      <c r="N2532" s="34"/>
      <c r="O2532" s="34"/>
      <c r="P2532" s="34"/>
      <c r="Q2532" s="34"/>
    </row>
    <row r="2533" ht="15.75" customHeight="1">
      <c r="A2533" s="40"/>
      <c r="B2533" s="29"/>
      <c r="C2533" s="4"/>
      <c r="D2533" s="34"/>
      <c r="E2533" s="39"/>
      <c r="F2533" s="35"/>
      <c r="G2533" s="35"/>
      <c r="H2533" s="38"/>
      <c r="I2533" s="35"/>
      <c r="J2533" s="35"/>
      <c r="K2533" s="42"/>
      <c r="L2533" s="38"/>
      <c r="M2533" s="43"/>
      <c r="N2533" s="34"/>
      <c r="O2533" s="34"/>
      <c r="P2533" s="34"/>
      <c r="Q2533" s="34"/>
    </row>
    <row r="2534" ht="15.75" customHeight="1">
      <c r="A2534" s="40"/>
      <c r="B2534" s="29"/>
      <c r="C2534" s="4"/>
      <c r="D2534" s="34"/>
      <c r="E2534" s="39"/>
      <c r="F2534" s="35"/>
      <c r="G2534" s="35"/>
      <c r="H2534" s="38"/>
      <c r="I2534" s="35"/>
      <c r="J2534" s="35"/>
      <c r="K2534" s="42"/>
      <c r="L2534" s="38"/>
      <c r="M2534" s="43"/>
      <c r="N2534" s="34"/>
      <c r="O2534" s="34"/>
      <c r="P2534" s="34"/>
      <c r="Q2534" s="34"/>
    </row>
    <row r="2535" ht="15.75" customHeight="1">
      <c r="A2535" s="40"/>
      <c r="B2535" s="29"/>
      <c r="C2535" s="4"/>
      <c r="D2535" s="34"/>
      <c r="E2535" s="39"/>
      <c r="F2535" s="35"/>
      <c r="G2535" s="35"/>
      <c r="H2535" s="38"/>
      <c r="I2535" s="35"/>
      <c r="J2535" s="35"/>
      <c r="K2535" s="42"/>
      <c r="L2535" s="38"/>
      <c r="M2535" s="43"/>
      <c r="N2535" s="34"/>
      <c r="O2535" s="34"/>
      <c r="P2535" s="34"/>
      <c r="Q2535" s="34"/>
    </row>
    <row r="2536" ht="15.75" customHeight="1">
      <c r="A2536" s="40"/>
      <c r="B2536" s="29"/>
      <c r="C2536" s="4"/>
      <c r="D2536" s="34"/>
      <c r="E2536" s="39"/>
      <c r="F2536" s="35"/>
      <c r="G2536" s="35"/>
      <c r="H2536" s="38"/>
      <c r="I2536" s="35"/>
      <c r="J2536" s="35"/>
      <c r="K2536" s="42"/>
      <c r="L2536" s="38"/>
      <c r="M2536" s="43"/>
      <c r="N2536" s="34"/>
      <c r="O2536" s="34"/>
      <c r="P2536" s="34"/>
      <c r="Q2536" s="34"/>
    </row>
    <row r="2537" ht="15.75" customHeight="1">
      <c r="A2537" s="40"/>
      <c r="B2537" s="29"/>
      <c r="C2537" s="4"/>
      <c r="D2537" s="34"/>
      <c r="E2537" s="39"/>
      <c r="F2537" s="35"/>
      <c r="G2537" s="35"/>
      <c r="H2537" s="38"/>
      <c r="I2537" s="35"/>
      <c r="J2537" s="35"/>
      <c r="K2537" s="42"/>
      <c r="L2537" s="38"/>
      <c r="M2537" s="43"/>
      <c r="N2537" s="34"/>
      <c r="O2537" s="34"/>
      <c r="P2537" s="34"/>
      <c r="Q2537" s="34"/>
    </row>
    <row r="2538" ht="15.75" customHeight="1">
      <c r="A2538" s="40"/>
      <c r="B2538" s="29"/>
      <c r="C2538" s="4"/>
      <c r="D2538" s="34"/>
      <c r="E2538" s="39"/>
      <c r="F2538" s="35"/>
      <c r="G2538" s="35"/>
      <c r="H2538" s="38"/>
      <c r="I2538" s="35"/>
      <c r="J2538" s="35"/>
      <c r="K2538" s="42"/>
      <c r="L2538" s="38"/>
      <c r="M2538" s="43"/>
      <c r="N2538" s="34"/>
      <c r="O2538" s="34"/>
      <c r="P2538" s="34"/>
      <c r="Q2538" s="34"/>
    </row>
    <row r="2539" ht="15.75" customHeight="1">
      <c r="A2539" s="40"/>
      <c r="B2539" s="29"/>
      <c r="C2539" s="4"/>
      <c r="D2539" s="34"/>
      <c r="E2539" s="39"/>
      <c r="F2539" s="35"/>
      <c r="G2539" s="35"/>
      <c r="H2539" s="38"/>
      <c r="I2539" s="35"/>
      <c r="J2539" s="35"/>
      <c r="K2539" s="42"/>
      <c r="L2539" s="38"/>
      <c r="M2539" s="43"/>
      <c r="N2539" s="34"/>
      <c r="O2539" s="34"/>
      <c r="P2539" s="34"/>
      <c r="Q2539" s="34"/>
    </row>
    <row r="2540" ht="15.75" customHeight="1">
      <c r="A2540" s="40"/>
      <c r="B2540" s="29"/>
      <c r="C2540" s="4"/>
      <c r="D2540" s="34"/>
      <c r="E2540" s="39"/>
      <c r="F2540" s="35"/>
      <c r="G2540" s="35"/>
      <c r="H2540" s="38"/>
      <c r="I2540" s="35"/>
      <c r="J2540" s="35"/>
      <c r="K2540" s="42"/>
      <c r="L2540" s="38"/>
      <c r="M2540" s="43"/>
      <c r="N2540" s="34"/>
      <c r="O2540" s="34"/>
      <c r="P2540" s="34"/>
      <c r="Q2540" s="34"/>
    </row>
    <row r="2541" ht="15.75" customHeight="1">
      <c r="A2541" s="40"/>
      <c r="B2541" s="29"/>
      <c r="C2541" s="4"/>
      <c r="D2541" s="34"/>
      <c r="E2541" s="39"/>
      <c r="F2541" s="35"/>
      <c r="G2541" s="35"/>
      <c r="H2541" s="38"/>
      <c r="I2541" s="35"/>
      <c r="J2541" s="35"/>
      <c r="K2541" s="42"/>
      <c r="L2541" s="38"/>
      <c r="M2541" s="43"/>
      <c r="N2541" s="34"/>
      <c r="O2541" s="34"/>
      <c r="P2541" s="34"/>
      <c r="Q2541" s="34"/>
    </row>
    <row r="2542" ht="15.75" customHeight="1">
      <c r="A2542" s="40"/>
      <c r="B2542" s="29"/>
      <c r="C2542" s="4"/>
      <c r="D2542" s="34"/>
      <c r="E2542" s="39"/>
      <c r="F2542" s="35"/>
      <c r="G2542" s="35"/>
      <c r="H2542" s="38"/>
      <c r="I2542" s="35"/>
      <c r="J2542" s="35"/>
      <c r="K2542" s="42"/>
      <c r="L2542" s="38"/>
      <c r="M2542" s="43"/>
      <c r="N2542" s="34"/>
      <c r="O2542" s="34"/>
      <c r="P2542" s="34"/>
      <c r="Q2542" s="34"/>
    </row>
    <row r="2543" ht="15.75" customHeight="1">
      <c r="A2543" s="40"/>
      <c r="B2543" s="29"/>
      <c r="C2543" s="4"/>
      <c r="D2543" s="34"/>
      <c r="E2543" s="39"/>
      <c r="F2543" s="35"/>
      <c r="G2543" s="35"/>
      <c r="H2543" s="38"/>
      <c r="I2543" s="35"/>
      <c r="J2543" s="35"/>
      <c r="K2543" s="42"/>
      <c r="L2543" s="38"/>
      <c r="M2543" s="43"/>
      <c r="N2543" s="34"/>
      <c r="O2543" s="34"/>
      <c r="P2543" s="34"/>
      <c r="Q2543" s="34"/>
    </row>
    <row r="2544" ht="15.75" customHeight="1">
      <c r="A2544" s="40"/>
      <c r="B2544" s="29"/>
      <c r="C2544" s="4"/>
      <c r="D2544" s="34"/>
      <c r="E2544" s="39"/>
      <c r="F2544" s="35"/>
      <c r="G2544" s="35"/>
      <c r="H2544" s="38"/>
      <c r="I2544" s="35"/>
      <c r="J2544" s="35"/>
      <c r="K2544" s="42"/>
      <c r="L2544" s="38"/>
      <c r="M2544" s="43"/>
      <c r="N2544" s="34"/>
      <c r="O2544" s="34"/>
      <c r="P2544" s="34"/>
      <c r="Q2544" s="34"/>
    </row>
    <row r="2545" ht="15.75" customHeight="1">
      <c r="A2545" s="40"/>
      <c r="B2545" s="29"/>
      <c r="C2545" s="4"/>
      <c r="D2545" s="34"/>
      <c r="E2545" s="39"/>
      <c r="F2545" s="35"/>
      <c r="G2545" s="35"/>
      <c r="H2545" s="38"/>
      <c r="I2545" s="35"/>
      <c r="J2545" s="35"/>
      <c r="K2545" s="42"/>
      <c r="L2545" s="38"/>
      <c r="M2545" s="43"/>
      <c r="N2545" s="34"/>
      <c r="O2545" s="34"/>
      <c r="P2545" s="34"/>
      <c r="Q2545" s="34"/>
    </row>
    <row r="2546" ht="15.75" customHeight="1">
      <c r="A2546" s="40"/>
      <c r="B2546" s="29"/>
      <c r="C2546" s="4"/>
      <c r="D2546" s="34"/>
      <c r="E2546" s="39"/>
      <c r="F2546" s="35"/>
      <c r="G2546" s="35"/>
      <c r="H2546" s="38"/>
      <c r="I2546" s="35"/>
      <c r="J2546" s="35"/>
      <c r="K2546" s="42"/>
      <c r="L2546" s="38"/>
      <c r="M2546" s="43"/>
      <c r="N2546" s="34"/>
      <c r="O2546" s="34"/>
      <c r="P2546" s="34"/>
      <c r="Q2546" s="34"/>
    </row>
    <row r="2547" ht="15.75" customHeight="1">
      <c r="A2547" s="40"/>
      <c r="B2547" s="29"/>
      <c r="C2547" s="4"/>
      <c r="D2547" s="34"/>
      <c r="E2547" s="39"/>
      <c r="F2547" s="35"/>
      <c r="G2547" s="35"/>
      <c r="H2547" s="38"/>
      <c r="I2547" s="35"/>
      <c r="J2547" s="35"/>
      <c r="K2547" s="42"/>
      <c r="L2547" s="38"/>
      <c r="M2547" s="43"/>
      <c r="N2547" s="34"/>
      <c r="O2547" s="34"/>
      <c r="P2547" s="34"/>
      <c r="Q2547" s="34"/>
    </row>
    <row r="2548" ht="15.75" customHeight="1">
      <c r="A2548" s="40"/>
      <c r="B2548" s="29"/>
      <c r="C2548" s="4"/>
      <c r="D2548" s="34"/>
      <c r="E2548" s="39"/>
      <c r="F2548" s="35"/>
      <c r="G2548" s="35"/>
      <c r="H2548" s="38"/>
      <c r="I2548" s="35"/>
      <c r="J2548" s="35"/>
      <c r="K2548" s="42"/>
      <c r="L2548" s="38"/>
      <c r="M2548" s="43"/>
      <c r="N2548" s="34"/>
      <c r="O2548" s="34"/>
      <c r="P2548" s="34"/>
      <c r="Q2548" s="34"/>
    </row>
    <row r="2549" ht="15.75" customHeight="1">
      <c r="A2549" s="40"/>
      <c r="B2549" s="29"/>
      <c r="C2549" s="4"/>
      <c r="D2549" s="34"/>
      <c r="E2549" s="39"/>
      <c r="F2549" s="35"/>
      <c r="G2549" s="35"/>
      <c r="H2549" s="38"/>
      <c r="I2549" s="35"/>
      <c r="J2549" s="35"/>
      <c r="K2549" s="42"/>
      <c r="L2549" s="38"/>
      <c r="M2549" s="43"/>
      <c r="N2549" s="34"/>
      <c r="O2549" s="34"/>
      <c r="P2549" s="34"/>
      <c r="Q2549" s="34"/>
    </row>
    <row r="2550" ht="15.75" customHeight="1">
      <c r="A2550" s="40"/>
      <c r="B2550" s="29"/>
      <c r="C2550" s="4"/>
      <c r="D2550" s="34"/>
      <c r="E2550" s="39"/>
      <c r="F2550" s="35"/>
      <c r="G2550" s="35"/>
      <c r="H2550" s="38"/>
      <c r="I2550" s="35"/>
      <c r="J2550" s="35"/>
      <c r="K2550" s="42"/>
      <c r="L2550" s="38"/>
      <c r="M2550" s="43"/>
      <c r="N2550" s="34"/>
      <c r="O2550" s="34"/>
      <c r="P2550" s="34"/>
      <c r="Q2550" s="34"/>
    </row>
    <row r="2551" ht="15.75" customHeight="1">
      <c r="A2551" s="40"/>
      <c r="B2551" s="29"/>
      <c r="C2551" s="4"/>
      <c r="D2551" s="34"/>
      <c r="E2551" s="39"/>
      <c r="F2551" s="35"/>
      <c r="G2551" s="35"/>
      <c r="H2551" s="38"/>
      <c r="I2551" s="35"/>
      <c r="J2551" s="35"/>
      <c r="K2551" s="42"/>
      <c r="L2551" s="38"/>
      <c r="M2551" s="43"/>
      <c r="N2551" s="34"/>
      <c r="O2551" s="34"/>
      <c r="P2551" s="34"/>
      <c r="Q2551" s="34"/>
    </row>
    <row r="2552" ht="15.75" customHeight="1">
      <c r="A2552" s="40"/>
      <c r="B2552" s="29"/>
      <c r="C2552" s="4"/>
      <c r="D2552" s="34"/>
      <c r="E2552" s="39"/>
      <c r="F2552" s="35"/>
      <c r="G2552" s="35"/>
      <c r="H2552" s="38"/>
      <c r="I2552" s="35"/>
      <c r="J2552" s="35"/>
      <c r="K2552" s="42"/>
      <c r="L2552" s="38"/>
      <c r="M2552" s="43"/>
      <c r="N2552" s="34"/>
      <c r="O2552" s="34"/>
      <c r="P2552" s="34"/>
      <c r="Q2552" s="34"/>
    </row>
    <row r="2553" ht="15.75" customHeight="1">
      <c r="A2553" s="40"/>
      <c r="B2553" s="29"/>
      <c r="C2553" s="4"/>
      <c r="D2553" s="34"/>
      <c r="E2553" s="39"/>
      <c r="F2553" s="35"/>
      <c r="G2553" s="35"/>
      <c r="H2553" s="38"/>
      <c r="I2553" s="35"/>
      <c r="J2553" s="35"/>
      <c r="K2553" s="42"/>
      <c r="L2553" s="38"/>
      <c r="M2553" s="43"/>
      <c r="N2553" s="34"/>
      <c r="O2553" s="34"/>
      <c r="P2553" s="34"/>
      <c r="Q2553" s="34"/>
    </row>
    <row r="2554" ht="15.75" customHeight="1">
      <c r="A2554" s="40"/>
      <c r="B2554" s="29"/>
      <c r="C2554" s="4"/>
      <c r="D2554" s="34"/>
      <c r="E2554" s="39"/>
      <c r="F2554" s="35"/>
      <c r="G2554" s="35"/>
      <c r="H2554" s="38"/>
      <c r="I2554" s="35"/>
      <c r="J2554" s="35"/>
      <c r="K2554" s="42"/>
      <c r="L2554" s="38"/>
      <c r="M2554" s="43"/>
      <c r="N2554" s="34"/>
      <c r="O2554" s="34"/>
      <c r="P2554" s="34"/>
      <c r="Q2554" s="34"/>
    </row>
    <row r="2555" ht="15.75" customHeight="1">
      <c r="A2555" s="40"/>
      <c r="B2555" s="29"/>
      <c r="C2555" s="4"/>
      <c r="D2555" s="34"/>
      <c r="E2555" s="39"/>
      <c r="F2555" s="35"/>
      <c r="G2555" s="35"/>
      <c r="H2555" s="38"/>
      <c r="I2555" s="35"/>
      <c r="J2555" s="35"/>
      <c r="K2555" s="42"/>
      <c r="L2555" s="38"/>
      <c r="M2555" s="43"/>
      <c r="N2555" s="34"/>
      <c r="O2555" s="34"/>
      <c r="P2555" s="34"/>
      <c r="Q2555" s="34"/>
    </row>
    <row r="2556" ht="15.75" customHeight="1">
      <c r="A2556" s="40"/>
      <c r="B2556" s="29"/>
      <c r="C2556" s="4"/>
      <c r="D2556" s="34"/>
      <c r="E2556" s="39"/>
      <c r="F2556" s="35"/>
      <c r="G2556" s="35"/>
      <c r="H2556" s="38"/>
      <c r="I2556" s="35"/>
      <c r="J2556" s="35"/>
      <c r="K2556" s="42"/>
      <c r="L2556" s="38"/>
      <c r="M2556" s="43"/>
      <c r="N2556" s="34"/>
      <c r="O2556" s="34"/>
      <c r="P2556" s="34"/>
      <c r="Q2556" s="34"/>
    </row>
    <row r="2557" ht="15.75" customHeight="1">
      <c r="A2557" s="40"/>
      <c r="B2557" s="29"/>
      <c r="C2557" s="4"/>
      <c r="D2557" s="34"/>
      <c r="E2557" s="39"/>
      <c r="F2557" s="35"/>
      <c r="G2557" s="35"/>
      <c r="H2557" s="38"/>
      <c r="I2557" s="35"/>
      <c r="J2557" s="35"/>
      <c r="K2557" s="42"/>
      <c r="L2557" s="38"/>
      <c r="M2557" s="43"/>
      <c r="N2557" s="34"/>
      <c r="O2557" s="34"/>
      <c r="P2557" s="34"/>
      <c r="Q2557" s="34"/>
    </row>
    <row r="2558" ht="15.75" customHeight="1">
      <c r="A2558" s="40"/>
      <c r="B2558" s="29"/>
      <c r="C2558" s="4"/>
      <c r="D2558" s="34"/>
      <c r="E2558" s="39"/>
      <c r="F2558" s="35"/>
      <c r="G2558" s="35"/>
      <c r="H2558" s="38"/>
      <c r="I2558" s="35"/>
      <c r="J2558" s="35"/>
      <c r="K2558" s="42"/>
      <c r="L2558" s="38"/>
      <c r="M2558" s="43"/>
      <c r="N2558" s="34"/>
      <c r="O2558" s="34"/>
      <c r="P2558" s="34"/>
      <c r="Q2558" s="34"/>
    </row>
    <row r="2559" ht="15.75" customHeight="1">
      <c r="A2559" s="40"/>
      <c r="B2559" s="29"/>
      <c r="C2559" s="4"/>
      <c r="D2559" s="34"/>
      <c r="E2559" s="39"/>
      <c r="F2559" s="35"/>
      <c r="G2559" s="35"/>
      <c r="H2559" s="38"/>
      <c r="I2559" s="35"/>
      <c r="J2559" s="35"/>
      <c r="K2559" s="42"/>
      <c r="L2559" s="38"/>
      <c r="M2559" s="43"/>
      <c r="N2559" s="34"/>
      <c r="O2559" s="34"/>
      <c r="P2559" s="34"/>
      <c r="Q2559" s="34"/>
    </row>
    <row r="2560" ht="15.75" customHeight="1">
      <c r="A2560" s="40"/>
      <c r="B2560" s="29"/>
      <c r="C2560" s="4"/>
      <c r="D2560" s="34"/>
      <c r="E2560" s="39"/>
      <c r="F2560" s="35"/>
      <c r="G2560" s="35"/>
      <c r="H2560" s="38"/>
      <c r="I2560" s="35"/>
      <c r="J2560" s="35"/>
      <c r="K2560" s="42"/>
      <c r="L2560" s="38"/>
      <c r="M2560" s="43"/>
      <c r="N2560" s="34"/>
      <c r="O2560" s="34"/>
      <c r="P2560" s="34"/>
      <c r="Q2560" s="34"/>
    </row>
    <row r="2561" ht="15.75" customHeight="1">
      <c r="A2561" s="40"/>
      <c r="B2561" s="29"/>
      <c r="C2561" s="4"/>
      <c r="D2561" s="34"/>
      <c r="E2561" s="39"/>
      <c r="F2561" s="35"/>
      <c r="G2561" s="35"/>
      <c r="H2561" s="38"/>
      <c r="I2561" s="35"/>
      <c r="J2561" s="35"/>
      <c r="K2561" s="42"/>
      <c r="L2561" s="38"/>
      <c r="M2561" s="43"/>
      <c r="N2561" s="34"/>
      <c r="O2561" s="34"/>
      <c r="P2561" s="34"/>
      <c r="Q2561" s="34"/>
    </row>
    <row r="2562" ht="15.75" customHeight="1">
      <c r="A2562" s="40"/>
      <c r="B2562" s="29"/>
      <c r="C2562" s="4"/>
      <c r="D2562" s="34"/>
      <c r="E2562" s="39"/>
      <c r="F2562" s="35"/>
      <c r="G2562" s="35"/>
      <c r="H2562" s="38"/>
      <c r="I2562" s="35"/>
      <c r="J2562" s="35"/>
      <c r="K2562" s="42"/>
      <c r="L2562" s="38"/>
      <c r="M2562" s="43"/>
      <c r="N2562" s="34"/>
      <c r="O2562" s="34"/>
      <c r="P2562" s="34"/>
      <c r="Q2562" s="34"/>
    </row>
    <row r="2563" ht="15.75" customHeight="1">
      <c r="A2563" s="40"/>
      <c r="B2563" s="29"/>
      <c r="C2563" s="4"/>
      <c r="D2563" s="34"/>
      <c r="E2563" s="39"/>
      <c r="F2563" s="35"/>
      <c r="G2563" s="35"/>
      <c r="H2563" s="38"/>
      <c r="I2563" s="35"/>
      <c r="J2563" s="35"/>
      <c r="K2563" s="42"/>
      <c r="L2563" s="38"/>
      <c r="M2563" s="43"/>
      <c r="N2563" s="34"/>
      <c r="O2563" s="34"/>
      <c r="P2563" s="34"/>
      <c r="Q2563" s="34"/>
    </row>
    <row r="2564" ht="15.75" customHeight="1">
      <c r="A2564" s="40"/>
      <c r="B2564" s="29"/>
      <c r="C2564" s="4"/>
      <c r="D2564" s="34"/>
      <c r="E2564" s="39"/>
      <c r="F2564" s="35"/>
      <c r="G2564" s="35"/>
      <c r="H2564" s="38"/>
      <c r="I2564" s="35"/>
      <c r="J2564" s="35"/>
      <c r="K2564" s="42"/>
      <c r="L2564" s="38"/>
      <c r="M2564" s="43"/>
      <c r="N2564" s="34"/>
      <c r="O2564" s="34"/>
      <c r="P2564" s="34"/>
      <c r="Q2564" s="34"/>
    </row>
    <row r="2565" ht="15.75" customHeight="1">
      <c r="A2565" s="40"/>
      <c r="B2565" s="29"/>
      <c r="C2565" s="4"/>
      <c r="D2565" s="34"/>
      <c r="E2565" s="39"/>
      <c r="F2565" s="35"/>
      <c r="G2565" s="35"/>
      <c r="H2565" s="38"/>
      <c r="I2565" s="35"/>
      <c r="J2565" s="35"/>
      <c r="K2565" s="42"/>
      <c r="L2565" s="38"/>
      <c r="M2565" s="43"/>
      <c r="N2565" s="34"/>
      <c r="O2565" s="34"/>
      <c r="P2565" s="34"/>
      <c r="Q2565" s="34"/>
    </row>
    <row r="2566" ht="15.75" customHeight="1">
      <c r="A2566" s="40"/>
      <c r="B2566" s="29"/>
      <c r="C2566" s="4"/>
      <c r="D2566" s="34"/>
      <c r="E2566" s="39"/>
      <c r="F2566" s="35"/>
      <c r="G2566" s="35"/>
      <c r="H2566" s="38"/>
      <c r="I2566" s="35"/>
      <c r="J2566" s="35"/>
      <c r="K2566" s="42"/>
      <c r="L2566" s="38"/>
      <c r="M2566" s="43"/>
      <c r="N2566" s="34"/>
      <c r="O2566" s="34"/>
      <c r="P2566" s="34"/>
      <c r="Q2566" s="34"/>
    </row>
    <row r="2567" ht="15.75" customHeight="1">
      <c r="A2567" s="40"/>
      <c r="B2567" s="29"/>
      <c r="C2567" s="4"/>
      <c r="D2567" s="34"/>
      <c r="E2567" s="39"/>
      <c r="F2567" s="35"/>
      <c r="G2567" s="35"/>
      <c r="H2567" s="38"/>
      <c r="I2567" s="35"/>
      <c r="J2567" s="35"/>
      <c r="K2567" s="42"/>
      <c r="L2567" s="38"/>
      <c r="M2567" s="43"/>
      <c r="N2567" s="34"/>
      <c r="O2567" s="34"/>
      <c r="P2567" s="34"/>
      <c r="Q2567" s="34"/>
    </row>
    <row r="2568" ht="15.75" customHeight="1">
      <c r="A2568" s="40"/>
      <c r="B2568" s="29"/>
      <c r="C2568" s="4"/>
      <c r="D2568" s="34"/>
      <c r="E2568" s="39"/>
      <c r="F2568" s="35"/>
      <c r="G2568" s="35"/>
      <c r="H2568" s="38"/>
      <c r="I2568" s="35"/>
      <c r="J2568" s="35"/>
      <c r="K2568" s="42"/>
      <c r="L2568" s="38"/>
      <c r="M2568" s="43"/>
      <c r="N2568" s="34"/>
      <c r="O2568" s="34"/>
      <c r="P2568" s="34"/>
      <c r="Q2568" s="34"/>
    </row>
    <row r="2569" ht="15.75" customHeight="1">
      <c r="A2569" s="40"/>
      <c r="B2569" s="29"/>
      <c r="C2569" s="4"/>
      <c r="D2569" s="34"/>
      <c r="E2569" s="39"/>
      <c r="F2569" s="35"/>
      <c r="G2569" s="35"/>
      <c r="H2569" s="38"/>
      <c r="I2569" s="35"/>
      <c r="J2569" s="35"/>
      <c r="K2569" s="42"/>
      <c r="L2569" s="38"/>
      <c r="M2569" s="43"/>
      <c r="N2569" s="34"/>
      <c r="O2569" s="34"/>
      <c r="P2569" s="34"/>
      <c r="Q2569" s="34"/>
    </row>
    <row r="2570" ht="15.75" customHeight="1">
      <c r="A2570" s="40"/>
      <c r="B2570" s="29"/>
      <c r="C2570" s="4"/>
      <c r="D2570" s="34"/>
      <c r="E2570" s="39"/>
      <c r="F2570" s="35"/>
      <c r="G2570" s="35"/>
      <c r="H2570" s="38"/>
      <c r="I2570" s="35"/>
      <c r="J2570" s="35"/>
      <c r="K2570" s="42"/>
      <c r="L2570" s="38"/>
      <c r="M2570" s="43"/>
      <c r="N2570" s="34"/>
      <c r="O2570" s="34"/>
      <c r="P2570" s="34"/>
      <c r="Q2570" s="34"/>
    </row>
    <row r="2571" ht="15.75" customHeight="1">
      <c r="A2571" s="40"/>
      <c r="B2571" s="29"/>
      <c r="C2571" s="4"/>
      <c r="D2571" s="34"/>
      <c r="E2571" s="39"/>
      <c r="F2571" s="35"/>
      <c r="G2571" s="35"/>
      <c r="H2571" s="38"/>
      <c r="I2571" s="35"/>
      <c r="J2571" s="35"/>
      <c r="K2571" s="42"/>
      <c r="L2571" s="38"/>
      <c r="M2571" s="43"/>
      <c r="N2571" s="34"/>
      <c r="O2571" s="34"/>
      <c r="P2571" s="34"/>
      <c r="Q2571" s="34"/>
    </row>
    <row r="2572" ht="15.75" customHeight="1">
      <c r="A2572" s="40"/>
      <c r="B2572" s="29"/>
      <c r="C2572" s="4"/>
      <c r="D2572" s="34"/>
      <c r="E2572" s="39"/>
      <c r="F2572" s="35"/>
      <c r="G2572" s="35"/>
      <c r="H2572" s="38"/>
      <c r="I2572" s="35"/>
      <c r="J2572" s="35"/>
      <c r="K2572" s="42"/>
      <c r="L2572" s="38"/>
      <c r="M2572" s="43"/>
      <c r="N2572" s="34"/>
      <c r="O2572" s="34"/>
      <c r="P2572" s="34"/>
      <c r="Q2572" s="34"/>
    </row>
    <row r="2573" ht="15.75" customHeight="1">
      <c r="A2573" s="40"/>
      <c r="B2573" s="29"/>
      <c r="C2573" s="4"/>
      <c r="D2573" s="34"/>
      <c r="E2573" s="39"/>
      <c r="F2573" s="35"/>
      <c r="G2573" s="35"/>
      <c r="H2573" s="38"/>
      <c r="I2573" s="35"/>
      <c r="J2573" s="35"/>
      <c r="K2573" s="42"/>
      <c r="L2573" s="38"/>
      <c r="M2573" s="43"/>
      <c r="N2573" s="34"/>
      <c r="O2573" s="34"/>
      <c r="P2573" s="34"/>
      <c r="Q2573" s="34"/>
    </row>
    <row r="2574" ht="15.75" customHeight="1">
      <c r="A2574" s="40"/>
      <c r="B2574" s="29"/>
      <c r="C2574" s="4"/>
      <c r="D2574" s="34"/>
      <c r="E2574" s="39"/>
      <c r="F2574" s="35"/>
      <c r="G2574" s="35"/>
      <c r="H2574" s="38"/>
      <c r="I2574" s="35"/>
      <c r="J2574" s="35"/>
      <c r="K2574" s="42"/>
      <c r="L2574" s="38"/>
      <c r="M2574" s="43"/>
      <c r="N2574" s="34"/>
      <c r="O2574" s="34"/>
      <c r="P2574" s="34"/>
      <c r="Q2574" s="34"/>
    </row>
    <row r="2575" ht="15.75" customHeight="1">
      <c r="A2575" s="40"/>
      <c r="B2575" s="29"/>
      <c r="C2575" s="4"/>
      <c r="D2575" s="34"/>
      <c r="E2575" s="39"/>
      <c r="F2575" s="35"/>
      <c r="G2575" s="35"/>
      <c r="H2575" s="38"/>
      <c r="I2575" s="35"/>
      <c r="J2575" s="35"/>
      <c r="K2575" s="42"/>
      <c r="L2575" s="38"/>
      <c r="M2575" s="43"/>
      <c r="N2575" s="34"/>
      <c r="O2575" s="34"/>
      <c r="P2575" s="34"/>
      <c r="Q2575" s="34"/>
    </row>
    <row r="2576" ht="15.75" customHeight="1">
      <c r="A2576" s="40"/>
      <c r="B2576" s="29"/>
      <c r="C2576" s="4"/>
      <c r="D2576" s="34"/>
      <c r="E2576" s="39"/>
      <c r="F2576" s="35"/>
      <c r="G2576" s="35"/>
      <c r="H2576" s="38"/>
      <c r="I2576" s="35"/>
      <c r="J2576" s="35"/>
      <c r="K2576" s="42"/>
      <c r="L2576" s="38"/>
      <c r="M2576" s="43"/>
      <c r="N2576" s="34"/>
      <c r="O2576" s="34"/>
      <c r="P2576" s="34"/>
      <c r="Q2576" s="34"/>
    </row>
    <row r="2577" ht="15.75" customHeight="1">
      <c r="A2577" s="40"/>
      <c r="B2577" s="29"/>
      <c r="C2577" s="4"/>
      <c r="D2577" s="34"/>
      <c r="E2577" s="39"/>
      <c r="F2577" s="35"/>
      <c r="G2577" s="35"/>
      <c r="H2577" s="38"/>
      <c r="I2577" s="35"/>
      <c r="J2577" s="35"/>
      <c r="K2577" s="42"/>
      <c r="L2577" s="38"/>
      <c r="M2577" s="43"/>
      <c r="N2577" s="34"/>
      <c r="O2577" s="34"/>
      <c r="P2577" s="34"/>
      <c r="Q2577" s="34"/>
    </row>
    <row r="2578" ht="15.75" customHeight="1">
      <c r="A2578" s="40"/>
      <c r="B2578" s="29"/>
      <c r="C2578" s="4"/>
      <c r="D2578" s="34"/>
      <c r="E2578" s="39"/>
      <c r="F2578" s="35"/>
      <c r="G2578" s="35"/>
      <c r="H2578" s="38"/>
      <c r="I2578" s="35"/>
      <c r="J2578" s="35"/>
      <c r="K2578" s="42"/>
      <c r="L2578" s="38"/>
      <c r="M2578" s="43"/>
      <c r="N2578" s="34"/>
      <c r="O2578" s="34"/>
      <c r="P2578" s="34"/>
      <c r="Q2578" s="34"/>
    </row>
    <row r="2579" ht="15.75" customHeight="1">
      <c r="A2579" s="40"/>
      <c r="B2579" s="29"/>
      <c r="C2579" s="4"/>
      <c r="D2579" s="34"/>
      <c r="E2579" s="39"/>
      <c r="F2579" s="35"/>
      <c r="G2579" s="35"/>
      <c r="H2579" s="38"/>
      <c r="I2579" s="35"/>
      <c r="J2579" s="35"/>
      <c r="K2579" s="42"/>
      <c r="L2579" s="38"/>
      <c r="M2579" s="43"/>
      <c r="N2579" s="34"/>
      <c r="O2579" s="34"/>
      <c r="P2579" s="34"/>
      <c r="Q2579" s="34"/>
    </row>
    <row r="2580" ht="15.75" customHeight="1">
      <c r="A2580" s="40"/>
      <c r="B2580" s="29"/>
      <c r="C2580" s="4"/>
      <c r="D2580" s="34"/>
      <c r="E2580" s="39"/>
      <c r="F2580" s="35"/>
      <c r="G2580" s="35"/>
      <c r="H2580" s="38"/>
      <c r="I2580" s="35"/>
      <c r="J2580" s="35"/>
      <c r="K2580" s="42"/>
      <c r="L2580" s="38"/>
      <c r="M2580" s="43"/>
      <c r="N2580" s="34"/>
      <c r="O2580" s="34"/>
      <c r="P2580" s="34"/>
      <c r="Q2580" s="34"/>
    </row>
    <row r="2581" ht="15.75" customHeight="1">
      <c r="A2581" s="40"/>
      <c r="B2581" s="29"/>
      <c r="C2581" s="4"/>
      <c r="D2581" s="34"/>
      <c r="E2581" s="39"/>
      <c r="F2581" s="35"/>
      <c r="G2581" s="35"/>
      <c r="H2581" s="38"/>
      <c r="I2581" s="35"/>
      <c r="J2581" s="35"/>
      <c r="K2581" s="42"/>
      <c r="L2581" s="38"/>
      <c r="M2581" s="43"/>
      <c r="N2581" s="34"/>
      <c r="O2581" s="34"/>
      <c r="P2581" s="34"/>
      <c r="Q2581" s="34"/>
    </row>
    <row r="2582" ht="15.75" customHeight="1">
      <c r="A2582" s="40"/>
      <c r="B2582" s="29"/>
      <c r="C2582" s="4"/>
      <c r="D2582" s="34"/>
      <c r="E2582" s="39"/>
      <c r="F2582" s="35"/>
      <c r="G2582" s="35"/>
      <c r="H2582" s="38"/>
      <c r="I2582" s="35"/>
      <c r="J2582" s="35"/>
      <c r="K2582" s="42"/>
      <c r="L2582" s="38"/>
      <c r="M2582" s="43"/>
      <c r="N2582" s="34"/>
      <c r="O2582" s="34"/>
      <c r="P2582" s="34"/>
      <c r="Q2582" s="34"/>
    </row>
    <row r="2583" ht="15.75" customHeight="1">
      <c r="A2583" s="40"/>
      <c r="B2583" s="29"/>
      <c r="C2583" s="4"/>
      <c r="D2583" s="34"/>
      <c r="E2583" s="39"/>
      <c r="F2583" s="35"/>
      <c r="G2583" s="35"/>
      <c r="H2583" s="38"/>
      <c r="I2583" s="35"/>
      <c r="J2583" s="35"/>
      <c r="K2583" s="42"/>
      <c r="L2583" s="38"/>
      <c r="M2583" s="43"/>
      <c r="N2583" s="34"/>
      <c r="O2583" s="34"/>
      <c r="P2583" s="34"/>
      <c r="Q2583" s="34"/>
    </row>
    <row r="2584" ht="15.75" customHeight="1">
      <c r="A2584" s="40"/>
      <c r="B2584" s="29"/>
      <c r="C2584" s="4"/>
      <c r="D2584" s="34"/>
      <c r="E2584" s="39"/>
      <c r="F2584" s="35"/>
      <c r="G2584" s="35"/>
      <c r="H2584" s="38"/>
      <c r="I2584" s="35"/>
      <c r="J2584" s="35"/>
      <c r="K2584" s="42"/>
      <c r="L2584" s="38"/>
      <c r="M2584" s="43"/>
      <c r="N2584" s="34"/>
      <c r="O2584" s="34"/>
      <c r="P2584" s="34"/>
      <c r="Q2584" s="34"/>
    </row>
    <row r="2585" ht="15.75" customHeight="1">
      <c r="A2585" s="40"/>
      <c r="B2585" s="29"/>
      <c r="C2585" s="4"/>
      <c r="D2585" s="34"/>
      <c r="E2585" s="39"/>
      <c r="F2585" s="35"/>
      <c r="G2585" s="35"/>
      <c r="H2585" s="38"/>
      <c r="I2585" s="35"/>
      <c r="J2585" s="35"/>
      <c r="K2585" s="42"/>
      <c r="L2585" s="38"/>
      <c r="M2585" s="43"/>
      <c r="N2585" s="34"/>
      <c r="O2585" s="34"/>
      <c r="P2585" s="34"/>
      <c r="Q2585" s="34"/>
    </row>
    <row r="2586" ht="15.75" customHeight="1">
      <c r="A2586" s="40"/>
      <c r="B2586" s="29"/>
      <c r="C2586" s="4"/>
      <c r="D2586" s="34"/>
      <c r="E2586" s="39"/>
      <c r="F2586" s="35"/>
      <c r="G2586" s="35"/>
      <c r="H2586" s="38"/>
      <c r="I2586" s="35"/>
      <c r="J2586" s="35"/>
      <c r="K2586" s="42"/>
      <c r="L2586" s="38"/>
      <c r="M2586" s="43"/>
      <c r="N2586" s="34"/>
      <c r="O2586" s="34"/>
      <c r="P2586" s="34"/>
      <c r="Q2586" s="34"/>
    </row>
    <row r="2587" ht="15.75" customHeight="1">
      <c r="A2587" s="40"/>
      <c r="B2587" s="29"/>
      <c r="C2587" s="4"/>
      <c r="D2587" s="34"/>
      <c r="E2587" s="39"/>
      <c r="F2587" s="35"/>
      <c r="G2587" s="35"/>
      <c r="H2587" s="38"/>
      <c r="I2587" s="35"/>
      <c r="J2587" s="35"/>
      <c r="K2587" s="42"/>
      <c r="L2587" s="38"/>
      <c r="M2587" s="43"/>
      <c r="N2587" s="34"/>
      <c r="O2587" s="34"/>
      <c r="P2587" s="34"/>
      <c r="Q2587" s="34"/>
    </row>
    <row r="2588" ht="15.75" customHeight="1">
      <c r="A2588" s="40"/>
      <c r="B2588" s="29"/>
      <c r="C2588" s="4"/>
      <c r="D2588" s="34"/>
      <c r="E2588" s="39"/>
      <c r="F2588" s="35"/>
      <c r="G2588" s="35"/>
      <c r="H2588" s="38"/>
      <c r="I2588" s="35"/>
      <c r="J2588" s="35"/>
      <c r="K2588" s="42"/>
      <c r="L2588" s="38"/>
      <c r="M2588" s="43"/>
      <c r="N2588" s="34"/>
      <c r="O2588" s="34"/>
      <c r="P2588" s="34"/>
      <c r="Q2588" s="34"/>
    </row>
    <row r="2589" ht="15.75" customHeight="1">
      <c r="A2589" s="40"/>
      <c r="B2589" s="29"/>
      <c r="C2589" s="4"/>
      <c r="D2589" s="34"/>
      <c r="E2589" s="39"/>
      <c r="F2589" s="35"/>
      <c r="G2589" s="35"/>
      <c r="H2589" s="38"/>
      <c r="I2589" s="35"/>
      <c r="J2589" s="35"/>
      <c r="K2589" s="42"/>
      <c r="L2589" s="38"/>
      <c r="M2589" s="43"/>
      <c r="N2589" s="34"/>
      <c r="O2589" s="34"/>
      <c r="P2589" s="34"/>
      <c r="Q2589" s="34"/>
    </row>
    <row r="2590" ht="15.75" customHeight="1">
      <c r="A2590" s="40"/>
      <c r="B2590" s="29"/>
      <c r="C2590" s="4"/>
      <c r="D2590" s="34"/>
      <c r="E2590" s="39"/>
      <c r="F2590" s="35"/>
      <c r="G2590" s="35"/>
      <c r="H2590" s="38"/>
      <c r="I2590" s="35"/>
      <c r="J2590" s="35"/>
      <c r="K2590" s="42"/>
      <c r="L2590" s="38"/>
      <c r="M2590" s="43"/>
      <c r="N2590" s="34"/>
      <c r="O2590" s="34"/>
      <c r="P2590" s="34"/>
      <c r="Q2590" s="34"/>
    </row>
    <row r="2591" ht="15.75" customHeight="1">
      <c r="A2591" s="40"/>
      <c r="B2591" s="29"/>
      <c r="C2591" s="4"/>
      <c r="D2591" s="34"/>
      <c r="E2591" s="39"/>
      <c r="F2591" s="35"/>
      <c r="G2591" s="35"/>
      <c r="H2591" s="38"/>
      <c r="I2591" s="35"/>
      <c r="J2591" s="35"/>
      <c r="K2591" s="42"/>
      <c r="L2591" s="38"/>
      <c r="M2591" s="43"/>
      <c r="N2591" s="34"/>
      <c r="O2591" s="34"/>
      <c r="P2591" s="34"/>
      <c r="Q2591" s="34"/>
    </row>
    <row r="2592" ht="15.75" customHeight="1">
      <c r="A2592" s="40"/>
      <c r="B2592" s="29"/>
      <c r="C2592" s="4"/>
      <c r="D2592" s="34"/>
      <c r="E2592" s="39"/>
      <c r="F2592" s="35"/>
      <c r="G2592" s="35"/>
      <c r="H2592" s="38"/>
      <c r="I2592" s="35"/>
      <c r="J2592" s="35"/>
      <c r="K2592" s="42"/>
      <c r="L2592" s="38"/>
      <c r="M2592" s="43"/>
      <c r="N2592" s="34"/>
      <c r="O2592" s="34"/>
      <c r="P2592" s="34"/>
      <c r="Q2592" s="34"/>
    </row>
    <row r="2593" ht="15.75" customHeight="1">
      <c r="A2593" s="40"/>
      <c r="B2593" s="29"/>
      <c r="C2593" s="4"/>
      <c r="D2593" s="34"/>
      <c r="E2593" s="39"/>
      <c r="F2593" s="35"/>
      <c r="G2593" s="35"/>
      <c r="H2593" s="38"/>
      <c r="I2593" s="35"/>
      <c r="J2593" s="35"/>
      <c r="K2593" s="42"/>
      <c r="L2593" s="38"/>
      <c r="M2593" s="43"/>
      <c r="N2593" s="34"/>
      <c r="O2593" s="34"/>
      <c r="P2593" s="34"/>
      <c r="Q2593" s="34"/>
    </row>
    <row r="2594" ht="15.75" customHeight="1">
      <c r="A2594" s="40"/>
      <c r="B2594" s="29"/>
      <c r="C2594" s="4"/>
      <c r="D2594" s="34"/>
      <c r="E2594" s="39"/>
      <c r="F2594" s="35"/>
      <c r="G2594" s="35"/>
      <c r="H2594" s="38"/>
      <c r="I2594" s="35"/>
      <c r="J2594" s="35"/>
      <c r="K2594" s="42"/>
      <c r="L2594" s="38"/>
      <c r="M2594" s="43"/>
      <c r="N2594" s="34"/>
      <c r="O2594" s="34"/>
      <c r="P2594" s="34"/>
      <c r="Q2594" s="34"/>
    </row>
    <row r="2595" ht="15.75" customHeight="1">
      <c r="A2595" s="40"/>
      <c r="B2595" s="29"/>
      <c r="C2595" s="4"/>
      <c r="D2595" s="34"/>
      <c r="E2595" s="39"/>
      <c r="F2595" s="35"/>
      <c r="G2595" s="35"/>
      <c r="H2595" s="38"/>
      <c r="I2595" s="35"/>
      <c r="J2595" s="35"/>
      <c r="K2595" s="42"/>
      <c r="L2595" s="38"/>
      <c r="M2595" s="43"/>
      <c r="N2595" s="34"/>
      <c r="O2595" s="34"/>
      <c r="P2595" s="34"/>
      <c r="Q2595" s="34"/>
    </row>
    <row r="2596" ht="15.75" customHeight="1">
      <c r="A2596" s="40"/>
      <c r="B2596" s="29"/>
      <c r="C2596" s="4"/>
      <c r="D2596" s="34"/>
      <c r="E2596" s="39"/>
      <c r="F2596" s="35"/>
      <c r="G2596" s="35"/>
      <c r="H2596" s="38"/>
      <c r="I2596" s="35"/>
      <c r="J2596" s="35"/>
      <c r="K2596" s="42"/>
      <c r="L2596" s="38"/>
      <c r="M2596" s="43"/>
      <c r="N2596" s="34"/>
      <c r="O2596" s="34"/>
      <c r="P2596" s="34"/>
      <c r="Q2596" s="34"/>
    </row>
    <row r="2597" ht="15.75" customHeight="1">
      <c r="A2597" s="40"/>
      <c r="B2597" s="29"/>
      <c r="C2597" s="4"/>
      <c r="D2597" s="34"/>
      <c r="E2597" s="39"/>
      <c r="F2597" s="35"/>
      <c r="G2597" s="35"/>
      <c r="H2597" s="38"/>
      <c r="I2597" s="35"/>
      <c r="J2597" s="35"/>
      <c r="K2597" s="42"/>
      <c r="L2597" s="38"/>
      <c r="M2597" s="43"/>
      <c r="N2597" s="34"/>
      <c r="O2597" s="34"/>
      <c r="P2597" s="34"/>
      <c r="Q2597" s="34"/>
    </row>
    <row r="2598" ht="15.75" customHeight="1">
      <c r="A2598" s="40"/>
      <c r="B2598" s="29"/>
      <c r="C2598" s="4"/>
      <c r="D2598" s="34"/>
      <c r="E2598" s="39"/>
      <c r="F2598" s="35"/>
      <c r="G2598" s="35"/>
      <c r="H2598" s="38"/>
      <c r="I2598" s="35"/>
      <c r="J2598" s="35"/>
      <c r="K2598" s="42"/>
      <c r="L2598" s="38"/>
      <c r="M2598" s="43"/>
      <c r="N2598" s="34"/>
      <c r="O2598" s="34"/>
      <c r="P2598" s="34"/>
      <c r="Q2598" s="34"/>
    </row>
    <row r="2599" ht="15.75" customHeight="1">
      <c r="A2599" s="40"/>
      <c r="B2599" s="29"/>
      <c r="C2599" s="4"/>
      <c r="D2599" s="34"/>
      <c r="E2599" s="39"/>
      <c r="F2599" s="35"/>
      <c r="G2599" s="35"/>
      <c r="H2599" s="38"/>
      <c r="I2599" s="35"/>
      <c r="J2599" s="35"/>
      <c r="K2599" s="42"/>
      <c r="L2599" s="38"/>
      <c r="M2599" s="43"/>
      <c r="N2599" s="34"/>
      <c r="O2599" s="34"/>
      <c r="P2599" s="34"/>
      <c r="Q2599" s="34"/>
    </row>
    <row r="2600" ht="15.75" customHeight="1">
      <c r="A2600" s="40"/>
      <c r="B2600" s="29"/>
      <c r="C2600" s="4"/>
      <c r="D2600" s="34"/>
      <c r="E2600" s="39"/>
      <c r="F2600" s="35"/>
      <c r="G2600" s="35"/>
      <c r="H2600" s="38"/>
      <c r="I2600" s="35"/>
      <c r="J2600" s="35"/>
      <c r="K2600" s="42"/>
      <c r="L2600" s="38"/>
      <c r="M2600" s="43"/>
      <c r="N2600" s="34"/>
      <c r="O2600" s="34"/>
      <c r="P2600" s="34"/>
      <c r="Q2600" s="34"/>
    </row>
    <row r="2601" ht="15.75" customHeight="1">
      <c r="A2601" s="40"/>
      <c r="B2601" s="29"/>
      <c r="C2601" s="4"/>
      <c r="D2601" s="34"/>
      <c r="E2601" s="39"/>
      <c r="F2601" s="35"/>
      <c r="G2601" s="35"/>
      <c r="H2601" s="38"/>
      <c r="I2601" s="35"/>
      <c r="J2601" s="35"/>
      <c r="K2601" s="42"/>
      <c r="L2601" s="38"/>
      <c r="M2601" s="43"/>
      <c r="N2601" s="34"/>
      <c r="O2601" s="34"/>
      <c r="P2601" s="34"/>
      <c r="Q2601" s="34"/>
    </row>
    <row r="2602" ht="15.75" customHeight="1">
      <c r="A2602" s="40"/>
      <c r="B2602" s="29"/>
      <c r="C2602" s="4"/>
      <c r="D2602" s="34"/>
      <c r="E2602" s="39"/>
      <c r="F2602" s="35"/>
      <c r="G2602" s="35"/>
      <c r="H2602" s="38"/>
      <c r="I2602" s="35"/>
      <c r="J2602" s="35"/>
      <c r="K2602" s="42"/>
      <c r="L2602" s="38"/>
      <c r="M2602" s="43"/>
      <c r="N2602" s="34"/>
      <c r="O2602" s="34"/>
      <c r="P2602" s="34"/>
      <c r="Q2602" s="34"/>
    </row>
    <row r="2603" ht="15.75" customHeight="1">
      <c r="A2603" s="40"/>
      <c r="B2603" s="29"/>
      <c r="C2603" s="4"/>
      <c r="D2603" s="34"/>
      <c r="E2603" s="39"/>
      <c r="F2603" s="35"/>
      <c r="G2603" s="35"/>
      <c r="H2603" s="38"/>
      <c r="I2603" s="35"/>
      <c r="J2603" s="35"/>
      <c r="K2603" s="42"/>
      <c r="L2603" s="38"/>
      <c r="M2603" s="43"/>
      <c r="N2603" s="34"/>
      <c r="O2603" s="34"/>
      <c r="P2603" s="34"/>
      <c r="Q2603" s="34"/>
    </row>
    <row r="2604" ht="15.75" customHeight="1">
      <c r="A2604" s="40"/>
      <c r="B2604" s="29"/>
      <c r="C2604" s="4"/>
      <c r="D2604" s="34"/>
      <c r="E2604" s="39"/>
      <c r="F2604" s="35"/>
      <c r="G2604" s="35"/>
      <c r="H2604" s="38"/>
      <c r="I2604" s="35"/>
      <c r="J2604" s="35"/>
      <c r="K2604" s="42"/>
      <c r="L2604" s="38"/>
      <c r="M2604" s="43"/>
      <c r="N2604" s="34"/>
      <c r="O2604" s="34"/>
      <c r="P2604" s="34"/>
      <c r="Q2604" s="34"/>
    </row>
    <row r="2605" ht="15.75" customHeight="1">
      <c r="A2605" s="40"/>
      <c r="B2605" s="29"/>
      <c r="C2605" s="4"/>
      <c r="D2605" s="34"/>
      <c r="E2605" s="39"/>
      <c r="F2605" s="35"/>
      <c r="G2605" s="35"/>
      <c r="H2605" s="38"/>
      <c r="I2605" s="35"/>
      <c r="J2605" s="35"/>
      <c r="K2605" s="42"/>
      <c r="L2605" s="38"/>
      <c r="M2605" s="43"/>
      <c r="N2605" s="34"/>
      <c r="O2605" s="34"/>
      <c r="P2605" s="34"/>
      <c r="Q2605" s="34"/>
    </row>
    <row r="2606" ht="15.75" customHeight="1">
      <c r="A2606" s="40"/>
      <c r="B2606" s="29"/>
      <c r="C2606" s="4"/>
      <c r="D2606" s="34"/>
      <c r="E2606" s="39"/>
      <c r="F2606" s="35"/>
      <c r="G2606" s="35"/>
      <c r="H2606" s="38"/>
      <c r="I2606" s="35"/>
      <c r="J2606" s="35"/>
      <c r="K2606" s="42"/>
      <c r="L2606" s="38"/>
      <c r="M2606" s="43"/>
      <c r="N2606" s="34"/>
      <c r="O2606" s="34"/>
      <c r="P2606" s="34"/>
      <c r="Q2606" s="34"/>
    </row>
    <row r="2607" ht="15.75" customHeight="1">
      <c r="A2607" s="40"/>
      <c r="B2607" s="29"/>
      <c r="C2607" s="4"/>
      <c r="D2607" s="34"/>
      <c r="E2607" s="39"/>
      <c r="F2607" s="35"/>
      <c r="G2607" s="35"/>
      <c r="H2607" s="38"/>
      <c r="I2607" s="35"/>
      <c r="J2607" s="35"/>
      <c r="K2607" s="42"/>
      <c r="L2607" s="38"/>
      <c r="M2607" s="43"/>
      <c r="N2607" s="34"/>
      <c r="O2607" s="34"/>
      <c r="P2607" s="34"/>
      <c r="Q2607" s="34"/>
    </row>
    <row r="2608" ht="15.75" customHeight="1">
      <c r="A2608" s="40"/>
      <c r="B2608" s="29"/>
      <c r="C2608" s="4"/>
      <c r="D2608" s="34"/>
      <c r="E2608" s="39"/>
      <c r="F2608" s="35"/>
      <c r="G2608" s="35"/>
      <c r="H2608" s="38"/>
      <c r="I2608" s="35"/>
      <c r="J2608" s="35"/>
      <c r="K2608" s="42"/>
      <c r="L2608" s="38"/>
      <c r="M2608" s="43"/>
      <c r="N2608" s="34"/>
      <c r="O2608" s="34"/>
      <c r="P2608" s="34"/>
      <c r="Q2608" s="34"/>
    </row>
    <row r="2609" ht="15.75" customHeight="1">
      <c r="A2609" s="40"/>
      <c r="B2609" s="29"/>
      <c r="C2609" s="4"/>
      <c r="D2609" s="34"/>
      <c r="E2609" s="39"/>
      <c r="F2609" s="35"/>
      <c r="G2609" s="35"/>
      <c r="H2609" s="38"/>
      <c r="I2609" s="35"/>
      <c r="J2609" s="35"/>
      <c r="K2609" s="42"/>
      <c r="L2609" s="38"/>
      <c r="M2609" s="43"/>
      <c r="N2609" s="34"/>
      <c r="O2609" s="34"/>
      <c r="P2609" s="34"/>
      <c r="Q2609" s="34"/>
    </row>
    <row r="2610" ht="15.75" customHeight="1">
      <c r="A2610" s="40"/>
      <c r="B2610" s="29"/>
      <c r="C2610" s="4"/>
      <c r="D2610" s="34"/>
      <c r="E2610" s="39"/>
      <c r="F2610" s="35"/>
      <c r="G2610" s="35"/>
      <c r="H2610" s="38"/>
      <c r="I2610" s="35"/>
      <c r="J2610" s="35"/>
      <c r="K2610" s="42"/>
      <c r="L2610" s="38"/>
      <c r="M2610" s="43"/>
      <c r="N2610" s="34"/>
      <c r="O2610" s="34"/>
      <c r="P2610" s="34"/>
      <c r="Q2610" s="34"/>
    </row>
    <row r="2611" ht="15.75" customHeight="1">
      <c r="A2611" s="40"/>
      <c r="B2611" s="29"/>
      <c r="C2611" s="4"/>
      <c r="D2611" s="34"/>
      <c r="E2611" s="39"/>
      <c r="F2611" s="35"/>
      <c r="G2611" s="35"/>
      <c r="H2611" s="38"/>
      <c r="I2611" s="35"/>
      <c r="J2611" s="35"/>
      <c r="K2611" s="42"/>
      <c r="L2611" s="38"/>
      <c r="M2611" s="43"/>
      <c r="N2611" s="34"/>
      <c r="O2611" s="34"/>
      <c r="P2611" s="34"/>
      <c r="Q2611" s="34"/>
    </row>
    <row r="2612" ht="15.75" customHeight="1">
      <c r="A2612" s="40"/>
      <c r="B2612" s="29"/>
      <c r="C2612" s="4"/>
      <c r="D2612" s="34"/>
      <c r="E2612" s="39"/>
      <c r="F2612" s="35"/>
      <c r="G2612" s="35"/>
      <c r="H2612" s="38"/>
      <c r="I2612" s="35"/>
      <c r="J2612" s="35"/>
      <c r="K2612" s="42"/>
      <c r="L2612" s="38"/>
      <c r="M2612" s="43"/>
      <c r="N2612" s="34"/>
      <c r="O2612" s="34"/>
      <c r="P2612" s="34"/>
      <c r="Q2612" s="34"/>
    </row>
    <row r="2613" ht="15.75" customHeight="1">
      <c r="A2613" s="40"/>
      <c r="B2613" s="29"/>
      <c r="C2613" s="4"/>
      <c r="D2613" s="34"/>
      <c r="E2613" s="39"/>
      <c r="F2613" s="35"/>
      <c r="G2613" s="35"/>
      <c r="H2613" s="38"/>
      <c r="I2613" s="35"/>
      <c r="J2613" s="35"/>
      <c r="K2613" s="42"/>
      <c r="L2613" s="38"/>
      <c r="M2613" s="43"/>
      <c r="N2613" s="34"/>
      <c r="O2613" s="34"/>
      <c r="P2613" s="34"/>
      <c r="Q2613" s="34"/>
    </row>
    <row r="2614" ht="15.75" customHeight="1">
      <c r="A2614" s="40"/>
      <c r="B2614" s="29"/>
      <c r="C2614" s="4"/>
      <c r="D2614" s="34"/>
      <c r="E2614" s="39"/>
      <c r="F2614" s="35"/>
      <c r="G2614" s="35"/>
      <c r="H2614" s="38"/>
      <c r="I2614" s="35"/>
      <c r="J2614" s="35"/>
      <c r="K2614" s="42"/>
      <c r="L2614" s="38"/>
      <c r="M2614" s="43"/>
      <c r="N2614" s="34"/>
      <c r="O2614" s="34"/>
      <c r="P2614" s="34"/>
      <c r="Q2614" s="34"/>
    </row>
    <row r="2615" ht="15.75" customHeight="1">
      <c r="A2615" s="40"/>
      <c r="B2615" s="29"/>
      <c r="C2615" s="4"/>
      <c r="D2615" s="34"/>
      <c r="E2615" s="39"/>
      <c r="F2615" s="35"/>
      <c r="G2615" s="35"/>
      <c r="H2615" s="38"/>
      <c r="I2615" s="35"/>
      <c r="J2615" s="35"/>
      <c r="K2615" s="42"/>
      <c r="L2615" s="38"/>
      <c r="M2615" s="43"/>
      <c r="N2615" s="34"/>
      <c r="O2615" s="34"/>
      <c r="P2615" s="34"/>
      <c r="Q2615" s="34"/>
    </row>
    <row r="2616" ht="15.75" customHeight="1">
      <c r="A2616" s="40"/>
      <c r="B2616" s="29"/>
      <c r="C2616" s="4"/>
      <c r="D2616" s="34"/>
      <c r="E2616" s="39"/>
      <c r="F2616" s="35"/>
      <c r="G2616" s="35"/>
      <c r="H2616" s="38"/>
      <c r="I2616" s="35"/>
      <c r="J2616" s="35"/>
      <c r="K2616" s="42"/>
      <c r="L2616" s="38"/>
      <c r="M2616" s="43"/>
      <c r="N2616" s="34"/>
      <c r="O2616" s="34"/>
      <c r="P2616" s="34"/>
      <c r="Q2616" s="34"/>
    </row>
    <row r="2617" ht="15.75" customHeight="1">
      <c r="A2617" s="40"/>
      <c r="B2617" s="29"/>
      <c r="C2617" s="4"/>
      <c r="D2617" s="34"/>
      <c r="E2617" s="39"/>
      <c r="F2617" s="35"/>
      <c r="G2617" s="35"/>
      <c r="H2617" s="38"/>
      <c r="I2617" s="35"/>
      <c r="J2617" s="35"/>
      <c r="K2617" s="42"/>
      <c r="L2617" s="38"/>
      <c r="M2617" s="43"/>
      <c r="N2617" s="34"/>
      <c r="O2617" s="34"/>
      <c r="P2617" s="34"/>
      <c r="Q2617" s="34"/>
    </row>
    <row r="2618" ht="15.75" customHeight="1">
      <c r="A2618" s="40"/>
      <c r="B2618" s="29"/>
      <c r="C2618" s="4"/>
      <c r="D2618" s="34"/>
      <c r="E2618" s="39"/>
      <c r="F2618" s="35"/>
      <c r="G2618" s="35"/>
      <c r="H2618" s="38"/>
      <c r="I2618" s="35"/>
      <c r="J2618" s="35"/>
      <c r="K2618" s="42"/>
      <c r="L2618" s="38"/>
      <c r="M2618" s="43"/>
      <c r="N2618" s="34"/>
      <c r="O2618" s="34"/>
      <c r="P2618" s="34"/>
      <c r="Q2618" s="34"/>
    </row>
    <row r="2619" ht="15.75" customHeight="1">
      <c r="A2619" s="40"/>
      <c r="B2619" s="29"/>
      <c r="C2619" s="4"/>
      <c r="D2619" s="34"/>
      <c r="E2619" s="39"/>
      <c r="F2619" s="35"/>
      <c r="G2619" s="35"/>
      <c r="H2619" s="38"/>
      <c r="I2619" s="35"/>
      <c r="J2619" s="35"/>
      <c r="K2619" s="42"/>
      <c r="L2619" s="38"/>
      <c r="M2619" s="43"/>
      <c r="N2619" s="34"/>
      <c r="O2619" s="34"/>
      <c r="P2619" s="34"/>
      <c r="Q2619" s="34"/>
    </row>
    <row r="2620" ht="15.75" customHeight="1">
      <c r="A2620" s="40"/>
      <c r="B2620" s="29"/>
      <c r="C2620" s="4"/>
      <c r="D2620" s="34"/>
      <c r="E2620" s="39"/>
      <c r="F2620" s="35"/>
      <c r="G2620" s="35"/>
      <c r="H2620" s="38"/>
      <c r="I2620" s="35"/>
      <c r="J2620" s="35"/>
      <c r="K2620" s="42"/>
      <c r="L2620" s="38"/>
      <c r="M2620" s="43"/>
      <c r="N2620" s="34"/>
      <c r="O2620" s="34"/>
      <c r="P2620" s="34"/>
      <c r="Q2620" s="34"/>
    </row>
    <row r="2621" ht="15.75" customHeight="1">
      <c r="A2621" s="40"/>
      <c r="B2621" s="29"/>
      <c r="C2621" s="4"/>
      <c r="D2621" s="34"/>
      <c r="E2621" s="39"/>
      <c r="F2621" s="35"/>
      <c r="G2621" s="35"/>
      <c r="H2621" s="38"/>
      <c r="I2621" s="35"/>
      <c r="J2621" s="35"/>
      <c r="K2621" s="42"/>
      <c r="L2621" s="38"/>
      <c r="M2621" s="43"/>
      <c r="N2621" s="34"/>
      <c r="O2621" s="34"/>
      <c r="P2621" s="34"/>
      <c r="Q2621" s="34"/>
    </row>
    <row r="2622" ht="15.75" customHeight="1">
      <c r="A2622" s="40"/>
      <c r="B2622" s="29"/>
      <c r="C2622" s="4"/>
      <c r="D2622" s="34"/>
      <c r="E2622" s="39"/>
      <c r="F2622" s="35"/>
      <c r="G2622" s="35"/>
      <c r="H2622" s="38"/>
      <c r="I2622" s="35"/>
      <c r="J2622" s="35"/>
      <c r="K2622" s="42"/>
      <c r="L2622" s="38"/>
      <c r="M2622" s="43"/>
      <c r="N2622" s="34"/>
      <c r="O2622" s="34"/>
      <c r="P2622" s="34"/>
      <c r="Q2622" s="34"/>
    </row>
    <row r="2623" ht="15.75" customHeight="1">
      <c r="A2623" s="40"/>
      <c r="B2623" s="29"/>
      <c r="C2623" s="4"/>
      <c r="D2623" s="34"/>
      <c r="E2623" s="39"/>
      <c r="F2623" s="35"/>
      <c r="G2623" s="35"/>
      <c r="H2623" s="38"/>
      <c r="I2623" s="35"/>
      <c r="J2623" s="35"/>
      <c r="K2623" s="42"/>
      <c r="L2623" s="38"/>
      <c r="M2623" s="43"/>
      <c r="N2623" s="34"/>
      <c r="O2623" s="34"/>
      <c r="P2623" s="34"/>
      <c r="Q2623" s="34"/>
    </row>
    <row r="2624" ht="15.75" customHeight="1">
      <c r="A2624" s="40"/>
      <c r="B2624" s="29"/>
      <c r="C2624" s="4"/>
      <c r="D2624" s="34"/>
      <c r="E2624" s="39"/>
      <c r="F2624" s="35"/>
      <c r="G2624" s="35"/>
      <c r="H2624" s="38"/>
      <c r="I2624" s="35"/>
      <c r="J2624" s="35"/>
      <c r="K2624" s="42"/>
      <c r="L2624" s="38"/>
      <c r="M2624" s="43"/>
      <c r="N2624" s="34"/>
      <c r="O2624" s="34"/>
      <c r="P2624" s="34"/>
      <c r="Q2624" s="34"/>
    </row>
    <row r="2625" ht="15.75" customHeight="1">
      <c r="A2625" s="40"/>
      <c r="B2625" s="29"/>
      <c r="C2625" s="4"/>
      <c r="D2625" s="34"/>
      <c r="E2625" s="39"/>
      <c r="F2625" s="35"/>
      <c r="G2625" s="35"/>
      <c r="H2625" s="38"/>
      <c r="I2625" s="35"/>
      <c r="J2625" s="35"/>
      <c r="K2625" s="42"/>
      <c r="L2625" s="38"/>
      <c r="M2625" s="43"/>
      <c r="N2625" s="34"/>
      <c r="O2625" s="34"/>
      <c r="P2625" s="34"/>
      <c r="Q2625" s="34"/>
    </row>
    <row r="2626" ht="15.75" customHeight="1">
      <c r="A2626" s="40"/>
      <c r="B2626" s="29"/>
      <c r="C2626" s="4"/>
      <c r="D2626" s="34"/>
      <c r="E2626" s="39"/>
      <c r="F2626" s="35"/>
      <c r="G2626" s="35"/>
      <c r="H2626" s="38"/>
      <c r="I2626" s="35"/>
      <c r="J2626" s="35"/>
      <c r="K2626" s="42"/>
      <c r="L2626" s="38"/>
      <c r="M2626" s="43"/>
      <c r="N2626" s="34"/>
      <c r="O2626" s="34"/>
      <c r="P2626" s="34"/>
      <c r="Q2626" s="34"/>
    </row>
    <row r="2627" ht="15.75" customHeight="1">
      <c r="A2627" s="40"/>
      <c r="B2627" s="29"/>
      <c r="C2627" s="4"/>
      <c r="D2627" s="34"/>
      <c r="E2627" s="39"/>
      <c r="F2627" s="35"/>
      <c r="G2627" s="35"/>
      <c r="H2627" s="38"/>
      <c r="I2627" s="35"/>
      <c r="J2627" s="35"/>
      <c r="K2627" s="42"/>
      <c r="L2627" s="38"/>
      <c r="M2627" s="43"/>
      <c r="N2627" s="34"/>
      <c r="O2627" s="34"/>
      <c r="P2627" s="34"/>
      <c r="Q2627" s="34"/>
    </row>
    <row r="2628" ht="15.75" customHeight="1">
      <c r="A2628" s="40"/>
      <c r="B2628" s="29"/>
      <c r="C2628" s="4"/>
      <c r="D2628" s="34"/>
      <c r="E2628" s="39"/>
      <c r="F2628" s="35"/>
      <c r="G2628" s="35"/>
      <c r="H2628" s="38"/>
      <c r="I2628" s="35"/>
      <c r="J2628" s="35"/>
      <c r="K2628" s="42"/>
      <c r="L2628" s="38"/>
      <c r="M2628" s="43"/>
      <c r="N2628" s="34"/>
      <c r="O2628" s="34"/>
      <c r="P2628" s="34"/>
      <c r="Q2628" s="34"/>
    </row>
    <row r="2629" ht="15.75" customHeight="1">
      <c r="A2629" s="40"/>
      <c r="B2629" s="29"/>
      <c r="C2629" s="4"/>
      <c r="D2629" s="34"/>
      <c r="E2629" s="39"/>
      <c r="F2629" s="35"/>
      <c r="G2629" s="35"/>
      <c r="H2629" s="38"/>
      <c r="I2629" s="35"/>
      <c r="J2629" s="35"/>
      <c r="K2629" s="42"/>
      <c r="L2629" s="38"/>
      <c r="M2629" s="43"/>
      <c r="N2629" s="34"/>
      <c r="O2629" s="34"/>
      <c r="P2629" s="34"/>
      <c r="Q2629" s="34"/>
    </row>
    <row r="2630" ht="15.75" customHeight="1">
      <c r="A2630" s="40"/>
      <c r="B2630" s="29"/>
      <c r="C2630" s="4"/>
      <c r="D2630" s="34"/>
      <c r="E2630" s="39"/>
      <c r="F2630" s="35"/>
      <c r="G2630" s="35"/>
      <c r="H2630" s="38"/>
      <c r="I2630" s="35"/>
      <c r="J2630" s="35"/>
      <c r="K2630" s="42"/>
      <c r="L2630" s="38"/>
      <c r="M2630" s="43"/>
      <c r="N2630" s="34"/>
      <c r="O2630" s="34"/>
      <c r="P2630" s="34"/>
      <c r="Q2630" s="34"/>
    </row>
    <row r="2631" ht="15.75" customHeight="1">
      <c r="A2631" s="40"/>
      <c r="B2631" s="29"/>
      <c r="C2631" s="4"/>
      <c r="D2631" s="34"/>
      <c r="E2631" s="39"/>
      <c r="F2631" s="35"/>
      <c r="G2631" s="35"/>
      <c r="H2631" s="38"/>
      <c r="I2631" s="35"/>
      <c r="J2631" s="35"/>
      <c r="K2631" s="42"/>
      <c r="L2631" s="38"/>
      <c r="M2631" s="43"/>
      <c r="N2631" s="34"/>
      <c r="O2631" s="34"/>
      <c r="P2631" s="34"/>
      <c r="Q2631" s="34"/>
    </row>
    <row r="2632" ht="15.75" customHeight="1">
      <c r="A2632" s="40"/>
      <c r="B2632" s="29"/>
      <c r="C2632" s="4"/>
      <c r="D2632" s="34"/>
      <c r="E2632" s="39"/>
      <c r="F2632" s="35"/>
      <c r="G2632" s="35"/>
      <c r="H2632" s="38"/>
      <c r="I2632" s="35"/>
      <c r="J2632" s="35"/>
      <c r="K2632" s="42"/>
      <c r="L2632" s="38"/>
      <c r="M2632" s="43"/>
      <c r="N2632" s="34"/>
      <c r="O2632" s="34"/>
      <c r="P2632" s="34"/>
      <c r="Q2632" s="34"/>
    </row>
    <row r="2633" ht="15.75" customHeight="1">
      <c r="A2633" s="40"/>
      <c r="B2633" s="29"/>
      <c r="C2633" s="4"/>
      <c r="D2633" s="34"/>
      <c r="E2633" s="39"/>
      <c r="F2633" s="35"/>
      <c r="G2633" s="35"/>
      <c r="H2633" s="38"/>
      <c r="I2633" s="35"/>
      <c r="J2633" s="35"/>
      <c r="K2633" s="42"/>
      <c r="L2633" s="38"/>
      <c r="M2633" s="43"/>
      <c r="N2633" s="34"/>
      <c r="O2633" s="34"/>
      <c r="P2633" s="34"/>
      <c r="Q2633" s="34"/>
    </row>
    <row r="2634" ht="15.75" customHeight="1">
      <c r="A2634" s="40"/>
      <c r="B2634" s="29"/>
      <c r="C2634" s="4"/>
      <c r="D2634" s="34"/>
      <c r="E2634" s="39"/>
      <c r="F2634" s="35"/>
      <c r="G2634" s="35"/>
      <c r="H2634" s="38"/>
      <c r="I2634" s="35"/>
      <c r="J2634" s="35"/>
      <c r="K2634" s="42"/>
      <c r="L2634" s="38"/>
      <c r="M2634" s="43"/>
      <c r="N2634" s="34"/>
      <c r="O2634" s="34"/>
      <c r="P2634" s="34"/>
      <c r="Q2634" s="34"/>
    </row>
    <row r="2635" ht="15.75" customHeight="1">
      <c r="A2635" s="40"/>
      <c r="B2635" s="29"/>
      <c r="C2635" s="4"/>
      <c r="D2635" s="34"/>
      <c r="E2635" s="39"/>
      <c r="F2635" s="35"/>
      <c r="G2635" s="35"/>
      <c r="H2635" s="38"/>
      <c r="I2635" s="35"/>
      <c r="J2635" s="35"/>
      <c r="K2635" s="42"/>
      <c r="L2635" s="38"/>
      <c r="M2635" s="43"/>
      <c r="N2635" s="34"/>
      <c r="O2635" s="34"/>
      <c r="P2635" s="34"/>
      <c r="Q2635" s="34"/>
    </row>
    <row r="2636" ht="15.75" customHeight="1">
      <c r="A2636" s="40"/>
      <c r="B2636" s="29"/>
      <c r="C2636" s="4"/>
      <c r="D2636" s="34"/>
      <c r="E2636" s="39"/>
      <c r="F2636" s="35"/>
      <c r="G2636" s="35"/>
      <c r="H2636" s="38"/>
      <c r="I2636" s="35"/>
      <c r="J2636" s="35"/>
      <c r="K2636" s="42"/>
      <c r="L2636" s="38"/>
      <c r="M2636" s="43"/>
      <c r="N2636" s="34"/>
      <c r="O2636" s="34"/>
      <c r="P2636" s="34"/>
      <c r="Q2636" s="34"/>
    </row>
    <row r="2637" ht="15.75" customHeight="1">
      <c r="A2637" s="40"/>
      <c r="B2637" s="29"/>
      <c r="C2637" s="4"/>
      <c r="D2637" s="34"/>
      <c r="E2637" s="39"/>
      <c r="F2637" s="35"/>
      <c r="G2637" s="35"/>
      <c r="H2637" s="38"/>
      <c r="I2637" s="35"/>
      <c r="J2637" s="35"/>
      <c r="K2637" s="42"/>
      <c r="L2637" s="38"/>
      <c r="M2637" s="43"/>
      <c r="N2637" s="34"/>
      <c r="O2637" s="34"/>
      <c r="P2637" s="34"/>
      <c r="Q2637" s="34"/>
    </row>
    <row r="2638" ht="15.75" customHeight="1">
      <c r="A2638" s="40"/>
      <c r="B2638" s="29"/>
      <c r="C2638" s="4"/>
      <c r="D2638" s="34"/>
      <c r="E2638" s="39"/>
      <c r="F2638" s="35"/>
      <c r="G2638" s="35"/>
      <c r="H2638" s="38"/>
      <c r="I2638" s="35"/>
      <c r="J2638" s="35"/>
      <c r="K2638" s="42"/>
      <c r="L2638" s="38"/>
      <c r="M2638" s="43"/>
      <c r="N2638" s="34"/>
      <c r="O2638" s="34"/>
      <c r="P2638" s="34"/>
      <c r="Q2638" s="34"/>
    </row>
    <row r="2639" ht="15.75" customHeight="1">
      <c r="A2639" s="40"/>
      <c r="B2639" s="29"/>
      <c r="C2639" s="4"/>
      <c r="D2639" s="34"/>
      <c r="E2639" s="39"/>
      <c r="F2639" s="35"/>
      <c r="G2639" s="35"/>
      <c r="H2639" s="38"/>
      <c r="I2639" s="35"/>
      <c r="J2639" s="35"/>
      <c r="K2639" s="42"/>
      <c r="L2639" s="38"/>
      <c r="M2639" s="43"/>
      <c r="N2639" s="34"/>
      <c r="O2639" s="34"/>
      <c r="P2639" s="34"/>
      <c r="Q2639" s="34"/>
    </row>
    <row r="2640" ht="15.75" customHeight="1">
      <c r="A2640" s="40"/>
      <c r="B2640" s="29"/>
      <c r="C2640" s="4"/>
      <c r="D2640" s="34"/>
      <c r="E2640" s="39"/>
      <c r="F2640" s="35"/>
      <c r="G2640" s="35"/>
      <c r="H2640" s="38"/>
      <c r="I2640" s="35"/>
      <c r="J2640" s="35"/>
      <c r="K2640" s="42"/>
      <c r="L2640" s="38"/>
      <c r="M2640" s="43"/>
      <c r="N2640" s="34"/>
      <c r="O2640" s="34"/>
      <c r="P2640" s="34"/>
      <c r="Q2640" s="34"/>
    </row>
    <row r="2641" ht="15.75" customHeight="1">
      <c r="A2641" s="40"/>
      <c r="B2641" s="29"/>
      <c r="C2641" s="4"/>
      <c r="D2641" s="34"/>
      <c r="E2641" s="39"/>
      <c r="F2641" s="35"/>
      <c r="G2641" s="35"/>
      <c r="H2641" s="38"/>
      <c r="I2641" s="35"/>
      <c r="J2641" s="35"/>
      <c r="K2641" s="42"/>
      <c r="L2641" s="38"/>
      <c r="M2641" s="43"/>
      <c r="N2641" s="34"/>
      <c r="O2641" s="34"/>
      <c r="P2641" s="34"/>
      <c r="Q2641" s="34"/>
    </row>
    <row r="2642" ht="15.75" customHeight="1">
      <c r="A2642" s="40"/>
      <c r="B2642" s="29"/>
      <c r="C2642" s="4"/>
      <c r="D2642" s="34"/>
      <c r="E2642" s="39"/>
      <c r="F2642" s="35"/>
      <c r="G2642" s="35"/>
      <c r="H2642" s="38"/>
      <c r="I2642" s="35"/>
      <c r="J2642" s="35"/>
      <c r="K2642" s="42"/>
      <c r="L2642" s="38"/>
      <c r="M2642" s="43"/>
      <c r="N2642" s="34"/>
      <c r="O2642" s="34"/>
      <c r="P2642" s="34"/>
      <c r="Q2642" s="34"/>
    </row>
    <row r="2643" ht="15.75" customHeight="1">
      <c r="A2643" s="40"/>
      <c r="B2643" s="29"/>
      <c r="C2643" s="4"/>
      <c r="D2643" s="34"/>
      <c r="E2643" s="39"/>
      <c r="F2643" s="35"/>
      <c r="G2643" s="35"/>
      <c r="H2643" s="38"/>
      <c r="I2643" s="35"/>
      <c r="J2643" s="35"/>
      <c r="K2643" s="42"/>
      <c r="L2643" s="38"/>
      <c r="M2643" s="43"/>
      <c r="N2643" s="34"/>
      <c r="O2643" s="34"/>
      <c r="P2643" s="34"/>
      <c r="Q2643" s="34"/>
    </row>
    <row r="2644" ht="15.75" customHeight="1">
      <c r="A2644" s="40"/>
      <c r="B2644" s="29"/>
      <c r="C2644" s="4"/>
      <c r="D2644" s="34"/>
      <c r="E2644" s="39"/>
      <c r="F2644" s="35"/>
      <c r="G2644" s="35"/>
      <c r="H2644" s="38"/>
      <c r="I2644" s="35"/>
      <c r="J2644" s="35"/>
      <c r="K2644" s="42"/>
      <c r="L2644" s="38"/>
      <c r="M2644" s="43"/>
      <c r="N2644" s="34"/>
      <c r="O2644" s="34"/>
      <c r="P2644" s="34"/>
      <c r="Q2644" s="34"/>
    </row>
    <row r="2645" ht="15.75" customHeight="1">
      <c r="A2645" s="40"/>
      <c r="B2645" s="29"/>
      <c r="C2645" s="4"/>
      <c r="D2645" s="34"/>
      <c r="E2645" s="39"/>
      <c r="F2645" s="35"/>
      <c r="G2645" s="35"/>
      <c r="H2645" s="38"/>
      <c r="I2645" s="35"/>
      <c r="J2645" s="35"/>
      <c r="K2645" s="42"/>
      <c r="L2645" s="38"/>
      <c r="M2645" s="43"/>
      <c r="N2645" s="34"/>
      <c r="O2645" s="34"/>
      <c r="P2645" s="34"/>
      <c r="Q2645" s="34"/>
    </row>
    <row r="2646" ht="15.75" customHeight="1">
      <c r="A2646" s="40"/>
      <c r="B2646" s="29"/>
      <c r="C2646" s="4"/>
      <c r="D2646" s="34"/>
      <c r="E2646" s="39"/>
      <c r="F2646" s="35"/>
      <c r="G2646" s="35"/>
      <c r="H2646" s="38"/>
      <c r="I2646" s="35"/>
      <c r="J2646" s="35"/>
      <c r="K2646" s="42"/>
      <c r="L2646" s="38"/>
      <c r="M2646" s="43"/>
      <c r="N2646" s="34"/>
      <c r="O2646" s="34"/>
      <c r="P2646" s="34"/>
      <c r="Q2646" s="34"/>
    </row>
    <row r="2647" ht="15.75" customHeight="1">
      <c r="A2647" s="40"/>
      <c r="B2647" s="29"/>
      <c r="C2647" s="4"/>
      <c r="D2647" s="34"/>
      <c r="E2647" s="39"/>
      <c r="F2647" s="35"/>
      <c r="G2647" s="35"/>
      <c r="H2647" s="38"/>
      <c r="I2647" s="35"/>
      <c r="J2647" s="35"/>
      <c r="K2647" s="42"/>
      <c r="L2647" s="38"/>
      <c r="M2647" s="43"/>
      <c r="N2647" s="34"/>
      <c r="O2647" s="34"/>
      <c r="P2647" s="34"/>
      <c r="Q2647" s="34"/>
    </row>
    <row r="2648" ht="15.75" customHeight="1">
      <c r="A2648" s="40"/>
      <c r="B2648" s="29"/>
      <c r="C2648" s="4"/>
      <c r="D2648" s="34"/>
      <c r="E2648" s="39"/>
      <c r="F2648" s="35"/>
      <c r="G2648" s="35"/>
      <c r="H2648" s="38"/>
      <c r="I2648" s="35"/>
      <c r="J2648" s="35"/>
      <c r="K2648" s="42"/>
      <c r="L2648" s="38"/>
      <c r="M2648" s="43"/>
      <c r="N2648" s="34"/>
      <c r="O2648" s="34"/>
      <c r="P2648" s="34"/>
      <c r="Q2648" s="34"/>
    </row>
    <row r="2649" ht="15.75" customHeight="1">
      <c r="A2649" s="40"/>
      <c r="B2649" s="29"/>
      <c r="C2649" s="4"/>
      <c r="D2649" s="34"/>
      <c r="E2649" s="39"/>
      <c r="F2649" s="35"/>
      <c r="G2649" s="35"/>
      <c r="H2649" s="38"/>
      <c r="I2649" s="35"/>
      <c r="J2649" s="35"/>
      <c r="K2649" s="42"/>
      <c r="L2649" s="38"/>
      <c r="M2649" s="43"/>
      <c r="N2649" s="34"/>
      <c r="O2649" s="34"/>
      <c r="P2649" s="34"/>
      <c r="Q2649" s="34"/>
    </row>
    <row r="2650" ht="15.75" customHeight="1">
      <c r="A2650" s="40"/>
      <c r="B2650" s="29"/>
      <c r="C2650" s="4"/>
      <c r="D2650" s="34"/>
      <c r="E2650" s="39"/>
      <c r="F2650" s="35"/>
      <c r="G2650" s="35"/>
      <c r="H2650" s="38"/>
      <c r="I2650" s="35"/>
      <c r="J2650" s="35"/>
      <c r="K2650" s="42"/>
      <c r="L2650" s="38"/>
      <c r="M2650" s="43"/>
      <c r="N2650" s="34"/>
      <c r="O2650" s="34"/>
      <c r="P2650" s="34"/>
      <c r="Q2650" s="34"/>
    </row>
    <row r="2651" ht="15.75" customHeight="1">
      <c r="A2651" s="40"/>
      <c r="B2651" s="29"/>
      <c r="C2651" s="4"/>
      <c r="D2651" s="34"/>
      <c r="E2651" s="39"/>
      <c r="F2651" s="35"/>
      <c r="G2651" s="35"/>
      <c r="H2651" s="38"/>
      <c r="I2651" s="35"/>
      <c r="J2651" s="35"/>
      <c r="K2651" s="42"/>
      <c r="L2651" s="38"/>
      <c r="M2651" s="43"/>
      <c r="N2651" s="34"/>
      <c r="O2651" s="34"/>
      <c r="P2651" s="34"/>
      <c r="Q2651" s="34"/>
    </row>
    <row r="2652" ht="15.75" customHeight="1">
      <c r="A2652" s="40"/>
      <c r="B2652" s="29"/>
      <c r="C2652" s="4"/>
      <c r="D2652" s="34"/>
      <c r="E2652" s="39"/>
      <c r="F2652" s="35"/>
      <c r="G2652" s="35"/>
      <c r="H2652" s="38"/>
      <c r="I2652" s="35"/>
      <c r="J2652" s="35"/>
      <c r="K2652" s="42"/>
      <c r="L2652" s="38"/>
      <c r="M2652" s="43"/>
      <c r="N2652" s="34"/>
      <c r="O2652" s="34"/>
      <c r="P2652" s="34"/>
      <c r="Q2652" s="34"/>
    </row>
    <row r="2653" ht="15.75" customHeight="1">
      <c r="A2653" s="40"/>
      <c r="B2653" s="29"/>
      <c r="C2653" s="4"/>
      <c r="D2653" s="34"/>
      <c r="E2653" s="39"/>
      <c r="F2653" s="35"/>
      <c r="G2653" s="35"/>
      <c r="H2653" s="38"/>
      <c r="I2653" s="35"/>
      <c r="J2653" s="35"/>
      <c r="K2653" s="42"/>
      <c r="L2653" s="38"/>
      <c r="M2653" s="43"/>
      <c r="N2653" s="34"/>
      <c r="O2653" s="34"/>
      <c r="P2653" s="34"/>
      <c r="Q2653" s="34"/>
    </row>
    <row r="2654" ht="15.75" customHeight="1">
      <c r="A2654" s="40"/>
      <c r="B2654" s="29"/>
      <c r="C2654" s="4"/>
      <c r="D2654" s="34"/>
      <c r="E2654" s="39"/>
      <c r="F2654" s="35"/>
      <c r="G2654" s="35"/>
      <c r="H2654" s="38"/>
      <c r="I2654" s="35"/>
      <c r="J2654" s="35"/>
      <c r="K2654" s="42"/>
      <c r="L2654" s="38"/>
      <c r="M2654" s="43"/>
      <c r="N2654" s="34"/>
      <c r="O2654" s="34"/>
      <c r="P2654" s="34"/>
      <c r="Q2654" s="34"/>
    </row>
    <row r="2655" ht="15.75" customHeight="1">
      <c r="A2655" s="40"/>
      <c r="B2655" s="29"/>
      <c r="C2655" s="4"/>
      <c r="D2655" s="34"/>
      <c r="E2655" s="39"/>
      <c r="F2655" s="35"/>
      <c r="G2655" s="35"/>
      <c r="H2655" s="38"/>
      <c r="I2655" s="35"/>
      <c r="J2655" s="35"/>
      <c r="K2655" s="42"/>
      <c r="L2655" s="38"/>
      <c r="M2655" s="43"/>
      <c r="N2655" s="34"/>
      <c r="O2655" s="34"/>
      <c r="P2655" s="34"/>
      <c r="Q2655" s="34"/>
    </row>
    <row r="2656" ht="15.75" customHeight="1">
      <c r="A2656" s="40"/>
      <c r="B2656" s="29"/>
      <c r="C2656" s="4"/>
      <c r="D2656" s="34"/>
      <c r="E2656" s="39"/>
      <c r="F2656" s="35"/>
      <c r="G2656" s="35"/>
      <c r="H2656" s="38"/>
      <c r="I2656" s="35"/>
      <c r="J2656" s="35"/>
      <c r="K2656" s="42"/>
      <c r="L2656" s="38"/>
      <c r="M2656" s="43"/>
      <c r="N2656" s="34"/>
      <c r="O2656" s="34"/>
      <c r="P2656" s="34"/>
      <c r="Q2656" s="34"/>
    </row>
    <row r="2657" ht="15.75" customHeight="1">
      <c r="A2657" s="40"/>
      <c r="B2657" s="29"/>
      <c r="C2657" s="4"/>
      <c r="D2657" s="34"/>
      <c r="E2657" s="39"/>
      <c r="F2657" s="35"/>
      <c r="G2657" s="35"/>
      <c r="H2657" s="38"/>
      <c r="I2657" s="35"/>
      <c r="J2657" s="35"/>
      <c r="K2657" s="42"/>
      <c r="L2657" s="38"/>
      <c r="M2657" s="43"/>
      <c r="N2657" s="34"/>
      <c r="O2657" s="34"/>
      <c r="P2657" s="34"/>
      <c r="Q2657" s="34"/>
    </row>
    <row r="2658" ht="15.75" customHeight="1">
      <c r="A2658" s="40"/>
      <c r="B2658" s="29"/>
      <c r="C2658" s="4"/>
      <c r="D2658" s="34"/>
      <c r="E2658" s="39"/>
      <c r="F2658" s="35"/>
      <c r="G2658" s="35"/>
      <c r="H2658" s="38"/>
      <c r="I2658" s="35"/>
      <c r="J2658" s="35"/>
      <c r="K2658" s="42"/>
      <c r="L2658" s="38"/>
      <c r="M2658" s="43"/>
      <c r="N2658" s="34"/>
      <c r="O2658" s="34"/>
      <c r="P2658" s="34"/>
      <c r="Q2658" s="34"/>
    </row>
    <row r="2659" ht="15.75" customHeight="1">
      <c r="A2659" s="40"/>
      <c r="B2659" s="29"/>
      <c r="C2659" s="4"/>
      <c r="D2659" s="34"/>
      <c r="E2659" s="39"/>
      <c r="F2659" s="35"/>
      <c r="G2659" s="35"/>
      <c r="H2659" s="38"/>
      <c r="I2659" s="35"/>
      <c r="J2659" s="35"/>
      <c r="K2659" s="42"/>
      <c r="L2659" s="38"/>
      <c r="M2659" s="43"/>
      <c r="N2659" s="34"/>
      <c r="O2659" s="34"/>
      <c r="P2659" s="34"/>
      <c r="Q2659" s="34"/>
    </row>
    <row r="2660" ht="15.75" customHeight="1">
      <c r="A2660" s="40"/>
      <c r="B2660" s="29"/>
      <c r="C2660" s="4"/>
      <c r="D2660" s="34"/>
      <c r="E2660" s="39"/>
      <c r="F2660" s="35"/>
      <c r="G2660" s="35"/>
      <c r="H2660" s="38"/>
      <c r="I2660" s="35"/>
      <c r="J2660" s="35"/>
      <c r="K2660" s="42"/>
      <c r="L2660" s="38"/>
      <c r="M2660" s="43"/>
      <c r="N2660" s="34"/>
      <c r="O2660" s="34"/>
      <c r="P2660" s="34"/>
      <c r="Q2660" s="34"/>
    </row>
    <row r="2661" ht="15.75" customHeight="1">
      <c r="A2661" s="40"/>
      <c r="B2661" s="29"/>
      <c r="C2661" s="4"/>
      <c r="D2661" s="34"/>
      <c r="E2661" s="39"/>
      <c r="F2661" s="35"/>
      <c r="G2661" s="35"/>
      <c r="H2661" s="38"/>
      <c r="I2661" s="35"/>
      <c r="J2661" s="35"/>
      <c r="K2661" s="42"/>
      <c r="L2661" s="38"/>
      <c r="M2661" s="43"/>
      <c r="N2661" s="34"/>
      <c r="O2661" s="34"/>
      <c r="P2661" s="34"/>
      <c r="Q2661" s="34"/>
    </row>
    <row r="2662" ht="15.75" customHeight="1">
      <c r="A2662" s="40"/>
      <c r="B2662" s="29"/>
      <c r="C2662" s="4"/>
      <c r="D2662" s="34"/>
      <c r="E2662" s="39"/>
      <c r="F2662" s="35"/>
      <c r="G2662" s="35"/>
      <c r="H2662" s="38"/>
      <c r="I2662" s="35"/>
      <c r="J2662" s="35"/>
      <c r="K2662" s="42"/>
      <c r="L2662" s="38"/>
      <c r="M2662" s="43"/>
      <c r="N2662" s="34"/>
      <c r="O2662" s="34"/>
      <c r="P2662" s="34"/>
      <c r="Q2662" s="34"/>
    </row>
    <row r="2663" ht="15.75" customHeight="1">
      <c r="A2663" s="40"/>
      <c r="B2663" s="29"/>
      <c r="C2663" s="4"/>
      <c r="D2663" s="34"/>
      <c r="E2663" s="39"/>
      <c r="F2663" s="35"/>
      <c r="G2663" s="35"/>
      <c r="H2663" s="38"/>
      <c r="I2663" s="35"/>
      <c r="J2663" s="35"/>
      <c r="K2663" s="42"/>
      <c r="L2663" s="38"/>
      <c r="M2663" s="43"/>
      <c r="N2663" s="34"/>
      <c r="O2663" s="34"/>
      <c r="P2663" s="34"/>
      <c r="Q2663" s="34"/>
    </row>
    <row r="2664" ht="15.75" customHeight="1">
      <c r="A2664" s="40"/>
      <c r="B2664" s="29"/>
      <c r="C2664" s="4"/>
      <c r="D2664" s="34"/>
      <c r="E2664" s="39"/>
      <c r="F2664" s="35"/>
      <c r="G2664" s="35"/>
      <c r="H2664" s="38"/>
      <c r="I2664" s="35"/>
      <c r="J2664" s="35"/>
      <c r="K2664" s="42"/>
      <c r="L2664" s="38"/>
      <c r="M2664" s="43"/>
      <c r="N2664" s="34"/>
      <c r="O2664" s="34"/>
      <c r="P2664" s="34"/>
      <c r="Q2664" s="34"/>
    </row>
    <row r="2665" ht="15.75" customHeight="1">
      <c r="A2665" s="40"/>
      <c r="B2665" s="29"/>
      <c r="C2665" s="4"/>
      <c r="D2665" s="34"/>
      <c r="E2665" s="39"/>
      <c r="F2665" s="35"/>
      <c r="G2665" s="35"/>
      <c r="H2665" s="38"/>
      <c r="I2665" s="35"/>
      <c r="J2665" s="35"/>
      <c r="K2665" s="42"/>
      <c r="L2665" s="38"/>
      <c r="M2665" s="43"/>
      <c r="N2665" s="34"/>
      <c r="O2665" s="34"/>
      <c r="P2665" s="34"/>
      <c r="Q2665" s="34"/>
    </row>
    <row r="2666" ht="15.75" customHeight="1">
      <c r="A2666" s="40"/>
      <c r="B2666" s="29"/>
      <c r="C2666" s="4"/>
      <c r="D2666" s="34"/>
      <c r="E2666" s="39"/>
      <c r="F2666" s="35"/>
      <c r="G2666" s="35"/>
      <c r="H2666" s="38"/>
      <c r="I2666" s="35"/>
      <c r="J2666" s="35"/>
      <c r="K2666" s="42"/>
      <c r="L2666" s="38"/>
      <c r="M2666" s="43"/>
      <c r="N2666" s="34"/>
      <c r="O2666" s="34"/>
      <c r="P2666" s="34"/>
      <c r="Q2666" s="34"/>
    </row>
    <row r="2667" ht="15.75" customHeight="1">
      <c r="A2667" s="40"/>
      <c r="B2667" s="29"/>
      <c r="C2667" s="4"/>
      <c r="D2667" s="34"/>
      <c r="E2667" s="39"/>
      <c r="F2667" s="35"/>
      <c r="G2667" s="35"/>
      <c r="H2667" s="38"/>
      <c r="I2667" s="35"/>
      <c r="J2667" s="35"/>
      <c r="K2667" s="42"/>
      <c r="L2667" s="38"/>
      <c r="M2667" s="43"/>
      <c r="N2667" s="34"/>
      <c r="O2667" s="34"/>
      <c r="P2667" s="34"/>
      <c r="Q2667" s="34"/>
    </row>
    <row r="2668" ht="15.75" customHeight="1">
      <c r="A2668" s="40"/>
      <c r="B2668" s="29"/>
      <c r="C2668" s="4"/>
      <c r="D2668" s="34"/>
      <c r="E2668" s="39"/>
      <c r="F2668" s="35"/>
      <c r="G2668" s="35"/>
      <c r="H2668" s="38"/>
      <c r="I2668" s="35"/>
      <c r="J2668" s="35"/>
      <c r="K2668" s="42"/>
      <c r="L2668" s="38"/>
      <c r="M2668" s="43"/>
      <c r="N2668" s="34"/>
      <c r="O2668" s="34"/>
      <c r="P2668" s="34"/>
      <c r="Q2668" s="34"/>
    </row>
    <row r="2669" ht="15.75" customHeight="1">
      <c r="A2669" s="40"/>
      <c r="B2669" s="29"/>
      <c r="C2669" s="4"/>
      <c r="D2669" s="34"/>
      <c r="E2669" s="39"/>
      <c r="F2669" s="35"/>
      <c r="G2669" s="35"/>
      <c r="H2669" s="38"/>
      <c r="I2669" s="35"/>
      <c r="J2669" s="35"/>
      <c r="K2669" s="42"/>
      <c r="L2669" s="38"/>
      <c r="M2669" s="43"/>
      <c r="N2669" s="34"/>
      <c r="O2669" s="34"/>
      <c r="P2669" s="34"/>
      <c r="Q2669" s="34"/>
    </row>
    <row r="2670" ht="15.75" customHeight="1">
      <c r="A2670" s="40"/>
      <c r="B2670" s="29"/>
      <c r="C2670" s="4"/>
      <c r="D2670" s="34"/>
      <c r="E2670" s="39"/>
      <c r="F2670" s="35"/>
      <c r="G2670" s="35"/>
      <c r="H2670" s="38"/>
      <c r="I2670" s="35"/>
      <c r="J2670" s="35"/>
      <c r="K2670" s="42"/>
      <c r="L2670" s="38"/>
      <c r="M2670" s="43"/>
      <c r="N2670" s="34"/>
      <c r="O2670" s="34"/>
      <c r="P2670" s="34"/>
      <c r="Q2670" s="34"/>
    </row>
    <row r="2671" ht="15.75" customHeight="1">
      <c r="A2671" s="40"/>
      <c r="B2671" s="29"/>
      <c r="C2671" s="4"/>
      <c r="D2671" s="34"/>
      <c r="E2671" s="39"/>
      <c r="F2671" s="35"/>
      <c r="G2671" s="35"/>
      <c r="H2671" s="38"/>
      <c r="I2671" s="35"/>
      <c r="J2671" s="35"/>
      <c r="K2671" s="42"/>
      <c r="L2671" s="38"/>
      <c r="M2671" s="43"/>
      <c r="N2671" s="34"/>
      <c r="O2671" s="34"/>
      <c r="P2671" s="34"/>
      <c r="Q2671" s="34"/>
    </row>
    <row r="2672" ht="15.75" customHeight="1">
      <c r="A2672" s="40"/>
      <c r="B2672" s="29"/>
      <c r="C2672" s="4"/>
      <c r="D2672" s="34"/>
      <c r="E2672" s="39"/>
      <c r="F2672" s="35"/>
      <c r="G2672" s="35"/>
      <c r="H2672" s="38"/>
      <c r="I2672" s="35"/>
      <c r="J2672" s="35"/>
      <c r="K2672" s="42"/>
      <c r="L2672" s="38"/>
      <c r="M2672" s="43"/>
      <c r="N2672" s="34"/>
      <c r="O2672" s="34"/>
      <c r="P2672" s="34"/>
      <c r="Q2672" s="34"/>
    </row>
    <row r="2673" ht="15.75" customHeight="1">
      <c r="A2673" s="40"/>
      <c r="B2673" s="29"/>
      <c r="C2673" s="4"/>
      <c r="D2673" s="34"/>
      <c r="E2673" s="39"/>
      <c r="F2673" s="35"/>
      <c r="G2673" s="35"/>
      <c r="H2673" s="38"/>
      <c r="I2673" s="35"/>
      <c r="J2673" s="35"/>
      <c r="K2673" s="42"/>
      <c r="L2673" s="38"/>
      <c r="M2673" s="43"/>
      <c r="N2673" s="34"/>
      <c r="O2673" s="34"/>
      <c r="P2673" s="34"/>
      <c r="Q2673" s="34"/>
    </row>
    <row r="2674" ht="15.75" customHeight="1">
      <c r="A2674" s="40"/>
      <c r="B2674" s="29"/>
      <c r="C2674" s="4"/>
      <c r="D2674" s="34"/>
      <c r="E2674" s="39"/>
      <c r="F2674" s="35"/>
      <c r="G2674" s="35"/>
      <c r="H2674" s="38"/>
      <c r="I2674" s="35"/>
      <c r="J2674" s="35"/>
      <c r="K2674" s="42"/>
      <c r="L2674" s="38"/>
      <c r="M2674" s="43"/>
      <c r="N2674" s="34"/>
      <c r="O2674" s="34"/>
      <c r="P2674" s="34"/>
      <c r="Q2674" s="34"/>
    </row>
    <row r="2675" ht="15.75" customHeight="1">
      <c r="A2675" s="40"/>
      <c r="B2675" s="29"/>
      <c r="C2675" s="4"/>
      <c r="D2675" s="34"/>
      <c r="E2675" s="39"/>
      <c r="F2675" s="35"/>
      <c r="G2675" s="35"/>
      <c r="H2675" s="38"/>
      <c r="I2675" s="35"/>
      <c r="J2675" s="35"/>
      <c r="K2675" s="42"/>
      <c r="L2675" s="38"/>
      <c r="M2675" s="43"/>
      <c r="N2675" s="34"/>
      <c r="O2675" s="34"/>
      <c r="P2675" s="34"/>
      <c r="Q2675" s="34"/>
    </row>
    <row r="2676" ht="15.75" customHeight="1">
      <c r="A2676" s="40"/>
      <c r="B2676" s="29"/>
      <c r="C2676" s="4"/>
      <c r="D2676" s="34"/>
      <c r="E2676" s="39"/>
      <c r="F2676" s="35"/>
      <c r="G2676" s="35"/>
      <c r="H2676" s="38"/>
      <c r="I2676" s="35"/>
      <c r="J2676" s="35"/>
      <c r="K2676" s="42"/>
      <c r="L2676" s="38"/>
      <c r="M2676" s="43"/>
      <c r="N2676" s="34"/>
      <c r="O2676" s="34"/>
      <c r="P2676" s="34"/>
      <c r="Q2676" s="34"/>
    </row>
    <row r="2677" ht="15.75" customHeight="1">
      <c r="A2677" s="40"/>
      <c r="B2677" s="29"/>
      <c r="C2677" s="4"/>
      <c r="D2677" s="34"/>
      <c r="E2677" s="39"/>
      <c r="F2677" s="35"/>
      <c r="G2677" s="35"/>
      <c r="H2677" s="38"/>
      <c r="I2677" s="35"/>
      <c r="J2677" s="35"/>
      <c r="K2677" s="42"/>
      <c r="L2677" s="38"/>
      <c r="M2677" s="43"/>
      <c r="N2677" s="34"/>
      <c r="O2677" s="34"/>
      <c r="P2677" s="34"/>
      <c r="Q2677" s="34"/>
    </row>
    <row r="2678" ht="15.75" customHeight="1">
      <c r="A2678" s="40"/>
      <c r="B2678" s="29"/>
      <c r="C2678" s="4"/>
      <c r="D2678" s="34"/>
      <c r="E2678" s="39"/>
      <c r="F2678" s="35"/>
      <c r="G2678" s="35"/>
      <c r="H2678" s="38"/>
      <c r="I2678" s="35"/>
      <c r="J2678" s="35"/>
      <c r="K2678" s="42"/>
      <c r="L2678" s="38"/>
      <c r="M2678" s="43"/>
      <c r="N2678" s="34"/>
      <c r="O2678" s="34"/>
      <c r="P2678" s="34"/>
      <c r="Q2678" s="34"/>
    </row>
    <row r="2679" ht="15.75" customHeight="1">
      <c r="A2679" s="40"/>
      <c r="B2679" s="29"/>
      <c r="C2679" s="4"/>
      <c r="D2679" s="34"/>
      <c r="E2679" s="39"/>
      <c r="F2679" s="35"/>
      <c r="G2679" s="35"/>
      <c r="H2679" s="38"/>
      <c r="I2679" s="35"/>
      <c r="J2679" s="35"/>
      <c r="K2679" s="42"/>
      <c r="L2679" s="38"/>
      <c r="M2679" s="43"/>
      <c r="N2679" s="34"/>
      <c r="O2679" s="34"/>
      <c r="P2679" s="34"/>
      <c r="Q2679" s="34"/>
    </row>
    <row r="2680" ht="15.75" customHeight="1">
      <c r="A2680" s="40"/>
      <c r="B2680" s="29"/>
      <c r="C2680" s="4"/>
      <c r="D2680" s="34"/>
      <c r="E2680" s="39"/>
      <c r="F2680" s="35"/>
      <c r="G2680" s="35"/>
      <c r="H2680" s="38"/>
      <c r="I2680" s="35"/>
      <c r="J2680" s="35"/>
      <c r="K2680" s="42"/>
      <c r="L2680" s="38"/>
      <c r="M2680" s="43"/>
      <c r="N2680" s="34"/>
      <c r="O2680" s="34"/>
      <c r="P2680" s="34"/>
      <c r="Q2680" s="34"/>
    </row>
    <row r="2681" ht="15.75" customHeight="1">
      <c r="A2681" s="40"/>
      <c r="B2681" s="29"/>
      <c r="C2681" s="4"/>
      <c r="D2681" s="34"/>
      <c r="E2681" s="39"/>
      <c r="F2681" s="35"/>
      <c r="G2681" s="35"/>
      <c r="H2681" s="38"/>
      <c r="I2681" s="35"/>
      <c r="J2681" s="35"/>
      <c r="K2681" s="42"/>
      <c r="L2681" s="38"/>
      <c r="M2681" s="43"/>
      <c r="N2681" s="34"/>
      <c r="O2681" s="34"/>
      <c r="P2681" s="34"/>
      <c r="Q2681" s="34"/>
    </row>
    <row r="2682" ht="15.75" customHeight="1">
      <c r="A2682" s="40"/>
      <c r="B2682" s="29"/>
      <c r="C2682" s="4"/>
      <c r="D2682" s="34"/>
      <c r="E2682" s="39"/>
      <c r="F2682" s="35"/>
      <c r="G2682" s="35"/>
      <c r="H2682" s="38"/>
      <c r="I2682" s="35"/>
      <c r="J2682" s="35"/>
      <c r="K2682" s="42"/>
      <c r="L2682" s="38"/>
      <c r="M2682" s="43"/>
      <c r="N2682" s="34"/>
      <c r="O2682" s="34"/>
      <c r="P2682" s="34"/>
      <c r="Q2682" s="34"/>
    </row>
    <row r="2683" ht="15.75" customHeight="1">
      <c r="A2683" s="40"/>
      <c r="B2683" s="29"/>
      <c r="C2683" s="4"/>
      <c r="D2683" s="34"/>
      <c r="E2683" s="39"/>
      <c r="F2683" s="35"/>
      <c r="G2683" s="35"/>
      <c r="H2683" s="38"/>
      <c r="I2683" s="35"/>
      <c r="J2683" s="35"/>
      <c r="K2683" s="42"/>
      <c r="L2683" s="38"/>
      <c r="M2683" s="43"/>
      <c r="N2683" s="34"/>
      <c r="O2683" s="34"/>
      <c r="P2683" s="34"/>
      <c r="Q2683" s="34"/>
    </row>
    <row r="2684" ht="15.75" customHeight="1">
      <c r="A2684" s="40"/>
      <c r="B2684" s="29"/>
      <c r="C2684" s="4"/>
      <c r="D2684" s="34"/>
      <c r="E2684" s="39"/>
      <c r="F2684" s="35"/>
      <c r="G2684" s="35"/>
      <c r="H2684" s="38"/>
      <c r="I2684" s="35"/>
      <c r="J2684" s="35"/>
      <c r="K2684" s="42"/>
      <c r="L2684" s="38"/>
      <c r="M2684" s="43"/>
      <c r="N2684" s="34"/>
      <c r="O2684" s="34"/>
      <c r="P2684" s="34"/>
      <c r="Q2684" s="34"/>
    </row>
    <row r="2685" ht="15.75" customHeight="1">
      <c r="A2685" s="40"/>
      <c r="B2685" s="29"/>
      <c r="C2685" s="4"/>
      <c r="D2685" s="34"/>
      <c r="E2685" s="39"/>
      <c r="F2685" s="35"/>
      <c r="G2685" s="35"/>
      <c r="H2685" s="38"/>
      <c r="I2685" s="35"/>
      <c r="J2685" s="35"/>
      <c r="K2685" s="42"/>
      <c r="L2685" s="38"/>
      <c r="M2685" s="43"/>
      <c r="N2685" s="34"/>
      <c r="O2685" s="34"/>
      <c r="P2685" s="34"/>
      <c r="Q2685" s="34"/>
    </row>
    <row r="2686" ht="15.75" customHeight="1">
      <c r="A2686" s="40"/>
      <c r="B2686" s="29"/>
      <c r="C2686" s="4"/>
      <c r="D2686" s="34"/>
      <c r="E2686" s="39"/>
      <c r="F2686" s="35"/>
      <c r="G2686" s="35"/>
      <c r="H2686" s="38"/>
      <c r="I2686" s="35"/>
      <c r="J2686" s="35"/>
      <c r="K2686" s="42"/>
      <c r="L2686" s="38"/>
      <c r="M2686" s="43"/>
      <c r="N2686" s="34"/>
      <c r="O2686" s="34"/>
      <c r="P2686" s="34"/>
      <c r="Q2686" s="34"/>
    </row>
    <row r="2687" ht="15.75" customHeight="1">
      <c r="A2687" s="40"/>
      <c r="B2687" s="29"/>
      <c r="C2687" s="4"/>
      <c r="D2687" s="34"/>
      <c r="E2687" s="39"/>
      <c r="F2687" s="35"/>
      <c r="G2687" s="35"/>
      <c r="H2687" s="38"/>
      <c r="I2687" s="35"/>
      <c r="J2687" s="35"/>
      <c r="K2687" s="42"/>
      <c r="L2687" s="38"/>
      <c r="M2687" s="43"/>
      <c r="N2687" s="34"/>
      <c r="O2687" s="34"/>
      <c r="P2687" s="34"/>
      <c r="Q2687" s="34"/>
    </row>
    <row r="2688" ht="15.75" customHeight="1">
      <c r="A2688" s="40"/>
      <c r="B2688" s="29"/>
      <c r="C2688" s="4"/>
      <c r="D2688" s="34"/>
      <c r="E2688" s="39"/>
      <c r="F2688" s="35"/>
      <c r="G2688" s="35"/>
      <c r="H2688" s="38"/>
      <c r="I2688" s="35"/>
      <c r="J2688" s="35"/>
      <c r="K2688" s="42"/>
      <c r="L2688" s="38"/>
      <c r="M2688" s="43"/>
      <c r="N2688" s="34"/>
      <c r="O2688" s="34"/>
      <c r="P2688" s="34"/>
      <c r="Q2688" s="34"/>
    </row>
    <row r="2689" ht="15.75" customHeight="1">
      <c r="A2689" s="40"/>
      <c r="B2689" s="29"/>
      <c r="C2689" s="4"/>
      <c r="D2689" s="34"/>
      <c r="E2689" s="39"/>
      <c r="F2689" s="35"/>
      <c r="G2689" s="35"/>
      <c r="H2689" s="38"/>
      <c r="I2689" s="35"/>
      <c r="J2689" s="35"/>
      <c r="K2689" s="42"/>
      <c r="L2689" s="38"/>
      <c r="M2689" s="43"/>
      <c r="N2689" s="34"/>
      <c r="O2689" s="34"/>
      <c r="P2689" s="34"/>
      <c r="Q2689" s="34"/>
    </row>
    <row r="2690" ht="15.75" customHeight="1">
      <c r="A2690" s="40"/>
      <c r="B2690" s="29"/>
      <c r="C2690" s="4"/>
      <c r="D2690" s="34"/>
      <c r="E2690" s="39"/>
      <c r="F2690" s="35"/>
      <c r="G2690" s="35"/>
      <c r="H2690" s="38"/>
      <c r="I2690" s="35"/>
      <c r="J2690" s="35"/>
      <c r="K2690" s="42"/>
      <c r="L2690" s="38"/>
      <c r="M2690" s="43"/>
      <c r="N2690" s="34"/>
      <c r="O2690" s="34"/>
      <c r="P2690" s="34"/>
      <c r="Q2690" s="34"/>
    </row>
    <row r="2691" ht="15.75" customHeight="1">
      <c r="A2691" s="40"/>
      <c r="B2691" s="29"/>
      <c r="C2691" s="4"/>
      <c r="D2691" s="34"/>
      <c r="E2691" s="39"/>
      <c r="F2691" s="35"/>
      <c r="G2691" s="35"/>
      <c r="H2691" s="38"/>
      <c r="I2691" s="35"/>
      <c r="J2691" s="35"/>
      <c r="K2691" s="42"/>
      <c r="L2691" s="38"/>
      <c r="M2691" s="43"/>
      <c r="N2691" s="34"/>
      <c r="O2691" s="34"/>
      <c r="P2691" s="34"/>
      <c r="Q2691" s="34"/>
    </row>
    <row r="2692" ht="15.75" customHeight="1">
      <c r="A2692" s="40"/>
      <c r="B2692" s="29"/>
      <c r="C2692" s="4"/>
      <c r="D2692" s="34"/>
      <c r="E2692" s="39"/>
      <c r="F2692" s="35"/>
      <c r="G2692" s="35"/>
      <c r="H2692" s="38"/>
      <c r="I2692" s="35"/>
      <c r="J2692" s="35"/>
      <c r="K2692" s="42"/>
      <c r="L2692" s="38"/>
      <c r="M2692" s="43"/>
      <c r="N2692" s="34"/>
      <c r="O2692" s="34"/>
      <c r="P2692" s="34"/>
      <c r="Q2692" s="34"/>
    </row>
    <row r="2693" ht="15.75" customHeight="1">
      <c r="A2693" s="40"/>
      <c r="B2693" s="29"/>
      <c r="C2693" s="4"/>
      <c r="D2693" s="34"/>
      <c r="E2693" s="39"/>
      <c r="F2693" s="35"/>
      <c r="G2693" s="35"/>
      <c r="H2693" s="38"/>
      <c r="I2693" s="35"/>
      <c r="J2693" s="35"/>
      <c r="K2693" s="42"/>
      <c r="L2693" s="38"/>
      <c r="M2693" s="43"/>
      <c r="N2693" s="34"/>
      <c r="O2693" s="34"/>
      <c r="P2693" s="34"/>
      <c r="Q2693" s="34"/>
    </row>
    <row r="2694" ht="15.75" customHeight="1">
      <c r="A2694" s="40"/>
      <c r="B2694" s="29"/>
      <c r="C2694" s="4"/>
      <c r="D2694" s="34"/>
      <c r="E2694" s="39"/>
      <c r="F2694" s="35"/>
      <c r="G2694" s="35"/>
      <c r="H2694" s="38"/>
      <c r="I2694" s="35"/>
      <c r="J2694" s="35"/>
      <c r="K2694" s="42"/>
      <c r="L2694" s="38"/>
      <c r="M2694" s="43"/>
      <c r="N2694" s="34"/>
      <c r="O2694" s="34"/>
      <c r="P2694" s="34"/>
      <c r="Q2694" s="34"/>
    </row>
    <row r="2695" ht="15.75" customHeight="1">
      <c r="A2695" s="40"/>
      <c r="B2695" s="29"/>
      <c r="C2695" s="4"/>
      <c r="D2695" s="34"/>
      <c r="E2695" s="39"/>
      <c r="F2695" s="35"/>
      <c r="G2695" s="35"/>
      <c r="H2695" s="38"/>
      <c r="I2695" s="35"/>
      <c r="J2695" s="35"/>
      <c r="K2695" s="42"/>
      <c r="L2695" s="38"/>
      <c r="M2695" s="43"/>
      <c r="N2695" s="34"/>
      <c r="O2695" s="34"/>
      <c r="P2695" s="34"/>
      <c r="Q2695" s="34"/>
    </row>
    <row r="2696" ht="15.75" customHeight="1">
      <c r="A2696" s="40"/>
      <c r="B2696" s="29"/>
      <c r="C2696" s="4"/>
      <c r="D2696" s="34"/>
      <c r="E2696" s="39"/>
      <c r="F2696" s="35"/>
      <c r="G2696" s="35"/>
      <c r="H2696" s="38"/>
      <c r="I2696" s="35"/>
      <c r="J2696" s="35"/>
      <c r="K2696" s="42"/>
      <c r="L2696" s="38"/>
      <c r="M2696" s="43"/>
      <c r="N2696" s="34"/>
      <c r="O2696" s="34"/>
      <c r="P2696" s="34"/>
      <c r="Q2696" s="34"/>
    </row>
    <row r="2697" ht="15.75" customHeight="1">
      <c r="A2697" s="40"/>
      <c r="B2697" s="29"/>
      <c r="C2697" s="4"/>
      <c r="D2697" s="34"/>
      <c r="E2697" s="39"/>
      <c r="F2697" s="35"/>
      <c r="G2697" s="35"/>
      <c r="H2697" s="38"/>
      <c r="I2697" s="35"/>
      <c r="J2697" s="35"/>
      <c r="K2697" s="42"/>
      <c r="L2697" s="38"/>
      <c r="M2697" s="43"/>
      <c r="N2697" s="34"/>
      <c r="O2697" s="34"/>
      <c r="P2697" s="34"/>
      <c r="Q2697" s="34"/>
    </row>
    <row r="2698" ht="15.75" customHeight="1">
      <c r="A2698" s="40"/>
      <c r="B2698" s="29"/>
      <c r="C2698" s="4"/>
      <c r="D2698" s="34"/>
      <c r="E2698" s="39"/>
      <c r="F2698" s="35"/>
      <c r="G2698" s="35"/>
      <c r="H2698" s="38"/>
      <c r="I2698" s="35"/>
      <c r="J2698" s="35"/>
      <c r="K2698" s="42"/>
      <c r="L2698" s="38"/>
      <c r="M2698" s="43"/>
      <c r="N2698" s="34"/>
      <c r="O2698" s="34"/>
      <c r="P2698" s="34"/>
      <c r="Q2698" s="34"/>
    </row>
    <row r="2699" ht="15.75" customHeight="1">
      <c r="A2699" s="40"/>
      <c r="B2699" s="29"/>
      <c r="C2699" s="4"/>
      <c r="D2699" s="34"/>
      <c r="E2699" s="39"/>
      <c r="F2699" s="35"/>
      <c r="G2699" s="35"/>
      <c r="H2699" s="38"/>
      <c r="I2699" s="35"/>
      <c r="J2699" s="35"/>
      <c r="K2699" s="42"/>
      <c r="L2699" s="38"/>
      <c r="M2699" s="43"/>
      <c r="N2699" s="34"/>
      <c r="O2699" s="34"/>
      <c r="P2699" s="34"/>
      <c r="Q2699" s="34"/>
    </row>
    <row r="2700" ht="15.75" customHeight="1">
      <c r="A2700" s="40"/>
      <c r="B2700" s="29"/>
      <c r="C2700" s="4"/>
      <c r="D2700" s="34"/>
      <c r="E2700" s="39"/>
      <c r="F2700" s="35"/>
      <c r="G2700" s="35"/>
      <c r="H2700" s="38"/>
      <c r="I2700" s="35"/>
      <c r="J2700" s="35"/>
      <c r="K2700" s="42"/>
      <c r="L2700" s="38"/>
      <c r="M2700" s="43"/>
      <c r="N2700" s="34"/>
      <c r="O2700" s="34"/>
      <c r="P2700" s="34"/>
      <c r="Q2700" s="34"/>
    </row>
    <row r="2701" ht="15.75" customHeight="1">
      <c r="A2701" s="40"/>
      <c r="B2701" s="29"/>
      <c r="C2701" s="4"/>
      <c r="D2701" s="34"/>
      <c r="E2701" s="39"/>
      <c r="F2701" s="35"/>
      <c r="G2701" s="35"/>
      <c r="H2701" s="38"/>
      <c r="I2701" s="35"/>
      <c r="J2701" s="35"/>
      <c r="K2701" s="42"/>
      <c r="L2701" s="38"/>
      <c r="M2701" s="43"/>
      <c r="N2701" s="34"/>
      <c r="O2701" s="34"/>
      <c r="P2701" s="34"/>
      <c r="Q2701" s="34"/>
    </row>
    <row r="2702" ht="15.75" customHeight="1">
      <c r="A2702" s="40"/>
      <c r="B2702" s="29"/>
      <c r="C2702" s="4"/>
      <c r="D2702" s="34"/>
      <c r="E2702" s="39"/>
      <c r="F2702" s="35"/>
      <c r="G2702" s="35"/>
      <c r="H2702" s="38"/>
      <c r="I2702" s="35"/>
      <c r="J2702" s="35"/>
      <c r="K2702" s="42"/>
      <c r="L2702" s="38"/>
      <c r="M2702" s="43"/>
      <c r="N2702" s="34"/>
      <c r="O2702" s="34"/>
      <c r="P2702" s="34"/>
      <c r="Q2702" s="34"/>
    </row>
    <row r="2703" ht="15.75" customHeight="1">
      <c r="A2703" s="40"/>
      <c r="B2703" s="29"/>
      <c r="C2703" s="4"/>
      <c r="D2703" s="34"/>
      <c r="E2703" s="39"/>
      <c r="F2703" s="35"/>
      <c r="G2703" s="35"/>
      <c r="H2703" s="38"/>
      <c r="I2703" s="35"/>
      <c r="J2703" s="35"/>
      <c r="K2703" s="42"/>
      <c r="L2703" s="38"/>
      <c r="M2703" s="43"/>
      <c r="N2703" s="34"/>
      <c r="O2703" s="34"/>
      <c r="P2703" s="34"/>
      <c r="Q2703" s="34"/>
    </row>
    <row r="2704" ht="15.75" customHeight="1">
      <c r="A2704" s="40"/>
      <c r="B2704" s="29"/>
      <c r="C2704" s="4"/>
      <c r="D2704" s="34"/>
      <c r="E2704" s="39"/>
      <c r="F2704" s="35"/>
      <c r="G2704" s="35"/>
      <c r="H2704" s="38"/>
      <c r="I2704" s="35"/>
      <c r="J2704" s="35"/>
      <c r="K2704" s="42"/>
      <c r="L2704" s="38"/>
      <c r="M2704" s="43"/>
      <c r="N2704" s="34"/>
      <c r="O2704" s="34"/>
      <c r="P2704" s="34"/>
      <c r="Q2704" s="34"/>
    </row>
    <row r="2705" ht="15.75" customHeight="1">
      <c r="A2705" s="40"/>
      <c r="B2705" s="29"/>
      <c r="C2705" s="4"/>
      <c r="D2705" s="34"/>
      <c r="E2705" s="39"/>
      <c r="F2705" s="35"/>
      <c r="G2705" s="35"/>
      <c r="H2705" s="38"/>
      <c r="I2705" s="35"/>
      <c r="J2705" s="35"/>
      <c r="K2705" s="42"/>
      <c r="L2705" s="38"/>
      <c r="M2705" s="43"/>
      <c r="N2705" s="34"/>
      <c r="O2705" s="34"/>
      <c r="P2705" s="34"/>
      <c r="Q2705" s="34"/>
    </row>
    <row r="2706" ht="15.75" customHeight="1">
      <c r="A2706" s="40"/>
      <c r="B2706" s="29"/>
      <c r="C2706" s="4"/>
      <c r="D2706" s="34"/>
      <c r="E2706" s="39"/>
      <c r="F2706" s="35"/>
      <c r="G2706" s="35"/>
      <c r="H2706" s="38"/>
      <c r="I2706" s="35"/>
      <c r="J2706" s="35"/>
      <c r="K2706" s="42"/>
      <c r="L2706" s="38"/>
      <c r="M2706" s="43"/>
      <c r="N2706" s="34"/>
      <c r="O2706" s="34"/>
      <c r="P2706" s="34"/>
      <c r="Q2706" s="34"/>
    </row>
    <row r="2707" ht="15.75" customHeight="1">
      <c r="A2707" s="40"/>
      <c r="B2707" s="29"/>
      <c r="C2707" s="4"/>
      <c r="D2707" s="34"/>
      <c r="E2707" s="39"/>
      <c r="F2707" s="35"/>
      <c r="G2707" s="35"/>
      <c r="H2707" s="38"/>
      <c r="I2707" s="35"/>
      <c r="J2707" s="35"/>
      <c r="K2707" s="42"/>
      <c r="L2707" s="38"/>
      <c r="M2707" s="43"/>
      <c r="N2707" s="34"/>
      <c r="O2707" s="34"/>
      <c r="P2707" s="34"/>
      <c r="Q2707" s="34"/>
    </row>
    <row r="2708" ht="15.75" customHeight="1">
      <c r="A2708" s="40"/>
      <c r="B2708" s="29"/>
      <c r="C2708" s="4"/>
      <c r="D2708" s="34"/>
      <c r="E2708" s="39"/>
      <c r="F2708" s="35"/>
      <c r="G2708" s="35"/>
      <c r="H2708" s="38"/>
      <c r="I2708" s="35"/>
      <c r="J2708" s="35"/>
      <c r="K2708" s="42"/>
      <c r="L2708" s="38"/>
      <c r="M2708" s="43"/>
      <c r="N2708" s="34"/>
      <c r="O2708" s="34"/>
      <c r="P2708" s="34"/>
      <c r="Q2708" s="34"/>
    </row>
    <row r="2709" ht="15.75" customHeight="1">
      <c r="A2709" s="40"/>
      <c r="B2709" s="29"/>
      <c r="C2709" s="4"/>
      <c r="D2709" s="34"/>
      <c r="E2709" s="39"/>
      <c r="F2709" s="35"/>
      <c r="G2709" s="35"/>
      <c r="H2709" s="38"/>
      <c r="I2709" s="35"/>
      <c r="J2709" s="35"/>
      <c r="K2709" s="42"/>
      <c r="L2709" s="38"/>
      <c r="M2709" s="43"/>
      <c r="N2709" s="34"/>
      <c r="O2709" s="34"/>
      <c r="P2709" s="34"/>
      <c r="Q2709" s="34"/>
    </row>
    <row r="2710" ht="15.75" customHeight="1">
      <c r="A2710" s="40"/>
      <c r="B2710" s="29"/>
      <c r="C2710" s="4"/>
      <c r="D2710" s="34"/>
      <c r="E2710" s="39"/>
      <c r="F2710" s="35"/>
      <c r="G2710" s="35"/>
      <c r="H2710" s="38"/>
      <c r="I2710" s="35"/>
      <c r="J2710" s="35"/>
      <c r="K2710" s="42"/>
      <c r="L2710" s="38"/>
      <c r="M2710" s="43"/>
      <c r="N2710" s="34"/>
      <c r="O2710" s="34"/>
      <c r="P2710" s="34"/>
      <c r="Q2710" s="34"/>
    </row>
    <row r="2711" ht="15.75" customHeight="1">
      <c r="A2711" s="40"/>
      <c r="B2711" s="29"/>
      <c r="C2711" s="4"/>
      <c r="D2711" s="34"/>
      <c r="E2711" s="39"/>
      <c r="F2711" s="35"/>
      <c r="G2711" s="35"/>
      <c r="H2711" s="38"/>
      <c r="I2711" s="35"/>
      <c r="J2711" s="35"/>
      <c r="K2711" s="42"/>
      <c r="L2711" s="38"/>
      <c r="M2711" s="43"/>
      <c r="N2711" s="34"/>
      <c r="O2711" s="34"/>
      <c r="P2711" s="34"/>
      <c r="Q2711" s="34"/>
    </row>
    <row r="2712" ht="15.75" customHeight="1">
      <c r="A2712" s="40"/>
      <c r="B2712" s="29"/>
      <c r="C2712" s="4"/>
      <c r="D2712" s="34"/>
      <c r="E2712" s="39"/>
      <c r="F2712" s="35"/>
      <c r="G2712" s="35"/>
      <c r="H2712" s="38"/>
      <c r="I2712" s="35"/>
      <c r="J2712" s="35"/>
      <c r="K2712" s="42"/>
      <c r="L2712" s="38"/>
      <c r="M2712" s="43"/>
      <c r="N2712" s="34"/>
      <c r="O2712" s="34"/>
      <c r="P2712" s="34"/>
      <c r="Q2712" s="34"/>
    </row>
    <row r="2713" ht="15.75" customHeight="1">
      <c r="A2713" s="40"/>
      <c r="B2713" s="29"/>
      <c r="C2713" s="4"/>
      <c r="D2713" s="34"/>
      <c r="E2713" s="39"/>
      <c r="F2713" s="35"/>
      <c r="G2713" s="35"/>
      <c r="H2713" s="38"/>
      <c r="I2713" s="35"/>
      <c r="J2713" s="35"/>
      <c r="K2713" s="42"/>
      <c r="L2713" s="38"/>
      <c r="M2713" s="43"/>
      <c r="N2713" s="34"/>
      <c r="O2713" s="34"/>
      <c r="P2713" s="34"/>
      <c r="Q2713" s="34"/>
    </row>
    <row r="2714" ht="15.75" customHeight="1">
      <c r="A2714" s="40"/>
      <c r="B2714" s="29"/>
      <c r="C2714" s="4"/>
      <c r="D2714" s="34"/>
      <c r="E2714" s="39"/>
      <c r="F2714" s="35"/>
      <c r="G2714" s="35"/>
      <c r="H2714" s="38"/>
      <c r="I2714" s="35"/>
      <c r="J2714" s="35"/>
      <c r="K2714" s="42"/>
      <c r="L2714" s="38"/>
      <c r="M2714" s="43"/>
      <c r="N2714" s="34"/>
      <c r="O2714" s="34"/>
      <c r="P2714" s="34"/>
      <c r="Q2714" s="34"/>
    </row>
    <row r="2715" ht="15.75" customHeight="1">
      <c r="A2715" s="40"/>
      <c r="B2715" s="29"/>
      <c r="C2715" s="4"/>
      <c r="D2715" s="34"/>
      <c r="E2715" s="39"/>
      <c r="F2715" s="35"/>
      <c r="G2715" s="35"/>
      <c r="H2715" s="38"/>
      <c r="I2715" s="35"/>
      <c r="J2715" s="35"/>
      <c r="K2715" s="42"/>
      <c r="L2715" s="38"/>
      <c r="M2715" s="43"/>
      <c r="N2715" s="34"/>
      <c r="O2715" s="34"/>
      <c r="P2715" s="34"/>
      <c r="Q2715" s="34"/>
    </row>
    <row r="2716" ht="15.75" customHeight="1">
      <c r="A2716" s="40"/>
      <c r="B2716" s="29"/>
      <c r="C2716" s="4"/>
      <c r="D2716" s="34"/>
      <c r="E2716" s="39"/>
      <c r="F2716" s="35"/>
      <c r="G2716" s="35"/>
      <c r="H2716" s="38"/>
      <c r="I2716" s="35"/>
      <c r="J2716" s="35"/>
      <c r="K2716" s="42"/>
      <c r="L2716" s="38"/>
      <c r="M2716" s="43"/>
      <c r="N2716" s="34"/>
      <c r="O2716" s="34"/>
      <c r="P2716" s="34"/>
      <c r="Q2716" s="34"/>
    </row>
    <row r="2717" ht="15.75" customHeight="1">
      <c r="A2717" s="40"/>
      <c r="B2717" s="29"/>
      <c r="C2717" s="4"/>
      <c r="D2717" s="34"/>
      <c r="E2717" s="39"/>
      <c r="F2717" s="35"/>
      <c r="G2717" s="35"/>
      <c r="H2717" s="38"/>
      <c r="I2717" s="35"/>
      <c r="J2717" s="35"/>
      <c r="K2717" s="42"/>
      <c r="L2717" s="38"/>
      <c r="M2717" s="43"/>
      <c r="N2717" s="34"/>
      <c r="O2717" s="34"/>
      <c r="P2717" s="34"/>
      <c r="Q2717" s="34"/>
    </row>
    <row r="2718" ht="15.75" customHeight="1">
      <c r="A2718" s="40"/>
      <c r="B2718" s="29"/>
      <c r="C2718" s="4"/>
      <c r="D2718" s="34"/>
      <c r="E2718" s="39"/>
      <c r="F2718" s="35"/>
      <c r="G2718" s="35"/>
      <c r="H2718" s="38"/>
      <c r="I2718" s="35"/>
      <c r="J2718" s="35"/>
      <c r="K2718" s="42"/>
      <c r="L2718" s="38"/>
      <c r="M2718" s="43"/>
      <c r="N2718" s="34"/>
      <c r="O2718" s="34"/>
      <c r="P2718" s="34"/>
      <c r="Q2718" s="34"/>
    </row>
    <row r="2719" ht="15.75" customHeight="1">
      <c r="A2719" s="40"/>
      <c r="B2719" s="29"/>
      <c r="C2719" s="4"/>
      <c r="D2719" s="34"/>
      <c r="E2719" s="39"/>
      <c r="F2719" s="35"/>
      <c r="G2719" s="35"/>
      <c r="H2719" s="38"/>
      <c r="I2719" s="35"/>
      <c r="J2719" s="35"/>
      <c r="K2719" s="42"/>
      <c r="L2719" s="38"/>
      <c r="M2719" s="43"/>
      <c r="N2719" s="34"/>
      <c r="O2719" s="34"/>
      <c r="P2719" s="34"/>
      <c r="Q2719" s="34"/>
    </row>
    <row r="2720" ht="15.75" customHeight="1">
      <c r="A2720" s="40"/>
      <c r="B2720" s="29"/>
      <c r="C2720" s="4"/>
      <c r="D2720" s="34"/>
      <c r="E2720" s="39"/>
      <c r="F2720" s="35"/>
      <c r="G2720" s="35"/>
      <c r="H2720" s="38"/>
      <c r="I2720" s="35"/>
      <c r="J2720" s="35"/>
      <c r="K2720" s="42"/>
      <c r="L2720" s="38"/>
      <c r="M2720" s="43"/>
      <c r="N2720" s="34"/>
      <c r="O2720" s="34"/>
      <c r="P2720" s="34"/>
      <c r="Q2720" s="34"/>
    </row>
    <row r="2721" ht="15.75" customHeight="1">
      <c r="A2721" s="40"/>
      <c r="B2721" s="29"/>
      <c r="C2721" s="4"/>
      <c r="D2721" s="34"/>
      <c r="E2721" s="39"/>
      <c r="F2721" s="35"/>
      <c r="G2721" s="35"/>
      <c r="H2721" s="38"/>
      <c r="I2721" s="35"/>
      <c r="J2721" s="35"/>
      <c r="K2721" s="42"/>
      <c r="L2721" s="38"/>
      <c r="M2721" s="43"/>
      <c r="N2721" s="34"/>
      <c r="O2721" s="34"/>
      <c r="P2721" s="34"/>
      <c r="Q2721" s="34"/>
    </row>
    <row r="2722" ht="15.75" customHeight="1">
      <c r="A2722" s="40"/>
      <c r="B2722" s="29"/>
      <c r="C2722" s="4"/>
      <c r="D2722" s="34"/>
      <c r="E2722" s="39"/>
      <c r="F2722" s="35"/>
      <c r="G2722" s="35"/>
      <c r="H2722" s="38"/>
      <c r="I2722" s="35"/>
      <c r="J2722" s="35"/>
      <c r="K2722" s="42"/>
      <c r="L2722" s="38"/>
      <c r="M2722" s="43"/>
      <c r="N2722" s="34"/>
      <c r="O2722" s="34"/>
      <c r="P2722" s="34"/>
      <c r="Q2722" s="34"/>
    </row>
    <row r="2723" ht="15.75" customHeight="1">
      <c r="A2723" s="40"/>
      <c r="B2723" s="29"/>
      <c r="C2723" s="4"/>
      <c r="D2723" s="34"/>
      <c r="E2723" s="39"/>
      <c r="F2723" s="35"/>
      <c r="G2723" s="35"/>
      <c r="H2723" s="38"/>
      <c r="I2723" s="35"/>
      <c r="J2723" s="35"/>
      <c r="K2723" s="42"/>
      <c r="L2723" s="38"/>
      <c r="M2723" s="43"/>
      <c r="N2723" s="34"/>
      <c r="O2723" s="34"/>
      <c r="P2723" s="34"/>
      <c r="Q2723" s="34"/>
    </row>
    <row r="2724" ht="15.75" customHeight="1">
      <c r="A2724" s="40"/>
      <c r="B2724" s="29"/>
      <c r="C2724" s="4"/>
      <c r="D2724" s="34"/>
      <c r="E2724" s="39"/>
      <c r="F2724" s="35"/>
      <c r="G2724" s="35"/>
      <c r="H2724" s="38"/>
      <c r="I2724" s="35"/>
      <c r="J2724" s="35"/>
      <c r="K2724" s="42"/>
      <c r="L2724" s="38"/>
      <c r="M2724" s="43"/>
      <c r="N2724" s="34"/>
      <c r="O2724" s="34"/>
      <c r="P2724" s="34"/>
      <c r="Q2724" s="34"/>
    </row>
    <row r="2725" ht="15.75" customHeight="1">
      <c r="A2725" s="40"/>
      <c r="B2725" s="29"/>
      <c r="C2725" s="4"/>
      <c r="D2725" s="34"/>
      <c r="E2725" s="39"/>
      <c r="F2725" s="35"/>
      <c r="G2725" s="35"/>
      <c r="H2725" s="38"/>
      <c r="I2725" s="35"/>
      <c r="J2725" s="35"/>
      <c r="K2725" s="42"/>
      <c r="L2725" s="38"/>
      <c r="M2725" s="43"/>
      <c r="N2725" s="34"/>
      <c r="O2725" s="34"/>
      <c r="P2725" s="34"/>
      <c r="Q2725" s="34"/>
    </row>
    <row r="2726" ht="15.75" customHeight="1">
      <c r="A2726" s="40"/>
      <c r="B2726" s="29"/>
      <c r="C2726" s="4"/>
      <c r="D2726" s="34"/>
      <c r="E2726" s="39"/>
      <c r="F2726" s="35"/>
      <c r="G2726" s="35"/>
      <c r="H2726" s="38"/>
      <c r="I2726" s="35"/>
      <c r="J2726" s="35"/>
      <c r="K2726" s="42"/>
      <c r="L2726" s="38"/>
      <c r="M2726" s="43"/>
      <c r="N2726" s="34"/>
      <c r="O2726" s="34"/>
      <c r="P2726" s="34"/>
      <c r="Q2726" s="34"/>
    </row>
    <row r="2727" ht="15.75" customHeight="1">
      <c r="A2727" s="40"/>
      <c r="B2727" s="29"/>
      <c r="C2727" s="4"/>
      <c r="D2727" s="34"/>
      <c r="E2727" s="39"/>
      <c r="F2727" s="35"/>
      <c r="G2727" s="35"/>
      <c r="H2727" s="38"/>
      <c r="I2727" s="35"/>
      <c r="J2727" s="35"/>
      <c r="K2727" s="42"/>
      <c r="L2727" s="38"/>
      <c r="M2727" s="43"/>
      <c r="N2727" s="34"/>
      <c r="O2727" s="34"/>
      <c r="P2727" s="34"/>
      <c r="Q2727" s="34"/>
    </row>
    <row r="2728" ht="15.75" customHeight="1">
      <c r="A2728" s="40"/>
      <c r="B2728" s="29"/>
      <c r="C2728" s="4"/>
      <c r="D2728" s="34"/>
      <c r="E2728" s="39"/>
      <c r="F2728" s="35"/>
      <c r="G2728" s="35"/>
      <c r="H2728" s="38"/>
      <c r="I2728" s="35"/>
      <c r="J2728" s="35"/>
      <c r="K2728" s="42"/>
      <c r="L2728" s="38"/>
      <c r="M2728" s="43"/>
      <c r="N2728" s="34"/>
      <c r="O2728" s="34"/>
      <c r="P2728" s="34"/>
      <c r="Q2728" s="34"/>
    </row>
    <row r="2729" ht="15.75" customHeight="1">
      <c r="A2729" s="40"/>
      <c r="B2729" s="29"/>
      <c r="C2729" s="4"/>
      <c r="D2729" s="34"/>
      <c r="E2729" s="39"/>
      <c r="F2729" s="35"/>
      <c r="G2729" s="35"/>
      <c r="H2729" s="38"/>
      <c r="I2729" s="35"/>
      <c r="J2729" s="35"/>
      <c r="K2729" s="42"/>
      <c r="L2729" s="38"/>
      <c r="M2729" s="43"/>
      <c r="N2729" s="34"/>
      <c r="O2729" s="34"/>
      <c r="P2729" s="34"/>
      <c r="Q2729" s="34"/>
    </row>
    <row r="2730" ht="15.75" customHeight="1">
      <c r="A2730" s="40"/>
      <c r="B2730" s="29"/>
      <c r="C2730" s="4"/>
      <c r="D2730" s="34"/>
      <c r="E2730" s="39"/>
      <c r="F2730" s="35"/>
      <c r="G2730" s="35"/>
      <c r="H2730" s="38"/>
      <c r="I2730" s="35"/>
      <c r="J2730" s="35"/>
      <c r="K2730" s="42"/>
      <c r="L2730" s="38"/>
      <c r="M2730" s="43"/>
      <c r="N2730" s="34"/>
      <c r="O2730" s="34"/>
      <c r="P2730" s="34"/>
      <c r="Q2730" s="34"/>
    </row>
    <row r="2731" ht="15.75" customHeight="1">
      <c r="A2731" s="40"/>
      <c r="B2731" s="29"/>
      <c r="C2731" s="4"/>
      <c r="D2731" s="34"/>
      <c r="E2731" s="39"/>
      <c r="F2731" s="35"/>
      <c r="G2731" s="35"/>
      <c r="H2731" s="38"/>
      <c r="I2731" s="35"/>
      <c r="J2731" s="35"/>
      <c r="K2731" s="42"/>
      <c r="L2731" s="38"/>
      <c r="M2731" s="43"/>
      <c r="N2731" s="34"/>
      <c r="O2731" s="34"/>
      <c r="P2731" s="34"/>
      <c r="Q2731" s="34"/>
    </row>
    <row r="2732" ht="15.75" customHeight="1">
      <c r="A2732" s="40"/>
      <c r="B2732" s="29"/>
      <c r="C2732" s="4"/>
      <c r="D2732" s="34"/>
      <c r="E2732" s="39"/>
      <c r="F2732" s="35"/>
      <c r="G2732" s="35"/>
      <c r="H2732" s="38"/>
      <c r="I2732" s="35"/>
      <c r="J2732" s="35"/>
      <c r="K2732" s="42"/>
      <c r="L2732" s="38"/>
      <c r="M2732" s="43"/>
      <c r="N2732" s="34"/>
      <c r="O2732" s="34"/>
      <c r="P2732" s="34"/>
      <c r="Q2732" s="34"/>
    </row>
    <row r="2733" ht="15.75" customHeight="1">
      <c r="A2733" s="40"/>
      <c r="B2733" s="29"/>
      <c r="C2733" s="4"/>
      <c r="D2733" s="34"/>
      <c r="E2733" s="39"/>
      <c r="F2733" s="35"/>
      <c r="G2733" s="35"/>
      <c r="H2733" s="38"/>
      <c r="I2733" s="35"/>
      <c r="J2733" s="35"/>
      <c r="K2733" s="42"/>
      <c r="L2733" s="38"/>
      <c r="M2733" s="43"/>
      <c r="N2733" s="34"/>
      <c r="O2733" s="34"/>
      <c r="P2733" s="34"/>
      <c r="Q2733" s="34"/>
    </row>
    <row r="2734" ht="15.75" customHeight="1">
      <c r="A2734" s="40"/>
      <c r="B2734" s="29"/>
      <c r="C2734" s="4"/>
      <c r="D2734" s="34"/>
      <c r="E2734" s="39"/>
      <c r="F2734" s="35"/>
      <c r="G2734" s="35"/>
      <c r="H2734" s="38"/>
      <c r="I2734" s="35"/>
      <c r="J2734" s="35"/>
      <c r="K2734" s="42"/>
      <c r="L2734" s="38"/>
      <c r="M2734" s="43"/>
      <c r="N2734" s="34"/>
      <c r="O2734" s="34"/>
      <c r="P2734" s="34"/>
      <c r="Q2734" s="34"/>
    </row>
    <row r="2735" ht="15.75" customHeight="1">
      <c r="A2735" s="40"/>
      <c r="B2735" s="29"/>
      <c r="C2735" s="4"/>
      <c r="D2735" s="34"/>
      <c r="E2735" s="39"/>
      <c r="F2735" s="35"/>
      <c r="G2735" s="35"/>
      <c r="H2735" s="38"/>
      <c r="I2735" s="35"/>
      <c r="J2735" s="35"/>
      <c r="K2735" s="42"/>
      <c r="L2735" s="38"/>
      <c r="M2735" s="43"/>
      <c r="N2735" s="34"/>
      <c r="O2735" s="34"/>
      <c r="P2735" s="34"/>
      <c r="Q2735" s="34"/>
    </row>
    <row r="2736" ht="15.75" customHeight="1">
      <c r="A2736" s="40"/>
      <c r="B2736" s="29"/>
      <c r="C2736" s="4"/>
      <c r="D2736" s="34"/>
      <c r="E2736" s="39"/>
      <c r="F2736" s="35"/>
      <c r="G2736" s="35"/>
      <c r="H2736" s="38"/>
      <c r="I2736" s="35"/>
      <c r="J2736" s="35"/>
      <c r="K2736" s="42"/>
      <c r="L2736" s="38"/>
      <c r="M2736" s="43"/>
      <c r="N2736" s="34"/>
      <c r="O2736" s="34"/>
      <c r="P2736" s="34"/>
      <c r="Q2736" s="34"/>
    </row>
    <row r="2737" ht="15.75" customHeight="1">
      <c r="A2737" s="40"/>
      <c r="B2737" s="29"/>
      <c r="C2737" s="4"/>
      <c r="D2737" s="34"/>
      <c r="E2737" s="39"/>
      <c r="F2737" s="35"/>
      <c r="G2737" s="35"/>
      <c r="H2737" s="38"/>
      <c r="I2737" s="35"/>
      <c r="J2737" s="35"/>
      <c r="K2737" s="42"/>
      <c r="L2737" s="38"/>
      <c r="M2737" s="43"/>
      <c r="N2737" s="34"/>
      <c r="O2737" s="34"/>
      <c r="P2737" s="34"/>
      <c r="Q2737" s="34"/>
    </row>
    <row r="2738" ht="15.75" customHeight="1">
      <c r="A2738" s="40"/>
      <c r="B2738" s="29"/>
      <c r="C2738" s="4"/>
      <c r="D2738" s="34"/>
      <c r="E2738" s="39"/>
      <c r="F2738" s="35"/>
      <c r="G2738" s="35"/>
      <c r="H2738" s="38"/>
      <c r="I2738" s="35"/>
      <c r="J2738" s="35"/>
      <c r="K2738" s="42"/>
      <c r="L2738" s="38"/>
      <c r="M2738" s="43"/>
      <c r="N2738" s="34"/>
      <c r="O2738" s="34"/>
      <c r="P2738" s="34"/>
      <c r="Q2738" s="34"/>
    </row>
    <row r="2739" ht="15.75" customHeight="1">
      <c r="A2739" s="40"/>
      <c r="B2739" s="29"/>
      <c r="C2739" s="4"/>
      <c r="D2739" s="34"/>
      <c r="E2739" s="39"/>
      <c r="F2739" s="35"/>
      <c r="G2739" s="35"/>
      <c r="H2739" s="38"/>
      <c r="I2739" s="35"/>
      <c r="J2739" s="35"/>
      <c r="K2739" s="42"/>
      <c r="L2739" s="38"/>
      <c r="M2739" s="43"/>
      <c r="N2739" s="34"/>
      <c r="O2739" s="34"/>
      <c r="P2739" s="34"/>
      <c r="Q2739" s="34"/>
    </row>
    <row r="2740" ht="15.75" customHeight="1">
      <c r="A2740" s="40"/>
      <c r="B2740" s="29"/>
      <c r="C2740" s="4"/>
      <c r="D2740" s="34"/>
      <c r="E2740" s="39"/>
      <c r="F2740" s="35"/>
      <c r="G2740" s="35"/>
      <c r="H2740" s="38"/>
      <c r="I2740" s="35"/>
      <c r="J2740" s="35"/>
      <c r="K2740" s="42"/>
      <c r="L2740" s="38"/>
      <c r="M2740" s="43"/>
      <c r="N2740" s="34"/>
      <c r="O2740" s="34"/>
      <c r="P2740" s="34"/>
      <c r="Q2740" s="34"/>
    </row>
    <row r="2741" ht="15.75" customHeight="1">
      <c r="A2741" s="40"/>
      <c r="B2741" s="29"/>
      <c r="C2741" s="4"/>
      <c r="D2741" s="34"/>
      <c r="E2741" s="39"/>
      <c r="F2741" s="35"/>
      <c r="G2741" s="35"/>
      <c r="H2741" s="38"/>
      <c r="I2741" s="35"/>
      <c r="J2741" s="35"/>
      <c r="K2741" s="42"/>
      <c r="L2741" s="38"/>
      <c r="M2741" s="43"/>
      <c r="N2741" s="34"/>
      <c r="O2741" s="34"/>
      <c r="P2741" s="34"/>
      <c r="Q2741" s="34"/>
    </row>
    <row r="2742" ht="15.75" customHeight="1">
      <c r="A2742" s="40"/>
      <c r="B2742" s="29"/>
      <c r="C2742" s="4"/>
      <c r="D2742" s="34"/>
      <c r="E2742" s="39"/>
      <c r="F2742" s="35"/>
      <c r="G2742" s="35"/>
      <c r="H2742" s="38"/>
      <c r="I2742" s="35"/>
      <c r="J2742" s="35"/>
      <c r="K2742" s="42"/>
      <c r="L2742" s="38"/>
      <c r="M2742" s="43"/>
      <c r="N2742" s="34"/>
      <c r="O2742" s="34"/>
      <c r="P2742" s="34"/>
      <c r="Q2742" s="34"/>
    </row>
    <row r="2743" ht="15.75" customHeight="1">
      <c r="A2743" s="40"/>
      <c r="B2743" s="29"/>
      <c r="C2743" s="4"/>
      <c r="D2743" s="34"/>
      <c r="E2743" s="39"/>
      <c r="F2743" s="35"/>
      <c r="G2743" s="35"/>
      <c r="H2743" s="38"/>
      <c r="I2743" s="35"/>
      <c r="J2743" s="35"/>
      <c r="K2743" s="42"/>
      <c r="L2743" s="38"/>
      <c r="M2743" s="43"/>
      <c r="N2743" s="34"/>
      <c r="O2743" s="34"/>
      <c r="P2743" s="34"/>
      <c r="Q2743" s="34"/>
    </row>
    <row r="2744" ht="15.75" customHeight="1">
      <c r="A2744" s="40"/>
      <c r="B2744" s="29"/>
      <c r="C2744" s="4"/>
      <c r="D2744" s="34"/>
      <c r="E2744" s="39"/>
      <c r="F2744" s="35"/>
      <c r="G2744" s="35"/>
      <c r="H2744" s="38"/>
      <c r="I2744" s="35"/>
      <c r="J2744" s="35"/>
      <c r="K2744" s="42"/>
      <c r="L2744" s="38"/>
      <c r="M2744" s="43"/>
      <c r="N2744" s="34"/>
      <c r="O2744" s="34"/>
      <c r="P2744" s="34"/>
      <c r="Q2744" s="34"/>
    </row>
    <row r="2745" ht="15.75" customHeight="1">
      <c r="A2745" s="40"/>
      <c r="B2745" s="29"/>
      <c r="C2745" s="4"/>
      <c r="D2745" s="34"/>
      <c r="E2745" s="39"/>
      <c r="F2745" s="35"/>
      <c r="G2745" s="35"/>
      <c r="H2745" s="38"/>
      <c r="I2745" s="35"/>
      <c r="J2745" s="35"/>
      <c r="K2745" s="42"/>
      <c r="L2745" s="38"/>
      <c r="M2745" s="43"/>
      <c r="N2745" s="34"/>
      <c r="O2745" s="34"/>
      <c r="P2745" s="34"/>
      <c r="Q2745" s="34"/>
    </row>
    <row r="2746" ht="15.75" customHeight="1">
      <c r="A2746" s="40"/>
      <c r="B2746" s="29"/>
      <c r="C2746" s="4"/>
      <c r="D2746" s="34"/>
      <c r="E2746" s="39"/>
      <c r="F2746" s="35"/>
      <c r="G2746" s="35"/>
      <c r="H2746" s="38"/>
      <c r="I2746" s="35"/>
      <c r="J2746" s="35"/>
      <c r="K2746" s="42"/>
      <c r="L2746" s="38"/>
      <c r="M2746" s="43"/>
      <c r="N2746" s="34"/>
      <c r="O2746" s="34"/>
      <c r="P2746" s="34"/>
      <c r="Q2746" s="34"/>
    </row>
    <row r="2747" ht="15.75" customHeight="1">
      <c r="A2747" s="40"/>
      <c r="B2747" s="29"/>
      <c r="C2747" s="4"/>
      <c r="D2747" s="34"/>
      <c r="E2747" s="39"/>
      <c r="F2747" s="35"/>
      <c r="G2747" s="35"/>
      <c r="H2747" s="38"/>
      <c r="I2747" s="35"/>
      <c r="J2747" s="35"/>
      <c r="K2747" s="42"/>
      <c r="L2747" s="38"/>
      <c r="M2747" s="43"/>
      <c r="N2747" s="34"/>
      <c r="O2747" s="34"/>
      <c r="P2747" s="34"/>
      <c r="Q2747" s="34"/>
    </row>
    <row r="2748" ht="15.75" customHeight="1">
      <c r="A2748" s="40"/>
      <c r="B2748" s="29"/>
      <c r="C2748" s="4"/>
      <c r="D2748" s="34"/>
      <c r="E2748" s="39"/>
      <c r="F2748" s="35"/>
      <c r="G2748" s="35"/>
      <c r="H2748" s="38"/>
      <c r="I2748" s="35"/>
      <c r="J2748" s="35"/>
      <c r="K2748" s="42"/>
      <c r="L2748" s="38"/>
      <c r="M2748" s="43"/>
      <c r="N2748" s="34"/>
      <c r="O2748" s="34"/>
      <c r="P2748" s="34"/>
      <c r="Q2748" s="34"/>
    </row>
    <row r="2749" ht="15.75" customHeight="1">
      <c r="A2749" s="40"/>
      <c r="B2749" s="29"/>
      <c r="C2749" s="4"/>
      <c r="D2749" s="34"/>
      <c r="E2749" s="39"/>
      <c r="F2749" s="35"/>
      <c r="G2749" s="35"/>
      <c r="H2749" s="38"/>
      <c r="I2749" s="35"/>
      <c r="J2749" s="35"/>
      <c r="K2749" s="42"/>
      <c r="L2749" s="38"/>
      <c r="M2749" s="43"/>
      <c r="N2749" s="34"/>
      <c r="O2749" s="34"/>
      <c r="P2749" s="34"/>
      <c r="Q2749" s="34"/>
    </row>
    <row r="2750" ht="15.75" customHeight="1">
      <c r="A2750" s="40"/>
      <c r="B2750" s="29"/>
      <c r="C2750" s="4"/>
      <c r="D2750" s="34"/>
      <c r="E2750" s="39"/>
      <c r="F2750" s="35"/>
      <c r="G2750" s="35"/>
      <c r="H2750" s="38"/>
      <c r="I2750" s="35"/>
      <c r="J2750" s="35"/>
      <c r="K2750" s="42"/>
      <c r="L2750" s="38"/>
      <c r="M2750" s="43"/>
      <c r="N2750" s="34"/>
      <c r="O2750" s="34"/>
      <c r="P2750" s="34"/>
      <c r="Q2750" s="34"/>
    </row>
    <row r="2751" ht="15.75" customHeight="1">
      <c r="A2751" s="40"/>
      <c r="B2751" s="29"/>
      <c r="C2751" s="4"/>
      <c r="D2751" s="34"/>
      <c r="E2751" s="39"/>
      <c r="F2751" s="35"/>
      <c r="G2751" s="35"/>
      <c r="H2751" s="38"/>
      <c r="I2751" s="35"/>
      <c r="J2751" s="35"/>
      <c r="K2751" s="42"/>
      <c r="L2751" s="38"/>
      <c r="M2751" s="43"/>
      <c r="N2751" s="34"/>
      <c r="O2751" s="34"/>
      <c r="P2751" s="34"/>
      <c r="Q2751" s="34"/>
    </row>
    <row r="2752" ht="15.75" customHeight="1">
      <c r="A2752" s="40"/>
      <c r="B2752" s="29"/>
      <c r="C2752" s="4"/>
      <c r="D2752" s="34"/>
      <c r="E2752" s="39"/>
      <c r="F2752" s="35"/>
      <c r="G2752" s="35"/>
      <c r="H2752" s="38"/>
      <c r="I2752" s="35"/>
      <c r="J2752" s="35"/>
      <c r="K2752" s="42"/>
      <c r="L2752" s="38"/>
      <c r="M2752" s="43"/>
      <c r="N2752" s="34"/>
      <c r="O2752" s="34"/>
      <c r="P2752" s="34"/>
      <c r="Q2752" s="34"/>
    </row>
    <row r="2753" ht="15.75" customHeight="1">
      <c r="A2753" s="40"/>
      <c r="B2753" s="29"/>
      <c r="C2753" s="4"/>
      <c r="D2753" s="34"/>
      <c r="E2753" s="39"/>
      <c r="F2753" s="35"/>
      <c r="G2753" s="35"/>
      <c r="H2753" s="38"/>
      <c r="I2753" s="35"/>
      <c r="J2753" s="35"/>
      <c r="K2753" s="42"/>
      <c r="L2753" s="38"/>
      <c r="M2753" s="43"/>
      <c r="N2753" s="34"/>
      <c r="O2753" s="34"/>
      <c r="P2753" s="34"/>
      <c r="Q2753" s="34"/>
    </row>
    <row r="2754" ht="15.75" customHeight="1">
      <c r="A2754" s="40"/>
      <c r="B2754" s="29"/>
      <c r="C2754" s="4"/>
      <c r="D2754" s="34"/>
      <c r="E2754" s="39"/>
      <c r="F2754" s="35"/>
      <c r="G2754" s="35"/>
      <c r="H2754" s="38"/>
      <c r="I2754" s="35"/>
      <c r="J2754" s="35"/>
      <c r="K2754" s="42"/>
      <c r="L2754" s="38"/>
      <c r="M2754" s="43"/>
      <c r="N2754" s="34"/>
      <c r="O2754" s="34"/>
      <c r="P2754" s="34"/>
      <c r="Q2754" s="34"/>
    </row>
    <row r="2755" ht="15.75" customHeight="1">
      <c r="A2755" s="40"/>
      <c r="B2755" s="29"/>
      <c r="C2755" s="4"/>
      <c r="D2755" s="34"/>
      <c r="E2755" s="39"/>
      <c r="F2755" s="35"/>
      <c r="G2755" s="35"/>
      <c r="H2755" s="38"/>
      <c r="I2755" s="35"/>
      <c r="J2755" s="35"/>
      <c r="K2755" s="42"/>
      <c r="L2755" s="38"/>
      <c r="M2755" s="43"/>
      <c r="N2755" s="34"/>
      <c r="O2755" s="34"/>
      <c r="P2755" s="34"/>
      <c r="Q2755" s="34"/>
    </row>
    <row r="2756" ht="15.75" customHeight="1">
      <c r="A2756" s="40"/>
      <c r="B2756" s="29"/>
      <c r="C2756" s="4"/>
      <c r="D2756" s="34"/>
      <c r="E2756" s="39"/>
      <c r="F2756" s="35"/>
      <c r="G2756" s="35"/>
      <c r="H2756" s="38"/>
      <c r="I2756" s="35"/>
      <c r="J2756" s="35"/>
      <c r="K2756" s="42"/>
      <c r="L2756" s="38"/>
      <c r="M2756" s="43"/>
      <c r="N2756" s="34"/>
      <c r="O2756" s="34"/>
      <c r="P2756" s="34"/>
      <c r="Q2756" s="34"/>
    </row>
    <row r="2757" ht="15.75" customHeight="1">
      <c r="A2757" s="40"/>
      <c r="B2757" s="29"/>
      <c r="C2757" s="4"/>
      <c r="D2757" s="34"/>
      <c r="E2757" s="39"/>
      <c r="F2757" s="35"/>
      <c r="G2757" s="35"/>
      <c r="H2757" s="38"/>
      <c r="I2757" s="35"/>
      <c r="J2757" s="35"/>
      <c r="K2757" s="42"/>
      <c r="L2757" s="38"/>
      <c r="M2757" s="43"/>
      <c r="N2757" s="34"/>
      <c r="O2757" s="34"/>
      <c r="P2757" s="34"/>
      <c r="Q2757" s="34"/>
    </row>
    <row r="2758" ht="15.75" customHeight="1">
      <c r="A2758" s="40"/>
      <c r="B2758" s="29"/>
      <c r="C2758" s="4"/>
      <c r="D2758" s="34"/>
      <c r="E2758" s="39"/>
      <c r="F2758" s="35"/>
      <c r="G2758" s="35"/>
      <c r="H2758" s="38"/>
      <c r="I2758" s="35"/>
      <c r="J2758" s="35"/>
      <c r="K2758" s="42"/>
      <c r="L2758" s="38"/>
      <c r="M2758" s="43"/>
      <c r="N2758" s="34"/>
      <c r="O2758" s="34"/>
      <c r="P2758" s="34"/>
      <c r="Q2758" s="34"/>
    </row>
    <row r="2759" ht="15.75" customHeight="1">
      <c r="A2759" s="40"/>
      <c r="B2759" s="29"/>
      <c r="C2759" s="4"/>
      <c r="D2759" s="34"/>
      <c r="E2759" s="39"/>
      <c r="F2759" s="35"/>
      <c r="G2759" s="35"/>
      <c r="H2759" s="38"/>
      <c r="I2759" s="35"/>
      <c r="J2759" s="35"/>
      <c r="K2759" s="42"/>
      <c r="L2759" s="38"/>
      <c r="M2759" s="43"/>
      <c r="N2759" s="34"/>
      <c r="O2759" s="34"/>
      <c r="P2759" s="34"/>
      <c r="Q2759" s="34"/>
    </row>
    <row r="2760" ht="15.75" customHeight="1">
      <c r="A2760" s="40"/>
      <c r="B2760" s="29"/>
      <c r="C2760" s="4"/>
      <c r="D2760" s="34"/>
      <c r="E2760" s="39"/>
      <c r="F2760" s="35"/>
      <c r="G2760" s="35"/>
      <c r="H2760" s="38"/>
      <c r="I2760" s="35"/>
      <c r="J2760" s="35"/>
      <c r="K2760" s="42"/>
      <c r="L2760" s="38"/>
      <c r="M2760" s="43"/>
      <c r="N2760" s="34"/>
      <c r="O2760" s="34"/>
      <c r="P2760" s="34"/>
      <c r="Q2760" s="34"/>
    </row>
    <row r="2761" ht="15.75" customHeight="1">
      <c r="A2761" s="40"/>
      <c r="B2761" s="29"/>
      <c r="C2761" s="4"/>
      <c r="D2761" s="34"/>
      <c r="E2761" s="39"/>
      <c r="F2761" s="35"/>
      <c r="G2761" s="35"/>
      <c r="H2761" s="38"/>
      <c r="I2761" s="35"/>
      <c r="J2761" s="35"/>
      <c r="K2761" s="42"/>
      <c r="L2761" s="38"/>
      <c r="M2761" s="43"/>
      <c r="N2761" s="34"/>
      <c r="O2761" s="34"/>
      <c r="P2761" s="34"/>
      <c r="Q2761" s="34"/>
    </row>
    <row r="2762" ht="15.75" customHeight="1">
      <c r="A2762" s="40"/>
      <c r="B2762" s="29"/>
      <c r="C2762" s="4"/>
      <c r="D2762" s="34"/>
      <c r="E2762" s="39"/>
      <c r="F2762" s="35"/>
      <c r="G2762" s="35"/>
      <c r="H2762" s="38"/>
      <c r="I2762" s="35"/>
      <c r="J2762" s="35"/>
      <c r="K2762" s="42"/>
      <c r="L2762" s="38"/>
      <c r="M2762" s="43"/>
      <c r="N2762" s="34"/>
      <c r="O2762" s="34"/>
      <c r="P2762" s="34"/>
      <c r="Q2762" s="34"/>
    </row>
    <row r="2763" ht="15.75" customHeight="1">
      <c r="A2763" s="40"/>
      <c r="B2763" s="29"/>
      <c r="C2763" s="4"/>
      <c r="D2763" s="34"/>
      <c r="E2763" s="39"/>
      <c r="F2763" s="35"/>
      <c r="G2763" s="35"/>
      <c r="H2763" s="38"/>
      <c r="I2763" s="35"/>
      <c r="J2763" s="35"/>
      <c r="K2763" s="42"/>
      <c r="L2763" s="38"/>
      <c r="M2763" s="43"/>
      <c r="N2763" s="34"/>
      <c r="O2763" s="34"/>
      <c r="P2763" s="34"/>
      <c r="Q2763" s="34"/>
    </row>
    <row r="2764" ht="15.75" customHeight="1">
      <c r="A2764" s="40"/>
      <c r="B2764" s="29"/>
      <c r="C2764" s="4"/>
      <c r="D2764" s="34"/>
      <c r="E2764" s="39"/>
      <c r="F2764" s="35"/>
      <c r="G2764" s="35"/>
      <c r="H2764" s="38"/>
      <c r="I2764" s="35"/>
      <c r="J2764" s="35"/>
      <c r="K2764" s="42"/>
      <c r="L2764" s="38"/>
      <c r="M2764" s="43"/>
      <c r="N2764" s="34"/>
      <c r="O2764" s="34"/>
      <c r="P2764" s="34"/>
      <c r="Q2764" s="34"/>
    </row>
    <row r="2765" ht="15.75" customHeight="1">
      <c r="A2765" s="40"/>
      <c r="B2765" s="29"/>
      <c r="C2765" s="4"/>
      <c r="D2765" s="34"/>
      <c r="E2765" s="39"/>
      <c r="F2765" s="35"/>
      <c r="G2765" s="35"/>
      <c r="H2765" s="38"/>
      <c r="I2765" s="35"/>
      <c r="J2765" s="35"/>
      <c r="K2765" s="42"/>
      <c r="L2765" s="38"/>
      <c r="M2765" s="43"/>
      <c r="N2765" s="34"/>
      <c r="O2765" s="34"/>
      <c r="P2765" s="34"/>
      <c r="Q2765" s="34"/>
    </row>
    <row r="2766" ht="15.75" customHeight="1">
      <c r="A2766" s="40"/>
      <c r="B2766" s="29"/>
      <c r="C2766" s="4"/>
      <c r="D2766" s="34"/>
      <c r="E2766" s="39"/>
      <c r="F2766" s="35"/>
      <c r="G2766" s="35"/>
      <c r="H2766" s="38"/>
      <c r="I2766" s="35"/>
      <c r="J2766" s="35"/>
      <c r="K2766" s="42"/>
      <c r="L2766" s="38"/>
      <c r="M2766" s="43"/>
      <c r="N2766" s="34"/>
      <c r="O2766" s="34"/>
      <c r="P2766" s="34"/>
      <c r="Q2766" s="34"/>
    </row>
    <row r="2767" ht="15.75" customHeight="1">
      <c r="A2767" s="40"/>
      <c r="B2767" s="29"/>
      <c r="C2767" s="4"/>
      <c r="D2767" s="34"/>
      <c r="E2767" s="39"/>
      <c r="F2767" s="35"/>
      <c r="G2767" s="35"/>
      <c r="H2767" s="38"/>
      <c r="I2767" s="35"/>
      <c r="J2767" s="35"/>
      <c r="K2767" s="42"/>
      <c r="L2767" s="38"/>
      <c r="M2767" s="43"/>
      <c r="N2767" s="34"/>
      <c r="O2767" s="34"/>
      <c r="P2767" s="34"/>
      <c r="Q2767" s="34"/>
    </row>
    <row r="2768" ht="15.75" customHeight="1">
      <c r="A2768" s="40"/>
      <c r="B2768" s="29"/>
      <c r="C2768" s="4"/>
      <c r="D2768" s="34"/>
      <c r="E2768" s="39"/>
      <c r="F2768" s="35"/>
      <c r="G2768" s="35"/>
      <c r="H2768" s="38"/>
      <c r="I2768" s="35"/>
      <c r="J2768" s="35"/>
      <c r="K2768" s="42"/>
      <c r="L2768" s="38"/>
      <c r="M2768" s="43"/>
      <c r="N2768" s="34"/>
      <c r="O2768" s="34"/>
      <c r="P2768" s="34"/>
      <c r="Q2768" s="34"/>
    </row>
    <row r="2769" ht="15.75" customHeight="1">
      <c r="A2769" s="40"/>
      <c r="B2769" s="29"/>
      <c r="C2769" s="4"/>
      <c r="D2769" s="34"/>
      <c r="E2769" s="39"/>
      <c r="F2769" s="35"/>
      <c r="G2769" s="35"/>
      <c r="H2769" s="38"/>
      <c r="I2769" s="35"/>
      <c r="J2769" s="35"/>
      <c r="K2769" s="42"/>
      <c r="L2769" s="38"/>
      <c r="M2769" s="43"/>
      <c r="N2769" s="34"/>
      <c r="O2769" s="34"/>
      <c r="P2769" s="34"/>
      <c r="Q2769" s="34"/>
    </row>
    <row r="2770" ht="15.75" customHeight="1">
      <c r="A2770" s="40"/>
      <c r="B2770" s="29"/>
      <c r="C2770" s="4"/>
      <c r="D2770" s="34"/>
      <c r="E2770" s="39"/>
      <c r="F2770" s="35"/>
      <c r="G2770" s="35"/>
      <c r="H2770" s="38"/>
      <c r="I2770" s="35"/>
      <c r="J2770" s="35"/>
      <c r="K2770" s="42"/>
      <c r="L2770" s="38"/>
      <c r="M2770" s="43"/>
      <c r="N2770" s="34"/>
      <c r="O2770" s="34"/>
      <c r="P2770" s="34"/>
      <c r="Q2770" s="34"/>
    </row>
    <row r="2771" ht="15.75" customHeight="1">
      <c r="A2771" s="40"/>
      <c r="B2771" s="29"/>
      <c r="C2771" s="4"/>
      <c r="D2771" s="34"/>
      <c r="E2771" s="39"/>
      <c r="F2771" s="35"/>
      <c r="G2771" s="35"/>
      <c r="H2771" s="38"/>
      <c r="I2771" s="35"/>
      <c r="J2771" s="35"/>
      <c r="K2771" s="42"/>
      <c r="L2771" s="38"/>
      <c r="M2771" s="43"/>
      <c r="N2771" s="34"/>
      <c r="O2771" s="34"/>
      <c r="P2771" s="34"/>
      <c r="Q2771" s="34"/>
    </row>
    <row r="2772" ht="15.75" customHeight="1">
      <c r="A2772" s="40"/>
      <c r="B2772" s="29"/>
      <c r="C2772" s="4"/>
      <c r="D2772" s="34"/>
      <c r="E2772" s="39"/>
      <c r="F2772" s="35"/>
      <c r="G2772" s="35"/>
      <c r="H2772" s="38"/>
      <c r="I2772" s="35"/>
      <c r="J2772" s="35"/>
      <c r="K2772" s="42"/>
      <c r="L2772" s="38"/>
      <c r="M2772" s="43"/>
      <c r="N2772" s="34"/>
      <c r="O2772" s="34"/>
      <c r="P2772" s="34"/>
      <c r="Q2772" s="34"/>
    </row>
    <row r="2773" ht="15.75" customHeight="1">
      <c r="A2773" s="40"/>
      <c r="B2773" s="29"/>
      <c r="C2773" s="4"/>
      <c r="D2773" s="34"/>
      <c r="E2773" s="39"/>
      <c r="F2773" s="35"/>
      <c r="G2773" s="35"/>
      <c r="H2773" s="38"/>
      <c r="I2773" s="35"/>
      <c r="J2773" s="35"/>
      <c r="K2773" s="42"/>
      <c r="L2773" s="38"/>
      <c r="M2773" s="43"/>
      <c r="N2773" s="34"/>
      <c r="O2773" s="34"/>
      <c r="P2773" s="34"/>
      <c r="Q2773" s="34"/>
    </row>
    <row r="2774" ht="15.75" customHeight="1">
      <c r="A2774" s="40"/>
      <c r="B2774" s="29"/>
      <c r="C2774" s="4"/>
      <c r="D2774" s="34"/>
      <c r="E2774" s="39"/>
      <c r="F2774" s="35"/>
      <c r="G2774" s="35"/>
      <c r="H2774" s="38"/>
      <c r="I2774" s="35"/>
      <c r="J2774" s="35"/>
      <c r="K2774" s="42"/>
      <c r="L2774" s="38"/>
      <c r="M2774" s="43"/>
      <c r="N2774" s="34"/>
      <c r="O2774" s="34"/>
      <c r="P2774" s="34"/>
      <c r="Q2774" s="34"/>
    </row>
    <row r="2775" ht="15.75" customHeight="1">
      <c r="A2775" s="40"/>
      <c r="B2775" s="29"/>
      <c r="C2775" s="4"/>
      <c r="D2775" s="34"/>
      <c r="E2775" s="39"/>
      <c r="F2775" s="35"/>
      <c r="G2775" s="35"/>
      <c r="H2775" s="38"/>
      <c r="I2775" s="35"/>
      <c r="J2775" s="35"/>
      <c r="K2775" s="42"/>
      <c r="L2775" s="38"/>
      <c r="M2775" s="43"/>
      <c r="N2775" s="34"/>
      <c r="O2775" s="34"/>
      <c r="P2775" s="34"/>
      <c r="Q2775" s="34"/>
    </row>
    <row r="2776" ht="15.75" customHeight="1">
      <c r="A2776" s="40"/>
      <c r="B2776" s="29"/>
      <c r="C2776" s="4"/>
      <c r="D2776" s="34"/>
      <c r="E2776" s="39"/>
      <c r="F2776" s="35"/>
      <c r="G2776" s="35"/>
      <c r="H2776" s="38"/>
      <c r="I2776" s="35"/>
      <c r="J2776" s="35"/>
      <c r="K2776" s="42"/>
      <c r="L2776" s="38"/>
      <c r="M2776" s="43"/>
      <c r="N2776" s="34"/>
      <c r="O2776" s="34"/>
      <c r="P2776" s="34"/>
      <c r="Q2776" s="34"/>
    </row>
    <row r="2777" ht="15.75" customHeight="1">
      <c r="A2777" s="40"/>
      <c r="B2777" s="29"/>
      <c r="C2777" s="4"/>
      <c r="D2777" s="34"/>
      <c r="E2777" s="39"/>
      <c r="F2777" s="35"/>
      <c r="G2777" s="35"/>
      <c r="H2777" s="38"/>
      <c r="I2777" s="35"/>
      <c r="J2777" s="35"/>
      <c r="K2777" s="42"/>
      <c r="L2777" s="38"/>
      <c r="M2777" s="43"/>
      <c r="N2777" s="34"/>
      <c r="O2777" s="34"/>
      <c r="P2777" s="34"/>
      <c r="Q2777" s="34"/>
    </row>
    <row r="2778" ht="15.75" customHeight="1">
      <c r="A2778" s="40"/>
      <c r="B2778" s="29"/>
      <c r="C2778" s="4"/>
      <c r="D2778" s="34"/>
      <c r="E2778" s="39"/>
      <c r="F2778" s="35"/>
      <c r="G2778" s="35"/>
      <c r="H2778" s="38"/>
      <c r="I2778" s="35"/>
      <c r="J2778" s="35"/>
      <c r="K2778" s="42"/>
      <c r="L2778" s="38"/>
      <c r="M2778" s="43"/>
      <c r="N2778" s="34"/>
      <c r="O2778" s="34"/>
      <c r="P2778" s="34"/>
      <c r="Q2778" s="34"/>
    </row>
    <row r="2779" ht="15.75" customHeight="1">
      <c r="A2779" s="40"/>
      <c r="B2779" s="29"/>
      <c r="C2779" s="4"/>
      <c r="D2779" s="34"/>
      <c r="E2779" s="39"/>
      <c r="F2779" s="35"/>
      <c r="G2779" s="35"/>
      <c r="H2779" s="38"/>
      <c r="I2779" s="35"/>
      <c r="J2779" s="35"/>
      <c r="K2779" s="42"/>
      <c r="L2779" s="38"/>
      <c r="M2779" s="43"/>
      <c r="N2779" s="34"/>
      <c r="O2779" s="34"/>
      <c r="P2779" s="34"/>
      <c r="Q2779" s="34"/>
    </row>
    <row r="2780" ht="15.75" customHeight="1">
      <c r="A2780" s="40"/>
      <c r="B2780" s="29"/>
      <c r="C2780" s="4"/>
      <c r="D2780" s="34"/>
      <c r="E2780" s="39"/>
      <c r="F2780" s="35"/>
      <c r="G2780" s="35"/>
      <c r="H2780" s="38"/>
      <c r="I2780" s="35"/>
      <c r="J2780" s="35"/>
      <c r="K2780" s="42"/>
      <c r="L2780" s="38"/>
      <c r="M2780" s="43"/>
      <c r="N2780" s="34"/>
      <c r="O2780" s="34"/>
      <c r="P2780" s="34"/>
      <c r="Q2780" s="34"/>
    </row>
    <row r="2781" ht="15.75" customHeight="1">
      <c r="A2781" s="40"/>
      <c r="B2781" s="29"/>
      <c r="C2781" s="4"/>
      <c r="D2781" s="34"/>
      <c r="E2781" s="39"/>
      <c r="F2781" s="35"/>
      <c r="G2781" s="35"/>
      <c r="H2781" s="38"/>
      <c r="I2781" s="35"/>
      <c r="J2781" s="35"/>
      <c r="K2781" s="42"/>
      <c r="L2781" s="38"/>
      <c r="M2781" s="43"/>
      <c r="N2781" s="34"/>
      <c r="O2781" s="34"/>
      <c r="P2781" s="34"/>
      <c r="Q2781" s="34"/>
    </row>
    <row r="2782" ht="15.75" customHeight="1">
      <c r="A2782" s="40"/>
      <c r="B2782" s="29"/>
      <c r="C2782" s="4"/>
      <c r="D2782" s="34"/>
      <c r="E2782" s="39"/>
      <c r="F2782" s="35"/>
      <c r="G2782" s="35"/>
      <c r="H2782" s="38"/>
      <c r="I2782" s="35"/>
      <c r="J2782" s="35"/>
      <c r="K2782" s="42"/>
      <c r="L2782" s="38"/>
      <c r="M2782" s="43"/>
      <c r="N2782" s="34"/>
      <c r="O2782" s="34"/>
      <c r="P2782" s="34"/>
      <c r="Q2782" s="34"/>
    </row>
    <row r="2783" ht="15.75" customHeight="1">
      <c r="A2783" s="40"/>
      <c r="B2783" s="29"/>
      <c r="C2783" s="4"/>
      <c r="D2783" s="34"/>
      <c r="E2783" s="39"/>
      <c r="F2783" s="35"/>
      <c r="G2783" s="35"/>
      <c r="H2783" s="38"/>
      <c r="I2783" s="35"/>
      <c r="J2783" s="35"/>
      <c r="K2783" s="42"/>
      <c r="L2783" s="38"/>
      <c r="M2783" s="43"/>
      <c r="N2783" s="34"/>
      <c r="O2783" s="34"/>
      <c r="P2783" s="34"/>
      <c r="Q2783" s="34"/>
    </row>
    <row r="2784" ht="15.75" customHeight="1">
      <c r="A2784" s="40"/>
      <c r="B2784" s="29"/>
      <c r="C2784" s="4"/>
      <c r="D2784" s="34"/>
      <c r="E2784" s="39"/>
      <c r="F2784" s="35"/>
      <c r="G2784" s="35"/>
      <c r="H2784" s="38"/>
      <c r="I2784" s="35"/>
      <c r="J2784" s="35"/>
      <c r="K2784" s="42"/>
      <c r="L2784" s="38"/>
      <c r="M2784" s="43"/>
      <c r="N2784" s="34"/>
      <c r="O2784" s="34"/>
      <c r="P2784" s="34"/>
      <c r="Q2784" s="34"/>
    </row>
    <row r="2785" ht="15.75" customHeight="1">
      <c r="A2785" s="40"/>
      <c r="B2785" s="29"/>
      <c r="C2785" s="4"/>
      <c r="D2785" s="34"/>
      <c r="E2785" s="39"/>
      <c r="F2785" s="35"/>
      <c r="G2785" s="35"/>
      <c r="H2785" s="38"/>
      <c r="I2785" s="35"/>
      <c r="J2785" s="35"/>
      <c r="K2785" s="42"/>
      <c r="L2785" s="38"/>
      <c r="M2785" s="43"/>
      <c r="N2785" s="34"/>
      <c r="O2785" s="34"/>
      <c r="P2785" s="34"/>
      <c r="Q2785" s="34"/>
    </row>
    <row r="2786" ht="15.75" customHeight="1">
      <c r="A2786" s="40"/>
      <c r="B2786" s="29"/>
      <c r="C2786" s="4"/>
      <c r="D2786" s="34"/>
      <c r="E2786" s="39"/>
      <c r="F2786" s="35"/>
      <c r="G2786" s="35"/>
      <c r="H2786" s="38"/>
      <c r="I2786" s="35"/>
      <c r="J2786" s="35"/>
      <c r="K2786" s="42"/>
      <c r="L2786" s="38"/>
      <c r="M2786" s="43"/>
      <c r="N2786" s="34"/>
      <c r="O2786" s="34"/>
      <c r="P2786" s="34"/>
      <c r="Q2786" s="34"/>
    </row>
    <row r="2787" ht="15.75" customHeight="1">
      <c r="A2787" s="40"/>
      <c r="B2787" s="29"/>
      <c r="C2787" s="4"/>
      <c r="D2787" s="34"/>
      <c r="E2787" s="39"/>
      <c r="F2787" s="35"/>
      <c r="G2787" s="35"/>
      <c r="H2787" s="38"/>
      <c r="I2787" s="35"/>
      <c r="J2787" s="35"/>
      <c r="K2787" s="42"/>
      <c r="L2787" s="38"/>
      <c r="M2787" s="43"/>
      <c r="N2787" s="34"/>
      <c r="O2787" s="34"/>
      <c r="P2787" s="34"/>
      <c r="Q2787" s="34"/>
    </row>
    <row r="2788" ht="15.75" customHeight="1">
      <c r="A2788" s="40"/>
      <c r="B2788" s="29"/>
      <c r="C2788" s="4"/>
      <c r="D2788" s="34"/>
      <c r="E2788" s="39"/>
      <c r="F2788" s="35"/>
      <c r="G2788" s="35"/>
      <c r="H2788" s="38"/>
      <c r="I2788" s="35"/>
      <c r="J2788" s="35"/>
      <c r="K2788" s="42"/>
      <c r="L2788" s="38"/>
      <c r="M2788" s="43"/>
      <c r="N2788" s="34"/>
      <c r="O2788" s="34"/>
      <c r="P2788" s="34"/>
      <c r="Q2788" s="34"/>
    </row>
    <row r="2789" ht="15.75" customHeight="1">
      <c r="A2789" s="40"/>
      <c r="B2789" s="29"/>
      <c r="C2789" s="4"/>
      <c r="D2789" s="34"/>
      <c r="E2789" s="39"/>
      <c r="F2789" s="35"/>
      <c r="G2789" s="35"/>
      <c r="H2789" s="38"/>
      <c r="I2789" s="35"/>
      <c r="J2789" s="35"/>
      <c r="K2789" s="42"/>
      <c r="L2789" s="38"/>
      <c r="M2789" s="43"/>
      <c r="N2789" s="34"/>
      <c r="O2789" s="34"/>
      <c r="P2789" s="34"/>
      <c r="Q2789" s="34"/>
    </row>
    <row r="2790" ht="15.75" customHeight="1">
      <c r="A2790" s="40"/>
      <c r="B2790" s="29"/>
      <c r="C2790" s="4"/>
      <c r="D2790" s="34"/>
      <c r="E2790" s="39"/>
      <c r="F2790" s="35"/>
      <c r="G2790" s="35"/>
      <c r="H2790" s="38"/>
      <c r="I2790" s="35"/>
      <c r="J2790" s="35"/>
      <c r="K2790" s="42"/>
      <c r="L2790" s="38"/>
      <c r="M2790" s="43"/>
      <c r="N2790" s="34"/>
      <c r="O2790" s="34"/>
      <c r="P2790" s="34"/>
      <c r="Q2790" s="34"/>
    </row>
    <row r="2791" ht="15.75" customHeight="1">
      <c r="A2791" s="40"/>
      <c r="B2791" s="29"/>
      <c r="C2791" s="4"/>
      <c r="D2791" s="34"/>
      <c r="E2791" s="39"/>
      <c r="F2791" s="35"/>
      <c r="G2791" s="35"/>
      <c r="H2791" s="38"/>
      <c r="I2791" s="35"/>
      <c r="J2791" s="35"/>
      <c r="K2791" s="42"/>
      <c r="L2791" s="38"/>
      <c r="M2791" s="43"/>
      <c r="N2791" s="34"/>
      <c r="O2791" s="34"/>
      <c r="P2791" s="34"/>
      <c r="Q2791" s="34"/>
    </row>
    <row r="2792" ht="15.75" customHeight="1">
      <c r="A2792" s="40"/>
      <c r="B2792" s="29"/>
      <c r="C2792" s="4"/>
      <c r="D2792" s="34"/>
      <c r="E2792" s="39"/>
      <c r="F2792" s="35"/>
      <c r="G2792" s="35"/>
      <c r="H2792" s="38"/>
      <c r="I2792" s="35"/>
      <c r="J2792" s="35"/>
      <c r="K2792" s="42"/>
      <c r="L2792" s="38"/>
      <c r="M2792" s="43"/>
      <c r="N2792" s="34"/>
      <c r="O2792" s="34"/>
      <c r="P2792" s="34"/>
      <c r="Q2792" s="34"/>
    </row>
    <row r="2793" ht="15.75" customHeight="1">
      <c r="A2793" s="40"/>
      <c r="B2793" s="29"/>
      <c r="C2793" s="4"/>
      <c r="D2793" s="34"/>
      <c r="E2793" s="39"/>
      <c r="F2793" s="35"/>
      <c r="G2793" s="35"/>
      <c r="H2793" s="38"/>
      <c r="I2793" s="35"/>
      <c r="J2793" s="35"/>
      <c r="K2793" s="42"/>
      <c r="L2793" s="38"/>
      <c r="M2793" s="43"/>
      <c r="N2793" s="34"/>
      <c r="O2793" s="34"/>
      <c r="P2793" s="34"/>
      <c r="Q2793" s="34"/>
    </row>
    <row r="2794" ht="15.75" customHeight="1">
      <c r="A2794" s="40"/>
      <c r="B2794" s="29"/>
      <c r="C2794" s="4"/>
      <c r="D2794" s="34"/>
      <c r="E2794" s="39"/>
      <c r="F2794" s="35"/>
      <c r="G2794" s="35"/>
      <c r="H2794" s="38"/>
      <c r="I2794" s="35"/>
      <c r="J2794" s="35"/>
      <c r="K2794" s="42"/>
      <c r="L2794" s="38"/>
      <c r="M2794" s="43"/>
      <c r="N2794" s="34"/>
      <c r="O2794" s="34"/>
      <c r="P2794" s="34"/>
      <c r="Q2794" s="34"/>
    </row>
    <row r="2795" ht="15.75" customHeight="1">
      <c r="A2795" s="40"/>
      <c r="B2795" s="29"/>
      <c r="C2795" s="4"/>
      <c r="D2795" s="34"/>
      <c r="E2795" s="39"/>
      <c r="F2795" s="35"/>
      <c r="G2795" s="35"/>
      <c r="H2795" s="38"/>
      <c r="I2795" s="35"/>
      <c r="J2795" s="35"/>
      <c r="K2795" s="42"/>
      <c r="L2795" s="38"/>
      <c r="M2795" s="43"/>
      <c r="N2795" s="34"/>
      <c r="O2795" s="34"/>
      <c r="P2795" s="34"/>
      <c r="Q2795" s="34"/>
    </row>
    <row r="2796" ht="15.75" customHeight="1">
      <c r="A2796" s="40"/>
      <c r="B2796" s="29"/>
      <c r="C2796" s="4"/>
      <c r="D2796" s="34"/>
      <c r="E2796" s="39"/>
      <c r="F2796" s="35"/>
      <c r="G2796" s="35"/>
      <c r="H2796" s="38"/>
      <c r="I2796" s="35"/>
      <c r="J2796" s="35"/>
      <c r="K2796" s="42"/>
      <c r="L2796" s="38"/>
      <c r="M2796" s="43"/>
      <c r="N2796" s="34"/>
      <c r="O2796" s="34"/>
      <c r="P2796" s="34"/>
      <c r="Q2796" s="34"/>
    </row>
    <row r="2797" ht="15.75" customHeight="1">
      <c r="A2797" s="40"/>
      <c r="B2797" s="29"/>
      <c r="C2797" s="4"/>
      <c r="D2797" s="34"/>
      <c r="E2797" s="39"/>
      <c r="F2797" s="35"/>
      <c r="G2797" s="35"/>
      <c r="H2797" s="38"/>
      <c r="I2797" s="35"/>
      <c r="J2797" s="35"/>
      <c r="K2797" s="42"/>
      <c r="L2797" s="38"/>
      <c r="M2797" s="43"/>
      <c r="N2797" s="34"/>
      <c r="O2797" s="34"/>
      <c r="P2797" s="34"/>
      <c r="Q2797" s="34"/>
    </row>
    <row r="2798" ht="15.75" customHeight="1">
      <c r="A2798" s="40"/>
      <c r="B2798" s="29"/>
      <c r="C2798" s="4"/>
      <c r="D2798" s="34"/>
      <c r="E2798" s="39"/>
      <c r="F2798" s="35"/>
      <c r="G2798" s="35"/>
      <c r="H2798" s="38"/>
      <c r="I2798" s="35"/>
      <c r="J2798" s="35"/>
      <c r="K2798" s="42"/>
      <c r="L2798" s="38"/>
      <c r="M2798" s="43"/>
      <c r="N2798" s="34"/>
      <c r="O2798" s="34"/>
      <c r="P2798" s="34"/>
      <c r="Q2798" s="34"/>
    </row>
    <row r="2799" ht="15.75" customHeight="1">
      <c r="A2799" s="40"/>
      <c r="B2799" s="29"/>
      <c r="C2799" s="4"/>
      <c r="D2799" s="34"/>
      <c r="E2799" s="39"/>
      <c r="F2799" s="35"/>
      <c r="G2799" s="35"/>
      <c r="H2799" s="38"/>
      <c r="I2799" s="35"/>
      <c r="J2799" s="35"/>
      <c r="K2799" s="42"/>
      <c r="L2799" s="38"/>
      <c r="M2799" s="43"/>
      <c r="N2799" s="34"/>
      <c r="O2799" s="34"/>
      <c r="P2799" s="34"/>
      <c r="Q2799" s="34"/>
    </row>
    <row r="2800" ht="15.75" customHeight="1">
      <c r="A2800" s="40"/>
      <c r="B2800" s="29"/>
      <c r="C2800" s="4"/>
      <c r="D2800" s="34"/>
      <c r="E2800" s="39"/>
      <c r="F2800" s="35"/>
      <c r="G2800" s="35"/>
      <c r="H2800" s="38"/>
      <c r="I2800" s="35"/>
      <c r="J2800" s="35"/>
      <c r="K2800" s="42"/>
      <c r="L2800" s="38"/>
      <c r="M2800" s="43"/>
      <c r="N2800" s="34"/>
      <c r="O2800" s="34"/>
      <c r="P2800" s="34"/>
      <c r="Q2800" s="34"/>
    </row>
    <row r="2801" ht="15.75" customHeight="1">
      <c r="A2801" s="40"/>
      <c r="B2801" s="29"/>
      <c r="C2801" s="4"/>
      <c r="D2801" s="34"/>
      <c r="E2801" s="39"/>
      <c r="F2801" s="35"/>
      <c r="G2801" s="35"/>
      <c r="H2801" s="38"/>
      <c r="I2801" s="35"/>
      <c r="J2801" s="35"/>
      <c r="K2801" s="42"/>
      <c r="L2801" s="38"/>
      <c r="M2801" s="43"/>
      <c r="N2801" s="34"/>
      <c r="O2801" s="34"/>
      <c r="P2801" s="34"/>
      <c r="Q2801" s="34"/>
    </row>
    <row r="2802" ht="15.75" customHeight="1">
      <c r="A2802" s="40"/>
      <c r="B2802" s="29"/>
      <c r="C2802" s="4"/>
      <c r="D2802" s="34"/>
      <c r="E2802" s="39"/>
      <c r="F2802" s="35"/>
      <c r="G2802" s="35"/>
      <c r="H2802" s="38"/>
      <c r="I2802" s="35"/>
      <c r="J2802" s="35"/>
      <c r="K2802" s="42"/>
      <c r="L2802" s="38"/>
      <c r="M2802" s="43"/>
      <c r="N2802" s="34"/>
      <c r="O2802" s="34"/>
      <c r="P2802" s="34"/>
      <c r="Q2802" s="34"/>
    </row>
    <row r="2803" ht="15.75" customHeight="1">
      <c r="A2803" s="40"/>
      <c r="B2803" s="29"/>
      <c r="C2803" s="4"/>
      <c r="D2803" s="34"/>
      <c r="E2803" s="39"/>
      <c r="F2803" s="35"/>
      <c r="G2803" s="35"/>
      <c r="H2803" s="38"/>
      <c r="I2803" s="35"/>
      <c r="J2803" s="35"/>
      <c r="K2803" s="42"/>
      <c r="L2803" s="38"/>
      <c r="M2803" s="43"/>
      <c r="N2803" s="34"/>
      <c r="O2803" s="34"/>
      <c r="P2803" s="34"/>
      <c r="Q2803" s="34"/>
    </row>
    <row r="2804" ht="15.75" customHeight="1">
      <c r="A2804" s="40"/>
      <c r="B2804" s="29"/>
      <c r="C2804" s="4"/>
      <c r="D2804" s="34"/>
      <c r="E2804" s="39"/>
      <c r="F2804" s="35"/>
      <c r="G2804" s="35"/>
      <c r="H2804" s="38"/>
      <c r="I2804" s="35"/>
      <c r="J2804" s="35"/>
      <c r="K2804" s="42"/>
      <c r="L2804" s="38"/>
      <c r="M2804" s="43"/>
      <c r="N2804" s="34"/>
      <c r="O2804" s="34"/>
      <c r="P2804" s="34"/>
      <c r="Q2804" s="34"/>
    </row>
    <row r="2805" ht="15.75" customHeight="1">
      <c r="A2805" s="40"/>
      <c r="B2805" s="29"/>
      <c r="C2805" s="4"/>
      <c r="D2805" s="34"/>
      <c r="E2805" s="39"/>
      <c r="F2805" s="35"/>
      <c r="G2805" s="35"/>
      <c r="H2805" s="38"/>
      <c r="I2805" s="35"/>
      <c r="J2805" s="35"/>
      <c r="K2805" s="42"/>
      <c r="L2805" s="38"/>
      <c r="M2805" s="43"/>
      <c r="N2805" s="34"/>
      <c r="O2805" s="34"/>
      <c r="P2805" s="34"/>
      <c r="Q2805" s="34"/>
    </row>
    <row r="2806" ht="15.75" customHeight="1">
      <c r="A2806" s="40"/>
      <c r="B2806" s="29"/>
      <c r="C2806" s="4"/>
      <c r="D2806" s="34"/>
      <c r="E2806" s="39"/>
      <c r="F2806" s="35"/>
      <c r="G2806" s="35"/>
      <c r="H2806" s="38"/>
      <c r="I2806" s="35"/>
      <c r="J2806" s="35"/>
      <c r="K2806" s="42"/>
      <c r="L2806" s="38"/>
      <c r="M2806" s="43"/>
      <c r="N2806" s="34"/>
      <c r="O2806" s="34"/>
      <c r="P2806" s="34"/>
      <c r="Q2806" s="34"/>
    </row>
    <row r="2807" ht="15.75" customHeight="1">
      <c r="A2807" s="40"/>
      <c r="B2807" s="29"/>
      <c r="C2807" s="4"/>
      <c r="D2807" s="34"/>
      <c r="E2807" s="39"/>
      <c r="F2807" s="35"/>
      <c r="G2807" s="35"/>
      <c r="H2807" s="38"/>
      <c r="I2807" s="35"/>
      <c r="J2807" s="35"/>
      <c r="K2807" s="42"/>
      <c r="L2807" s="38"/>
      <c r="M2807" s="43"/>
      <c r="N2807" s="34"/>
      <c r="O2807" s="34"/>
      <c r="P2807" s="34"/>
      <c r="Q2807" s="34"/>
    </row>
    <row r="2808" ht="15.75" customHeight="1">
      <c r="A2808" s="40"/>
      <c r="B2808" s="29"/>
      <c r="C2808" s="4"/>
      <c r="D2808" s="34"/>
      <c r="E2808" s="39"/>
      <c r="F2808" s="35"/>
      <c r="G2808" s="35"/>
      <c r="H2808" s="38"/>
      <c r="I2808" s="35"/>
      <c r="J2808" s="35"/>
      <c r="K2808" s="42"/>
      <c r="L2808" s="38"/>
      <c r="M2808" s="43"/>
      <c r="N2808" s="34"/>
      <c r="O2808" s="34"/>
      <c r="P2808" s="34"/>
      <c r="Q2808" s="34"/>
    </row>
    <row r="2809" ht="15.75" customHeight="1">
      <c r="A2809" s="40"/>
      <c r="B2809" s="29"/>
      <c r="C2809" s="4"/>
      <c r="D2809" s="34"/>
      <c r="E2809" s="39"/>
      <c r="F2809" s="35"/>
      <c r="G2809" s="35"/>
      <c r="H2809" s="38"/>
      <c r="I2809" s="35"/>
      <c r="J2809" s="35"/>
      <c r="K2809" s="42"/>
      <c r="L2809" s="38"/>
      <c r="M2809" s="43"/>
      <c r="N2809" s="34"/>
      <c r="O2809" s="34"/>
      <c r="P2809" s="34"/>
      <c r="Q2809" s="34"/>
    </row>
    <row r="2810" ht="15.75" customHeight="1">
      <c r="A2810" s="40"/>
      <c r="B2810" s="29"/>
      <c r="C2810" s="4"/>
      <c r="D2810" s="34"/>
      <c r="E2810" s="39"/>
      <c r="F2810" s="35"/>
      <c r="G2810" s="35"/>
      <c r="H2810" s="38"/>
      <c r="I2810" s="35"/>
      <c r="J2810" s="35"/>
      <c r="K2810" s="42"/>
      <c r="L2810" s="38"/>
      <c r="M2810" s="43"/>
      <c r="N2810" s="34"/>
      <c r="O2810" s="34"/>
      <c r="P2810" s="34"/>
      <c r="Q2810" s="34"/>
    </row>
    <row r="2811" ht="15.75" customHeight="1">
      <c r="A2811" s="40"/>
      <c r="B2811" s="29"/>
      <c r="C2811" s="4"/>
      <c r="D2811" s="34"/>
      <c r="E2811" s="39"/>
      <c r="F2811" s="35"/>
      <c r="G2811" s="35"/>
      <c r="H2811" s="38"/>
      <c r="I2811" s="35"/>
      <c r="J2811" s="35"/>
      <c r="K2811" s="42"/>
      <c r="L2811" s="38"/>
      <c r="M2811" s="43"/>
      <c r="N2811" s="34"/>
      <c r="O2811" s="34"/>
      <c r="P2811" s="34"/>
      <c r="Q2811" s="34"/>
    </row>
    <row r="2812" ht="15.75" customHeight="1">
      <c r="A2812" s="40"/>
      <c r="B2812" s="29"/>
      <c r="C2812" s="4"/>
      <c r="D2812" s="34"/>
      <c r="E2812" s="39"/>
      <c r="F2812" s="35"/>
      <c r="G2812" s="35"/>
      <c r="H2812" s="38"/>
      <c r="I2812" s="35"/>
      <c r="J2812" s="35"/>
      <c r="K2812" s="42"/>
      <c r="L2812" s="38"/>
      <c r="M2812" s="43"/>
      <c r="N2812" s="34"/>
      <c r="O2812" s="34"/>
      <c r="P2812" s="34"/>
      <c r="Q2812" s="34"/>
    </row>
    <row r="2813" ht="15.75" customHeight="1">
      <c r="A2813" s="40"/>
      <c r="B2813" s="29"/>
      <c r="C2813" s="4"/>
      <c r="D2813" s="34"/>
      <c r="E2813" s="39"/>
      <c r="F2813" s="35"/>
      <c r="G2813" s="35"/>
      <c r="H2813" s="38"/>
      <c r="I2813" s="35"/>
      <c r="J2813" s="35"/>
      <c r="K2813" s="42"/>
      <c r="L2813" s="38"/>
      <c r="M2813" s="43"/>
      <c r="N2813" s="34"/>
      <c r="O2813" s="34"/>
      <c r="P2813" s="34"/>
      <c r="Q2813" s="34"/>
    </row>
    <row r="2814" ht="15.75" customHeight="1">
      <c r="A2814" s="40"/>
      <c r="B2814" s="29"/>
      <c r="C2814" s="4"/>
      <c r="D2814" s="34"/>
      <c r="E2814" s="39"/>
      <c r="F2814" s="35"/>
      <c r="G2814" s="35"/>
      <c r="H2814" s="38"/>
      <c r="I2814" s="35"/>
      <c r="J2814" s="35"/>
      <c r="K2814" s="42"/>
      <c r="L2814" s="38"/>
      <c r="M2814" s="43"/>
      <c r="N2814" s="34"/>
      <c r="O2814" s="34"/>
      <c r="P2814" s="34"/>
      <c r="Q2814" s="34"/>
    </row>
    <row r="2815" ht="15.75" customHeight="1">
      <c r="A2815" s="40"/>
      <c r="B2815" s="29"/>
      <c r="C2815" s="4"/>
      <c r="D2815" s="34"/>
      <c r="E2815" s="39"/>
      <c r="F2815" s="35"/>
      <c r="G2815" s="35"/>
      <c r="H2815" s="38"/>
      <c r="I2815" s="35"/>
      <c r="J2815" s="35"/>
      <c r="K2815" s="42"/>
      <c r="L2815" s="38"/>
      <c r="M2815" s="43"/>
      <c r="N2815" s="34"/>
      <c r="O2815" s="34"/>
      <c r="P2815" s="34"/>
      <c r="Q2815" s="34"/>
    </row>
    <row r="2816" ht="15.75" customHeight="1">
      <c r="A2816" s="40"/>
      <c r="B2816" s="29"/>
      <c r="C2816" s="4"/>
      <c r="D2816" s="34"/>
      <c r="E2816" s="39"/>
      <c r="F2816" s="35"/>
      <c r="G2816" s="35"/>
      <c r="H2816" s="38"/>
      <c r="I2816" s="35"/>
      <c r="J2816" s="35"/>
      <c r="K2816" s="42"/>
      <c r="L2816" s="38"/>
      <c r="M2816" s="43"/>
      <c r="N2816" s="34"/>
      <c r="O2816" s="34"/>
      <c r="P2816" s="34"/>
      <c r="Q2816" s="34"/>
    </row>
    <row r="2817" ht="15.75" customHeight="1">
      <c r="A2817" s="40"/>
      <c r="B2817" s="29"/>
      <c r="C2817" s="4"/>
      <c r="D2817" s="34"/>
      <c r="E2817" s="39"/>
      <c r="F2817" s="35"/>
      <c r="G2817" s="35"/>
      <c r="H2817" s="38"/>
      <c r="I2817" s="35"/>
      <c r="J2817" s="35"/>
      <c r="K2817" s="42"/>
      <c r="L2817" s="38"/>
      <c r="M2817" s="43"/>
      <c r="N2817" s="34"/>
      <c r="O2817" s="34"/>
      <c r="P2817" s="34"/>
      <c r="Q2817" s="34"/>
    </row>
    <row r="2818" ht="15.75" customHeight="1">
      <c r="A2818" s="40"/>
      <c r="B2818" s="29"/>
      <c r="C2818" s="4"/>
      <c r="D2818" s="34"/>
      <c r="E2818" s="39"/>
      <c r="F2818" s="35"/>
      <c r="G2818" s="35"/>
      <c r="H2818" s="38"/>
      <c r="I2818" s="35"/>
      <c r="J2818" s="35"/>
      <c r="K2818" s="42"/>
      <c r="L2818" s="38"/>
      <c r="M2818" s="43"/>
      <c r="N2818" s="34"/>
      <c r="O2818" s="34"/>
      <c r="P2818" s="34"/>
      <c r="Q2818" s="34"/>
    </row>
    <row r="2819" ht="15.75" customHeight="1">
      <c r="A2819" s="40"/>
      <c r="B2819" s="29"/>
      <c r="C2819" s="4"/>
      <c r="D2819" s="34"/>
      <c r="E2819" s="39"/>
      <c r="F2819" s="35"/>
      <c r="G2819" s="35"/>
      <c r="H2819" s="38"/>
      <c r="I2819" s="35"/>
      <c r="J2819" s="35"/>
      <c r="K2819" s="42"/>
      <c r="L2819" s="38"/>
      <c r="M2819" s="43"/>
      <c r="N2819" s="34"/>
      <c r="O2819" s="34"/>
      <c r="P2819" s="34"/>
      <c r="Q2819" s="34"/>
    </row>
    <row r="2820" ht="15.75" customHeight="1">
      <c r="A2820" s="40"/>
      <c r="B2820" s="29"/>
      <c r="C2820" s="4"/>
      <c r="D2820" s="34"/>
      <c r="E2820" s="39"/>
      <c r="F2820" s="35"/>
      <c r="G2820" s="35"/>
      <c r="H2820" s="38"/>
      <c r="I2820" s="35"/>
      <c r="J2820" s="35"/>
      <c r="K2820" s="42"/>
      <c r="L2820" s="38"/>
      <c r="M2820" s="43"/>
      <c r="N2820" s="34"/>
      <c r="O2820" s="34"/>
      <c r="P2820" s="34"/>
      <c r="Q2820" s="34"/>
    </row>
    <row r="2821" ht="15.75" customHeight="1">
      <c r="A2821" s="40"/>
      <c r="B2821" s="29"/>
      <c r="C2821" s="4"/>
      <c r="D2821" s="34"/>
      <c r="E2821" s="39"/>
      <c r="F2821" s="35"/>
      <c r="G2821" s="35"/>
      <c r="H2821" s="38"/>
      <c r="I2821" s="35"/>
      <c r="J2821" s="35"/>
      <c r="K2821" s="42"/>
      <c r="L2821" s="38"/>
      <c r="M2821" s="43"/>
      <c r="N2821" s="34"/>
      <c r="O2821" s="34"/>
      <c r="P2821" s="34"/>
      <c r="Q2821" s="34"/>
    </row>
    <row r="2822" ht="15.75" customHeight="1">
      <c r="A2822" s="40"/>
      <c r="B2822" s="29"/>
      <c r="C2822" s="4"/>
      <c r="D2822" s="34"/>
      <c r="E2822" s="39"/>
      <c r="F2822" s="35"/>
      <c r="G2822" s="35"/>
      <c r="H2822" s="38"/>
      <c r="I2822" s="35"/>
      <c r="J2822" s="35"/>
      <c r="K2822" s="42"/>
      <c r="L2822" s="38"/>
      <c r="M2822" s="43"/>
      <c r="N2822" s="34"/>
      <c r="O2822" s="34"/>
      <c r="P2822" s="34"/>
      <c r="Q2822" s="34"/>
    </row>
    <row r="2823" ht="15.75" customHeight="1">
      <c r="A2823" s="40"/>
      <c r="B2823" s="29"/>
      <c r="C2823" s="4"/>
      <c r="D2823" s="34"/>
      <c r="E2823" s="39"/>
      <c r="F2823" s="35"/>
      <c r="G2823" s="35"/>
      <c r="H2823" s="38"/>
      <c r="I2823" s="35"/>
      <c r="J2823" s="35"/>
      <c r="K2823" s="42"/>
      <c r="L2823" s="38"/>
      <c r="M2823" s="43"/>
      <c r="N2823" s="34"/>
      <c r="O2823" s="34"/>
      <c r="P2823" s="34"/>
      <c r="Q2823" s="34"/>
    </row>
    <row r="2824" ht="15.75" customHeight="1">
      <c r="A2824" s="40"/>
      <c r="B2824" s="29"/>
      <c r="C2824" s="4"/>
      <c r="D2824" s="34"/>
      <c r="E2824" s="39"/>
      <c r="F2824" s="35"/>
      <c r="G2824" s="35"/>
      <c r="H2824" s="38"/>
      <c r="I2824" s="35"/>
      <c r="J2824" s="35"/>
      <c r="K2824" s="42"/>
      <c r="L2824" s="38"/>
      <c r="M2824" s="43"/>
      <c r="N2824" s="34"/>
      <c r="O2824" s="34"/>
      <c r="P2824" s="34"/>
      <c r="Q2824" s="34"/>
    </row>
    <row r="2825" ht="15.75" customHeight="1">
      <c r="A2825" s="40"/>
      <c r="B2825" s="29"/>
      <c r="C2825" s="4"/>
      <c r="D2825" s="34"/>
      <c r="E2825" s="39"/>
      <c r="F2825" s="35"/>
      <c r="G2825" s="35"/>
      <c r="H2825" s="38"/>
      <c r="I2825" s="35"/>
      <c r="J2825" s="35"/>
      <c r="K2825" s="42"/>
      <c r="L2825" s="38"/>
      <c r="M2825" s="43"/>
      <c r="N2825" s="34"/>
      <c r="O2825" s="34"/>
      <c r="P2825" s="34"/>
      <c r="Q2825" s="34"/>
    </row>
    <row r="2826" ht="15.75" customHeight="1">
      <c r="A2826" s="40"/>
      <c r="B2826" s="29"/>
      <c r="C2826" s="4"/>
      <c r="D2826" s="34"/>
      <c r="E2826" s="39"/>
      <c r="F2826" s="35"/>
      <c r="G2826" s="35"/>
      <c r="H2826" s="38"/>
      <c r="I2826" s="35"/>
      <c r="J2826" s="35"/>
      <c r="K2826" s="42"/>
      <c r="L2826" s="38"/>
      <c r="M2826" s="43"/>
      <c r="N2826" s="34"/>
      <c r="O2826" s="34"/>
      <c r="P2826" s="34"/>
      <c r="Q2826" s="34"/>
    </row>
    <row r="2827" ht="15.75" customHeight="1">
      <c r="A2827" s="40"/>
      <c r="B2827" s="29"/>
      <c r="C2827" s="4"/>
      <c r="D2827" s="34"/>
      <c r="E2827" s="39"/>
      <c r="F2827" s="35"/>
      <c r="G2827" s="35"/>
      <c r="H2827" s="38"/>
      <c r="I2827" s="35"/>
      <c r="J2827" s="35"/>
      <c r="K2827" s="42"/>
      <c r="L2827" s="38"/>
      <c r="M2827" s="43"/>
      <c r="N2827" s="34"/>
      <c r="O2827" s="34"/>
      <c r="P2827" s="34"/>
      <c r="Q2827" s="34"/>
    </row>
    <row r="2828" ht="15.75" customHeight="1">
      <c r="A2828" s="40"/>
      <c r="B2828" s="29"/>
      <c r="C2828" s="4"/>
      <c r="D2828" s="34"/>
      <c r="E2828" s="39"/>
      <c r="F2828" s="35"/>
      <c r="G2828" s="35"/>
      <c r="H2828" s="38"/>
      <c r="I2828" s="35"/>
      <c r="J2828" s="35"/>
      <c r="K2828" s="42"/>
      <c r="L2828" s="38"/>
      <c r="M2828" s="43"/>
      <c r="N2828" s="34"/>
      <c r="O2828" s="34"/>
      <c r="P2828" s="34"/>
      <c r="Q2828" s="34"/>
    </row>
    <row r="2829" ht="15.75" customHeight="1">
      <c r="A2829" s="40"/>
      <c r="B2829" s="29"/>
      <c r="C2829" s="4"/>
      <c r="D2829" s="34"/>
      <c r="E2829" s="39"/>
      <c r="F2829" s="35"/>
      <c r="G2829" s="35"/>
      <c r="H2829" s="38"/>
      <c r="I2829" s="35"/>
      <c r="J2829" s="35"/>
      <c r="K2829" s="42"/>
      <c r="L2829" s="38"/>
      <c r="M2829" s="43"/>
      <c r="N2829" s="34"/>
      <c r="O2829" s="34"/>
      <c r="P2829" s="34"/>
      <c r="Q2829" s="34"/>
    </row>
    <row r="2830" ht="15.75" customHeight="1">
      <c r="A2830" s="40"/>
      <c r="B2830" s="29"/>
      <c r="C2830" s="4"/>
      <c r="D2830" s="34"/>
      <c r="E2830" s="39"/>
      <c r="F2830" s="35"/>
      <c r="G2830" s="35"/>
      <c r="H2830" s="38"/>
      <c r="I2830" s="35"/>
      <c r="J2830" s="35"/>
      <c r="K2830" s="42"/>
      <c r="L2830" s="38"/>
      <c r="M2830" s="43"/>
      <c r="N2830" s="34"/>
      <c r="O2830" s="34"/>
      <c r="P2830" s="34"/>
      <c r="Q2830" s="34"/>
    </row>
    <row r="2831" ht="15.75" customHeight="1">
      <c r="A2831" s="40"/>
      <c r="B2831" s="29"/>
      <c r="C2831" s="4"/>
      <c r="D2831" s="34"/>
      <c r="E2831" s="39"/>
      <c r="F2831" s="35"/>
      <c r="G2831" s="35"/>
      <c r="H2831" s="38"/>
      <c r="I2831" s="35"/>
      <c r="J2831" s="35"/>
      <c r="K2831" s="42"/>
      <c r="L2831" s="38"/>
      <c r="M2831" s="43"/>
      <c r="N2831" s="34"/>
      <c r="O2831" s="34"/>
      <c r="P2831" s="34"/>
      <c r="Q2831" s="34"/>
    </row>
    <row r="2832" ht="15.75" customHeight="1">
      <c r="A2832" s="40"/>
      <c r="B2832" s="29"/>
      <c r="C2832" s="4"/>
      <c r="D2832" s="34"/>
      <c r="E2832" s="39"/>
      <c r="F2832" s="35"/>
      <c r="G2832" s="35"/>
      <c r="H2832" s="38"/>
      <c r="I2832" s="35"/>
      <c r="J2832" s="35"/>
      <c r="K2832" s="42"/>
      <c r="L2832" s="38"/>
      <c r="M2832" s="43"/>
      <c r="N2832" s="34"/>
      <c r="O2832" s="34"/>
      <c r="P2832" s="34"/>
      <c r="Q2832" s="34"/>
    </row>
    <row r="2833" ht="15.75" customHeight="1">
      <c r="A2833" s="40"/>
      <c r="B2833" s="29"/>
      <c r="C2833" s="4"/>
      <c r="D2833" s="34"/>
      <c r="E2833" s="39"/>
      <c r="F2833" s="35"/>
      <c r="G2833" s="35"/>
      <c r="H2833" s="38"/>
      <c r="I2833" s="35"/>
      <c r="J2833" s="35"/>
      <c r="K2833" s="42"/>
      <c r="L2833" s="38"/>
      <c r="M2833" s="43"/>
      <c r="N2833" s="34"/>
      <c r="O2833" s="34"/>
      <c r="P2833" s="34"/>
      <c r="Q2833" s="34"/>
    </row>
    <row r="2834" ht="15.75" customHeight="1">
      <c r="A2834" s="40"/>
      <c r="B2834" s="29"/>
      <c r="C2834" s="4"/>
      <c r="D2834" s="34"/>
      <c r="E2834" s="39"/>
      <c r="F2834" s="35"/>
      <c r="G2834" s="35"/>
      <c r="H2834" s="38"/>
      <c r="I2834" s="35"/>
      <c r="J2834" s="35"/>
      <c r="K2834" s="42"/>
      <c r="L2834" s="38"/>
      <c r="M2834" s="43"/>
      <c r="N2834" s="34"/>
      <c r="O2834" s="34"/>
      <c r="P2834" s="34"/>
      <c r="Q2834" s="34"/>
    </row>
    <row r="2835" ht="15.75" customHeight="1">
      <c r="A2835" s="40"/>
      <c r="B2835" s="29"/>
      <c r="C2835" s="4"/>
      <c r="D2835" s="34"/>
      <c r="E2835" s="39"/>
      <c r="F2835" s="35"/>
      <c r="G2835" s="35"/>
      <c r="H2835" s="38"/>
      <c r="I2835" s="35"/>
      <c r="J2835" s="35"/>
      <c r="K2835" s="42"/>
      <c r="L2835" s="38"/>
      <c r="M2835" s="43"/>
      <c r="N2835" s="34"/>
      <c r="O2835" s="34"/>
      <c r="P2835" s="34"/>
      <c r="Q2835" s="34"/>
    </row>
    <row r="2836" ht="15.75" customHeight="1">
      <c r="A2836" s="40"/>
      <c r="B2836" s="29"/>
      <c r="C2836" s="4"/>
      <c r="D2836" s="34"/>
      <c r="E2836" s="39"/>
      <c r="F2836" s="35"/>
      <c r="G2836" s="35"/>
      <c r="H2836" s="38"/>
      <c r="I2836" s="35"/>
      <c r="J2836" s="35"/>
      <c r="K2836" s="42"/>
      <c r="L2836" s="38"/>
      <c r="M2836" s="43"/>
      <c r="N2836" s="34"/>
      <c r="O2836" s="34"/>
      <c r="P2836" s="34"/>
      <c r="Q2836" s="34"/>
    </row>
    <row r="2837" ht="15.75" customHeight="1">
      <c r="A2837" s="40"/>
      <c r="B2837" s="29"/>
      <c r="C2837" s="4"/>
      <c r="D2837" s="34"/>
      <c r="E2837" s="39"/>
      <c r="F2837" s="35"/>
      <c r="G2837" s="35"/>
      <c r="H2837" s="38"/>
      <c r="I2837" s="35"/>
      <c r="J2837" s="35"/>
      <c r="K2837" s="42"/>
      <c r="L2837" s="38"/>
      <c r="M2837" s="43"/>
      <c r="N2837" s="34"/>
      <c r="O2837" s="34"/>
      <c r="P2837" s="34"/>
      <c r="Q2837" s="34"/>
    </row>
    <row r="2838" ht="15.75" customHeight="1">
      <c r="A2838" s="40"/>
      <c r="B2838" s="29"/>
      <c r="C2838" s="4"/>
      <c r="D2838" s="34"/>
      <c r="E2838" s="39"/>
      <c r="F2838" s="35"/>
      <c r="G2838" s="35"/>
      <c r="H2838" s="38"/>
      <c r="I2838" s="35"/>
      <c r="J2838" s="35"/>
      <c r="K2838" s="42"/>
      <c r="L2838" s="38"/>
      <c r="M2838" s="43"/>
      <c r="N2838" s="34"/>
      <c r="O2838" s="34"/>
      <c r="P2838" s="34"/>
      <c r="Q2838" s="34"/>
    </row>
    <row r="2839" ht="15.75" customHeight="1">
      <c r="A2839" s="40"/>
      <c r="B2839" s="29"/>
      <c r="C2839" s="4"/>
      <c r="D2839" s="34"/>
      <c r="E2839" s="39"/>
      <c r="F2839" s="35"/>
      <c r="G2839" s="35"/>
      <c r="H2839" s="38"/>
      <c r="I2839" s="35"/>
      <c r="J2839" s="35"/>
      <c r="K2839" s="42"/>
      <c r="L2839" s="38"/>
      <c r="M2839" s="43"/>
      <c r="N2839" s="34"/>
      <c r="O2839" s="34"/>
      <c r="P2839" s="34"/>
      <c r="Q2839" s="34"/>
    </row>
    <row r="2840" ht="15.75" customHeight="1">
      <c r="A2840" s="40"/>
      <c r="B2840" s="29"/>
      <c r="C2840" s="4"/>
      <c r="D2840" s="34"/>
      <c r="E2840" s="39"/>
      <c r="F2840" s="35"/>
      <c r="G2840" s="35"/>
      <c r="H2840" s="38"/>
      <c r="I2840" s="35"/>
      <c r="J2840" s="35"/>
      <c r="K2840" s="42"/>
      <c r="L2840" s="38"/>
      <c r="M2840" s="43"/>
      <c r="N2840" s="34"/>
      <c r="O2840" s="34"/>
      <c r="P2840" s="34"/>
      <c r="Q2840" s="34"/>
    </row>
    <row r="2841" ht="15.75" customHeight="1">
      <c r="A2841" s="40"/>
      <c r="B2841" s="29"/>
      <c r="C2841" s="4"/>
      <c r="D2841" s="34"/>
      <c r="E2841" s="39"/>
      <c r="F2841" s="35"/>
      <c r="G2841" s="35"/>
      <c r="H2841" s="38"/>
      <c r="I2841" s="35"/>
      <c r="J2841" s="35"/>
      <c r="K2841" s="42"/>
      <c r="L2841" s="38"/>
      <c r="M2841" s="43"/>
      <c r="N2841" s="34"/>
      <c r="O2841" s="34"/>
      <c r="P2841" s="34"/>
      <c r="Q2841" s="34"/>
    </row>
    <row r="2842" ht="15.75" customHeight="1">
      <c r="A2842" s="40"/>
      <c r="B2842" s="29"/>
      <c r="C2842" s="4"/>
      <c r="D2842" s="34"/>
      <c r="E2842" s="39"/>
      <c r="F2842" s="35"/>
      <c r="G2842" s="35"/>
      <c r="H2842" s="38"/>
      <c r="I2842" s="35"/>
      <c r="J2842" s="35"/>
      <c r="K2842" s="42"/>
      <c r="L2842" s="38"/>
      <c r="M2842" s="43"/>
      <c r="N2842" s="34"/>
      <c r="O2842" s="34"/>
      <c r="P2842" s="34"/>
      <c r="Q2842" s="34"/>
    </row>
    <row r="2843" ht="15.75" customHeight="1">
      <c r="A2843" s="40"/>
      <c r="B2843" s="29"/>
      <c r="C2843" s="4"/>
      <c r="D2843" s="34"/>
      <c r="E2843" s="39"/>
      <c r="F2843" s="35"/>
      <c r="G2843" s="35"/>
      <c r="H2843" s="38"/>
      <c r="I2843" s="35"/>
      <c r="J2843" s="35"/>
      <c r="K2843" s="42"/>
      <c r="L2843" s="38"/>
      <c r="M2843" s="43"/>
      <c r="N2843" s="34"/>
      <c r="O2843" s="34"/>
      <c r="P2843" s="34"/>
      <c r="Q2843" s="34"/>
    </row>
    <row r="2844" ht="15.75" customHeight="1">
      <c r="A2844" s="40"/>
      <c r="B2844" s="29"/>
      <c r="C2844" s="4"/>
      <c r="D2844" s="34"/>
      <c r="E2844" s="39"/>
      <c r="F2844" s="35"/>
      <c r="G2844" s="35"/>
      <c r="H2844" s="38"/>
      <c r="I2844" s="35"/>
      <c r="J2844" s="35"/>
      <c r="K2844" s="42"/>
      <c r="L2844" s="38"/>
      <c r="M2844" s="43"/>
      <c r="N2844" s="34"/>
      <c r="O2844" s="34"/>
      <c r="P2844" s="34"/>
      <c r="Q2844" s="34"/>
    </row>
    <row r="2845" ht="15.75" customHeight="1">
      <c r="A2845" s="40"/>
      <c r="B2845" s="29"/>
      <c r="C2845" s="4"/>
      <c r="D2845" s="34"/>
      <c r="E2845" s="39"/>
      <c r="F2845" s="35"/>
      <c r="G2845" s="35"/>
      <c r="H2845" s="38"/>
      <c r="I2845" s="35"/>
      <c r="J2845" s="35"/>
      <c r="K2845" s="42"/>
      <c r="L2845" s="38"/>
      <c r="M2845" s="43"/>
      <c r="N2845" s="34"/>
      <c r="O2845" s="34"/>
      <c r="P2845" s="34"/>
      <c r="Q2845" s="34"/>
    </row>
    <row r="2846" ht="15.75" customHeight="1">
      <c r="A2846" s="40"/>
      <c r="B2846" s="29"/>
      <c r="C2846" s="4"/>
      <c r="D2846" s="34"/>
      <c r="E2846" s="39"/>
      <c r="F2846" s="35"/>
      <c r="G2846" s="35"/>
      <c r="H2846" s="38"/>
      <c r="I2846" s="35"/>
      <c r="J2846" s="35"/>
      <c r="K2846" s="42"/>
      <c r="L2846" s="38"/>
      <c r="M2846" s="43"/>
      <c r="N2846" s="34"/>
      <c r="O2846" s="34"/>
      <c r="P2846" s="34"/>
      <c r="Q2846" s="34"/>
    </row>
    <row r="2847" ht="15.75" customHeight="1">
      <c r="A2847" s="40"/>
      <c r="B2847" s="29"/>
      <c r="C2847" s="4"/>
      <c r="D2847" s="34"/>
      <c r="E2847" s="39"/>
      <c r="F2847" s="35"/>
      <c r="G2847" s="35"/>
      <c r="H2847" s="38"/>
      <c r="I2847" s="35"/>
      <c r="J2847" s="35"/>
      <c r="K2847" s="42"/>
      <c r="L2847" s="38"/>
      <c r="M2847" s="43"/>
      <c r="N2847" s="34"/>
      <c r="O2847" s="34"/>
      <c r="P2847" s="34"/>
      <c r="Q2847" s="34"/>
    </row>
    <row r="2848" ht="15.75" customHeight="1">
      <c r="A2848" s="40"/>
      <c r="B2848" s="29"/>
      <c r="C2848" s="4"/>
      <c r="D2848" s="34"/>
      <c r="E2848" s="39"/>
      <c r="F2848" s="35"/>
      <c r="G2848" s="35"/>
      <c r="H2848" s="38"/>
      <c r="I2848" s="35"/>
      <c r="J2848" s="35"/>
      <c r="K2848" s="42"/>
      <c r="L2848" s="38"/>
      <c r="M2848" s="43"/>
      <c r="N2848" s="34"/>
      <c r="O2848" s="34"/>
      <c r="P2848" s="34"/>
      <c r="Q2848" s="34"/>
    </row>
    <row r="2849" ht="15.75" customHeight="1">
      <c r="A2849" s="40"/>
      <c r="B2849" s="29"/>
      <c r="C2849" s="4"/>
      <c r="D2849" s="34"/>
      <c r="E2849" s="39"/>
      <c r="F2849" s="35"/>
      <c r="G2849" s="35"/>
      <c r="H2849" s="38"/>
      <c r="I2849" s="35"/>
      <c r="J2849" s="35"/>
      <c r="K2849" s="42"/>
      <c r="L2849" s="38"/>
      <c r="M2849" s="43"/>
      <c r="N2849" s="34"/>
      <c r="O2849" s="34"/>
      <c r="P2849" s="34"/>
      <c r="Q2849" s="34"/>
    </row>
    <row r="2850" ht="15.75" customHeight="1">
      <c r="A2850" s="40"/>
      <c r="B2850" s="29"/>
      <c r="C2850" s="4"/>
      <c r="D2850" s="34"/>
      <c r="E2850" s="39"/>
      <c r="F2850" s="35"/>
      <c r="G2850" s="35"/>
      <c r="H2850" s="38"/>
      <c r="I2850" s="35"/>
      <c r="J2850" s="35"/>
      <c r="K2850" s="42"/>
      <c r="L2850" s="38"/>
      <c r="M2850" s="43"/>
      <c r="N2850" s="34"/>
      <c r="O2850" s="34"/>
      <c r="P2850" s="34"/>
      <c r="Q2850" s="34"/>
    </row>
    <row r="2851" ht="15.75" customHeight="1">
      <c r="A2851" s="40"/>
      <c r="B2851" s="29"/>
      <c r="C2851" s="4"/>
      <c r="D2851" s="34"/>
      <c r="E2851" s="39"/>
      <c r="F2851" s="35"/>
      <c r="G2851" s="35"/>
      <c r="H2851" s="38"/>
      <c r="I2851" s="35"/>
      <c r="J2851" s="35"/>
      <c r="K2851" s="42"/>
      <c r="L2851" s="38"/>
      <c r="M2851" s="43"/>
      <c r="N2851" s="34"/>
      <c r="O2851" s="34"/>
      <c r="P2851" s="34"/>
      <c r="Q2851" s="34"/>
    </row>
    <row r="2852" ht="15.75" customHeight="1">
      <c r="A2852" s="40"/>
      <c r="B2852" s="29"/>
      <c r="C2852" s="4"/>
      <c r="D2852" s="34"/>
      <c r="E2852" s="39"/>
      <c r="F2852" s="35"/>
      <c r="G2852" s="35"/>
      <c r="H2852" s="38"/>
      <c r="I2852" s="35"/>
      <c r="J2852" s="35"/>
      <c r="K2852" s="42"/>
      <c r="L2852" s="38"/>
      <c r="M2852" s="43"/>
      <c r="N2852" s="34"/>
      <c r="O2852" s="34"/>
      <c r="P2852" s="34"/>
      <c r="Q2852" s="34"/>
    </row>
    <row r="2853" ht="15.75" customHeight="1">
      <c r="A2853" s="40"/>
      <c r="B2853" s="29"/>
      <c r="C2853" s="4"/>
      <c r="D2853" s="34"/>
      <c r="E2853" s="39"/>
      <c r="F2853" s="35"/>
      <c r="G2853" s="35"/>
      <c r="H2853" s="38"/>
      <c r="I2853" s="35"/>
      <c r="J2853" s="35"/>
      <c r="K2853" s="42"/>
      <c r="L2853" s="38"/>
      <c r="M2853" s="43"/>
      <c r="N2853" s="34"/>
      <c r="O2853" s="34"/>
      <c r="P2853" s="34"/>
      <c r="Q2853" s="34"/>
    </row>
    <row r="2854" ht="15.75" customHeight="1">
      <c r="A2854" s="40"/>
      <c r="B2854" s="29"/>
      <c r="C2854" s="4"/>
      <c r="D2854" s="34"/>
      <c r="E2854" s="39"/>
      <c r="F2854" s="35"/>
      <c r="G2854" s="35"/>
      <c r="H2854" s="38"/>
      <c r="I2854" s="35"/>
      <c r="J2854" s="35"/>
      <c r="K2854" s="42"/>
      <c r="L2854" s="38"/>
      <c r="M2854" s="43"/>
      <c r="N2854" s="34"/>
      <c r="O2854" s="34"/>
      <c r="P2854" s="34"/>
      <c r="Q2854" s="34"/>
    </row>
    <row r="2855" ht="15.75" customHeight="1">
      <c r="A2855" s="40"/>
      <c r="B2855" s="29"/>
      <c r="C2855" s="4"/>
      <c r="D2855" s="34"/>
      <c r="E2855" s="39"/>
      <c r="F2855" s="35"/>
      <c r="G2855" s="35"/>
      <c r="H2855" s="38"/>
      <c r="I2855" s="35"/>
      <c r="J2855" s="35"/>
      <c r="K2855" s="42"/>
      <c r="L2855" s="38"/>
      <c r="M2855" s="43"/>
      <c r="N2855" s="34"/>
      <c r="O2855" s="34"/>
      <c r="P2855" s="34"/>
      <c r="Q2855" s="34"/>
    </row>
    <row r="2856" ht="15.75" customHeight="1">
      <c r="A2856" s="40"/>
      <c r="B2856" s="29"/>
      <c r="C2856" s="4"/>
      <c r="D2856" s="34"/>
      <c r="E2856" s="39"/>
      <c r="F2856" s="35"/>
      <c r="G2856" s="35"/>
      <c r="H2856" s="38"/>
      <c r="I2856" s="35"/>
      <c r="J2856" s="35"/>
      <c r="K2856" s="42"/>
      <c r="L2856" s="38"/>
      <c r="M2856" s="43"/>
      <c r="N2856" s="34"/>
      <c r="O2856" s="34"/>
      <c r="P2856" s="34"/>
      <c r="Q2856" s="34"/>
    </row>
    <row r="2857" ht="15.75" customHeight="1">
      <c r="A2857" s="40"/>
      <c r="B2857" s="29"/>
      <c r="C2857" s="4"/>
      <c r="D2857" s="34"/>
      <c r="E2857" s="39"/>
      <c r="F2857" s="35"/>
      <c r="G2857" s="35"/>
      <c r="H2857" s="38"/>
      <c r="I2857" s="35"/>
      <c r="J2857" s="35"/>
      <c r="K2857" s="42"/>
      <c r="L2857" s="38"/>
      <c r="M2857" s="43"/>
      <c r="N2857" s="34"/>
      <c r="O2857" s="34"/>
      <c r="P2857" s="34"/>
      <c r="Q2857" s="34"/>
    </row>
    <row r="2858" ht="15.75" customHeight="1">
      <c r="A2858" s="40"/>
      <c r="B2858" s="29"/>
      <c r="C2858" s="4"/>
      <c r="D2858" s="34"/>
      <c r="E2858" s="39"/>
      <c r="F2858" s="35"/>
      <c r="G2858" s="35"/>
      <c r="H2858" s="38"/>
      <c r="I2858" s="35"/>
      <c r="J2858" s="35"/>
      <c r="K2858" s="42"/>
      <c r="L2858" s="38"/>
      <c r="M2858" s="43"/>
      <c r="N2858" s="34"/>
      <c r="O2858" s="34"/>
      <c r="P2858" s="34"/>
      <c r="Q2858" s="34"/>
    </row>
    <row r="2859" ht="15.75" customHeight="1">
      <c r="A2859" s="40"/>
      <c r="B2859" s="29"/>
      <c r="C2859" s="4"/>
      <c r="D2859" s="34"/>
      <c r="E2859" s="39"/>
      <c r="F2859" s="35"/>
      <c r="G2859" s="35"/>
      <c r="H2859" s="38"/>
      <c r="I2859" s="35"/>
      <c r="J2859" s="35"/>
      <c r="K2859" s="42"/>
      <c r="L2859" s="38"/>
      <c r="M2859" s="43"/>
      <c r="N2859" s="34"/>
      <c r="O2859" s="34"/>
      <c r="P2859" s="34"/>
      <c r="Q2859" s="34"/>
    </row>
    <row r="2860" ht="15.75" customHeight="1">
      <c r="A2860" s="40"/>
      <c r="B2860" s="29"/>
      <c r="C2860" s="4"/>
      <c r="D2860" s="34"/>
      <c r="E2860" s="39"/>
      <c r="F2860" s="35"/>
      <c r="G2860" s="35"/>
      <c r="H2860" s="38"/>
      <c r="I2860" s="35"/>
      <c r="J2860" s="35"/>
      <c r="K2860" s="42"/>
      <c r="L2860" s="38"/>
      <c r="M2860" s="43"/>
      <c r="N2860" s="34"/>
      <c r="O2860" s="34"/>
      <c r="P2860" s="34"/>
      <c r="Q2860" s="34"/>
    </row>
    <row r="2861" ht="15.75" customHeight="1">
      <c r="A2861" s="40"/>
      <c r="B2861" s="29"/>
      <c r="C2861" s="4"/>
      <c r="D2861" s="34"/>
      <c r="E2861" s="39"/>
      <c r="F2861" s="35"/>
      <c r="G2861" s="35"/>
      <c r="H2861" s="38"/>
      <c r="I2861" s="35"/>
      <c r="J2861" s="35"/>
      <c r="K2861" s="42"/>
      <c r="L2861" s="38"/>
      <c r="M2861" s="43"/>
      <c r="N2861" s="34"/>
      <c r="O2861" s="34"/>
      <c r="P2861" s="34"/>
      <c r="Q2861" s="34"/>
    </row>
    <row r="2862" ht="15.75" customHeight="1">
      <c r="A2862" s="40"/>
      <c r="B2862" s="29"/>
      <c r="C2862" s="4"/>
      <c r="D2862" s="34"/>
      <c r="E2862" s="39"/>
      <c r="F2862" s="35"/>
      <c r="G2862" s="35"/>
      <c r="H2862" s="38"/>
      <c r="I2862" s="35"/>
      <c r="J2862" s="35"/>
      <c r="K2862" s="42"/>
      <c r="L2862" s="38"/>
      <c r="M2862" s="43"/>
      <c r="N2862" s="34"/>
      <c r="O2862" s="34"/>
      <c r="P2862" s="34"/>
      <c r="Q2862" s="34"/>
    </row>
    <row r="2863" ht="15.75" customHeight="1">
      <c r="A2863" s="40"/>
      <c r="B2863" s="29"/>
      <c r="C2863" s="4"/>
      <c r="D2863" s="34"/>
      <c r="E2863" s="39"/>
      <c r="F2863" s="35"/>
      <c r="G2863" s="35"/>
      <c r="H2863" s="38"/>
      <c r="I2863" s="35"/>
      <c r="J2863" s="35"/>
      <c r="K2863" s="42"/>
      <c r="L2863" s="38"/>
      <c r="M2863" s="43"/>
      <c r="N2863" s="34"/>
      <c r="O2863" s="34"/>
      <c r="P2863" s="34"/>
      <c r="Q2863" s="34"/>
    </row>
    <row r="2864" ht="15.75" customHeight="1">
      <c r="A2864" s="40"/>
      <c r="B2864" s="29"/>
      <c r="C2864" s="4"/>
      <c r="D2864" s="34"/>
      <c r="E2864" s="39"/>
      <c r="F2864" s="35"/>
      <c r="G2864" s="35"/>
      <c r="H2864" s="38"/>
      <c r="I2864" s="35"/>
      <c r="J2864" s="35"/>
      <c r="K2864" s="42"/>
      <c r="L2864" s="38"/>
      <c r="M2864" s="43"/>
      <c r="N2864" s="34"/>
      <c r="O2864" s="34"/>
      <c r="P2864" s="34"/>
      <c r="Q2864" s="34"/>
    </row>
    <row r="2865" ht="15.75" customHeight="1">
      <c r="A2865" s="40"/>
      <c r="B2865" s="29"/>
      <c r="C2865" s="4"/>
      <c r="D2865" s="34"/>
      <c r="E2865" s="39"/>
      <c r="F2865" s="35"/>
      <c r="G2865" s="35"/>
      <c r="H2865" s="38"/>
      <c r="I2865" s="35"/>
      <c r="J2865" s="35"/>
      <c r="K2865" s="42"/>
      <c r="L2865" s="38"/>
      <c r="M2865" s="43"/>
      <c r="N2865" s="34"/>
      <c r="O2865" s="34"/>
      <c r="P2865" s="34"/>
      <c r="Q2865" s="34"/>
    </row>
    <row r="2866" ht="15.75" customHeight="1">
      <c r="A2866" s="40"/>
      <c r="B2866" s="29"/>
      <c r="C2866" s="4"/>
      <c r="D2866" s="34"/>
      <c r="E2866" s="39"/>
      <c r="F2866" s="35"/>
      <c r="G2866" s="35"/>
      <c r="H2866" s="38"/>
      <c r="I2866" s="35"/>
      <c r="J2866" s="35"/>
      <c r="K2866" s="42"/>
      <c r="L2866" s="38"/>
      <c r="M2866" s="43"/>
      <c r="N2866" s="34"/>
      <c r="O2866" s="34"/>
      <c r="P2866" s="34"/>
      <c r="Q2866" s="34"/>
    </row>
    <row r="2867" ht="15.75" customHeight="1">
      <c r="A2867" s="40"/>
      <c r="B2867" s="29"/>
      <c r="C2867" s="4"/>
      <c r="D2867" s="34"/>
      <c r="E2867" s="39"/>
      <c r="F2867" s="35"/>
      <c r="G2867" s="35"/>
      <c r="H2867" s="38"/>
      <c r="I2867" s="35"/>
      <c r="J2867" s="35"/>
      <c r="K2867" s="42"/>
      <c r="L2867" s="38"/>
      <c r="M2867" s="43"/>
      <c r="N2867" s="34"/>
      <c r="O2867" s="34"/>
      <c r="P2867" s="34"/>
      <c r="Q2867" s="34"/>
    </row>
    <row r="2868" ht="15.75" customHeight="1">
      <c r="A2868" s="40"/>
      <c r="B2868" s="29"/>
      <c r="C2868" s="4"/>
      <c r="D2868" s="34"/>
      <c r="E2868" s="39"/>
      <c r="F2868" s="35"/>
      <c r="G2868" s="35"/>
      <c r="H2868" s="38"/>
      <c r="I2868" s="35"/>
      <c r="J2868" s="35"/>
      <c r="K2868" s="42"/>
      <c r="L2868" s="38"/>
      <c r="M2868" s="43"/>
      <c r="N2868" s="34"/>
      <c r="O2868" s="34"/>
      <c r="P2868" s="34"/>
      <c r="Q2868" s="34"/>
    </row>
    <row r="2869" ht="15.75" customHeight="1">
      <c r="A2869" s="40"/>
      <c r="B2869" s="29"/>
      <c r="C2869" s="4"/>
      <c r="D2869" s="34"/>
      <c r="E2869" s="39"/>
      <c r="F2869" s="35"/>
      <c r="G2869" s="35"/>
      <c r="H2869" s="38"/>
      <c r="I2869" s="35"/>
      <c r="J2869" s="35"/>
      <c r="K2869" s="42"/>
      <c r="L2869" s="38"/>
      <c r="M2869" s="43"/>
      <c r="N2869" s="34"/>
      <c r="O2869" s="34"/>
      <c r="P2869" s="34"/>
      <c r="Q2869" s="34"/>
    </row>
    <row r="2870" ht="15.75" customHeight="1">
      <c r="A2870" s="40"/>
      <c r="B2870" s="29"/>
      <c r="C2870" s="4"/>
      <c r="D2870" s="34"/>
      <c r="E2870" s="39"/>
      <c r="F2870" s="35"/>
      <c r="G2870" s="35"/>
      <c r="H2870" s="38"/>
      <c r="I2870" s="35"/>
      <c r="J2870" s="35"/>
      <c r="K2870" s="42"/>
      <c r="L2870" s="38"/>
      <c r="M2870" s="43"/>
      <c r="N2870" s="34"/>
      <c r="O2870" s="34"/>
      <c r="P2870" s="34"/>
      <c r="Q2870" s="34"/>
    </row>
    <row r="2871" ht="15.75" customHeight="1">
      <c r="A2871" s="40"/>
      <c r="B2871" s="29"/>
      <c r="C2871" s="4"/>
      <c r="D2871" s="34"/>
      <c r="E2871" s="39"/>
      <c r="F2871" s="35"/>
      <c r="G2871" s="35"/>
      <c r="H2871" s="38"/>
      <c r="I2871" s="35"/>
      <c r="J2871" s="35"/>
      <c r="K2871" s="42"/>
      <c r="L2871" s="38"/>
      <c r="M2871" s="43"/>
      <c r="N2871" s="34"/>
      <c r="O2871" s="34"/>
      <c r="P2871" s="34"/>
      <c r="Q2871" s="34"/>
    </row>
    <row r="2872" ht="15.75" customHeight="1">
      <c r="A2872" s="40"/>
      <c r="B2872" s="29"/>
      <c r="C2872" s="4"/>
      <c r="D2872" s="34"/>
      <c r="E2872" s="39"/>
      <c r="F2872" s="35"/>
      <c r="G2872" s="35"/>
      <c r="H2872" s="38"/>
      <c r="I2872" s="35"/>
      <c r="J2872" s="35"/>
      <c r="K2872" s="42"/>
      <c r="L2872" s="38"/>
      <c r="M2872" s="43"/>
      <c r="N2872" s="34"/>
      <c r="O2872" s="34"/>
      <c r="P2872" s="34"/>
      <c r="Q2872" s="34"/>
    </row>
    <row r="2873" ht="15.75" customHeight="1">
      <c r="A2873" s="40"/>
      <c r="B2873" s="29"/>
      <c r="C2873" s="4"/>
      <c r="D2873" s="34"/>
      <c r="E2873" s="39"/>
      <c r="F2873" s="35"/>
      <c r="G2873" s="35"/>
      <c r="H2873" s="38"/>
      <c r="I2873" s="35"/>
      <c r="J2873" s="35"/>
      <c r="K2873" s="42"/>
      <c r="L2873" s="38"/>
      <c r="M2873" s="43"/>
      <c r="N2873" s="34"/>
      <c r="O2873" s="34"/>
      <c r="P2873" s="34"/>
      <c r="Q2873" s="34"/>
    </row>
    <row r="2874" ht="15.75" customHeight="1">
      <c r="A2874" s="40"/>
      <c r="B2874" s="29"/>
      <c r="C2874" s="4"/>
      <c r="D2874" s="34"/>
      <c r="E2874" s="39"/>
      <c r="F2874" s="35"/>
      <c r="G2874" s="35"/>
      <c r="H2874" s="38"/>
      <c r="I2874" s="35"/>
      <c r="J2874" s="35"/>
      <c r="K2874" s="42"/>
      <c r="L2874" s="38"/>
      <c r="M2874" s="43"/>
      <c r="N2874" s="34"/>
      <c r="O2874" s="34"/>
      <c r="P2874" s="34"/>
      <c r="Q2874" s="34"/>
    </row>
    <row r="2875" ht="15.75" customHeight="1">
      <c r="A2875" s="40"/>
      <c r="B2875" s="29"/>
      <c r="C2875" s="4"/>
      <c r="D2875" s="34"/>
      <c r="E2875" s="39"/>
      <c r="F2875" s="35"/>
      <c r="G2875" s="35"/>
      <c r="H2875" s="38"/>
      <c r="I2875" s="35"/>
      <c r="J2875" s="35"/>
      <c r="K2875" s="42"/>
      <c r="L2875" s="38"/>
      <c r="M2875" s="43"/>
      <c r="N2875" s="34"/>
      <c r="O2875" s="34"/>
      <c r="P2875" s="34"/>
      <c r="Q2875" s="34"/>
    </row>
    <row r="2876" ht="15.75" customHeight="1">
      <c r="A2876" s="40"/>
      <c r="B2876" s="29"/>
      <c r="C2876" s="4"/>
      <c r="D2876" s="34"/>
      <c r="E2876" s="39"/>
      <c r="F2876" s="35"/>
      <c r="G2876" s="35"/>
      <c r="H2876" s="38"/>
      <c r="I2876" s="35"/>
      <c r="J2876" s="35"/>
      <c r="K2876" s="42"/>
      <c r="L2876" s="38"/>
      <c r="M2876" s="43"/>
      <c r="N2876" s="34"/>
      <c r="O2876" s="34"/>
      <c r="P2876" s="34"/>
      <c r="Q2876" s="34"/>
    </row>
    <row r="2877" ht="15.75" customHeight="1">
      <c r="A2877" s="40"/>
      <c r="B2877" s="29"/>
      <c r="C2877" s="4"/>
      <c r="D2877" s="34"/>
      <c r="E2877" s="39"/>
      <c r="F2877" s="35"/>
      <c r="G2877" s="35"/>
      <c r="H2877" s="38"/>
      <c r="I2877" s="35"/>
      <c r="J2877" s="35"/>
      <c r="K2877" s="42"/>
      <c r="L2877" s="38"/>
      <c r="M2877" s="43"/>
      <c r="N2877" s="34"/>
      <c r="O2877" s="34"/>
      <c r="P2877" s="34"/>
      <c r="Q2877" s="34"/>
    </row>
    <row r="2878" ht="15.75" customHeight="1">
      <c r="A2878" s="40"/>
      <c r="B2878" s="29"/>
      <c r="C2878" s="4"/>
      <c r="D2878" s="34"/>
      <c r="E2878" s="39"/>
      <c r="F2878" s="35"/>
      <c r="G2878" s="35"/>
      <c r="H2878" s="38"/>
      <c r="I2878" s="35"/>
      <c r="J2878" s="35"/>
      <c r="K2878" s="42"/>
      <c r="L2878" s="38"/>
      <c r="M2878" s="43"/>
      <c r="N2878" s="34"/>
      <c r="O2878" s="34"/>
      <c r="P2878" s="34"/>
      <c r="Q2878" s="34"/>
    </row>
    <row r="2879" ht="15.75" customHeight="1">
      <c r="A2879" s="40"/>
      <c r="B2879" s="29"/>
      <c r="C2879" s="4"/>
      <c r="D2879" s="34"/>
      <c r="E2879" s="39"/>
      <c r="F2879" s="35"/>
      <c r="G2879" s="35"/>
      <c r="H2879" s="38"/>
      <c r="I2879" s="35"/>
      <c r="J2879" s="35"/>
      <c r="K2879" s="42"/>
      <c r="L2879" s="38"/>
      <c r="M2879" s="43"/>
      <c r="N2879" s="34"/>
      <c r="O2879" s="34"/>
      <c r="P2879" s="34"/>
      <c r="Q2879" s="34"/>
    </row>
    <row r="2880" ht="15.75" customHeight="1">
      <c r="A2880" s="40"/>
      <c r="B2880" s="29"/>
      <c r="C2880" s="4"/>
      <c r="D2880" s="34"/>
      <c r="E2880" s="39"/>
      <c r="F2880" s="35"/>
      <c r="G2880" s="35"/>
      <c r="H2880" s="38"/>
      <c r="I2880" s="35"/>
      <c r="J2880" s="35"/>
      <c r="K2880" s="42"/>
      <c r="L2880" s="38"/>
      <c r="M2880" s="43"/>
      <c r="N2880" s="34"/>
      <c r="O2880" s="34"/>
      <c r="P2880" s="34"/>
      <c r="Q2880" s="34"/>
    </row>
    <row r="2881" ht="15.75" customHeight="1">
      <c r="A2881" s="40"/>
      <c r="B2881" s="29"/>
      <c r="C2881" s="4"/>
      <c r="D2881" s="34"/>
      <c r="E2881" s="39"/>
      <c r="F2881" s="35"/>
      <c r="G2881" s="35"/>
      <c r="H2881" s="38"/>
      <c r="I2881" s="35"/>
      <c r="J2881" s="35"/>
      <c r="K2881" s="42"/>
      <c r="L2881" s="38"/>
      <c r="M2881" s="43"/>
      <c r="N2881" s="34"/>
      <c r="O2881" s="34"/>
      <c r="P2881" s="34"/>
      <c r="Q2881" s="34"/>
    </row>
    <row r="2882" ht="15.75" customHeight="1">
      <c r="A2882" s="40"/>
      <c r="B2882" s="29"/>
      <c r="C2882" s="4"/>
      <c r="D2882" s="34"/>
      <c r="E2882" s="39"/>
      <c r="F2882" s="35"/>
      <c r="G2882" s="35"/>
      <c r="H2882" s="38"/>
      <c r="I2882" s="35"/>
      <c r="J2882" s="35"/>
      <c r="K2882" s="42"/>
      <c r="L2882" s="38"/>
      <c r="M2882" s="43"/>
      <c r="N2882" s="34"/>
      <c r="O2882" s="34"/>
      <c r="P2882" s="34"/>
      <c r="Q2882" s="34"/>
    </row>
    <row r="2883" ht="15.75" customHeight="1">
      <c r="A2883" s="40"/>
      <c r="B2883" s="29"/>
      <c r="C2883" s="4"/>
      <c r="D2883" s="34"/>
      <c r="E2883" s="39"/>
      <c r="F2883" s="35"/>
      <c r="G2883" s="35"/>
      <c r="H2883" s="38"/>
      <c r="I2883" s="35"/>
      <c r="J2883" s="35"/>
      <c r="K2883" s="42"/>
      <c r="L2883" s="38"/>
      <c r="M2883" s="43"/>
      <c r="N2883" s="34"/>
      <c r="O2883" s="34"/>
      <c r="P2883" s="34"/>
      <c r="Q2883" s="34"/>
    </row>
    <row r="2884" ht="15.75" customHeight="1">
      <c r="A2884" s="40"/>
      <c r="B2884" s="29"/>
      <c r="C2884" s="4"/>
      <c r="D2884" s="34"/>
      <c r="E2884" s="39"/>
      <c r="F2884" s="35"/>
      <c r="G2884" s="35"/>
      <c r="H2884" s="38"/>
      <c r="I2884" s="35"/>
      <c r="J2884" s="35"/>
      <c r="K2884" s="42"/>
      <c r="L2884" s="38"/>
      <c r="M2884" s="43"/>
      <c r="N2884" s="34"/>
      <c r="O2884" s="34"/>
      <c r="P2884" s="34"/>
      <c r="Q2884" s="34"/>
    </row>
    <row r="2885" ht="15.75" customHeight="1">
      <c r="A2885" s="40"/>
      <c r="B2885" s="29"/>
      <c r="C2885" s="4"/>
      <c r="D2885" s="34"/>
      <c r="E2885" s="39"/>
      <c r="F2885" s="35"/>
      <c r="G2885" s="35"/>
      <c r="H2885" s="38"/>
      <c r="I2885" s="35"/>
      <c r="J2885" s="35"/>
      <c r="K2885" s="42"/>
      <c r="L2885" s="38"/>
      <c r="M2885" s="43"/>
      <c r="N2885" s="34"/>
      <c r="O2885" s="34"/>
      <c r="P2885" s="34"/>
      <c r="Q2885" s="34"/>
    </row>
    <row r="2886" ht="15.75" customHeight="1">
      <c r="A2886" s="40"/>
      <c r="B2886" s="29"/>
      <c r="C2886" s="4"/>
      <c r="D2886" s="34"/>
      <c r="E2886" s="39"/>
      <c r="F2886" s="35"/>
      <c r="G2886" s="35"/>
      <c r="H2886" s="38"/>
      <c r="I2886" s="35"/>
      <c r="J2886" s="35"/>
      <c r="K2886" s="42"/>
      <c r="L2886" s="38"/>
      <c r="M2886" s="43"/>
      <c r="N2886" s="34"/>
      <c r="O2886" s="34"/>
      <c r="P2886" s="34"/>
      <c r="Q2886" s="34"/>
    </row>
    <row r="2887" ht="15.75" customHeight="1">
      <c r="A2887" s="40"/>
      <c r="B2887" s="29"/>
      <c r="C2887" s="4"/>
      <c r="D2887" s="34"/>
      <c r="E2887" s="39"/>
      <c r="F2887" s="35"/>
      <c r="G2887" s="35"/>
      <c r="H2887" s="38"/>
      <c r="I2887" s="35"/>
      <c r="J2887" s="35"/>
      <c r="K2887" s="42"/>
      <c r="L2887" s="38"/>
      <c r="M2887" s="43"/>
      <c r="N2887" s="34"/>
      <c r="O2887" s="34"/>
      <c r="P2887" s="34"/>
      <c r="Q2887" s="34"/>
    </row>
    <row r="2888" ht="15.75" customHeight="1">
      <c r="A2888" s="40"/>
      <c r="B2888" s="29"/>
      <c r="C2888" s="4"/>
      <c r="D2888" s="34"/>
      <c r="E2888" s="39"/>
      <c r="F2888" s="35"/>
      <c r="G2888" s="35"/>
      <c r="H2888" s="38"/>
      <c r="I2888" s="35"/>
      <c r="J2888" s="35"/>
      <c r="K2888" s="42"/>
      <c r="L2888" s="38"/>
      <c r="M2888" s="43"/>
      <c r="N2888" s="34"/>
      <c r="O2888" s="34"/>
      <c r="P2888" s="34"/>
      <c r="Q2888" s="34"/>
    </row>
    <row r="2889" ht="15.75" customHeight="1">
      <c r="A2889" s="40"/>
      <c r="B2889" s="29"/>
      <c r="C2889" s="4"/>
      <c r="D2889" s="34"/>
      <c r="E2889" s="39"/>
      <c r="F2889" s="35"/>
      <c r="G2889" s="35"/>
      <c r="H2889" s="38"/>
      <c r="I2889" s="35"/>
      <c r="J2889" s="35"/>
      <c r="K2889" s="42"/>
      <c r="L2889" s="38"/>
      <c r="M2889" s="43"/>
      <c r="N2889" s="34"/>
      <c r="O2889" s="34"/>
      <c r="P2889" s="34"/>
      <c r="Q2889" s="34"/>
    </row>
    <row r="2890" ht="15.75" customHeight="1">
      <c r="A2890" s="40"/>
      <c r="B2890" s="29"/>
      <c r="C2890" s="4"/>
      <c r="D2890" s="34"/>
      <c r="E2890" s="39"/>
      <c r="F2890" s="35"/>
      <c r="G2890" s="35"/>
      <c r="H2890" s="38"/>
      <c r="I2890" s="35"/>
      <c r="J2890" s="35"/>
      <c r="K2890" s="42"/>
      <c r="L2890" s="38"/>
      <c r="M2890" s="43"/>
      <c r="N2890" s="34"/>
      <c r="O2890" s="34"/>
      <c r="P2890" s="34"/>
      <c r="Q2890" s="34"/>
    </row>
    <row r="2891" ht="15.75" customHeight="1">
      <c r="A2891" s="40"/>
      <c r="B2891" s="29"/>
      <c r="C2891" s="4"/>
      <c r="D2891" s="34"/>
      <c r="E2891" s="39"/>
      <c r="F2891" s="35"/>
      <c r="G2891" s="35"/>
      <c r="H2891" s="38"/>
      <c r="I2891" s="35"/>
      <c r="J2891" s="35"/>
      <c r="K2891" s="42"/>
      <c r="L2891" s="38"/>
      <c r="M2891" s="43"/>
      <c r="N2891" s="34"/>
      <c r="O2891" s="34"/>
      <c r="P2891" s="34"/>
      <c r="Q2891" s="34"/>
    </row>
    <row r="2892" ht="15.75" customHeight="1">
      <c r="A2892" s="40"/>
      <c r="B2892" s="29"/>
      <c r="C2892" s="4"/>
      <c r="D2892" s="34"/>
      <c r="E2892" s="39"/>
      <c r="F2892" s="35"/>
      <c r="G2892" s="35"/>
      <c r="H2892" s="38"/>
      <c r="I2892" s="35"/>
      <c r="J2892" s="35"/>
      <c r="K2892" s="42"/>
      <c r="L2892" s="38"/>
      <c r="M2892" s="43"/>
      <c r="N2892" s="34"/>
      <c r="O2892" s="34"/>
      <c r="P2892" s="34"/>
      <c r="Q2892" s="34"/>
    </row>
    <row r="2893" ht="15.75" customHeight="1">
      <c r="A2893" s="40"/>
      <c r="B2893" s="29"/>
      <c r="C2893" s="4"/>
      <c r="D2893" s="34"/>
      <c r="E2893" s="39"/>
      <c r="F2893" s="35"/>
      <c r="G2893" s="35"/>
      <c r="H2893" s="38"/>
      <c r="I2893" s="35"/>
      <c r="J2893" s="35"/>
      <c r="K2893" s="42"/>
      <c r="L2893" s="38"/>
      <c r="M2893" s="43"/>
      <c r="N2893" s="34"/>
      <c r="O2893" s="34"/>
      <c r="P2893" s="34"/>
      <c r="Q2893" s="34"/>
    </row>
    <row r="2894" ht="15.75" customHeight="1">
      <c r="A2894" s="40"/>
      <c r="B2894" s="29"/>
      <c r="C2894" s="4"/>
      <c r="D2894" s="34"/>
      <c r="E2894" s="39"/>
      <c r="F2894" s="35"/>
      <c r="G2894" s="35"/>
      <c r="H2894" s="38"/>
      <c r="I2894" s="35"/>
      <c r="J2894" s="35"/>
      <c r="K2894" s="42"/>
      <c r="L2894" s="38"/>
      <c r="M2894" s="43"/>
      <c r="N2894" s="34"/>
      <c r="O2894" s="34"/>
      <c r="P2894" s="34"/>
      <c r="Q2894" s="34"/>
    </row>
    <row r="2895" ht="15.75" customHeight="1">
      <c r="A2895" s="40"/>
      <c r="B2895" s="29"/>
      <c r="C2895" s="4"/>
      <c r="D2895" s="34"/>
      <c r="E2895" s="39"/>
      <c r="F2895" s="35"/>
      <c r="G2895" s="35"/>
      <c r="H2895" s="38"/>
      <c r="I2895" s="35"/>
      <c r="J2895" s="35"/>
      <c r="K2895" s="42"/>
      <c r="L2895" s="38"/>
      <c r="M2895" s="43"/>
      <c r="N2895" s="34"/>
      <c r="O2895" s="34"/>
      <c r="P2895" s="34"/>
      <c r="Q2895" s="34"/>
    </row>
    <row r="2896" ht="15.75" customHeight="1">
      <c r="A2896" s="40"/>
      <c r="B2896" s="29"/>
      <c r="C2896" s="4"/>
      <c r="D2896" s="34"/>
      <c r="E2896" s="39"/>
      <c r="F2896" s="35"/>
      <c r="G2896" s="35"/>
      <c r="H2896" s="38"/>
      <c r="I2896" s="35"/>
      <c r="J2896" s="35"/>
      <c r="K2896" s="42"/>
      <c r="L2896" s="38"/>
      <c r="M2896" s="43"/>
      <c r="N2896" s="34"/>
      <c r="O2896" s="34"/>
      <c r="P2896" s="34"/>
      <c r="Q2896" s="34"/>
    </row>
    <row r="2897" ht="15.75" customHeight="1">
      <c r="A2897" s="40"/>
      <c r="B2897" s="29"/>
      <c r="C2897" s="4"/>
      <c r="D2897" s="34"/>
      <c r="E2897" s="39"/>
      <c r="F2897" s="35"/>
      <c r="G2897" s="35"/>
      <c r="H2897" s="38"/>
      <c r="I2897" s="35"/>
      <c r="J2897" s="35"/>
      <c r="K2897" s="42"/>
      <c r="L2897" s="38"/>
      <c r="M2897" s="43"/>
      <c r="N2897" s="34"/>
      <c r="O2897" s="34"/>
      <c r="P2897" s="34"/>
      <c r="Q2897" s="34"/>
    </row>
    <row r="2898" ht="15.75" customHeight="1">
      <c r="A2898" s="40"/>
      <c r="B2898" s="29"/>
      <c r="C2898" s="4"/>
      <c r="D2898" s="34"/>
      <c r="E2898" s="39"/>
      <c r="F2898" s="35"/>
      <c r="G2898" s="35"/>
      <c r="H2898" s="38"/>
      <c r="I2898" s="35"/>
      <c r="J2898" s="35"/>
      <c r="K2898" s="42"/>
      <c r="L2898" s="38"/>
      <c r="M2898" s="43"/>
      <c r="N2898" s="34"/>
      <c r="O2898" s="34"/>
      <c r="P2898" s="34"/>
      <c r="Q2898" s="34"/>
    </row>
    <row r="2899" ht="15.75" customHeight="1">
      <c r="A2899" s="40"/>
      <c r="B2899" s="29"/>
      <c r="C2899" s="4"/>
      <c r="D2899" s="34"/>
      <c r="E2899" s="39"/>
      <c r="F2899" s="35"/>
      <c r="G2899" s="35"/>
      <c r="H2899" s="38"/>
      <c r="I2899" s="35"/>
      <c r="J2899" s="35"/>
      <c r="K2899" s="42"/>
      <c r="L2899" s="38"/>
      <c r="M2899" s="43"/>
      <c r="N2899" s="34"/>
      <c r="O2899" s="34"/>
      <c r="P2899" s="34"/>
      <c r="Q2899" s="34"/>
    </row>
    <row r="2900" ht="15.75" customHeight="1">
      <c r="A2900" s="40"/>
      <c r="B2900" s="29"/>
      <c r="C2900" s="4"/>
      <c r="D2900" s="34"/>
      <c r="E2900" s="39"/>
      <c r="F2900" s="35"/>
      <c r="G2900" s="35"/>
      <c r="H2900" s="38"/>
      <c r="I2900" s="35"/>
      <c r="J2900" s="35"/>
      <c r="K2900" s="42"/>
      <c r="L2900" s="38"/>
      <c r="M2900" s="43"/>
      <c r="N2900" s="34"/>
      <c r="O2900" s="34"/>
      <c r="P2900" s="34"/>
      <c r="Q2900" s="34"/>
    </row>
    <row r="2901" ht="15.75" customHeight="1">
      <c r="A2901" s="40"/>
      <c r="B2901" s="29"/>
      <c r="C2901" s="4"/>
      <c r="D2901" s="34"/>
      <c r="E2901" s="39"/>
      <c r="F2901" s="35"/>
      <c r="G2901" s="35"/>
      <c r="H2901" s="38"/>
      <c r="I2901" s="35"/>
      <c r="J2901" s="35"/>
      <c r="K2901" s="42"/>
      <c r="L2901" s="38"/>
      <c r="M2901" s="43"/>
      <c r="N2901" s="34"/>
      <c r="O2901" s="34"/>
      <c r="P2901" s="34"/>
      <c r="Q2901" s="34"/>
    </row>
    <row r="2902" ht="15.75" customHeight="1">
      <c r="A2902" s="40"/>
      <c r="B2902" s="29"/>
      <c r="C2902" s="4"/>
      <c r="D2902" s="34"/>
      <c r="E2902" s="39"/>
      <c r="F2902" s="35"/>
      <c r="G2902" s="35"/>
      <c r="H2902" s="38"/>
      <c r="I2902" s="35"/>
      <c r="J2902" s="35"/>
      <c r="K2902" s="42"/>
      <c r="L2902" s="38"/>
      <c r="M2902" s="43"/>
      <c r="N2902" s="34"/>
      <c r="O2902" s="34"/>
      <c r="P2902" s="34"/>
      <c r="Q2902" s="34"/>
    </row>
    <row r="2903" ht="15.75" customHeight="1">
      <c r="A2903" s="40"/>
      <c r="B2903" s="29"/>
      <c r="C2903" s="4"/>
      <c r="D2903" s="34"/>
      <c r="E2903" s="39"/>
      <c r="F2903" s="35"/>
      <c r="G2903" s="35"/>
      <c r="H2903" s="38"/>
      <c r="I2903" s="35"/>
      <c r="J2903" s="35"/>
      <c r="K2903" s="42"/>
      <c r="L2903" s="38"/>
      <c r="M2903" s="43"/>
      <c r="N2903" s="34"/>
      <c r="O2903" s="34"/>
      <c r="P2903" s="34"/>
      <c r="Q2903" s="34"/>
    </row>
    <row r="2904" ht="15.75" customHeight="1">
      <c r="A2904" s="40"/>
      <c r="B2904" s="29"/>
      <c r="C2904" s="4"/>
      <c r="D2904" s="34"/>
      <c r="E2904" s="39"/>
      <c r="F2904" s="35"/>
      <c r="G2904" s="35"/>
      <c r="H2904" s="38"/>
      <c r="I2904" s="35"/>
      <c r="J2904" s="35"/>
      <c r="K2904" s="42"/>
      <c r="L2904" s="38"/>
      <c r="M2904" s="43"/>
      <c r="N2904" s="34"/>
      <c r="O2904" s="34"/>
      <c r="P2904" s="34"/>
      <c r="Q2904" s="34"/>
    </row>
    <row r="2905" ht="15.75" customHeight="1">
      <c r="A2905" s="40"/>
      <c r="B2905" s="29"/>
      <c r="C2905" s="4"/>
      <c r="D2905" s="34"/>
      <c r="E2905" s="39"/>
      <c r="F2905" s="35"/>
      <c r="G2905" s="35"/>
      <c r="H2905" s="38"/>
      <c r="I2905" s="35"/>
      <c r="J2905" s="35"/>
      <c r="K2905" s="42"/>
      <c r="L2905" s="38"/>
      <c r="M2905" s="43"/>
      <c r="N2905" s="34"/>
      <c r="O2905" s="34"/>
      <c r="P2905" s="34"/>
      <c r="Q2905" s="34"/>
    </row>
    <row r="2906" ht="15.75" customHeight="1">
      <c r="A2906" s="40"/>
      <c r="B2906" s="29"/>
      <c r="C2906" s="4"/>
      <c r="D2906" s="34"/>
      <c r="E2906" s="39"/>
      <c r="F2906" s="35"/>
      <c r="G2906" s="35"/>
      <c r="H2906" s="38"/>
      <c r="I2906" s="35"/>
      <c r="J2906" s="35"/>
      <c r="K2906" s="42"/>
      <c r="L2906" s="38"/>
      <c r="M2906" s="43"/>
      <c r="N2906" s="34"/>
      <c r="O2906" s="34"/>
      <c r="P2906" s="34"/>
      <c r="Q2906" s="34"/>
    </row>
    <row r="2907" ht="15.75" customHeight="1">
      <c r="A2907" s="40"/>
      <c r="B2907" s="29"/>
      <c r="C2907" s="4"/>
      <c r="D2907" s="34"/>
      <c r="E2907" s="39"/>
      <c r="F2907" s="35"/>
      <c r="G2907" s="35"/>
      <c r="H2907" s="38"/>
      <c r="I2907" s="35"/>
      <c r="J2907" s="35"/>
      <c r="K2907" s="42"/>
      <c r="L2907" s="38"/>
      <c r="M2907" s="43"/>
      <c r="N2907" s="34"/>
      <c r="O2907" s="34"/>
      <c r="P2907" s="34"/>
      <c r="Q2907" s="34"/>
    </row>
    <row r="2908" ht="15.75" customHeight="1">
      <c r="A2908" s="40"/>
      <c r="B2908" s="29"/>
      <c r="C2908" s="4"/>
      <c r="D2908" s="34"/>
      <c r="E2908" s="39"/>
      <c r="F2908" s="35"/>
      <c r="G2908" s="35"/>
      <c r="H2908" s="38"/>
      <c r="I2908" s="35"/>
      <c r="J2908" s="35"/>
      <c r="K2908" s="42"/>
      <c r="L2908" s="38"/>
      <c r="M2908" s="43"/>
      <c r="N2908" s="34"/>
      <c r="O2908" s="34"/>
      <c r="P2908" s="34"/>
      <c r="Q2908" s="34"/>
    </row>
    <row r="2909" ht="15.75" customHeight="1">
      <c r="A2909" s="40"/>
      <c r="B2909" s="29"/>
      <c r="C2909" s="4"/>
      <c r="D2909" s="34"/>
      <c r="E2909" s="39"/>
      <c r="F2909" s="35"/>
      <c r="G2909" s="35"/>
      <c r="H2909" s="38"/>
      <c r="I2909" s="35"/>
      <c r="J2909" s="35"/>
      <c r="K2909" s="42"/>
      <c r="L2909" s="38"/>
      <c r="M2909" s="43"/>
      <c r="N2909" s="34"/>
      <c r="O2909" s="34"/>
      <c r="P2909" s="34"/>
      <c r="Q2909" s="34"/>
    </row>
    <row r="2910" ht="15.75" customHeight="1">
      <c r="A2910" s="40"/>
      <c r="B2910" s="29"/>
      <c r="C2910" s="4"/>
      <c r="D2910" s="34"/>
      <c r="E2910" s="39"/>
      <c r="F2910" s="35"/>
      <c r="G2910" s="35"/>
      <c r="H2910" s="38"/>
      <c r="I2910" s="35"/>
      <c r="J2910" s="35"/>
      <c r="K2910" s="42"/>
      <c r="L2910" s="38"/>
      <c r="M2910" s="43"/>
      <c r="N2910" s="34"/>
      <c r="O2910" s="34"/>
      <c r="P2910" s="34"/>
      <c r="Q2910" s="34"/>
    </row>
    <row r="2911" ht="15.75" customHeight="1">
      <c r="A2911" s="40"/>
      <c r="B2911" s="29"/>
      <c r="C2911" s="4"/>
      <c r="D2911" s="34"/>
      <c r="E2911" s="39"/>
      <c r="F2911" s="35"/>
      <c r="G2911" s="35"/>
      <c r="H2911" s="38"/>
      <c r="I2911" s="35"/>
      <c r="J2911" s="35"/>
      <c r="K2911" s="42"/>
      <c r="L2911" s="38"/>
      <c r="M2911" s="43"/>
      <c r="N2911" s="34"/>
      <c r="O2911" s="34"/>
      <c r="P2911" s="34"/>
      <c r="Q2911" s="34"/>
    </row>
    <row r="2912" ht="15.75" customHeight="1">
      <c r="A2912" s="40"/>
      <c r="B2912" s="29"/>
      <c r="C2912" s="4"/>
      <c r="D2912" s="34"/>
      <c r="E2912" s="39"/>
      <c r="F2912" s="35"/>
      <c r="G2912" s="35"/>
      <c r="H2912" s="38"/>
      <c r="I2912" s="35"/>
      <c r="J2912" s="35"/>
      <c r="K2912" s="42"/>
      <c r="L2912" s="38"/>
      <c r="M2912" s="43"/>
      <c r="N2912" s="34"/>
      <c r="O2912" s="34"/>
      <c r="P2912" s="34"/>
      <c r="Q2912" s="34"/>
    </row>
    <row r="2913" ht="15.75" customHeight="1">
      <c r="A2913" s="40"/>
      <c r="B2913" s="29"/>
      <c r="C2913" s="4"/>
      <c r="D2913" s="34"/>
      <c r="E2913" s="39"/>
      <c r="F2913" s="35"/>
      <c r="G2913" s="35"/>
      <c r="H2913" s="38"/>
      <c r="I2913" s="35"/>
      <c r="J2913" s="35"/>
      <c r="K2913" s="42"/>
      <c r="L2913" s="38"/>
      <c r="M2913" s="43"/>
      <c r="N2913" s="34"/>
      <c r="O2913" s="34"/>
      <c r="P2913" s="34"/>
      <c r="Q2913" s="34"/>
    </row>
    <row r="2914" ht="15.75" customHeight="1">
      <c r="A2914" s="40"/>
      <c r="B2914" s="29"/>
      <c r="C2914" s="4"/>
      <c r="D2914" s="34"/>
      <c r="E2914" s="39"/>
      <c r="F2914" s="35"/>
      <c r="G2914" s="35"/>
      <c r="H2914" s="38"/>
      <c r="I2914" s="35"/>
      <c r="J2914" s="35"/>
      <c r="K2914" s="42"/>
      <c r="L2914" s="38"/>
      <c r="M2914" s="43"/>
      <c r="N2914" s="34"/>
      <c r="O2914" s="34"/>
      <c r="P2914" s="34"/>
      <c r="Q2914" s="34"/>
    </row>
    <row r="2915" ht="15.75" customHeight="1">
      <c r="A2915" s="40"/>
      <c r="B2915" s="29"/>
      <c r="C2915" s="4"/>
      <c r="D2915" s="34"/>
      <c r="E2915" s="39"/>
      <c r="F2915" s="35"/>
      <c r="G2915" s="35"/>
      <c r="H2915" s="38"/>
      <c r="I2915" s="35"/>
      <c r="J2915" s="35"/>
      <c r="K2915" s="42"/>
      <c r="L2915" s="38"/>
      <c r="M2915" s="43"/>
      <c r="N2915" s="34"/>
      <c r="O2915" s="34"/>
      <c r="P2915" s="34"/>
      <c r="Q2915" s="34"/>
    </row>
    <row r="2916" ht="15.75" customHeight="1">
      <c r="A2916" s="40"/>
      <c r="B2916" s="29"/>
      <c r="C2916" s="4"/>
      <c r="D2916" s="34"/>
      <c r="E2916" s="39"/>
      <c r="F2916" s="35"/>
      <c r="G2916" s="35"/>
      <c r="H2916" s="38"/>
      <c r="I2916" s="35"/>
      <c r="J2916" s="35"/>
      <c r="K2916" s="42"/>
      <c r="L2916" s="38"/>
      <c r="M2916" s="43"/>
      <c r="N2916" s="34"/>
      <c r="O2916" s="34"/>
      <c r="P2916" s="34"/>
      <c r="Q2916" s="34"/>
    </row>
    <row r="2917" ht="15.75" customHeight="1">
      <c r="A2917" s="40"/>
      <c r="B2917" s="29"/>
      <c r="C2917" s="4"/>
      <c r="D2917" s="34"/>
      <c r="E2917" s="39"/>
      <c r="F2917" s="35"/>
      <c r="G2917" s="35"/>
      <c r="H2917" s="38"/>
      <c r="I2917" s="35"/>
      <c r="J2917" s="35"/>
      <c r="K2917" s="42"/>
      <c r="L2917" s="38"/>
      <c r="M2917" s="43"/>
      <c r="N2917" s="34"/>
      <c r="O2917" s="34"/>
      <c r="P2917" s="34"/>
      <c r="Q2917" s="34"/>
    </row>
    <row r="2918" ht="15.75" customHeight="1">
      <c r="A2918" s="40"/>
      <c r="B2918" s="29"/>
      <c r="C2918" s="4"/>
      <c r="D2918" s="34"/>
      <c r="E2918" s="39"/>
      <c r="F2918" s="35"/>
      <c r="G2918" s="35"/>
      <c r="H2918" s="38"/>
      <c r="I2918" s="35"/>
      <c r="J2918" s="35"/>
      <c r="K2918" s="42"/>
      <c r="L2918" s="38"/>
      <c r="M2918" s="43"/>
      <c r="N2918" s="34"/>
      <c r="O2918" s="34"/>
      <c r="P2918" s="34"/>
      <c r="Q2918" s="34"/>
    </row>
    <row r="2919" ht="15.75" customHeight="1">
      <c r="A2919" s="40"/>
      <c r="B2919" s="29"/>
      <c r="C2919" s="4"/>
      <c r="D2919" s="34"/>
      <c r="E2919" s="39"/>
      <c r="F2919" s="35"/>
      <c r="G2919" s="35"/>
      <c r="H2919" s="38"/>
      <c r="I2919" s="35"/>
      <c r="J2919" s="35"/>
      <c r="K2919" s="42"/>
      <c r="L2919" s="38"/>
      <c r="M2919" s="43"/>
      <c r="N2919" s="34"/>
      <c r="O2919" s="34"/>
      <c r="P2919" s="34"/>
      <c r="Q2919" s="34"/>
    </row>
    <row r="2920" ht="15.75" customHeight="1">
      <c r="A2920" s="40"/>
      <c r="B2920" s="29"/>
      <c r="C2920" s="4"/>
      <c r="D2920" s="34"/>
      <c r="E2920" s="39"/>
      <c r="F2920" s="35"/>
      <c r="G2920" s="35"/>
      <c r="H2920" s="38"/>
      <c r="I2920" s="35"/>
      <c r="J2920" s="35"/>
      <c r="K2920" s="42"/>
      <c r="L2920" s="38"/>
      <c r="M2920" s="43"/>
      <c r="N2920" s="34"/>
      <c r="O2920" s="34"/>
      <c r="P2920" s="34"/>
      <c r="Q2920" s="34"/>
    </row>
    <row r="2921" ht="15.75" customHeight="1">
      <c r="A2921" s="40"/>
      <c r="B2921" s="29"/>
      <c r="C2921" s="4"/>
      <c r="D2921" s="34"/>
      <c r="E2921" s="39"/>
      <c r="F2921" s="35"/>
      <c r="G2921" s="35"/>
      <c r="H2921" s="38"/>
      <c r="I2921" s="35"/>
      <c r="J2921" s="35"/>
      <c r="K2921" s="42"/>
      <c r="L2921" s="38"/>
      <c r="M2921" s="43"/>
      <c r="N2921" s="34"/>
      <c r="O2921" s="34"/>
      <c r="P2921" s="34"/>
      <c r="Q2921" s="34"/>
    </row>
    <row r="2922" ht="15.75" customHeight="1">
      <c r="A2922" s="40"/>
      <c r="B2922" s="29"/>
      <c r="C2922" s="4"/>
      <c r="D2922" s="34"/>
      <c r="E2922" s="39"/>
      <c r="F2922" s="35"/>
      <c r="G2922" s="35"/>
      <c r="H2922" s="38"/>
      <c r="I2922" s="35"/>
      <c r="J2922" s="35"/>
      <c r="K2922" s="42"/>
      <c r="L2922" s="38"/>
      <c r="M2922" s="43"/>
      <c r="N2922" s="34"/>
      <c r="O2922" s="34"/>
      <c r="P2922" s="34"/>
      <c r="Q2922" s="34"/>
    </row>
    <row r="2923" ht="15.75" customHeight="1">
      <c r="A2923" s="40"/>
      <c r="B2923" s="29"/>
      <c r="C2923" s="4"/>
      <c r="D2923" s="34"/>
      <c r="E2923" s="39"/>
      <c r="F2923" s="35"/>
      <c r="G2923" s="35"/>
      <c r="H2923" s="38"/>
      <c r="I2923" s="35"/>
      <c r="J2923" s="35"/>
      <c r="K2923" s="42"/>
      <c r="L2923" s="38"/>
      <c r="M2923" s="43"/>
      <c r="N2923" s="34"/>
      <c r="O2923" s="34"/>
      <c r="P2923" s="34"/>
      <c r="Q2923" s="34"/>
    </row>
    <row r="2924" ht="15.75" customHeight="1">
      <c r="A2924" s="40"/>
      <c r="B2924" s="29"/>
      <c r="C2924" s="4"/>
      <c r="D2924" s="34"/>
      <c r="E2924" s="39"/>
      <c r="F2924" s="35"/>
      <c r="G2924" s="35"/>
      <c r="H2924" s="38"/>
      <c r="I2924" s="35"/>
      <c r="J2924" s="35"/>
      <c r="K2924" s="42"/>
      <c r="L2924" s="38"/>
      <c r="M2924" s="43"/>
      <c r="N2924" s="34"/>
      <c r="O2924" s="34"/>
      <c r="P2924" s="34"/>
      <c r="Q2924" s="34"/>
    </row>
    <row r="2925" ht="15.75" customHeight="1">
      <c r="A2925" s="40"/>
      <c r="B2925" s="29"/>
      <c r="C2925" s="4"/>
      <c r="D2925" s="34"/>
      <c r="E2925" s="39"/>
      <c r="F2925" s="35"/>
      <c r="G2925" s="35"/>
      <c r="H2925" s="38"/>
      <c r="I2925" s="35"/>
      <c r="J2925" s="35"/>
      <c r="K2925" s="42"/>
      <c r="L2925" s="38"/>
      <c r="M2925" s="43"/>
      <c r="N2925" s="34"/>
      <c r="O2925" s="34"/>
      <c r="P2925" s="34"/>
      <c r="Q2925" s="34"/>
    </row>
    <row r="2926" ht="15.75" customHeight="1">
      <c r="A2926" s="40"/>
      <c r="B2926" s="29"/>
      <c r="C2926" s="4"/>
      <c r="D2926" s="34"/>
      <c r="E2926" s="39"/>
      <c r="F2926" s="35"/>
      <c r="G2926" s="35"/>
      <c r="H2926" s="38"/>
      <c r="I2926" s="35"/>
      <c r="J2926" s="35"/>
      <c r="K2926" s="42"/>
      <c r="L2926" s="38"/>
      <c r="M2926" s="43"/>
      <c r="N2926" s="34"/>
      <c r="O2926" s="34"/>
      <c r="P2926" s="34"/>
      <c r="Q2926" s="34"/>
    </row>
    <row r="2927" ht="15.75" customHeight="1">
      <c r="A2927" s="40"/>
      <c r="B2927" s="29"/>
      <c r="C2927" s="4"/>
      <c r="D2927" s="34"/>
      <c r="E2927" s="39"/>
      <c r="F2927" s="35"/>
      <c r="G2927" s="35"/>
      <c r="H2927" s="38"/>
      <c r="I2927" s="35"/>
      <c r="J2927" s="35"/>
      <c r="K2927" s="42"/>
      <c r="L2927" s="38"/>
      <c r="M2927" s="43"/>
      <c r="N2927" s="34"/>
      <c r="O2927" s="34"/>
      <c r="P2927" s="34"/>
      <c r="Q2927" s="34"/>
    </row>
    <row r="2928" ht="15.75" customHeight="1">
      <c r="A2928" s="40"/>
      <c r="B2928" s="29"/>
      <c r="C2928" s="4"/>
      <c r="D2928" s="34"/>
      <c r="E2928" s="39"/>
      <c r="F2928" s="35"/>
      <c r="G2928" s="35"/>
      <c r="H2928" s="38"/>
      <c r="I2928" s="35"/>
      <c r="J2928" s="35"/>
      <c r="K2928" s="42"/>
      <c r="L2928" s="38"/>
      <c r="M2928" s="43"/>
      <c r="N2928" s="34"/>
      <c r="O2928" s="34"/>
      <c r="P2928" s="34"/>
      <c r="Q2928" s="34"/>
    </row>
    <row r="2929" ht="15.75" customHeight="1">
      <c r="A2929" s="40"/>
      <c r="B2929" s="29"/>
      <c r="C2929" s="4"/>
      <c r="D2929" s="34"/>
      <c r="E2929" s="39"/>
      <c r="F2929" s="35"/>
      <c r="G2929" s="35"/>
      <c r="H2929" s="38"/>
      <c r="I2929" s="35"/>
      <c r="J2929" s="35"/>
      <c r="K2929" s="42"/>
      <c r="L2929" s="38"/>
      <c r="M2929" s="43"/>
      <c r="N2929" s="34"/>
      <c r="O2929" s="34"/>
      <c r="P2929" s="34"/>
      <c r="Q2929" s="34"/>
    </row>
    <row r="2930" ht="15.75" customHeight="1">
      <c r="A2930" s="40"/>
      <c r="B2930" s="29"/>
      <c r="C2930" s="4"/>
      <c r="D2930" s="34"/>
      <c r="E2930" s="39"/>
      <c r="F2930" s="35"/>
      <c r="G2930" s="35"/>
      <c r="H2930" s="38"/>
      <c r="I2930" s="35"/>
      <c r="J2930" s="35"/>
      <c r="K2930" s="42"/>
      <c r="L2930" s="38"/>
      <c r="M2930" s="43"/>
      <c r="N2930" s="34"/>
      <c r="O2930" s="34"/>
      <c r="P2930" s="34"/>
      <c r="Q2930" s="34"/>
    </row>
    <row r="2931" ht="15.75" customHeight="1">
      <c r="A2931" s="40"/>
      <c r="B2931" s="29"/>
      <c r="C2931" s="4"/>
      <c r="D2931" s="34"/>
      <c r="E2931" s="39"/>
      <c r="F2931" s="35"/>
      <c r="G2931" s="35"/>
      <c r="H2931" s="38"/>
      <c r="I2931" s="35"/>
      <c r="J2931" s="35"/>
      <c r="K2931" s="42"/>
      <c r="L2931" s="38"/>
      <c r="M2931" s="43"/>
      <c r="N2931" s="34"/>
      <c r="O2931" s="34"/>
      <c r="P2931" s="34"/>
      <c r="Q2931" s="34"/>
    </row>
    <row r="2932" ht="15.75" customHeight="1">
      <c r="A2932" s="40"/>
      <c r="B2932" s="29"/>
      <c r="C2932" s="4"/>
      <c r="D2932" s="34"/>
      <c r="E2932" s="39"/>
      <c r="F2932" s="35"/>
      <c r="G2932" s="35"/>
      <c r="H2932" s="38"/>
      <c r="I2932" s="35"/>
      <c r="J2932" s="35"/>
      <c r="K2932" s="42"/>
      <c r="L2932" s="38"/>
      <c r="M2932" s="43"/>
      <c r="N2932" s="34"/>
      <c r="O2932" s="34"/>
      <c r="P2932" s="34"/>
      <c r="Q2932" s="34"/>
    </row>
    <row r="2933" ht="15.75" customHeight="1">
      <c r="A2933" s="40"/>
      <c r="B2933" s="29"/>
      <c r="C2933" s="4"/>
      <c r="D2933" s="34"/>
      <c r="E2933" s="39"/>
      <c r="F2933" s="35"/>
      <c r="G2933" s="35"/>
      <c r="H2933" s="38"/>
      <c r="I2933" s="35"/>
      <c r="J2933" s="35"/>
      <c r="K2933" s="42"/>
      <c r="L2933" s="38"/>
      <c r="M2933" s="43"/>
      <c r="N2933" s="34"/>
      <c r="O2933" s="34"/>
      <c r="P2933" s="34"/>
      <c r="Q2933" s="34"/>
    </row>
    <row r="2934" ht="15.75" customHeight="1">
      <c r="A2934" s="40"/>
      <c r="B2934" s="29"/>
      <c r="C2934" s="4"/>
      <c r="D2934" s="34"/>
      <c r="E2934" s="39"/>
      <c r="F2934" s="35"/>
      <c r="G2934" s="35"/>
      <c r="H2934" s="38"/>
      <c r="I2934" s="35"/>
      <c r="J2934" s="35"/>
      <c r="K2934" s="42"/>
      <c r="L2934" s="38"/>
      <c r="M2934" s="43"/>
      <c r="N2934" s="34"/>
      <c r="O2934" s="34"/>
      <c r="P2934" s="34"/>
      <c r="Q2934" s="34"/>
    </row>
    <row r="2935" ht="15.75" customHeight="1">
      <c r="A2935" s="40"/>
      <c r="B2935" s="29"/>
      <c r="C2935" s="4"/>
      <c r="D2935" s="34"/>
      <c r="E2935" s="39"/>
      <c r="F2935" s="35"/>
      <c r="G2935" s="35"/>
      <c r="H2935" s="38"/>
      <c r="I2935" s="35"/>
      <c r="J2935" s="35"/>
      <c r="K2935" s="42"/>
      <c r="L2935" s="38"/>
      <c r="M2935" s="43"/>
      <c r="N2935" s="34"/>
      <c r="O2935" s="34"/>
      <c r="P2935" s="34"/>
      <c r="Q2935" s="34"/>
    </row>
    <row r="2936" ht="15.75" customHeight="1">
      <c r="A2936" s="40"/>
      <c r="B2936" s="29"/>
      <c r="C2936" s="4"/>
      <c r="D2936" s="34"/>
      <c r="E2936" s="39"/>
      <c r="F2936" s="35"/>
      <c r="G2936" s="35"/>
      <c r="H2936" s="38"/>
      <c r="I2936" s="35"/>
      <c r="J2936" s="35"/>
      <c r="K2936" s="42"/>
      <c r="L2936" s="38"/>
      <c r="M2936" s="43"/>
      <c r="N2936" s="34"/>
      <c r="O2936" s="34"/>
      <c r="P2936" s="34"/>
      <c r="Q2936" s="34"/>
    </row>
    <row r="2937" ht="15.75" customHeight="1">
      <c r="A2937" s="40"/>
      <c r="B2937" s="29"/>
      <c r="C2937" s="4"/>
      <c r="D2937" s="34"/>
      <c r="E2937" s="39"/>
      <c r="F2937" s="35"/>
      <c r="G2937" s="35"/>
      <c r="H2937" s="38"/>
      <c r="I2937" s="35"/>
      <c r="J2937" s="35"/>
      <c r="K2937" s="42"/>
      <c r="L2937" s="38"/>
      <c r="M2937" s="43"/>
      <c r="N2937" s="34"/>
      <c r="O2937" s="34"/>
      <c r="P2937" s="34"/>
      <c r="Q2937" s="34"/>
    </row>
    <row r="2938" ht="15.75" customHeight="1">
      <c r="A2938" s="40"/>
      <c r="B2938" s="29"/>
      <c r="C2938" s="4"/>
      <c r="D2938" s="34"/>
      <c r="E2938" s="39"/>
      <c r="F2938" s="35"/>
      <c r="G2938" s="35"/>
      <c r="H2938" s="38"/>
      <c r="I2938" s="35"/>
      <c r="J2938" s="35"/>
      <c r="K2938" s="42"/>
      <c r="L2938" s="38"/>
      <c r="M2938" s="43"/>
      <c r="N2938" s="34"/>
      <c r="O2938" s="34"/>
      <c r="P2938" s="34"/>
      <c r="Q2938" s="34"/>
    </row>
    <row r="2939" ht="15.75" customHeight="1">
      <c r="A2939" s="40"/>
      <c r="B2939" s="29"/>
      <c r="C2939" s="4"/>
      <c r="D2939" s="34"/>
      <c r="E2939" s="39"/>
      <c r="F2939" s="35"/>
      <c r="G2939" s="35"/>
      <c r="H2939" s="38"/>
      <c r="I2939" s="35"/>
      <c r="J2939" s="35"/>
      <c r="K2939" s="42"/>
      <c r="L2939" s="38"/>
      <c r="M2939" s="43"/>
      <c r="N2939" s="34"/>
      <c r="O2939" s="34"/>
      <c r="P2939" s="34"/>
      <c r="Q2939" s="34"/>
    </row>
    <row r="2940" ht="15.75" customHeight="1">
      <c r="A2940" s="40"/>
      <c r="B2940" s="29"/>
      <c r="C2940" s="4"/>
      <c r="D2940" s="34"/>
      <c r="E2940" s="39"/>
      <c r="F2940" s="35"/>
      <c r="G2940" s="35"/>
      <c r="H2940" s="38"/>
      <c r="I2940" s="35"/>
      <c r="J2940" s="35"/>
      <c r="K2940" s="42"/>
      <c r="L2940" s="38"/>
      <c r="M2940" s="43"/>
      <c r="N2940" s="34"/>
      <c r="O2940" s="34"/>
      <c r="P2940" s="34"/>
      <c r="Q2940" s="34"/>
    </row>
    <row r="2941" ht="15.75" customHeight="1">
      <c r="A2941" s="40"/>
      <c r="B2941" s="29"/>
      <c r="C2941" s="4"/>
      <c r="D2941" s="34"/>
      <c r="E2941" s="39"/>
      <c r="F2941" s="35"/>
      <c r="G2941" s="35"/>
      <c r="H2941" s="38"/>
      <c r="I2941" s="35"/>
      <c r="J2941" s="35"/>
      <c r="K2941" s="42"/>
      <c r="L2941" s="38"/>
      <c r="M2941" s="43"/>
      <c r="N2941" s="34"/>
      <c r="O2941" s="34"/>
      <c r="P2941" s="34"/>
      <c r="Q2941" s="34"/>
    </row>
    <row r="2942" ht="15.75" customHeight="1">
      <c r="A2942" s="40"/>
      <c r="B2942" s="29"/>
      <c r="C2942" s="4"/>
      <c r="D2942" s="34"/>
      <c r="E2942" s="39"/>
      <c r="F2942" s="35"/>
      <c r="G2942" s="35"/>
      <c r="H2942" s="38"/>
      <c r="I2942" s="35"/>
      <c r="J2942" s="35"/>
      <c r="K2942" s="42"/>
      <c r="L2942" s="38"/>
      <c r="M2942" s="43"/>
      <c r="N2942" s="34"/>
      <c r="O2942" s="34"/>
      <c r="P2942" s="34"/>
      <c r="Q2942" s="34"/>
    </row>
    <row r="2943" ht="15.75" customHeight="1">
      <c r="A2943" s="40"/>
      <c r="B2943" s="29"/>
      <c r="C2943" s="4"/>
      <c r="D2943" s="34"/>
      <c r="E2943" s="39"/>
      <c r="F2943" s="35"/>
      <c r="G2943" s="35"/>
      <c r="H2943" s="38"/>
      <c r="I2943" s="35"/>
      <c r="J2943" s="35"/>
      <c r="K2943" s="42"/>
      <c r="L2943" s="38"/>
      <c r="M2943" s="43"/>
      <c r="N2943" s="34"/>
      <c r="O2943" s="34"/>
      <c r="P2943" s="34"/>
      <c r="Q2943" s="34"/>
    </row>
    <row r="2944" ht="15.75" customHeight="1">
      <c r="A2944" s="40"/>
      <c r="B2944" s="29"/>
      <c r="C2944" s="4"/>
      <c r="D2944" s="34"/>
      <c r="E2944" s="39"/>
      <c r="F2944" s="35"/>
      <c r="G2944" s="35"/>
      <c r="H2944" s="38"/>
      <c r="I2944" s="35"/>
      <c r="J2944" s="35"/>
      <c r="K2944" s="42"/>
      <c r="L2944" s="38"/>
      <c r="M2944" s="43"/>
      <c r="N2944" s="34"/>
      <c r="O2944" s="34"/>
      <c r="P2944" s="34"/>
      <c r="Q2944" s="34"/>
    </row>
    <row r="2945" ht="15.75" customHeight="1">
      <c r="A2945" s="40"/>
      <c r="B2945" s="29"/>
      <c r="C2945" s="4"/>
      <c r="D2945" s="34"/>
      <c r="E2945" s="39"/>
      <c r="F2945" s="35"/>
      <c r="G2945" s="35"/>
      <c r="H2945" s="38"/>
      <c r="I2945" s="35"/>
      <c r="J2945" s="35"/>
      <c r="K2945" s="42"/>
      <c r="L2945" s="38"/>
      <c r="M2945" s="43"/>
      <c r="N2945" s="34"/>
      <c r="O2945" s="34"/>
      <c r="P2945" s="34"/>
      <c r="Q2945" s="34"/>
    </row>
    <row r="2946" ht="15.75" customHeight="1">
      <c r="A2946" s="40"/>
      <c r="B2946" s="29"/>
      <c r="C2946" s="4"/>
      <c r="D2946" s="34"/>
      <c r="E2946" s="39"/>
      <c r="F2946" s="35"/>
      <c r="G2946" s="35"/>
      <c r="H2946" s="38"/>
      <c r="I2946" s="35"/>
      <c r="J2946" s="35"/>
      <c r="K2946" s="42"/>
      <c r="L2946" s="38"/>
      <c r="M2946" s="43"/>
      <c r="N2946" s="34"/>
      <c r="O2946" s="34"/>
      <c r="P2946" s="34"/>
      <c r="Q2946" s="34"/>
    </row>
    <row r="2947" ht="15.75" customHeight="1">
      <c r="A2947" s="40"/>
      <c r="B2947" s="29"/>
      <c r="C2947" s="4"/>
      <c r="D2947" s="34"/>
      <c r="E2947" s="39"/>
      <c r="F2947" s="35"/>
      <c r="G2947" s="35"/>
      <c r="H2947" s="38"/>
      <c r="I2947" s="35"/>
      <c r="J2947" s="35"/>
      <c r="K2947" s="42"/>
      <c r="L2947" s="38"/>
      <c r="M2947" s="43"/>
      <c r="N2947" s="34"/>
      <c r="O2947" s="34"/>
      <c r="P2947" s="34"/>
      <c r="Q2947" s="34"/>
    </row>
    <row r="2948" ht="15.75" customHeight="1">
      <c r="A2948" s="40"/>
      <c r="B2948" s="29"/>
      <c r="C2948" s="4"/>
      <c r="D2948" s="34"/>
      <c r="E2948" s="39"/>
      <c r="F2948" s="35"/>
      <c r="G2948" s="35"/>
      <c r="H2948" s="38"/>
      <c r="I2948" s="35"/>
      <c r="J2948" s="35"/>
      <c r="K2948" s="42"/>
      <c r="L2948" s="38"/>
      <c r="M2948" s="43"/>
      <c r="N2948" s="34"/>
      <c r="O2948" s="34"/>
      <c r="P2948" s="34"/>
      <c r="Q2948" s="34"/>
    </row>
    <row r="2949" ht="15.75" customHeight="1">
      <c r="A2949" s="40"/>
      <c r="B2949" s="29"/>
      <c r="C2949" s="4"/>
      <c r="D2949" s="34"/>
      <c r="E2949" s="39"/>
      <c r="F2949" s="35"/>
      <c r="G2949" s="35"/>
      <c r="H2949" s="38"/>
      <c r="I2949" s="35"/>
      <c r="J2949" s="35"/>
      <c r="K2949" s="42"/>
      <c r="L2949" s="38"/>
      <c r="M2949" s="43"/>
      <c r="N2949" s="34"/>
      <c r="O2949" s="34"/>
      <c r="P2949" s="34"/>
      <c r="Q2949" s="34"/>
    </row>
    <row r="2950" ht="15.75" customHeight="1">
      <c r="A2950" s="40"/>
      <c r="B2950" s="29"/>
      <c r="C2950" s="4"/>
      <c r="D2950" s="34"/>
      <c r="E2950" s="39"/>
      <c r="F2950" s="35"/>
      <c r="G2950" s="35"/>
      <c r="H2950" s="38"/>
      <c r="I2950" s="35"/>
      <c r="J2950" s="35"/>
      <c r="K2950" s="42"/>
      <c r="L2950" s="38"/>
      <c r="M2950" s="43"/>
      <c r="N2950" s="34"/>
      <c r="O2950" s="34"/>
      <c r="P2950" s="34"/>
      <c r="Q2950" s="34"/>
    </row>
    <row r="2951" ht="15.75" customHeight="1">
      <c r="A2951" s="40"/>
      <c r="B2951" s="29"/>
      <c r="C2951" s="4"/>
      <c r="D2951" s="34"/>
      <c r="E2951" s="39"/>
      <c r="F2951" s="35"/>
      <c r="G2951" s="35"/>
      <c r="H2951" s="38"/>
      <c r="I2951" s="35"/>
      <c r="J2951" s="35"/>
      <c r="K2951" s="42"/>
      <c r="L2951" s="38"/>
      <c r="M2951" s="43"/>
      <c r="N2951" s="34"/>
      <c r="O2951" s="34"/>
      <c r="P2951" s="34"/>
      <c r="Q2951" s="34"/>
    </row>
    <row r="2952" ht="15.75" customHeight="1">
      <c r="A2952" s="40"/>
      <c r="B2952" s="29"/>
      <c r="C2952" s="4"/>
      <c r="D2952" s="34"/>
      <c r="E2952" s="39"/>
      <c r="F2952" s="35"/>
      <c r="G2952" s="35"/>
      <c r="H2952" s="38"/>
      <c r="I2952" s="35"/>
      <c r="J2952" s="35"/>
      <c r="K2952" s="42"/>
      <c r="L2952" s="38"/>
      <c r="M2952" s="43"/>
      <c r="N2952" s="34"/>
      <c r="O2952" s="34"/>
      <c r="P2952" s="34"/>
      <c r="Q2952" s="34"/>
    </row>
    <row r="2953" ht="15.75" customHeight="1">
      <c r="A2953" s="40"/>
      <c r="B2953" s="29"/>
      <c r="C2953" s="4"/>
      <c r="D2953" s="34"/>
      <c r="E2953" s="39"/>
      <c r="F2953" s="35"/>
      <c r="G2953" s="35"/>
      <c r="H2953" s="38"/>
      <c r="I2953" s="35"/>
      <c r="J2953" s="35"/>
      <c r="K2953" s="42"/>
      <c r="L2953" s="38"/>
      <c r="M2953" s="43"/>
      <c r="N2953" s="34"/>
      <c r="O2953" s="34"/>
      <c r="P2953" s="34"/>
      <c r="Q2953" s="34"/>
    </row>
    <row r="2954" ht="15.75" customHeight="1">
      <c r="A2954" s="40"/>
      <c r="B2954" s="29"/>
      <c r="C2954" s="4"/>
      <c r="D2954" s="34"/>
      <c r="E2954" s="39"/>
      <c r="F2954" s="35"/>
      <c r="G2954" s="35"/>
      <c r="H2954" s="38"/>
      <c r="I2954" s="35"/>
      <c r="J2954" s="35"/>
      <c r="K2954" s="42"/>
      <c r="L2954" s="38"/>
      <c r="M2954" s="43"/>
      <c r="N2954" s="34"/>
      <c r="O2954" s="34"/>
      <c r="P2954" s="34"/>
      <c r="Q2954" s="34"/>
    </row>
    <row r="2955" ht="15.75" customHeight="1">
      <c r="A2955" s="40"/>
      <c r="B2955" s="29"/>
      <c r="C2955" s="4"/>
      <c r="D2955" s="34"/>
      <c r="E2955" s="39"/>
      <c r="F2955" s="35"/>
      <c r="G2955" s="35"/>
      <c r="H2955" s="38"/>
      <c r="I2955" s="35"/>
      <c r="J2955" s="35"/>
      <c r="K2955" s="42"/>
      <c r="L2955" s="38"/>
      <c r="M2955" s="43"/>
      <c r="N2955" s="34"/>
      <c r="O2955" s="34"/>
      <c r="P2955" s="34"/>
      <c r="Q2955" s="34"/>
    </row>
    <row r="2956" ht="15.75" customHeight="1">
      <c r="A2956" s="40"/>
      <c r="B2956" s="29"/>
      <c r="C2956" s="4"/>
      <c r="D2956" s="34"/>
      <c r="E2956" s="39"/>
      <c r="F2956" s="35"/>
      <c r="G2956" s="35"/>
      <c r="H2956" s="38"/>
      <c r="I2956" s="35"/>
      <c r="J2956" s="35"/>
      <c r="K2956" s="42"/>
      <c r="L2956" s="38"/>
      <c r="M2956" s="43"/>
      <c r="N2956" s="34"/>
      <c r="O2956" s="34"/>
      <c r="P2956" s="34"/>
      <c r="Q2956" s="34"/>
    </row>
    <row r="2957" ht="15.75" customHeight="1">
      <c r="A2957" s="40"/>
      <c r="B2957" s="29"/>
      <c r="C2957" s="4"/>
      <c r="D2957" s="34"/>
      <c r="E2957" s="39"/>
      <c r="F2957" s="35"/>
      <c r="G2957" s="35"/>
      <c r="H2957" s="38"/>
      <c r="I2957" s="35"/>
      <c r="J2957" s="35"/>
      <c r="K2957" s="42"/>
      <c r="L2957" s="38"/>
      <c r="M2957" s="43"/>
      <c r="N2957" s="34"/>
      <c r="O2957" s="34"/>
      <c r="P2957" s="34"/>
      <c r="Q2957" s="34"/>
    </row>
    <row r="2958" ht="15.75" customHeight="1">
      <c r="A2958" s="40"/>
      <c r="B2958" s="29"/>
      <c r="C2958" s="4"/>
      <c r="D2958" s="34"/>
      <c r="E2958" s="39"/>
      <c r="F2958" s="35"/>
      <c r="G2958" s="35"/>
      <c r="H2958" s="38"/>
      <c r="I2958" s="35"/>
      <c r="J2958" s="35"/>
      <c r="K2958" s="42"/>
      <c r="L2958" s="38"/>
      <c r="M2958" s="43"/>
      <c r="N2958" s="34"/>
      <c r="O2958" s="34"/>
      <c r="P2958" s="34"/>
      <c r="Q2958" s="34"/>
    </row>
    <row r="2959" ht="15.75" customHeight="1">
      <c r="A2959" s="40"/>
      <c r="B2959" s="29"/>
      <c r="C2959" s="4"/>
      <c r="D2959" s="34"/>
      <c r="E2959" s="39"/>
      <c r="F2959" s="35"/>
      <c r="G2959" s="35"/>
      <c r="H2959" s="38"/>
      <c r="I2959" s="35"/>
      <c r="J2959" s="35"/>
      <c r="K2959" s="42"/>
      <c r="L2959" s="38"/>
      <c r="M2959" s="43"/>
      <c r="N2959" s="34"/>
      <c r="O2959" s="34"/>
      <c r="P2959" s="34"/>
      <c r="Q2959" s="34"/>
    </row>
    <row r="2960" ht="15.75" customHeight="1">
      <c r="A2960" s="40"/>
      <c r="B2960" s="29"/>
      <c r="C2960" s="4"/>
      <c r="D2960" s="34"/>
      <c r="E2960" s="39"/>
      <c r="F2960" s="35"/>
      <c r="G2960" s="35"/>
      <c r="H2960" s="38"/>
      <c r="I2960" s="35"/>
      <c r="J2960" s="35"/>
      <c r="K2960" s="42"/>
      <c r="L2960" s="38"/>
      <c r="M2960" s="43"/>
      <c r="N2960" s="34"/>
      <c r="O2960" s="34"/>
      <c r="P2960" s="34"/>
      <c r="Q2960" s="34"/>
    </row>
    <row r="2961" ht="15.75" customHeight="1">
      <c r="A2961" s="40"/>
      <c r="B2961" s="29"/>
      <c r="C2961" s="4"/>
      <c r="D2961" s="34"/>
      <c r="E2961" s="39"/>
      <c r="F2961" s="35"/>
      <c r="G2961" s="35"/>
      <c r="H2961" s="38"/>
      <c r="I2961" s="35"/>
      <c r="J2961" s="35"/>
      <c r="K2961" s="42"/>
      <c r="L2961" s="38"/>
      <c r="M2961" s="43"/>
      <c r="N2961" s="34"/>
      <c r="O2961" s="34"/>
      <c r="P2961" s="34"/>
      <c r="Q2961" s="34"/>
    </row>
    <row r="2962" ht="15.75" customHeight="1">
      <c r="A2962" s="40"/>
      <c r="B2962" s="29"/>
      <c r="C2962" s="4"/>
      <c r="D2962" s="34"/>
      <c r="E2962" s="39"/>
      <c r="F2962" s="35"/>
      <c r="G2962" s="35"/>
      <c r="H2962" s="38"/>
      <c r="I2962" s="35"/>
      <c r="J2962" s="35"/>
      <c r="K2962" s="42"/>
      <c r="L2962" s="38"/>
      <c r="M2962" s="43"/>
      <c r="N2962" s="34"/>
      <c r="O2962" s="34"/>
      <c r="P2962" s="34"/>
      <c r="Q2962" s="34"/>
    </row>
    <row r="2963" ht="15.75" customHeight="1">
      <c r="A2963" s="40"/>
      <c r="B2963" s="29"/>
      <c r="C2963" s="4"/>
      <c r="D2963" s="34"/>
      <c r="E2963" s="39"/>
      <c r="F2963" s="35"/>
      <c r="G2963" s="35"/>
      <c r="H2963" s="38"/>
      <c r="I2963" s="35"/>
      <c r="J2963" s="35"/>
      <c r="K2963" s="42"/>
      <c r="L2963" s="38"/>
      <c r="M2963" s="43"/>
      <c r="N2963" s="34"/>
      <c r="O2963" s="34"/>
      <c r="P2963" s="34"/>
      <c r="Q2963" s="34"/>
    </row>
    <row r="2964" ht="15.75" customHeight="1">
      <c r="A2964" s="40"/>
      <c r="B2964" s="29"/>
      <c r="C2964" s="4"/>
      <c r="D2964" s="34"/>
      <c r="E2964" s="39"/>
      <c r="F2964" s="35"/>
      <c r="G2964" s="35"/>
      <c r="H2964" s="38"/>
      <c r="I2964" s="35"/>
      <c r="J2964" s="35"/>
      <c r="K2964" s="42"/>
      <c r="L2964" s="38"/>
      <c r="M2964" s="43"/>
      <c r="N2964" s="34"/>
      <c r="O2964" s="34"/>
      <c r="P2964" s="34"/>
      <c r="Q2964" s="34"/>
    </row>
    <row r="2965" ht="15.75" customHeight="1">
      <c r="A2965" s="40"/>
      <c r="B2965" s="29"/>
      <c r="C2965" s="4"/>
      <c r="D2965" s="34"/>
      <c r="E2965" s="39"/>
      <c r="F2965" s="35"/>
      <c r="G2965" s="35"/>
      <c r="H2965" s="38"/>
      <c r="I2965" s="35"/>
      <c r="J2965" s="35"/>
      <c r="K2965" s="42"/>
      <c r="L2965" s="38"/>
      <c r="M2965" s="43"/>
      <c r="N2965" s="34"/>
      <c r="O2965" s="34"/>
      <c r="P2965" s="34"/>
      <c r="Q2965" s="34"/>
    </row>
    <row r="2966" ht="15.75" customHeight="1">
      <c r="A2966" s="40"/>
      <c r="B2966" s="29"/>
      <c r="C2966" s="4"/>
      <c r="D2966" s="34"/>
      <c r="E2966" s="39"/>
      <c r="F2966" s="35"/>
      <c r="G2966" s="35"/>
      <c r="H2966" s="38"/>
      <c r="I2966" s="35"/>
      <c r="J2966" s="35"/>
      <c r="K2966" s="42"/>
      <c r="L2966" s="38"/>
      <c r="M2966" s="43"/>
      <c r="N2966" s="34"/>
      <c r="O2966" s="34"/>
      <c r="P2966" s="34"/>
      <c r="Q2966" s="34"/>
    </row>
    <row r="2967" ht="15.75" customHeight="1">
      <c r="A2967" s="40"/>
      <c r="B2967" s="29"/>
      <c r="C2967" s="4"/>
      <c r="D2967" s="34"/>
      <c r="E2967" s="39"/>
      <c r="F2967" s="35"/>
      <c r="G2967" s="35"/>
      <c r="H2967" s="38"/>
      <c r="I2967" s="35"/>
      <c r="J2967" s="35"/>
      <c r="K2967" s="42"/>
      <c r="L2967" s="38"/>
      <c r="M2967" s="43"/>
      <c r="N2967" s="34"/>
      <c r="O2967" s="34"/>
      <c r="P2967" s="34"/>
      <c r="Q2967" s="34"/>
    </row>
    <row r="2968" ht="15.75" customHeight="1">
      <c r="A2968" s="40"/>
      <c r="B2968" s="29"/>
      <c r="C2968" s="4"/>
      <c r="D2968" s="34"/>
      <c r="E2968" s="39"/>
      <c r="F2968" s="35"/>
      <c r="G2968" s="35"/>
      <c r="H2968" s="38"/>
      <c r="I2968" s="35"/>
      <c r="J2968" s="35"/>
      <c r="K2968" s="42"/>
      <c r="L2968" s="38"/>
      <c r="M2968" s="43"/>
      <c r="N2968" s="34"/>
      <c r="O2968" s="34"/>
      <c r="P2968" s="34"/>
      <c r="Q2968" s="34"/>
    </row>
    <row r="2969" ht="15.75" customHeight="1">
      <c r="A2969" s="40"/>
      <c r="B2969" s="29"/>
      <c r="C2969" s="4"/>
      <c r="D2969" s="34"/>
      <c r="E2969" s="39"/>
      <c r="F2969" s="35"/>
      <c r="G2969" s="35"/>
      <c r="H2969" s="38"/>
      <c r="I2969" s="35"/>
      <c r="J2969" s="35"/>
      <c r="K2969" s="42"/>
      <c r="L2969" s="38"/>
      <c r="M2969" s="43"/>
      <c r="N2969" s="34"/>
      <c r="O2969" s="34"/>
      <c r="P2969" s="34"/>
      <c r="Q2969" s="34"/>
    </row>
    <row r="2970" ht="15.75" customHeight="1">
      <c r="A2970" s="40"/>
      <c r="B2970" s="29"/>
      <c r="C2970" s="4"/>
      <c r="D2970" s="34"/>
      <c r="E2970" s="39"/>
      <c r="F2970" s="35"/>
      <c r="G2970" s="35"/>
      <c r="H2970" s="38"/>
      <c r="I2970" s="35"/>
      <c r="J2970" s="35"/>
      <c r="K2970" s="42"/>
      <c r="L2970" s="38"/>
      <c r="M2970" s="43"/>
      <c r="N2970" s="34"/>
      <c r="O2970" s="34"/>
      <c r="P2970" s="34"/>
      <c r="Q2970" s="34"/>
    </row>
    <row r="2971" ht="15.75" customHeight="1">
      <c r="A2971" s="40"/>
      <c r="B2971" s="29"/>
      <c r="C2971" s="4"/>
      <c r="D2971" s="34"/>
      <c r="E2971" s="39"/>
      <c r="F2971" s="35"/>
      <c r="G2971" s="35"/>
      <c r="H2971" s="38"/>
      <c r="I2971" s="35"/>
      <c r="J2971" s="35"/>
      <c r="K2971" s="42"/>
      <c r="L2971" s="38"/>
      <c r="M2971" s="43"/>
      <c r="N2971" s="34"/>
      <c r="O2971" s="34"/>
      <c r="P2971" s="34"/>
      <c r="Q2971" s="34"/>
    </row>
    <row r="2972" ht="15.75" customHeight="1">
      <c r="A2972" s="40"/>
      <c r="B2972" s="29"/>
      <c r="C2972" s="4"/>
      <c r="D2972" s="34"/>
      <c r="E2972" s="39"/>
      <c r="F2972" s="35"/>
      <c r="G2972" s="35"/>
      <c r="H2972" s="38"/>
      <c r="I2972" s="35"/>
      <c r="J2972" s="35"/>
      <c r="K2972" s="42"/>
      <c r="L2972" s="38"/>
      <c r="M2972" s="43"/>
      <c r="N2972" s="34"/>
      <c r="O2972" s="34"/>
      <c r="P2972" s="34"/>
      <c r="Q2972" s="34"/>
    </row>
    <row r="2973" ht="15.75" customHeight="1">
      <c r="A2973" s="40"/>
      <c r="B2973" s="29"/>
      <c r="C2973" s="4"/>
      <c r="D2973" s="34"/>
      <c r="E2973" s="39"/>
      <c r="F2973" s="35"/>
      <c r="G2973" s="35"/>
      <c r="H2973" s="38"/>
      <c r="I2973" s="35"/>
      <c r="J2973" s="35"/>
      <c r="K2973" s="42"/>
      <c r="L2973" s="38"/>
      <c r="M2973" s="43"/>
      <c r="N2973" s="34"/>
      <c r="O2973" s="34"/>
      <c r="P2973" s="34"/>
      <c r="Q2973" s="34"/>
    </row>
    <row r="2974" ht="15.75" customHeight="1">
      <c r="A2974" s="40"/>
      <c r="B2974" s="29"/>
      <c r="C2974" s="4"/>
      <c r="D2974" s="34"/>
      <c r="E2974" s="39"/>
      <c r="F2974" s="35"/>
      <c r="G2974" s="35"/>
      <c r="H2974" s="38"/>
      <c r="I2974" s="35"/>
      <c r="J2974" s="35"/>
      <c r="K2974" s="42"/>
      <c r="L2974" s="38"/>
      <c r="M2974" s="43"/>
      <c r="N2974" s="34"/>
      <c r="O2974" s="34"/>
      <c r="P2974" s="34"/>
      <c r="Q2974" s="34"/>
    </row>
    <row r="2975" ht="15.75" customHeight="1">
      <c r="A2975" s="40"/>
      <c r="B2975" s="29"/>
      <c r="C2975" s="4"/>
      <c r="D2975" s="34"/>
      <c r="E2975" s="39"/>
      <c r="F2975" s="35"/>
      <c r="G2975" s="35"/>
      <c r="H2975" s="38"/>
      <c r="I2975" s="35"/>
      <c r="J2975" s="35"/>
      <c r="K2975" s="42"/>
      <c r="L2975" s="38"/>
      <c r="M2975" s="43"/>
      <c r="N2975" s="34"/>
      <c r="O2975" s="34"/>
      <c r="P2975" s="34"/>
      <c r="Q2975" s="34"/>
    </row>
    <row r="2976" ht="15.75" customHeight="1">
      <c r="A2976" s="40"/>
      <c r="B2976" s="29"/>
      <c r="C2976" s="4"/>
      <c r="D2976" s="34"/>
      <c r="E2976" s="39"/>
      <c r="F2976" s="35"/>
      <c r="G2976" s="35"/>
      <c r="H2976" s="38"/>
      <c r="I2976" s="35"/>
      <c r="J2976" s="35"/>
      <c r="K2976" s="42"/>
      <c r="L2976" s="38"/>
      <c r="M2976" s="43"/>
      <c r="N2976" s="34"/>
      <c r="O2976" s="34"/>
      <c r="P2976" s="34"/>
      <c r="Q2976" s="34"/>
    </row>
    <row r="2977" ht="15.75" customHeight="1">
      <c r="A2977" s="40"/>
      <c r="B2977" s="29"/>
      <c r="C2977" s="4"/>
      <c r="D2977" s="34"/>
      <c r="E2977" s="39"/>
      <c r="F2977" s="35"/>
      <c r="G2977" s="35"/>
      <c r="H2977" s="38"/>
      <c r="I2977" s="35"/>
      <c r="J2977" s="35"/>
      <c r="K2977" s="42"/>
      <c r="L2977" s="38"/>
      <c r="M2977" s="43"/>
      <c r="N2977" s="34"/>
      <c r="O2977" s="34"/>
      <c r="P2977" s="34"/>
      <c r="Q2977" s="34"/>
    </row>
    <row r="2978" ht="15.75" customHeight="1">
      <c r="A2978" s="40"/>
      <c r="B2978" s="29"/>
      <c r="C2978" s="4"/>
      <c r="D2978" s="34"/>
      <c r="E2978" s="39"/>
      <c r="F2978" s="35"/>
      <c r="G2978" s="35"/>
      <c r="H2978" s="38"/>
      <c r="I2978" s="35"/>
      <c r="J2978" s="35"/>
      <c r="K2978" s="42"/>
      <c r="L2978" s="38"/>
      <c r="M2978" s="43"/>
      <c r="N2978" s="34"/>
      <c r="O2978" s="34"/>
      <c r="P2978" s="34"/>
      <c r="Q2978" s="34"/>
    </row>
    <row r="2979" ht="15.75" customHeight="1">
      <c r="A2979" s="40"/>
      <c r="B2979" s="29"/>
      <c r="C2979" s="4"/>
      <c r="D2979" s="34"/>
      <c r="E2979" s="39"/>
      <c r="F2979" s="35"/>
      <c r="G2979" s="35"/>
      <c r="H2979" s="38"/>
      <c r="I2979" s="35"/>
      <c r="J2979" s="35"/>
      <c r="K2979" s="42"/>
      <c r="L2979" s="38"/>
      <c r="M2979" s="43"/>
      <c r="N2979" s="34"/>
      <c r="O2979" s="34"/>
      <c r="P2979" s="34"/>
      <c r="Q2979" s="34"/>
    </row>
    <row r="2980" ht="15.75" customHeight="1">
      <c r="A2980" s="40"/>
      <c r="B2980" s="29"/>
      <c r="C2980" s="4"/>
      <c r="D2980" s="34"/>
      <c r="E2980" s="39"/>
      <c r="F2980" s="35"/>
      <c r="G2980" s="35"/>
      <c r="H2980" s="38"/>
      <c r="I2980" s="35"/>
      <c r="J2980" s="35"/>
      <c r="K2980" s="42"/>
      <c r="L2980" s="38"/>
      <c r="M2980" s="43"/>
      <c r="N2980" s="34"/>
      <c r="O2980" s="34"/>
      <c r="P2980" s="34"/>
      <c r="Q2980" s="34"/>
    </row>
    <row r="2981" ht="15.75" customHeight="1">
      <c r="A2981" s="40"/>
      <c r="B2981" s="29"/>
      <c r="C2981" s="4"/>
      <c r="D2981" s="34"/>
      <c r="E2981" s="39"/>
      <c r="F2981" s="35"/>
      <c r="G2981" s="35"/>
      <c r="H2981" s="38"/>
      <c r="I2981" s="35"/>
      <c r="J2981" s="35"/>
      <c r="K2981" s="42"/>
      <c r="L2981" s="38"/>
      <c r="M2981" s="43"/>
      <c r="N2981" s="34"/>
      <c r="O2981" s="34"/>
      <c r="P2981" s="34"/>
      <c r="Q2981" s="34"/>
    </row>
    <row r="2982" ht="15.75" customHeight="1">
      <c r="A2982" s="40"/>
      <c r="B2982" s="29"/>
      <c r="C2982" s="4"/>
      <c r="D2982" s="34"/>
      <c r="E2982" s="39"/>
      <c r="F2982" s="35"/>
      <c r="G2982" s="35"/>
      <c r="H2982" s="38"/>
      <c r="I2982" s="35"/>
      <c r="J2982" s="35"/>
      <c r="K2982" s="42"/>
      <c r="L2982" s="38"/>
      <c r="M2982" s="43"/>
      <c r="N2982" s="34"/>
      <c r="O2982" s="34"/>
      <c r="P2982" s="34"/>
      <c r="Q2982" s="34"/>
    </row>
    <row r="2983" ht="15.75" customHeight="1">
      <c r="A2983" s="40"/>
      <c r="B2983" s="29"/>
      <c r="C2983" s="4"/>
      <c r="D2983" s="34"/>
      <c r="E2983" s="39"/>
      <c r="F2983" s="35"/>
      <c r="G2983" s="35"/>
      <c r="H2983" s="38"/>
      <c r="I2983" s="35"/>
      <c r="J2983" s="35"/>
      <c r="K2983" s="42"/>
      <c r="L2983" s="38"/>
      <c r="M2983" s="43"/>
      <c r="N2983" s="34"/>
      <c r="O2983" s="34"/>
      <c r="P2983" s="34"/>
      <c r="Q2983" s="34"/>
    </row>
    <row r="2984" ht="15.75" customHeight="1">
      <c r="A2984" s="40"/>
      <c r="B2984" s="29"/>
      <c r="C2984" s="4"/>
      <c r="D2984" s="34"/>
      <c r="E2984" s="39"/>
      <c r="F2984" s="35"/>
      <c r="G2984" s="35"/>
      <c r="H2984" s="38"/>
      <c r="I2984" s="35"/>
      <c r="J2984" s="35"/>
      <c r="K2984" s="42"/>
      <c r="L2984" s="38"/>
      <c r="M2984" s="43"/>
      <c r="N2984" s="34"/>
      <c r="O2984" s="34"/>
      <c r="P2984" s="34"/>
      <c r="Q2984" s="34"/>
    </row>
    <row r="2985" ht="15.75" customHeight="1">
      <c r="A2985" s="40"/>
      <c r="B2985" s="29"/>
      <c r="C2985" s="4"/>
      <c r="D2985" s="34"/>
      <c r="E2985" s="39"/>
      <c r="F2985" s="35"/>
      <c r="G2985" s="35"/>
      <c r="H2985" s="38"/>
      <c r="I2985" s="35"/>
      <c r="J2985" s="35"/>
      <c r="K2985" s="42"/>
      <c r="L2985" s="38"/>
      <c r="M2985" s="43"/>
      <c r="N2985" s="34"/>
      <c r="O2985" s="34"/>
      <c r="P2985" s="34"/>
      <c r="Q2985" s="34"/>
    </row>
    <row r="2986" ht="15.75" customHeight="1">
      <c r="A2986" s="40"/>
      <c r="B2986" s="29"/>
      <c r="C2986" s="4"/>
      <c r="D2986" s="34"/>
      <c r="E2986" s="39"/>
      <c r="F2986" s="35"/>
      <c r="G2986" s="35"/>
      <c r="H2986" s="38"/>
      <c r="I2986" s="35"/>
      <c r="J2986" s="35"/>
      <c r="K2986" s="42"/>
      <c r="L2986" s="38"/>
      <c r="M2986" s="43"/>
      <c r="N2986" s="34"/>
      <c r="O2986" s="34"/>
      <c r="P2986" s="34"/>
      <c r="Q2986" s="34"/>
    </row>
    <row r="2987" ht="15.75" customHeight="1">
      <c r="A2987" s="40"/>
      <c r="B2987" s="29"/>
      <c r="C2987" s="4"/>
      <c r="D2987" s="34"/>
      <c r="E2987" s="39"/>
      <c r="F2987" s="35"/>
      <c r="G2987" s="35"/>
      <c r="H2987" s="38"/>
      <c r="I2987" s="35"/>
      <c r="J2987" s="35"/>
      <c r="K2987" s="42"/>
      <c r="L2987" s="38"/>
      <c r="M2987" s="43"/>
      <c r="N2987" s="34"/>
      <c r="O2987" s="34"/>
      <c r="P2987" s="34"/>
      <c r="Q2987" s="34"/>
    </row>
    <row r="2988" ht="15.75" customHeight="1">
      <c r="A2988" s="40"/>
      <c r="B2988" s="29"/>
      <c r="C2988" s="4"/>
      <c r="D2988" s="34"/>
      <c r="E2988" s="39"/>
      <c r="F2988" s="35"/>
      <c r="G2988" s="35"/>
      <c r="H2988" s="38"/>
      <c r="I2988" s="35"/>
      <c r="J2988" s="35"/>
      <c r="K2988" s="42"/>
      <c r="L2988" s="38"/>
      <c r="M2988" s="43"/>
      <c r="N2988" s="34"/>
      <c r="O2988" s="34"/>
      <c r="P2988" s="34"/>
      <c r="Q2988" s="34"/>
    </row>
    <row r="2989" ht="15.75" customHeight="1">
      <c r="A2989" s="40"/>
      <c r="B2989" s="29"/>
      <c r="C2989" s="4"/>
      <c r="D2989" s="34"/>
      <c r="E2989" s="39"/>
      <c r="F2989" s="35"/>
      <c r="G2989" s="35"/>
      <c r="H2989" s="38"/>
      <c r="I2989" s="35"/>
      <c r="J2989" s="35"/>
      <c r="K2989" s="42"/>
      <c r="L2989" s="38"/>
      <c r="M2989" s="43"/>
      <c r="N2989" s="34"/>
      <c r="O2989" s="34"/>
      <c r="P2989" s="34"/>
      <c r="Q2989" s="34"/>
    </row>
    <row r="2990" ht="15.75" customHeight="1">
      <c r="A2990" s="40"/>
      <c r="B2990" s="29"/>
      <c r="C2990" s="4"/>
      <c r="D2990" s="34"/>
      <c r="E2990" s="39"/>
      <c r="F2990" s="35"/>
      <c r="G2990" s="35"/>
      <c r="H2990" s="38"/>
      <c r="I2990" s="35"/>
      <c r="J2990" s="35"/>
      <c r="K2990" s="42"/>
      <c r="L2990" s="38"/>
      <c r="M2990" s="43"/>
      <c r="N2990" s="34"/>
      <c r="O2990" s="34"/>
      <c r="P2990" s="34"/>
      <c r="Q2990" s="34"/>
    </row>
    <row r="2991" ht="15.75" customHeight="1">
      <c r="A2991" s="40"/>
      <c r="B2991" s="29"/>
      <c r="C2991" s="4"/>
      <c r="D2991" s="34"/>
      <c r="E2991" s="39"/>
      <c r="F2991" s="35"/>
      <c r="G2991" s="35"/>
      <c r="H2991" s="38"/>
      <c r="I2991" s="35"/>
      <c r="J2991" s="35"/>
      <c r="K2991" s="42"/>
      <c r="L2991" s="38"/>
      <c r="M2991" s="43"/>
      <c r="N2991" s="34"/>
      <c r="O2991" s="34"/>
      <c r="P2991" s="34"/>
      <c r="Q2991" s="34"/>
    </row>
    <row r="2992" ht="15.75" customHeight="1">
      <c r="A2992" s="40"/>
      <c r="B2992" s="29"/>
      <c r="C2992" s="4"/>
      <c r="D2992" s="34"/>
      <c r="E2992" s="39"/>
      <c r="F2992" s="35"/>
      <c r="G2992" s="35"/>
      <c r="H2992" s="38"/>
      <c r="I2992" s="35"/>
      <c r="J2992" s="35"/>
      <c r="K2992" s="42"/>
      <c r="L2992" s="38"/>
      <c r="M2992" s="43"/>
      <c r="N2992" s="34"/>
      <c r="O2992" s="34"/>
      <c r="P2992" s="34"/>
      <c r="Q2992" s="34"/>
    </row>
    <row r="2993" ht="15.75" customHeight="1">
      <c r="A2993" s="40"/>
      <c r="B2993" s="29"/>
      <c r="C2993" s="4"/>
      <c r="D2993" s="34"/>
      <c r="E2993" s="39"/>
      <c r="F2993" s="35"/>
      <c r="G2993" s="35"/>
      <c r="H2993" s="38"/>
      <c r="I2993" s="35"/>
      <c r="J2993" s="35"/>
      <c r="K2993" s="42"/>
      <c r="L2993" s="38"/>
      <c r="M2993" s="43"/>
      <c r="N2993" s="34"/>
      <c r="O2993" s="34"/>
      <c r="P2993" s="34"/>
      <c r="Q2993" s="34"/>
    </row>
    <row r="2994" ht="15.75" customHeight="1">
      <c r="A2994" s="40"/>
      <c r="B2994" s="29"/>
      <c r="C2994" s="4"/>
      <c r="D2994" s="34"/>
      <c r="E2994" s="39"/>
      <c r="F2994" s="35"/>
      <c r="G2994" s="35"/>
      <c r="H2994" s="38"/>
      <c r="I2994" s="35"/>
      <c r="J2994" s="35"/>
      <c r="K2994" s="42"/>
      <c r="L2994" s="38"/>
      <c r="M2994" s="43"/>
      <c r="N2994" s="34"/>
      <c r="O2994" s="34"/>
      <c r="P2994" s="34"/>
      <c r="Q2994" s="34"/>
    </row>
    <row r="2995" ht="15.75" customHeight="1">
      <c r="A2995" s="40"/>
      <c r="B2995" s="29"/>
      <c r="C2995" s="4"/>
      <c r="D2995" s="34"/>
      <c r="E2995" s="39"/>
      <c r="F2995" s="35"/>
      <c r="G2995" s="35"/>
      <c r="H2995" s="38"/>
      <c r="I2995" s="35"/>
      <c r="J2995" s="35"/>
      <c r="K2995" s="42"/>
      <c r="L2995" s="38"/>
      <c r="M2995" s="43"/>
      <c r="N2995" s="34"/>
      <c r="O2995" s="34"/>
      <c r="P2995" s="34"/>
      <c r="Q2995" s="34"/>
    </row>
    <row r="2996" ht="15.75" customHeight="1">
      <c r="A2996" s="40"/>
      <c r="B2996" s="29"/>
      <c r="C2996" s="4"/>
      <c r="D2996" s="34"/>
      <c r="E2996" s="39"/>
      <c r="F2996" s="35"/>
      <c r="G2996" s="35"/>
      <c r="H2996" s="38"/>
      <c r="I2996" s="35"/>
      <c r="J2996" s="35"/>
      <c r="K2996" s="42"/>
      <c r="L2996" s="38"/>
      <c r="M2996" s="43"/>
      <c r="N2996" s="34"/>
      <c r="O2996" s="34"/>
      <c r="P2996" s="34"/>
      <c r="Q2996" s="34"/>
    </row>
    <row r="2997" ht="15.75" customHeight="1">
      <c r="A2997" s="40"/>
      <c r="B2997" s="29"/>
      <c r="C2997" s="4"/>
      <c r="D2997" s="34"/>
      <c r="E2997" s="39"/>
      <c r="F2997" s="35"/>
      <c r="G2997" s="35"/>
      <c r="H2997" s="38"/>
      <c r="I2997" s="35"/>
      <c r="J2997" s="35"/>
      <c r="K2997" s="42"/>
      <c r="L2997" s="38"/>
      <c r="M2997" s="43"/>
      <c r="N2997" s="34"/>
      <c r="O2997" s="34"/>
      <c r="P2997" s="34"/>
      <c r="Q2997" s="34"/>
    </row>
    <row r="2998" ht="15.75" customHeight="1">
      <c r="A2998" s="40"/>
      <c r="B2998" s="29"/>
      <c r="C2998" s="4"/>
      <c r="D2998" s="34"/>
      <c r="E2998" s="39"/>
      <c r="F2998" s="35"/>
      <c r="G2998" s="35"/>
      <c r="H2998" s="38"/>
      <c r="I2998" s="35"/>
      <c r="J2998" s="35"/>
      <c r="K2998" s="42"/>
      <c r="L2998" s="38"/>
      <c r="M2998" s="43"/>
      <c r="N2998" s="34"/>
      <c r="O2998" s="34"/>
      <c r="P2998" s="34"/>
      <c r="Q2998" s="34"/>
    </row>
    <row r="2999" ht="15.75" customHeight="1">
      <c r="A2999" s="40"/>
      <c r="B2999" s="29"/>
      <c r="C2999" s="4"/>
      <c r="D2999" s="34"/>
      <c r="E2999" s="39"/>
      <c r="F2999" s="35"/>
      <c r="G2999" s="35"/>
      <c r="H2999" s="38"/>
      <c r="I2999" s="35"/>
      <c r="J2999" s="35"/>
      <c r="K2999" s="42"/>
      <c r="L2999" s="38"/>
      <c r="M2999" s="43"/>
      <c r="N2999" s="34"/>
      <c r="O2999" s="34"/>
      <c r="P2999" s="34"/>
      <c r="Q2999" s="34"/>
    </row>
    <row r="3000" ht="15.75" customHeight="1">
      <c r="A3000" s="40"/>
      <c r="B3000" s="29"/>
      <c r="C3000" s="4"/>
      <c r="D3000" s="34"/>
      <c r="E3000" s="39"/>
      <c r="F3000" s="35"/>
      <c r="G3000" s="35"/>
      <c r="H3000" s="38"/>
      <c r="I3000" s="35"/>
      <c r="J3000" s="35"/>
      <c r="K3000" s="42"/>
      <c r="L3000" s="38"/>
      <c r="M3000" s="43"/>
      <c r="N3000" s="34"/>
      <c r="O3000" s="34"/>
      <c r="P3000" s="34"/>
      <c r="Q3000" s="34"/>
    </row>
  </sheetData>
  <autoFilter ref="$A$1:$Q$2388">
    <filterColumn colId="7">
      <filters>
        <filter val="XI"/>
        <filter val="X"/>
        <filter val="XII"/>
      </filters>
    </filterColumn>
    <sortState ref="A1:Q2388">
      <sortCondition ref="L1:L2388"/>
      <sortCondition ref="H1:H2388"/>
      <sortCondition ref="E1:E2388"/>
      <sortCondition ref="K1:K2388"/>
      <sortCondition ref="A1:A2388"/>
      <sortCondition ref="F1:F2388"/>
      <sortCondition ref="Q1:Q2388"/>
    </sortState>
  </autoFilter>
  <dataValidations>
    <dataValidation type="list" allowBlank="1" showErrorMessage="1" sqref="L2:L3000">
      <formula1>"AKL1,AKL2,AKL3,AKL4,BCF1,DKV1,DKV2,JKT1,JKT2,KLR1,OTO1,OTO2,OTO3,OTO4,OTO5,PLG1,PLG2,AKN1,AKN2,AKN3,AKN4,PFL1,RPL1,RPL2,TKJ1,TKJ2,TKR1,TKR2,TKR3,TSM1,TSM2,OUT"</formula1>
    </dataValidation>
    <dataValidation type="list" allowBlank="1" showErrorMessage="1" sqref="H2:H3000">
      <formula1>"PURNA2025-,X,XI,XII,DROP"</formula1>
    </dataValidation>
    <dataValidation type="list" allowBlank="1" showErrorMessage="1" sqref="K2:K3000">
      <formula1>"162021,172022,172023,182023,192024,202025"</formula1>
    </dataValidation>
  </dataValidations>
  <hyperlinks>
    <hyperlink r:id="rId1" ref="C219"/>
  </hyperlinks>
  <printOptions horizontalCentered="1" verticalCentered="1"/>
  <pageMargins bottom="0.75" footer="0.0" header="0.0" left="0.7" right="0.7" top="0.75"/>
  <pageSetup fitToWidth="0" paperSize="9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0.11"/>
    <col customWidth="1" min="3" max="3" width="16.56"/>
    <col customWidth="1" min="4" max="4" width="40.78"/>
    <col customWidth="1" min="5" max="5" width="4.0"/>
    <col customWidth="1" min="6" max="12" width="6.11"/>
    <col customWidth="1" min="13" max="15" width="8.89"/>
    <col customWidth="1" min="16" max="16" width="4.11"/>
  </cols>
  <sheetData>
    <row r="1">
      <c r="A1" s="44"/>
      <c r="B1" s="44"/>
      <c r="C1" s="44"/>
      <c r="D1" s="45" t="s">
        <v>10286</v>
      </c>
      <c r="M1" s="44"/>
      <c r="N1" s="44"/>
      <c r="O1" s="44"/>
      <c r="P1" s="44"/>
    </row>
    <row r="2">
      <c r="A2" s="44"/>
      <c r="B2" s="44"/>
      <c r="C2" s="44"/>
      <c r="D2" s="45" t="s">
        <v>5408</v>
      </c>
      <c r="M2" s="44"/>
      <c r="N2" s="44"/>
      <c r="O2" s="44"/>
      <c r="P2" s="44"/>
    </row>
    <row r="3">
      <c r="A3" s="44"/>
      <c r="B3" s="44"/>
      <c r="C3" s="44"/>
      <c r="D3" s="45" t="s">
        <v>10287</v>
      </c>
      <c r="M3" s="44"/>
      <c r="N3" s="44"/>
      <c r="O3" s="44"/>
      <c r="P3" s="44"/>
    </row>
    <row r="4">
      <c r="A4" s="44"/>
      <c r="B4" s="44"/>
      <c r="C4" s="44"/>
      <c r="D4" s="45" t="s">
        <v>10288</v>
      </c>
      <c r="M4" s="44"/>
      <c r="N4" s="44"/>
      <c r="O4" s="44"/>
      <c r="P4" s="44"/>
    </row>
    <row r="5">
      <c r="A5" s="44"/>
      <c r="B5" s="44"/>
      <c r="C5" s="44"/>
      <c r="D5" s="45" t="s">
        <v>10289</v>
      </c>
      <c r="M5" s="44"/>
      <c r="N5" s="44"/>
      <c r="O5" s="44"/>
      <c r="P5" s="44"/>
    </row>
    <row r="6">
      <c r="A6" s="44"/>
      <c r="B6" s="44"/>
      <c r="C6" s="44"/>
      <c r="D6" s="45"/>
      <c r="E6" s="45"/>
      <c r="F6" s="45"/>
      <c r="G6" s="45"/>
      <c r="H6" s="45"/>
      <c r="I6" s="45"/>
      <c r="J6" s="45"/>
      <c r="K6" s="45"/>
      <c r="L6" s="45"/>
      <c r="M6" s="44"/>
      <c r="N6" s="44"/>
      <c r="O6" s="44"/>
      <c r="P6" s="44"/>
    </row>
    <row r="7">
      <c r="A7" s="44"/>
      <c r="B7" s="44"/>
      <c r="C7" s="44"/>
      <c r="D7" s="45" t="s">
        <v>10290</v>
      </c>
      <c r="M7" s="44"/>
      <c r="N7" s="44"/>
      <c r="O7" s="44"/>
      <c r="P7" s="44"/>
    </row>
    <row r="8">
      <c r="A8" s="44"/>
      <c r="B8" s="44"/>
      <c r="C8" s="44"/>
      <c r="D8" s="45" t="s">
        <v>10291</v>
      </c>
      <c r="M8" s="44"/>
      <c r="N8" s="44"/>
      <c r="O8" s="44"/>
      <c r="P8" s="44"/>
    </row>
    <row r="9">
      <c r="A9" s="44"/>
      <c r="B9" s="44"/>
      <c r="C9" s="44"/>
      <c r="D9" s="45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ht="30.0" customHeight="1">
      <c r="A11" s="46"/>
      <c r="B11" s="46" t="s">
        <v>10292</v>
      </c>
      <c r="C11" s="47" t="str">
        <f>VLOOKUP(N11,Walas!A2:B89,2,FALSE)</f>
        <v>HADI PURWANTO, S.Pd</v>
      </c>
      <c r="D11" s="46"/>
      <c r="E11" s="46"/>
      <c r="F11" s="46"/>
      <c r="G11" s="46"/>
      <c r="H11" s="46"/>
      <c r="I11" s="46"/>
      <c r="J11" s="46"/>
      <c r="K11" s="46"/>
      <c r="L11" s="46"/>
      <c r="M11" s="46" t="s">
        <v>10293</v>
      </c>
      <c r="N11" s="48" t="s">
        <v>10294</v>
      </c>
      <c r="P11" s="46"/>
    </row>
    <row r="12">
      <c r="A12" s="49"/>
      <c r="B12" s="49"/>
      <c r="C12" s="50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>
      <c r="A13" s="51" t="s">
        <v>10295</v>
      </c>
      <c r="B13" s="51" t="s">
        <v>2</v>
      </c>
      <c r="C13" s="51" t="s">
        <v>3</v>
      </c>
      <c r="D13" s="51" t="s">
        <v>4</v>
      </c>
      <c r="E13" s="51" t="s">
        <v>10296</v>
      </c>
      <c r="F13" s="52" t="s">
        <v>10297</v>
      </c>
      <c r="G13" s="53"/>
      <c r="H13" s="53"/>
      <c r="I13" s="53"/>
      <c r="J13" s="53"/>
      <c r="K13" s="53"/>
      <c r="L13" s="54"/>
      <c r="M13" s="52" t="s">
        <v>10298</v>
      </c>
      <c r="N13" s="53"/>
      <c r="O13" s="54"/>
      <c r="P13" s="51" t="s">
        <v>10299</v>
      </c>
    </row>
    <row r="14" ht="28.5" customHeight="1">
      <c r="A14" s="55">
        <v>1.0</v>
      </c>
      <c r="B14" s="56">
        <f>IFERROR(__xludf.DUMMYFUNCTION("FILTER(MasterData!$C$2:$F$2400,MasterData!$G$2:$G$2400=N11)"),9255.0)</f>
        <v>9255</v>
      </c>
      <c r="C14" s="57" t="str">
        <f>IFERROR(__xludf.DUMMYFUNCTION("""COMPUTED_VALUE"""),"3093981612")</f>
        <v>3093981612</v>
      </c>
      <c r="D14" s="58" t="str">
        <f>IFERROR(__xludf.DUMMYFUNCTION("""COMPUTED_VALUE"""),"ACHMAD FELIX DZIKRULLAH")</f>
        <v>ACHMAD FELIX DZIKRULLAH</v>
      </c>
      <c r="E14" s="56"/>
      <c r="F14" s="59" t="str">
        <f>VLOOKUP($B14,Userpass!$A$2:$E$3001,2,FALSE)</f>
        <v>tkr20259255.siswa@smkn12malang.sch.id</v>
      </c>
      <c r="G14" s="53"/>
      <c r="H14" s="53"/>
      <c r="I14" s="53"/>
      <c r="J14" s="53"/>
      <c r="K14" s="53"/>
      <c r="L14" s="54"/>
      <c r="M14" s="59" t="str">
        <f>VLOOKUP($B14,Userpass!$A$2:$E$3001,3,FALSE)</f>
        <v>(shWB33G</v>
      </c>
      <c r="N14" s="53"/>
      <c r="O14" s="54"/>
      <c r="P14" s="55"/>
    </row>
    <row r="15" ht="28.5" customHeight="1">
      <c r="A15" s="55">
        <v>2.0</v>
      </c>
      <c r="B15" s="56">
        <f>IFERROR(__xludf.DUMMYFUNCTION("""COMPUTED_VALUE"""),9260.0)</f>
        <v>9260</v>
      </c>
      <c r="C15" s="57" t="str">
        <f>IFERROR(__xludf.DUMMYFUNCTION("""COMPUTED_VALUE"""),"0097385091")</f>
        <v>0097385091</v>
      </c>
      <c r="D15" s="58" t="str">
        <f>IFERROR(__xludf.DUMMYFUNCTION("""COMPUTED_VALUE"""),"ADHISTIRA WIDAYADILLAH")</f>
        <v>ADHISTIRA WIDAYADILLAH</v>
      </c>
      <c r="E15" s="56"/>
      <c r="F15" s="59" t="str">
        <f>VLOOKUP($B15,Userpass!$A$2:$E$3001,2,FALSE)</f>
        <v>tkr20259260.siswa@smkn12malang.sch.id</v>
      </c>
      <c r="G15" s="53"/>
      <c r="H15" s="53"/>
      <c r="I15" s="53"/>
      <c r="J15" s="53"/>
      <c r="K15" s="53"/>
      <c r="L15" s="54"/>
      <c r="M15" s="59" t="str">
        <f>VLOOKUP($B15,Userpass!$A$2:$E$3001,3,FALSE)</f>
        <v>3L6fAy@5</v>
      </c>
      <c r="N15" s="53"/>
      <c r="O15" s="54"/>
      <c r="P15" s="55"/>
    </row>
    <row r="16" ht="28.5" customHeight="1">
      <c r="A16" s="55">
        <v>3.0</v>
      </c>
      <c r="B16" s="56">
        <f>IFERROR(__xludf.DUMMYFUNCTION("""COMPUTED_VALUE"""),9284.0)</f>
        <v>9284</v>
      </c>
      <c r="C16" s="57" t="str">
        <f>IFERROR(__xludf.DUMMYFUNCTION("""COMPUTED_VALUE"""),"3104958814")</f>
        <v>3104958814</v>
      </c>
      <c r="D16" s="58" t="str">
        <f>IFERROR(__xludf.DUMMYFUNCTION("""COMPUTED_VALUE"""),"AHMAD RAHMAD AFANDI")</f>
        <v>AHMAD RAHMAD AFANDI</v>
      </c>
      <c r="E16" s="56"/>
      <c r="F16" s="59" t="str">
        <f>VLOOKUP($B16,Userpass!$A$2:$E$3001,2,FALSE)</f>
        <v>tkr20259284.siswa@smkn12malang.sch.id</v>
      </c>
      <c r="G16" s="53"/>
      <c r="H16" s="53"/>
      <c r="I16" s="53"/>
      <c r="J16" s="53"/>
      <c r="K16" s="53"/>
      <c r="L16" s="54"/>
      <c r="M16" s="59" t="str">
        <f>VLOOKUP($B16,Userpass!$A$2:$E$3001,3,FALSE)</f>
        <v>%dwjFZ4q</v>
      </c>
      <c r="N16" s="53"/>
      <c r="O16" s="54"/>
      <c r="P16" s="55"/>
    </row>
    <row r="17" ht="28.5" customHeight="1">
      <c r="A17" s="55">
        <v>4.0</v>
      </c>
      <c r="B17" s="56">
        <f>IFERROR(__xludf.DUMMYFUNCTION("""COMPUTED_VALUE"""),9296.0)</f>
        <v>9296</v>
      </c>
      <c r="C17" s="57" t="str">
        <f>IFERROR(__xludf.DUMMYFUNCTION("""COMPUTED_VALUE"""),"0096580518")</f>
        <v>0096580518</v>
      </c>
      <c r="D17" s="58" t="str">
        <f>IFERROR(__xludf.DUMMYFUNCTION("""COMPUTED_VALUE"""),"AKSEL SUASTUSAIS VERNANDES")</f>
        <v>AKSEL SUASTUSAIS VERNANDES</v>
      </c>
      <c r="E17" s="56"/>
      <c r="F17" s="59" t="str">
        <f>VLOOKUP($B17,Userpass!$A$2:$E$3001,2,FALSE)</f>
        <v>tkr20259296.siswa@smkn12malang.sch.id</v>
      </c>
      <c r="G17" s="53"/>
      <c r="H17" s="53"/>
      <c r="I17" s="53"/>
      <c r="J17" s="53"/>
      <c r="K17" s="53"/>
      <c r="L17" s="54"/>
      <c r="M17" s="59" t="str">
        <f>VLOOKUP($B17,Userpass!$A$2:$E$3001,3,FALSE)</f>
        <v>J9KFMKm@</v>
      </c>
      <c r="N17" s="53"/>
      <c r="O17" s="54"/>
      <c r="P17" s="55"/>
    </row>
    <row r="18" ht="28.5" customHeight="1">
      <c r="A18" s="55">
        <v>5.0</v>
      </c>
      <c r="B18" s="56">
        <f>IFERROR(__xludf.DUMMYFUNCTION("""COMPUTED_VALUE"""),9307.0)</f>
        <v>9307</v>
      </c>
      <c r="C18" s="57" t="str">
        <f>IFERROR(__xludf.DUMMYFUNCTION("""COMPUTED_VALUE"""),"0109324966")</f>
        <v>0109324966</v>
      </c>
      <c r="D18" s="58" t="str">
        <f>IFERROR(__xludf.DUMMYFUNCTION("""COMPUTED_VALUE"""),"ALMIRA NURUL QOLBI")</f>
        <v>ALMIRA NURUL QOLBI</v>
      </c>
      <c r="E18" s="56"/>
      <c r="F18" s="59" t="str">
        <f>VLOOKUP($B18,Userpass!$A$2:$E$3001,2,FALSE)</f>
        <v>tkr20259307.siswa@smkn12malang.sch.id</v>
      </c>
      <c r="G18" s="53"/>
      <c r="H18" s="53"/>
      <c r="I18" s="53"/>
      <c r="J18" s="53"/>
      <c r="K18" s="53"/>
      <c r="L18" s="54"/>
      <c r="M18" s="59" t="str">
        <f>VLOOKUP($B18,Userpass!$A$2:$E$3001,3,FALSE)</f>
        <v>8@bQq7Ja</v>
      </c>
      <c r="N18" s="53"/>
      <c r="O18" s="54"/>
      <c r="P18" s="55"/>
    </row>
    <row r="19" ht="28.5" customHeight="1">
      <c r="A19" s="55">
        <v>6.0</v>
      </c>
      <c r="B19" s="56">
        <f>IFERROR(__xludf.DUMMYFUNCTION("""COMPUTED_VALUE"""),9319.0)</f>
        <v>9319</v>
      </c>
      <c r="C19" s="57" t="str">
        <f>IFERROR(__xludf.DUMMYFUNCTION("""COMPUTED_VALUE"""),"0091081451")</f>
        <v>0091081451</v>
      </c>
      <c r="D19" s="58" t="str">
        <f>IFERROR(__xludf.DUMMYFUNCTION("""COMPUTED_VALUE"""),"ANANDA DAVA RAMADHANI")</f>
        <v>ANANDA DAVA RAMADHANI</v>
      </c>
      <c r="E19" s="56"/>
      <c r="F19" s="59" t="str">
        <f>VLOOKUP($B19,Userpass!$A$2:$E$3001,2,FALSE)</f>
        <v>tkr20259319.siswa@smkn12malang.sch.id</v>
      </c>
      <c r="G19" s="53"/>
      <c r="H19" s="53"/>
      <c r="I19" s="53"/>
      <c r="J19" s="53"/>
      <c r="K19" s="53"/>
      <c r="L19" s="54"/>
      <c r="M19" s="59" t="str">
        <f>VLOOKUP($B19,Userpass!$A$2:$E$3001,3,FALSE)</f>
        <v>8hy(fMbg</v>
      </c>
      <c r="N19" s="53"/>
      <c r="O19" s="54"/>
      <c r="P19" s="55"/>
    </row>
    <row r="20" ht="28.5" customHeight="1">
      <c r="A20" s="55">
        <v>7.0</v>
      </c>
      <c r="B20" s="56">
        <f>IFERROR(__xludf.DUMMYFUNCTION("""COMPUTED_VALUE"""),8720.0)</f>
        <v>8720</v>
      </c>
      <c r="C20" s="57" t="str">
        <f>IFERROR(__xludf.DUMMYFUNCTION("""COMPUTED_VALUE"""),"0083019599")</f>
        <v>0083019599</v>
      </c>
      <c r="D20" s="58" t="str">
        <f>IFERROR(__xludf.DUMMYFUNCTION("""COMPUTED_VALUE"""),"ARIS PUTRA ARDIANSAH")</f>
        <v>ARIS PUTRA ARDIANSAH</v>
      </c>
      <c r="E20" s="56" t="str">
        <f>IFERROR(__xludf.DUMMYFUNCTION("""COMPUTED_VALUE"""),"L")</f>
        <v>L</v>
      </c>
      <c r="F20" s="59" t="str">
        <f>VLOOKUP($B20,Userpass!$A$2:$E$3001,2,FALSE)</f>
        <v>oto20248720.siswa@smkn12malang.sch.id</v>
      </c>
      <c r="G20" s="53"/>
      <c r="H20" s="53"/>
      <c r="I20" s="53"/>
      <c r="J20" s="53"/>
      <c r="K20" s="53"/>
      <c r="L20" s="54"/>
      <c r="M20" s="59" t="str">
        <f>VLOOKUP($B20,Userpass!$A$2:$E$3001,3,FALSE)</f>
        <v>LA&amp;^MyBw3PgB</v>
      </c>
      <c r="N20" s="53"/>
      <c r="O20" s="54"/>
      <c r="P20" s="55"/>
    </row>
    <row r="21" ht="28.5" customHeight="1">
      <c r="A21" s="55">
        <v>8.0</v>
      </c>
      <c r="B21" s="56">
        <f>IFERROR(__xludf.DUMMYFUNCTION("""COMPUTED_VALUE"""),9350.0)</f>
        <v>9350</v>
      </c>
      <c r="C21" s="57" t="str">
        <f>IFERROR(__xludf.DUMMYFUNCTION("""COMPUTED_VALUE"""),"0095140198")</f>
        <v>0095140198</v>
      </c>
      <c r="D21" s="58" t="str">
        <f>IFERROR(__xludf.DUMMYFUNCTION("""COMPUTED_VALUE"""),"ATHALLAH SYAHMI FIRDAUS CAUNANG")</f>
        <v>ATHALLAH SYAHMI FIRDAUS CAUNANG</v>
      </c>
      <c r="E21" s="56"/>
      <c r="F21" s="59" t="str">
        <f>VLOOKUP($B21,Userpass!$A$2:$E$3001,2,FALSE)</f>
        <v>tkr20259350.siswa@smkn12malang.sch.id</v>
      </c>
      <c r="G21" s="53"/>
      <c r="H21" s="53"/>
      <c r="I21" s="53"/>
      <c r="J21" s="53"/>
      <c r="K21" s="53"/>
      <c r="L21" s="54"/>
      <c r="M21" s="59" t="str">
        <f>VLOOKUP($B21,Userpass!$A$2:$E$3001,3,FALSE)</f>
        <v>2fLMQRR&amp;</v>
      </c>
      <c r="N21" s="53"/>
      <c r="O21" s="54"/>
      <c r="P21" s="55"/>
    </row>
    <row r="22" ht="28.5" customHeight="1">
      <c r="A22" s="55">
        <v>9.0</v>
      </c>
      <c r="B22" s="56">
        <f>IFERROR(__xludf.DUMMYFUNCTION("""COMPUTED_VALUE"""),8752.0)</f>
        <v>8752</v>
      </c>
      <c r="C22" s="57" t="str">
        <f>IFERROR(__xludf.DUMMYFUNCTION("""COMPUTED_VALUE"""),"0082093419")</f>
        <v>0082093419</v>
      </c>
      <c r="D22" s="58" t="str">
        <f>IFERROR(__xludf.DUMMYFUNCTION("""COMPUTED_VALUE"""),"BAYU WAHYU SASMITO")</f>
        <v>BAYU WAHYU SASMITO</v>
      </c>
      <c r="E22" s="56" t="str">
        <f>IFERROR(__xludf.DUMMYFUNCTION("""COMPUTED_VALUE"""),"L")</f>
        <v>L</v>
      </c>
      <c r="F22" s="59" t="str">
        <f>VLOOKUP($B22,Userpass!$A$2:$E$3001,2,FALSE)</f>
        <v>oto20248752.siswa@smkn12malang.sch.id</v>
      </c>
      <c r="G22" s="53"/>
      <c r="H22" s="53"/>
      <c r="I22" s="53"/>
      <c r="J22" s="53"/>
      <c r="K22" s="53"/>
      <c r="L22" s="54"/>
      <c r="M22" s="59" t="str">
        <f>VLOOKUP($B22,Userpass!$A$2:$E$3001,3,FALSE)</f>
        <v>&amp;$=Lc_vB2fFs</v>
      </c>
      <c r="N22" s="53"/>
      <c r="O22" s="54"/>
      <c r="P22" s="55"/>
    </row>
    <row r="23" ht="28.5" customHeight="1">
      <c r="A23" s="55">
        <v>10.0</v>
      </c>
      <c r="B23" s="56">
        <f>IFERROR(__xludf.DUMMYFUNCTION("""COMPUTED_VALUE"""),9378.0)</f>
        <v>9378</v>
      </c>
      <c r="C23" s="57" t="str">
        <f>IFERROR(__xludf.DUMMYFUNCTION("""COMPUTED_VALUE"""),"0094269890")</f>
        <v>0094269890</v>
      </c>
      <c r="D23" s="58" t="str">
        <f>IFERROR(__xludf.DUMMYFUNCTION("""COMPUTED_VALUE"""),"BIMA NUR ROHMAN")</f>
        <v>BIMA NUR ROHMAN</v>
      </c>
      <c r="E23" s="56"/>
      <c r="F23" s="59" t="str">
        <f>VLOOKUP($B23,Userpass!$A$2:$E$3001,2,FALSE)</f>
        <v>tkr20259378.siswa@smkn12malang.sch.id</v>
      </c>
      <c r="G23" s="53"/>
      <c r="H23" s="53"/>
      <c r="I23" s="53"/>
      <c r="J23" s="53"/>
      <c r="K23" s="53"/>
      <c r="L23" s="54"/>
      <c r="M23" s="59" t="str">
        <f>VLOOKUP($B23,Userpass!$A$2:$E$3001,3,FALSE)</f>
        <v>32y@rz4Y</v>
      </c>
      <c r="N23" s="53"/>
      <c r="O23" s="54"/>
      <c r="P23" s="55"/>
    </row>
    <row r="24" ht="28.5" customHeight="1">
      <c r="A24" s="55">
        <v>11.0</v>
      </c>
      <c r="B24" s="56">
        <f>IFERROR(__xludf.DUMMYFUNCTION("""COMPUTED_VALUE"""),9383.0)</f>
        <v>9383</v>
      </c>
      <c r="C24" s="57" t="str">
        <f>IFERROR(__xludf.DUMMYFUNCTION("""COMPUTED_VALUE"""),"0099933296")</f>
        <v>0099933296</v>
      </c>
      <c r="D24" s="58" t="str">
        <f>IFERROR(__xludf.DUMMYFUNCTION("""COMPUTED_VALUE"""),"CAMELLO LAZUARDY TAMA OHARA")</f>
        <v>CAMELLO LAZUARDY TAMA OHARA</v>
      </c>
      <c r="E24" s="56"/>
      <c r="F24" s="59" t="str">
        <f>VLOOKUP($B24,Userpass!$A$2:$E$3001,2,FALSE)</f>
        <v>tkr20259383.siswa@smkn12malang.sch.id</v>
      </c>
      <c r="G24" s="53"/>
      <c r="H24" s="53"/>
      <c r="I24" s="53"/>
      <c r="J24" s="53"/>
      <c r="K24" s="53"/>
      <c r="L24" s="54"/>
      <c r="M24" s="59" t="str">
        <f>VLOOKUP($B24,Userpass!$A$2:$E$3001,3,FALSE)</f>
        <v>VX3(SMvD</v>
      </c>
      <c r="N24" s="53"/>
      <c r="O24" s="54"/>
      <c r="P24" s="55"/>
    </row>
    <row r="25" ht="28.5" customHeight="1">
      <c r="A25" s="55">
        <v>12.0</v>
      </c>
      <c r="B25" s="56">
        <f>IFERROR(__xludf.DUMMYFUNCTION("""COMPUTED_VALUE"""),9408.0)</f>
        <v>9408</v>
      </c>
      <c r="C25" s="57" t="str">
        <f>IFERROR(__xludf.DUMMYFUNCTION("""COMPUTED_VALUE"""),"0088153486")</f>
        <v>0088153486</v>
      </c>
      <c r="D25" s="58" t="str">
        <f>IFERROR(__xludf.DUMMYFUNCTION("""COMPUTED_VALUE"""),"DEVIN ARYA SATYA RAMADHANI")</f>
        <v>DEVIN ARYA SATYA RAMADHANI</v>
      </c>
      <c r="E25" s="56"/>
      <c r="F25" s="59" t="str">
        <f>VLOOKUP($B25,Userpass!$A$2:$E$3001,2,FALSE)</f>
        <v>tkr20259408.siswa@smkn12malang.sch.id</v>
      </c>
      <c r="G25" s="53"/>
      <c r="H25" s="53"/>
      <c r="I25" s="53"/>
      <c r="J25" s="53"/>
      <c r="K25" s="53"/>
      <c r="L25" s="54"/>
      <c r="M25" s="59" t="str">
        <f>VLOOKUP($B25,Userpass!$A$2:$E$3001,3,FALSE)</f>
        <v>$YS6PVwr</v>
      </c>
      <c r="N25" s="53"/>
      <c r="O25" s="54"/>
      <c r="P25" s="55"/>
    </row>
    <row r="26" ht="28.5" customHeight="1">
      <c r="A26" s="55">
        <v>13.0</v>
      </c>
      <c r="B26" s="56">
        <f>IFERROR(__xludf.DUMMYFUNCTION("""COMPUTED_VALUE"""),9420.0)</f>
        <v>9420</v>
      </c>
      <c r="C26" s="57" t="str">
        <f>IFERROR(__xludf.DUMMYFUNCTION("""COMPUTED_VALUE"""),"0096618760")</f>
        <v>0096618760</v>
      </c>
      <c r="D26" s="58" t="str">
        <f>IFERROR(__xludf.DUMMYFUNCTION("""COMPUTED_VALUE"""),"DIMAS SETYA PRATAMA")</f>
        <v>DIMAS SETYA PRATAMA</v>
      </c>
      <c r="E26" s="56"/>
      <c r="F26" s="59" t="str">
        <f>VLOOKUP($B26,Userpass!$A$2:$E$3001,2,FALSE)</f>
        <v>tkr20259420.siswa@smkn12malang.sch.id</v>
      </c>
      <c r="G26" s="53"/>
      <c r="H26" s="53"/>
      <c r="I26" s="53"/>
      <c r="J26" s="53"/>
      <c r="K26" s="53"/>
      <c r="L26" s="54"/>
      <c r="M26" s="59" t="str">
        <f>VLOOKUP($B26,Userpass!$A$2:$E$3001,3,FALSE)</f>
        <v>fzYX3Rx)</v>
      </c>
      <c r="N26" s="53"/>
      <c r="O26" s="54"/>
      <c r="P26" s="55"/>
    </row>
    <row r="27" ht="28.5" customHeight="1">
      <c r="A27" s="55">
        <v>14.0</v>
      </c>
      <c r="B27" s="56">
        <f>IFERROR(__xludf.DUMMYFUNCTION("""COMPUTED_VALUE"""),9444.0)</f>
        <v>9444</v>
      </c>
      <c r="C27" s="57" t="str">
        <f>IFERROR(__xludf.DUMMYFUNCTION("""COMPUTED_VALUE"""),"3085920757")</f>
        <v>3085920757</v>
      </c>
      <c r="D27" s="58" t="str">
        <f>IFERROR(__xludf.DUMMYFUNCTION("""COMPUTED_VALUE"""),"FAJAR INDRA RAMADANI")</f>
        <v>FAJAR INDRA RAMADANI</v>
      </c>
      <c r="E27" s="56"/>
      <c r="F27" s="59" t="str">
        <f>VLOOKUP($B27,Userpass!$A$2:$E$3001,2,FALSE)</f>
        <v>tkr20259444.siswa@smkn12malang.sch.id</v>
      </c>
      <c r="G27" s="53"/>
      <c r="H27" s="53"/>
      <c r="I27" s="53"/>
      <c r="J27" s="53"/>
      <c r="K27" s="53"/>
      <c r="L27" s="54"/>
      <c r="M27" s="59" t="str">
        <f>VLOOKUP($B27,Userpass!$A$2:$E$3001,3,FALSE)</f>
        <v>3SC@3sNu</v>
      </c>
      <c r="N27" s="53"/>
      <c r="O27" s="54"/>
      <c r="P27" s="55"/>
    </row>
    <row r="28" ht="28.5" customHeight="1">
      <c r="A28" s="55">
        <v>15.0</v>
      </c>
      <c r="B28" s="56">
        <f>IFERROR(__xludf.DUMMYFUNCTION("""COMPUTED_VALUE"""),9452.0)</f>
        <v>9452</v>
      </c>
      <c r="C28" s="57" t="str">
        <f>IFERROR(__xludf.DUMMYFUNCTION("""COMPUTED_VALUE"""),"3093011199")</f>
        <v>3093011199</v>
      </c>
      <c r="D28" s="58" t="str">
        <f>IFERROR(__xludf.DUMMYFUNCTION("""COMPUTED_VALUE"""),"FAREL ARTA PRADITA")</f>
        <v>FAREL ARTA PRADITA</v>
      </c>
      <c r="E28" s="56"/>
      <c r="F28" s="59" t="str">
        <f>VLOOKUP($B28,Userpass!$A$2:$E$3001,2,FALSE)</f>
        <v>tkr20259452.siswa@smkn12malang.sch.id</v>
      </c>
      <c r="G28" s="53"/>
      <c r="H28" s="53"/>
      <c r="I28" s="53"/>
      <c r="J28" s="53"/>
      <c r="K28" s="53"/>
      <c r="L28" s="54"/>
      <c r="M28" s="59" t="str">
        <f>VLOOKUP($B28,Userpass!$A$2:$E$3001,3,FALSE)</f>
        <v>TamJ#Yx4</v>
      </c>
      <c r="N28" s="53"/>
      <c r="O28" s="54"/>
      <c r="P28" s="55"/>
    </row>
    <row r="29" ht="28.5" customHeight="1">
      <c r="A29" s="55">
        <v>16.0</v>
      </c>
      <c r="B29" s="56">
        <f>IFERROR(__xludf.DUMMYFUNCTION("""COMPUTED_VALUE"""),9461.0)</f>
        <v>9461</v>
      </c>
      <c r="C29" s="57" t="str">
        <f>IFERROR(__xludf.DUMMYFUNCTION("""COMPUTED_VALUE"""),"0092943493")</f>
        <v>0092943493</v>
      </c>
      <c r="D29" s="58" t="str">
        <f>IFERROR(__xludf.DUMMYFUNCTION("""COMPUTED_VALUE"""),"FELIZYCO ARIESTO EFFENDY")</f>
        <v>FELIZYCO ARIESTO EFFENDY</v>
      </c>
      <c r="E29" s="56"/>
      <c r="F29" s="59" t="str">
        <f>VLOOKUP($B29,Userpass!$A$2:$E$3001,2,FALSE)</f>
        <v>tkr20259461.siswa@smkn12malang.sch.id</v>
      </c>
      <c r="G29" s="53"/>
      <c r="H29" s="53"/>
      <c r="I29" s="53"/>
      <c r="J29" s="53"/>
      <c r="K29" s="53"/>
      <c r="L29" s="54"/>
      <c r="M29" s="59" t="str">
        <f>VLOOKUP($B29,Userpass!$A$2:$E$3001,3,FALSE)</f>
        <v>f)E4D3n8</v>
      </c>
      <c r="N29" s="53"/>
      <c r="O29" s="54"/>
      <c r="P29" s="55"/>
    </row>
    <row r="30" ht="28.5" customHeight="1">
      <c r="A30" s="55">
        <v>17.0</v>
      </c>
      <c r="B30" s="56">
        <f>IFERROR(__xludf.DUMMYFUNCTION("""COMPUTED_VALUE"""),9469.0)</f>
        <v>9469</v>
      </c>
      <c r="C30" s="57" t="str">
        <f>IFERROR(__xludf.DUMMYFUNCTION("""COMPUTED_VALUE"""),"0107255556")</f>
        <v>0107255556</v>
      </c>
      <c r="D30" s="58" t="str">
        <f>IFERROR(__xludf.DUMMYFUNCTION("""COMPUTED_VALUE"""),"GABRIEL")</f>
        <v>GABRIEL</v>
      </c>
      <c r="E30" s="56"/>
      <c r="F30" s="59" t="str">
        <f>VLOOKUP($B30,Userpass!$A$2:$E$3001,2,FALSE)</f>
        <v>tkr20259469.siswa@smkn12malang.sch.id</v>
      </c>
      <c r="G30" s="53"/>
      <c r="H30" s="53"/>
      <c r="I30" s="53"/>
      <c r="J30" s="53"/>
      <c r="K30" s="53"/>
      <c r="L30" s="54"/>
      <c r="M30" s="59" t="str">
        <f>VLOOKUP($B30,Userpass!$A$2:$E$3001,3,FALSE)</f>
        <v>2EjPXJ(v</v>
      </c>
      <c r="N30" s="53"/>
      <c r="O30" s="54"/>
      <c r="P30" s="55"/>
    </row>
    <row r="31" ht="28.5" customHeight="1">
      <c r="A31" s="55">
        <v>18.0</v>
      </c>
      <c r="B31" s="56">
        <f>IFERROR(__xludf.DUMMYFUNCTION("""COMPUTED_VALUE"""),9480.0)</f>
        <v>9480</v>
      </c>
      <c r="C31" s="57" t="str">
        <f>IFERROR(__xludf.DUMMYFUNCTION("""COMPUTED_VALUE"""),"0091523831")</f>
        <v>0091523831</v>
      </c>
      <c r="D31" s="58" t="str">
        <f>IFERROR(__xludf.DUMMYFUNCTION("""COMPUTED_VALUE"""),"HANCC VITRA PRATAMA")</f>
        <v>HANCC VITRA PRATAMA</v>
      </c>
      <c r="E31" s="56"/>
      <c r="F31" s="59" t="str">
        <f>VLOOKUP($B31,Userpass!$A$2:$E$3001,2,FALSE)</f>
        <v>tkr20259480.siswa@smkn12malang.sch.id</v>
      </c>
      <c r="G31" s="53"/>
      <c r="H31" s="53"/>
      <c r="I31" s="53"/>
      <c r="J31" s="53"/>
      <c r="K31" s="53"/>
      <c r="L31" s="54"/>
      <c r="M31" s="59" t="str">
        <f>VLOOKUP($B31,Userpass!$A$2:$E$3001,3,FALSE)</f>
        <v>3tTGkH)G</v>
      </c>
      <c r="N31" s="53"/>
      <c r="O31" s="54"/>
      <c r="P31" s="55"/>
    </row>
    <row r="32" ht="28.5" customHeight="1">
      <c r="A32" s="55">
        <v>19.0</v>
      </c>
      <c r="B32" s="56">
        <f>IFERROR(__xludf.DUMMYFUNCTION("""COMPUTED_VALUE"""),9495.0)</f>
        <v>9495</v>
      </c>
      <c r="C32" s="57" t="str">
        <f>IFERROR(__xludf.DUMMYFUNCTION("""COMPUTED_VALUE"""),"0095511774")</f>
        <v>0095511774</v>
      </c>
      <c r="D32" s="58" t="str">
        <f>IFERROR(__xludf.DUMMYFUNCTION("""COMPUTED_VALUE"""),"INDIGO JUDISTIRA PAMUNGKAS")</f>
        <v>INDIGO JUDISTIRA PAMUNGKAS</v>
      </c>
      <c r="E32" s="56"/>
      <c r="F32" s="59" t="str">
        <f>VLOOKUP($B32,Userpass!$A$2:$E$3001,2,FALSE)</f>
        <v>tkr20259495.siswa@smkn12malang.sch.id</v>
      </c>
      <c r="G32" s="53"/>
      <c r="H32" s="53"/>
      <c r="I32" s="53"/>
      <c r="J32" s="53"/>
      <c r="K32" s="53"/>
      <c r="L32" s="54"/>
      <c r="M32" s="59" t="str">
        <f>VLOOKUP($B32,Userpass!$A$2:$E$3001,3,FALSE)</f>
        <v>N2JrhB$2</v>
      </c>
      <c r="N32" s="53"/>
      <c r="O32" s="54"/>
      <c r="P32" s="55"/>
    </row>
    <row r="33" ht="28.5" customHeight="1">
      <c r="A33" s="55">
        <v>20.0</v>
      </c>
      <c r="B33" s="56">
        <f>IFERROR(__xludf.DUMMYFUNCTION("""COMPUTED_VALUE"""),9544.0)</f>
        <v>9544</v>
      </c>
      <c r="C33" s="57" t="str">
        <f>IFERROR(__xludf.DUMMYFUNCTION("""COMPUTED_VALUE"""),"0096923961")</f>
        <v>0096923961</v>
      </c>
      <c r="D33" s="58" t="str">
        <f>IFERROR(__xludf.DUMMYFUNCTION("""COMPUTED_VALUE"""),"M YOGI ALGIFAHRI")</f>
        <v>M YOGI ALGIFAHRI</v>
      </c>
      <c r="E33" s="56"/>
      <c r="F33" s="59" t="str">
        <f>VLOOKUP($B33,Userpass!$A$2:$E$3001,2,FALSE)</f>
        <v>tkr20259544.siswa@smkn12malang.sch.id</v>
      </c>
      <c r="G33" s="53"/>
      <c r="H33" s="53"/>
      <c r="I33" s="53"/>
      <c r="J33" s="53"/>
      <c r="K33" s="53"/>
      <c r="L33" s="54"/>
      <c r="M33" s="59" t="str">
        <f>VLOOKUP($B33,Userpass!$A$2:$E$3001,3,FALSE)</f>
        <v>3zCLq(Nd</v>
      </c>
      <c r="N33" s="53"/>
      <c r="O33" s="54"/>
      <c r="P33" s="55"/>
    </row>
    <row r="34" ht="28.5" customHeight="1">
      <c r="A34" s="55">
        <v>21.0</v>
      </c>
      <c r="B34" s="56">
        <f>IFERROR(__xludf.DUMMYFUNCTION("""COMPUTED_VALUE"""),9570.0)</f>
        <v>9570</v>
      </c>
      <c r="C34" s="57" t="str">
        <f>IFERROR(__xludf.DUMMYFUNCTION("""COMPUTED_VALUE"""),"0091702170")</f>
        <v>0091702170</v>
      </c>
      <c r="D34" s="58" t="str">
        <f>IFERROR(__xludf.DUMMYFUNCTION("""COMPUTED_VALUE"""),"MOCH ROFIQURROCHMAN")</f>
        <v>MOCH ROFIQURROCHMAN</v>
      </c>
      <c r="E34" s="56"/>
      <c r="F34" s="59" t="str">
        <f>VLOOKUP($B34,Userpass!$A$2:$E$3001,2,FALSE)</f>
        <v>tkr20259570.siswa@smkn12malang.sch.id</v>
      </c>
      <c r="G34" s="53"/>
      <c r="H34" s="53"/>
      <c r="I34" s="53"/>
      <c r="J34" s="53"/>
      <c r="K34" s="53"/>
      <c r="L34" s="54"/>
      <c r="M34" s="59" t="str">
        <f>VLOOKUP($B34,Userpass!$A$2:$E$3001,3,FALSE)</f>
        <v>w7M7(TTv</v>
      </c>
      <c r="N34" s="53"/>
      <c r="O34" s="54"/>
      <c r="P34" s="55"/>
    </row>
    <row r="35" ht="28.5" customHeight="1">
      <c r="A35" s="55">
        <v>22.0</v>
      </c>
      <c r="B35" s="56">
        <f>IFERROR(__xludf.DUMMYFUNCTION("""COMPUTED_VALUE"""),9579.0)</f>
        <v>9579</v>
      </c>
      <c r="C35" s="57" t="str">
        <f>IFERROR(__xludf.DUMMYFUNCTION("""COMPUTED_VALUE"""),"0083806353")</f>
        <v>0083806353</v>
      </c>
      <c r="D35" s="58" t="str">
        <f>IFERROR(__xludf.DUMMYFUNCTION("""COMPUTED_VALUE"""),"MOCHAMMAD AFDAL ROSHAN HAQIQI")</f>
        <v>MOCHAMMAD AFDAL ROSHAN HAQIQI</v>
      </c>
      <c r="E35" s="56"/>
      <c r="F35" s="59" t="str">
        <f>VLOOKUP($B35,Userpass!$A$2:$E$3001,2,FALSE)</f>
        <v>tkr20259579.siswa@smkn12malang.sch.id</v>
      </c>
      <c r="G35" s="53"/>
      <c r="H35" s="53"/>
      <c r="I35" s="53"/>
      <c r="J35" s="53"/>
      <c r="K35" s="53"/>
      <c r="L35" s="54"/>
      <c r="M35" s="59" t="str">
        <f>VLOOKUP($B35,Userpass!$A$2:$E$3001,3,FALSE)</f>
        <v>@dwbNhG7</v>
      </c>
      <c r="N35" s="53"/>
      <c r="O35" s="54"/>
      <c r="P35" s="55"/>
    </row>
    <row r="36" ht="28.5" customHeight="1">
      <c r="A36" s="55">
        <v>23.0</v>
      </c>
      <c r="B36" s="56">
        <f>IFERROR(__xludf.DUMMYFUNCTION("""COMPUTED_VALUE"""),9584.0)</f>
        <v>9584</v>
      </c>
      <c r="C36" s="57" t="str">
        <f>IFERROR(__xludf.DUMMYFUNCTION("""COMPUTED_VALUE"""),"0103590421")</f>
        <v>0103590421</v>
      </c>
      <c r="D36" s="58" t="str">
        <f>IFERROR(__xludf.DUMMYFUNCTION("""COMPUTED_VALUE"""),"MOCHAMMAD MOUDI REVANSYACH")</f>
        <v>MOCHAMMAD MOUDI REVANSYACH</v>
      </c>
      <c r="E36" s="56"/>
      <c r="F36" s="59" t="str">
        <f>VLOOKUP($B36,Userpass!$A$2:$E$3001,2,FALSE)</f>
        <v>tkr20259584.siswa@smkn12malang.sch.id</v>
      </c>
      <c r="G36" s="53"/>
      <c r="H36" s="53"/>
      <c r="I36" s="53"/>
      <c r="J36" s="53"/>
      <c r="K36" s="53"/>
      <c r="L36" s="54"/>
      <c r="M36" s="59" t="str">
        <f>VLOOKUP($B36,Userpass!$A$2:$E$3001,3,FALSE)</f>
        <v>Xk&amp;VhF3e</v>
      </c>
      <c r="N36" s="53"/>
      <c r="O36" s="54"/>
      <c r="P36" s="55"/>
    </row>
    <row r="37" ht="28.5" customHeight="1">
      <c r="A37" s="55">
        <v>24.0</v>
      </c>
      <c r="B37" s="56">
        <f>IFERROR(__xludf.DUMMYFUNCTION("""COMPUTED_VALUE"""),9593.0)</f>
        <v>9593</v>
      </c>
      <c r="C37" s="57" t="str">
        <f>IFERROR(__xludf.DUMMYFUNCTION("""COMPUTED_VALUE"""),"0105657168")</f>
        <v>0105657168</v>
      </c>
      <c r="D37" s="58" t="str">
        <f>IFERROR(__xludf.DUMMYFUNCTION("""COMPUTED_VALUE"""),"MOHAMAD ZAKY RAGIL JAYAMULYA")</f>
        <v>MOHAMAD ZAKY RAGIL JAYAMULYA</v>
      </c>
      <c r="E37" s="56"/>
      <c r="F37" s="59" t="str">
        <f>VLOOKUP($B37,Userpass!$A$2:$E$3001,2,FALSE)</f>
        <v>tkr20259593.siswa@smkn12malang.sch.id</v>
      </c>
      <c r="G37" s="53"/>
      <c r="H37" s="53"/>
      <c r="I37" s="53"/>
      <c r="J37" s="53"/>
      <c r="K37" s="53"/>
      <c r="L37" s="54"/>
      <c r="M37" s="59" t="str">
        <f>VLOOKUP($B37,Userpass!$A$2:$E$3001,3,FALSE)</f>
        <v>5spz9vR#</v>
      </c>
      <c r="N37" s="53"/>
      <c r="O37" s="54"/>
      <c r="P37" s="55"/>
    </row>
    <row r="38" ht="28.5" customHeight="1">
      <c r="A38" s="55">
        <v>25.0</v>
      </c>
      <c r="B38" s="56">
        <f>IFERROR(__xludf.DUMMYFUNCTION("""COMPUTED_VALUE"""),9606.0)</f>
        <v>9606</v>
      </c>
      <c r="C38" s="57" t="str">
        <f>IFERROR(__xludf.DUMMYFUNCTION("""COMPUTED_VALUE"""),"0092268438")</f>
        <v>0092268438</v>
      </c>
      <c r="D38" s="58" t="str">
        <f>IFERROR(__xludf.DUMMYFUNCTION("""COMPUTED_VALUE"""),"MUHAMMAD ADITYA PRAYOGA")</f>
        <v>MUHAMMAD ADITYA PRAYOGA</v>
      </c>
      <c r="E38" s="56"/>
      <c r="F38" s="59" t="str">
        <f>VLOOKUP($B38,Userpass!$A$2:$E$3001,2,FALSE)</f>
        <v>tkr20259606.siswa@smkn12malang.sch.id</v>
      </c>
      <c r="G38" s="53"/>
      <c r="H38" s="53"/>
      <c r="I38" s="53"/>
      <c r="J38" s="53"/>
      <c r="K38" s="53"/>
      <c r="L38" s="54"/>
      <c r="M38" s="59" t="str">
        <f>VLOOKUP($B38,Userpass!$A$2:$E$3001,3,FALSE)</f>
        <v>6@22RpA6</v>
      </c>
      <c r="N38" s="53"/>
      <c r="O38" s="54"/>
      <c r="P38" s="55"/>
    </row>
    <row r="39" ht="28.5" customHeight="1">
      <c r="A39" s="55">
        <v>26.0</v>
      </c>
      <c r="B39" s="56">
        <f>IFERROR(__xludf.DUMMYFUNCTION("""COMPUTED_VALUE"""),9622.0)</f>
        <v>9622</v>
      </c>
      <c r="C39" s="57" t="str">
        <f>IFERROR(__xludf.DUMMYFUNCTION("""COMPUTED_VALUE"""),"0089948301")</f>
        <v>0089948301</v>
      </c>
      <c r="D39" s="58" t="str">
        <f>IFERROR(__xludf.DUMMYFUNCTION("""COMPUTED_VALUE"""),"MUHAMMAD HAIDAR ALVINO")</f>
        <v>MUHAMMAD HAIDAR ALVINO</v>
      </c>
      <c r="E39" s="56"/>
      <c r="F39" s="59" t="str">
        <f>VLOOKUP($B39,Userpass!$A$2:$E$3001,2,FALSE)</f>
        <v>tkr20259622.siswa@smkn12malang.sch.id</v>
      </c>
      <c r="G39" s="53"/>
      <c r="H39" s="53"/>
      <c r="I39" s="53"/>
      <c r="J39" s="53"/>
      <c r="K39" s="53"/>
      <c r="L39" s="54"/>
      <c r="M39" s="59" t="str">
        <f>VLOOKUP($B39,Userpass!$A$2:$E$3001,3,FALSE)</f>
        <v>Xj6cu&amp;tY</v>
      </c>
      <c r="N39" s="53"/>
      <c r="O39" s="54"/>
      <c r="P39" s="55"/>
    </row>
    <row r="40" ht="28.5" customHeight="1">
      <c r="A40" s="55">
        <v>27.0</v>
      </c>
      <c r="B40" s="56">
        <f>IFERROR(__xludf.DUMMYFUNCTION("""COMPUTED_VALUE"""),9633.0)</f>
        <v>9633</v>
      </c>
      <c r="C40" s="57" t="str">
        <f>IFERROR(__xludf.DUMMYFUNCTION("""COMPUTED_VALUE"""),"0085548169")</f>
        <v>0085548169</v>
      </c>
      <c r="D40" s="58" t="str">
        <f>IFERROR(__xludf.DUMMYFUNCTION("""COMPUTED_VALUE"""),"MUHAMMAD REIFANDY DAVIN ALFIANSYAH")</f>
        <v>MUHAMMAD REIFANDY DAVIN ALFIANSYAH</v>
      </c>
      <c r="E40" s="56"/>
      <c r="F40" s="59" t="str">
        <f>VLOOKUP($B40,Userpass!$A$2:$E$3001,2,FALSE)</f>
        <v>tkr20259633.siswa@smkn12malang.sch.id</v>
      </c>
      <c r="G40" s="53"/>
      <c r="H40" s="53"/>
      <c r="I40" s="53"/>
      <c r="J40" s="53"/>
      <c r="K40" s="53"/>
      <c r="L40" s="54"/>
      <c r="M40" s="59" t="str">
        <f>VLOOKUP($B40,Userpass!$A$2:$E$3001,3,FALSE)</f>
        <v>v_8rB6cT</v>
      </c>
      <c r="N40" s="53"/>
      <c r="O40" s="54"/>
      <c r="P40" s="55"/>
    </row>
    <row r="41" ht="28.5" customHeight="1">
      <c r="A41" s="55">
        <v>28.0</v>
      </c>
      <c r="B41" s="56">
        <f>IFERROR(__xludf.DUMMYFUNCTION("""COMPUTED_VALUE"""),9638.0)</f>
        <v>9638</v>
      </c>
      <c r="C41" s="57" t="str">
        <f>IFERROR(__xludf.DUMMYFUNCTION("""COMPUTED_VALUE"""),"0106559895")</f>
        <v>0106559895</v>
      </c>
      <c r="D41" s="58" t="str">
        <f>IFERROR(__xludf.DUMMYFUNCTION("""COMPUTED_VALUE"""),"MUHAMMAD ZIDAN AKBAR MAULANA")</f>
        <v>MUHAMMAD ZIDAN AKBAR MAULANA</v>
      </c>
      <c r="E41" s="56"/>
      <c r="F41" s="59" t="str">
        <f>VLOOKUP($B41,Userpass!$A$2:$E$3001,2,FALSE)</f>
        <v>tkr20259638.siswa@smkn12malang.sch.id</v>
      </c>
      <c r="G41" s="53"/>
      <c r="H41" s="53"/>
      <c r="I41" s="53"/>
      <c r="J41" s="53"/>
      <c r="K41" s="53"/>
      <c r="L41" s="54"/>
      <c r="M41" s="59" t="str">
        <f>VLOOKUP($B41,Userpass!$A$2:$E$3001,3,FALSE)</f>
        <v>RY98$rFR</v>
      </c>
      <c r="N41" s="53"/>
      <c r="O41" s="54"/>
      <c r="P41" s="55"/>
    </row>
    <row r="42" ht="28.5" customHeight="1">
      <c r="A42" s="55">
        <v>29.0</v>
      </c>
      <c r="B42" s="56">
        <f>IFERROR(__xludf.DUMMYFUNCTION("""COMPUTED_VALUE"""),9643.0)</f>
        <v>9643</v>
      </c>
      <c r="C42" s="57" t="str">
        <f>IFERROR(__xludf.DUMMYFUNCTION("""COMPUTED_VALUE"""),"3108151919")</f>
        <v>3108151919</v>
      </c>
      <c r="D42" s="58" t="str">
        <f>IFERROR(__xludf.DUMMYFUNCTION("""COMPUTED_VALUE"""),"MUKHAMAD IMZA AL FAIZ")</f>
        <v>MUKHAMAD IMZA AL FAIZ</v>
      </c>
      <c r="E42" s="56"/>
      <c r="F42" s="59" t="str">
        <f>VLOOKUP($B42,Userpass!$A$2:$E$3001,2,FALSE)</f>
        <v>tkr20259643.siswa@smkn12malang.sch.id</v>
      </c>
      <c r="G42" s="53"/>
      <c r="H42" s="53"/>
      <c r="I42" s="53"/>
      <c r="J42" s="53"/>
      <c r="K42" s="53"/>
      <c r="L42" s="54"/>
      <c r="M42" s="59" t="str">
        <f>VLOOKUP($B42,Userpass!$A$2:$E$3001,3,FALSE)</f>
        <v>WJ@z8YFQ</v>
      </c>
      <c r="N42" s="53"/>
      <c r="O42" s="54"/>
      <c r="P42" s="55"/>
    </row>
    <row r="43" ht="28.5" customHeight="1">
      <c r="A43" s="55">
        <v>30.0</v>
      </c>
      <c r="B43" s="56">
        <f>IFERROR(__xludf.DUMMYFUNCTION("""COMPUTED_VALUE"""),9699.0)</f>
        <v>9699</v>
      </c>
      <c r="C43" s="57" t="str">
        <f>IFERROR(__xludf.DUMMYFUNCTION("""COMPUTED_VALUE"""),"0093328670")</f>
        <v>0093328670</v>
      </c>
      <c r="D43" s="58" t="str">
        <f>IFERROR(__xludf.DUMMYFUNCTION("""COMPUTED_VALUE"""),"RAFA OCTAVIANO PRATAMA")</f>
        <v>RAFA OCTAVIANO PRATAMA</v>
      </c>
      <c r="E43" s="56"/>
      <c r="F43" s="59" t="str">
        <f>VLOOKUP($B43,Userpass!$A$2:$E$3001,2,FALSE)</f>
        <v>tkr20259699.siswa@smkn12malang.sch.id</v>
      </c>
      <c r="G43" s="53"/>
      <c r="H43" s="53"/>
      <c r="I43" s="53"/>
      <c r="J43" s="53"/>
      <c r="K43" s="53"/>
      <c r="L43" s="54"/>
      <c r="M43" s="59" t="str">
        <f>VLOOKUP($B43,Userpass!$A$2:$E$3001,3,FALSE)</f>
        <v>fZ8wQME)</v>
      </c>
      <c r="N43" s="53"/>
      <c r="O43" s="54"/>
      <c r="P43" s="55"/>
    </row>
    <row r="44" ht="28.5" customHeight="1">
      <c r="A44" s="55">
        <v>31.0</v>
      </c>
      <c r="B44" s="56">
        <f>IFERROR(__xludf.DUMMYFUNCTION("""COMPUTED_VALUE"""),9712.0)</f>
        <v>9712</v>
      </c>
      <c r="C44" s="57" t="str">
        <f>IFERROR(__xludf.DUMMYFUNCTION("""COMPUTED_VALUE"""),"0098976870")</f>
        <v>0098976870</v>
      </c>
      <c r="D44" s="58" t="str">
        <f>IFERROR(__xludf.DUMMYFUNCTION("""COMPUTED_VALUE"""),"RASYID FERDIANSYAH RAMADHAN SYAHPUTRA")</f>
        <v>RASYID FERDIANSYAH RAMADHAN SYAHPUTRA</v>
      </c>
      <c r="E44" s="56"/>
      <c r="F44" s="59" t="str">
        <f>VLOOKUP($B44,Userpass!$A$2:$E$3001,2,FALSE)</f>
        <v>tkr20259712.siswa@smkn12malang.sch.id</v>
      </c>
      <c r="G44" s="53"/>
      <c r="H44" s="53"/>
      <c r="I44" s="53"/>
      <c r="J44" s="53"/>
      <c r="K44" s="53"/>
      <c r="L44" s="54"/>
      <c r="M44" s="59" t="str">
        <f>VLOOKUP($B44,Userpass!$A$2:$E$3001,3,FALSE)</f>
        <v>S#Bz4Wmv</v>
      </c>
      <c r="N44" s="53"/>
      <c r="O44" s="54"/>
      <c r="P44" s="55"/>
    </row>
    <row r="45" ht="28.5" customHeight="1">
      <c r="A45" s="55">
        <v>32.0</v>
      </c>
      <c r="B45" s="56">
        <f>IFERROR(__xludf.DUMMYFUNCTION("""COMPUTED_VALUE"""),9726.0)</f>
        <v>9726</v>
      </c>
      <c r="C45" s="57" t="str">
        <f>IFERROR(__xludf.DUMMYFUNCTION("""COMPUTED_VALUE"""),"0102440691")</f>
        <v>0102440691</v>
      </c>
      <c r="D45" s="58" t="str">
        <f>IFERROR(__xludf.DUMMYFUNCTION("""COMPUTED_VALUE"""),"REYNDRA NIZAM MAHESWARA")</f>
        <v>REYNDRA NIZAM MAHESWARA</v>
      </c>
      <c r="E45" s="56"/>
      <c r="F45" s="59" t="str">
        <f>VLOOKUP($B45,Userpass!$A$2:$E$3001,2,FALSE)</f>
        <v>tkr20259726.siswa@smkn12malang.sch.id</v>
      </c>
      <c r="G45" s="53"/>
      <c r="H45" s="53"/>
      <c r="I45" s="53"/>
      <c r="J45" s="53"/>
      <c r="K45" s="53"/>
      <c r="L45" s="54"/>
      <c r="M45" s="59" t="str">
        <f>VLOOKUP($B45,Userpass!$A$2:$E$3001,3,FALSE)</f>
        <v>TxuMe4_e</v>
      </c>
      <c r="N45" s="53"/>
      <c r="O45" s="54"/>
      <c r="P45" s="55"/>
    </row>
    <row r="46" ht="28.5" customHeight="1">
      <c r="A46" s="55">
        <v>33.0</v>
      </c>
      <c r="B46" s="56">
        <f>IFERROR(__xludf.DUMMYFUNCTION("""COMPUTED_VALUE"""),9742.0)</f>
        <v>9742</v>
      </c>
      <c r="C46" s="57" t="str">
        <f>IFERROR(__xludf.DUMMYFUNCTION("""COMPUTED_VALUE"""),"0102663650")</f>
        <v>0102663650</v>
      </c>
      <c r="D46" s="58" t="str">
        <f>IFERROR(__xludf.DUMMYFUNCTION("""COMPUTED_VALUE"""),"RIZKY PUTRA MAULANA")</f>
        <v>RIZKY PUTRA MAULANA</v>
      </c>
      <c r="E46" s="56"/>
      <c r="F46" s="59" t="str">
        <f>VLOOKUP($B46,Userpass!$A$2:$E$3001,2,FALSE)</f>
        <v>tkr20259742.siswa@smkn12malang.sch.id</v>
      </c>
      <c r="G46" s="53"/>
      <c r="H46" s="53"/>
      <c r="I46" s="53"/>
      <c r="J46" s="53"/>
      <c r="K46" s="53"/>
      <c r="L46" s="54"/>
      <c r="M46" s="59" t="str">
        <f>VLOOKUP($B46,Userpass!$A$2:$E$3001,3,FALSE)</f>
        <v>JAT_m3jR</v>
      </c>
      <c r="N46" s="53"/>
      <c r="O46" s="54"/>
      <c r="P46" s="55"/>
    </row>
    <row r="47" ht="28.5" customHeight="1">
      <c r="A47" s="55">
        <v>34.0</v>
      </c>
      <c r="B47" s="56">
        <f>IFERROR(__xludf.DUMMYFUNCTION("""COMPUTED_VALUE"""),9760.0)</f>
        <v>9760</v>
      </c>
      <c r="C47" s="57" t="str">
        <f>IFERROR(__xludf.DUMMYFUNCTION("""COMPUTED_VALUE"""),"0098420475")</f>
        <v>0098420475</v>
      </c>
      <c r="D47" s="58" t="str">
        <f>IFERROR(__xludf.DUMMYFUNCTION("""COMPUTED_VALUE"""),"SAMUEL MAHARSI RENATA PAMBUDI")</f>
        <v>SAMUEL MAHARSI RENATA PAMBUDI</v>
      </c>
      <c r="E47" s="56"/>
      <c r="F47" s="59" t="str">
        <f>VLOOKUP($B47,Userpass!$A$2:$E$3001,2,FALSE)</f>
        <v>tkr20259760.siswa@smkn12malang.sch.id</v>
      </c>
      <c r="G47" s="53"/>
      <c r="H47" s="53"/>
      <c r="I47" s="53"/>
      <c r="J47" s="53"/>
      <c r="K47" s="53"/>
      <c r="L47" s="54"/>
      <c r="M47" s="59" t="str">
        <f>VLOOKUP($B47,Userpass!$A$2:$E$3001,3,FALSE)</f>
        <v>HPK6v8J%</v>
      </c>
      <c r="N47" s="53"/>
      <c r="O47" s="54"/>
      <c r="P47" s="55"/>
    </row>
    <row r="48" ht="28.5" customHeight="1">
      <c r="A48" s="55">
        <v>35.0</v>
      </c>
      <c r="B48" s="56">
        <f>IFERROR(__xludf.DUMMYFUNCTION("""COMPUTED_VALUE"""),9790.0)</f>
        <v>9790</v>
      </c>
      <c r="C48" s="57" t="str">
        <f>IFERROR(__xludf.DUMMYFUNCTION("""COMPUTED_VALUE"""),"0098413542")</f>
        <v>0098413542</v>
      </c>
      <c r="D48" s="58" t="str">
        <f>IFERROR(__xludf.DUMMYFUNCTION("""COMPUTED_VALUE"""),"SILMI DAIDAN MUCHAMMAD")</f>
        <v>SILMI DAIDAN MUCHAMMAD</v>
      </c>
      <c r="E48" s="56"/>
      <c r="F48" s="59" t="str">
        <f>VLOOKUP($B48,Userpass!$A$2:$E$3001,2,FALSE)</f>
        <v>tkr20259790.siswa@smkn12malang.sch.id</v>
      </c>
      <c r="G48" s="53"/>
      <c r="H48" s="53"/>
      <c r="I48" s="53"/>
      <c r="J48" s="53"/>
      <c r="K48" s="53"/>
      <c r="L48" s="54"/>
      <c r="M48" s="59" t="str">
        <f>VLOOKUP($B48,Userpass!$A$2:$E$3001,3,FALSE)</f>
        <v>@wV72uvm</v>
      </c>
      <c r="N48" s="53"/>
      <c r="O48" s="54"/>
      <c r="P48" s="55"/>
    </row>
    <row r="49" ht="28.5" customHeight="1">
      <c r="A49" s="55">
        <v>36.0</v>
      </c>
      <c r="B49" s="56">
        <f>IFERROR(__xludf.DUMMYFUNCTION("""COMPUTED_VALUE"""),9825.0)</f>
        <v>9825</v>
      </c>
      <c r="C49" s="57" t="str">
        <f>IFERROR(__xludf.DUMMYFUNCTION("""COMPUTED_VALUE"""),"0091325917")</f>
        <v>0091325917</v>
      </c>
      <c r="D49" s="58" t="str">
        <f>IFERROR(__xludf.DUMMYFUNCTION("""COMPUTED_VALUE"""),"WIDI ANDRE JULIANTO")</f>
        <v>WIDI ANDRE JULIANTO</v>
      </c>
      <c r="E49" s="56"/>
      <c r="F49" s="60" t="str">
        <f>VLOOKUP($B49,Userpass!$A$2:$E$3001,2,FALSE)</f>
        <v>tkr20259825.siswa@smkn12malang.sch.id</v>
      </c>
      <c r="G49" s="53"/>
      <c r="H49" s="53"/>
      <c r="I49" s="53"/>
      <c r="J49" s="53"/>
      <c r="K49" s="53"/>
      <c r="L49" s="54"/>
      <c r="M49" s="59" t="str">
        <f>VLOOKUP($B49,Userpass!$A$2:$E$3001,3,FALSE)</f>
        <v>Wh@g4zhe</v>
      </c>
      <c r="N49" s="53"/>
      <c r="O49" s="54"/>
      <c r="P49" s="55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>
      <c r="A51" s="44"/>
      <c r="B51" s="44"/>
      <c r="C51" s="44"/>
      <c r="D51" s="44" t="s">
        <v>10300</v>
      </c>
      <c r="E51" s="44">
        <f>COUNTIF($E$14:$E$49,"L")</f>
        <v>2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>
      <c r="A52" s="44"/>
      <c r="B52" s="44"/>
      <c r="C52" s="44"/>
      <c r="D52" s="44" t="s">
        <v>10301</v>
      </c>
      <c r="E52" s="44">
        <f>COUNTIF($E$14:$E$49,"P")</f>
        <v>0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 t="s">
        <v>10302</v>
      </c>
      <c r="P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 t="s">
        <v>10303</v>
      </c>
      <c r="P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61"/>
      <c r="M59" s="62"/>
      <c r="N59" s="62"/>
      <c r="O59" s="62"/>
      <c r="P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63" t="s">
        <v>10304</v>
      </c>
      <c r="M60" s="64"/>
      <c r="N60" s="64"/>
      <c r="O60" s="64"/>
      <c r="P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</sheetData>
  <mergeCells count="87">
    <mergeCell ref="F33:L33"/>
    <mergeCell ref="M33:O33"/>
    <mergeCell ref="F34:L34"/>
    <mergeCell ref="M34:O34"/>
    <mergeCell ref="F35:L35"/>
    <mergeCell ref="M35:O35"/>
    <mergeCell ref="M36:O36"/>
    <mergeCell ref="F36:L36"/>
    <mergeCell ref="F37:L37"/>
    <mergeCell ref="M37:O37"/>
    <mergeCell ref="F38:L38"/>
    <mergeCell ref="M38:O38"/>
    <mergeCell ref="F39:L39"/>
    <mergeCell ref="M39:O39"/>
    <mergeCell ref="F40:L40"/>
    <mergeCell ref="M40:O40"/>
    <mergeCell ref="F41:L41"/>
    <mergeCell ref="M41:O41"/>
    <mergeCell ref="F42:L42"/>
    <mergeCell ref="M42:O42"/>
    <mergeCell ref="M43:O43"/>
    <mergeCell ref="F43:L43"/>
    <mergeCell ref="F44:L44"/>
    <mergeCell ref="M44:O44"/>
    <mergeCell ref="F45:L45"/>
    <mergeCell ref="M45:O45"/>
    <mergeCell ref="F46:L46"/>
    <mergeCell ref="M46:O46"/>
    <mergeCell ref="L54:O54"/>
    <mergeCell ref="L59:O59"/>
    <mergeCell ref="L60:O60"/>
    <mergeCell ref="F47:L47"/>
    <mergeCell ref="M47:O47"/>
    <mergeCell ref="F48:L48"/>
    <mergeCell ref="M48:O48"/>
    <mergeCell ref="F49:L49"/>
    <mergeCell ref="M49:O49"/>
    <mergeCell ref="L53:O53"/>
    <mergeCell ref="D1:L1"/>
    <mergeCell ref="D2:L2"/>
    <mergeCell ref="D3:L3"/>
    <mergeCell ref="D4:L4"/>
    <mergeCell ref="D5:L5"/>
    <mergeCell ref="D7:L7"/>
    <mergeCell ref="D8:L8"/>
    <mergeCell ref="D9:L9"/>
    <mergeCell ref="N11:O11"/>
    <mergeCell ref="F13:L13"/>
    <mergeCell ref="M13:O13"/>
    <mergeCell ref="F14:L14"/>
    <mergeCell ref="M14:O14"/>
    <mergeCell ref="M15:O15"/>
    <mergeCell ref="F15:L15"/>
    <mergeCell ref="F16:L16"/>
    <mergeCell ref="M16:O16"/>
    <mergeCell ref="F17:L17"/>
    <mergeCell ref="M17:O17"/>
    <mergeCell ref="F18:L18"/>
    <mergeCell ref="M18:O18"/>
    <mergeCell ref="F19:L19"/>
    <mergeCell ref="M19:O19"/>
    <mergeCell ref="F20:L20"/>
    <mergeCell ref="M20:O20"/>
    <mergeCell ref="F21:L21"/>
    <mergeCell ref="M21:O21"/>
    <mergeCell ref="M22:O22"/>
    <mergeCell ref="F22:L22"/>
    <mergeCell ref="F23:L23"/>
    <mergeCell ref="M23:O23"/>
    <mergeCell ref="F24:L24"/>
    <mergeCell ref="M24:O24"/>
    <mergeCell ref="F25:L25"/>
    <mergeCell ref="M25:O25"/>
    <mergeCell ref="F26:L26"/>
    <mergeCell ref="M26:O26"/>
    <mergeCell ref="F27:L27"/>
    <mergeCell ref="M27:O27"/>
    <mergeCell ref="F28:L28"/>
    <mergeCell ref="M28:O28"/>
    <mergeCell ref="M29:O29"/>
    <mergeCell ref="F29:L29"/>
    <mergeCell ref="F30:L30"/>
    <mergeCell ref="M30:O30"/>
    <mergeCell ref="F31:L31"/>
    <mergeCell ref="M31:O31"/>
    <mergeCell ref="F32:L32"/>
    <mergeCell ref="M32:O32"/>
  </mergeCells>
  <dataValidations>
    <dataValidation type="list" allowBlank="1" showErrorMessage="1" sqref="N11">
      <formula1>MasterData!$G2:$G3000</formula1>
    </dataValidation>
  </dataValidation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0.78"/>
    <col customWidth="1" min="3" max="3" width="17.78"/>
    <col customWidth="1" min="4" max="4" width="40.78"/>
    <col customWidth="1" min="5" max="5" width="3.22"/>
    <col customWidth="1" min="6" max="15" width="5.78"/>
    <col customWidth="1" min="16" max="16" width="4.11"/>
  </cols>
  <sheetData>
    <row r="1">
      <c r="A1" s="44"/>
      <c r="B1" s="44"/>
      <c r="C1" s="44"/>
      <c r="D1" s="45" t="s">
        <v>10286</v>
      </c>
      <c r="K1" s="45"/>
      <c r="L1" s="45"/>
      <c r="M1" s="44"/>
      <c r="N1" s="44"/>
      <c r="O1" s="44"/>
      <c r="P1" s="44"/>
    </row>
    <row r="2">
      <c r="A2" s="44"/>
      <c r="B2" s="44"/>
      <c r="C2" s="44"/>
      <c r="D2" s="45" t="s">
        <v>5408</v>
      </c>
      <c r="K2" s="45"/>
      <c r="L2" s="45"/>
      <c r="M2" s="44"/>
      <c r="N2" s="44"/>
      <c r="O2" s="44"/>
      <c r="P2" s="44"/>
    </row>
    <row r="3">
      <c r="A3" s="44"/>
      <c r="B3" s="44"/>
      <c r="C3" s="44"/>
      <c r="D3" s="45" t="s">
        <v>10287</v>
      </c>
      <c r="K3" s="45"/>
      <c r="L3" s="45"/>
      <c r="M3" s="44"/>
      <c r="N3" s="44"/>
      <c r="O3" s="44"/>
      <c r="P3" s="44"/>
    </row>
    <row r="4">
      <c r="A4" s="44"/>
      <c r="B4" s="44"/>
      <c r="C4" s="44"/>
      <c r="D4" s="45" t="s">
        <v>10288</v>
      </c>
      <c r="K4" s="45"/>
      <c r="L4" s="45"/>
      <c r="M4" s="44"/>
      <c r="N4" s="44"/>
      <c r="O4" s="44"/>
      <c r="P4" s="44"/>
    </row>
    <row r="5">
      <c r="A5" s="44"/>
      <c r="B5" s="44"/>
      <c r="C5" s="44"/>
      <c r="D5" s="65" t="s">
        <v>10289</v>
      </c>
      <c r="K5" s="45"/>
      <c r="L5" s="45"/>
      <c r="M5" s="44"/>
      <c r="N5" s="44"/>
      <c r="O5" s="44"/>
      <c r="P5" s="44"/>
    </row>
    <row r="6">
      <c r="A6" s="44"/>
      <c r="B6" s="44"/>
      <c r="C6" s="44"/>
      <c r="D6" s="45"/>
      <c r="E6" s="45"/>
      <c r="F6" s="45"/>
      <c r="G6" s="45"/>
      <c r="H6" s="45"/>
      <c r="I6" s="45"/>
      <c r="J6" s="45"/>
      <c r="K6" s="45"/>
      <c r="L6" s="45"/>
      <c r="M6" s="44"/>
      <c r="N6" s="44"/>
      <c r="O6" s="44"/>
      <c r="P6" s="44"/>
    </row>
    <row r="7">
      <c r="A7" s="44"/>
      <c r="B7" s="44"/>
      <c r="C7" s="44"/>
      <c r="D7" s="45" t="s">
        <v>10305</v>
      </c>
      <c r="K7" s="45"/>
      <c r="L7" s="45"/>
      <c r="M7" s="44"/>
      <c r="N7" s="44"/>
      <c r="O7" s="44"/>
      <c r="P7" s="44"/>
    </row>
    <row r="8">
      <c r="A8" s="44"/>
      <c r="B8" s="44"/>
      <c r="C8" s="44"/>
      <c r="D8" s="45" t="s">
        <v>10291</v>
      </c>
      <c r="K8" s="45"/>
      <c r="L8" s="45"/>
      <c r="M8" s="44"/>
      <c r="N8" s="44"/>
      <c r="O8" s="44"/>
      <c r="P8" s="44"/>
    </row>
    <row r="9">
      <c r="A9" s="44"/>
      <c r="B9" s="44"/>
      <c r="C9" s="44"/>
      <c r="D9" s="45" t="s">
        <v>10306</v>
      </c>
      <c r="K9" s="45"/>
      <c r="L9" s="45"/>
      <c r="M9" s="44"/>
      <c r="N9" s="44"/>
      <c r="O9" s="44"/>
      <c r="P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ht="30.0" customHeight="1">
      <c r="A11" s="46"/>
      <c r="B11" s="46" t="s">
        <v>10292</v>
      </c>
      <c r="C11" s="47" t="str">
        <f>VLOOKUP(N11,Walas!A2:B89,2,FALSE)</f>
        <v>YENI INDAH KURNIAWATI, M.Pd</v>
      </c>
      <c r="D11" s="46"/>
      <c r="E11" s="46"/>
      <c r="F11" s="46"/>
      <c r="G11" s="46"/>
      <c r="H11" s="46"/>
      <c r="I11" s="46"/>
      <c r="J11" s="46"/>
      <c r="K11" s="46"/>
      <c r="L11" s="46"/>
      <c r="M11" s="46" t="s">
        <v>10293</v>
      </c>
      <c r="N11" s="48" t="s">
        <v>10307</v>
      </c>
      <c r="P11" s="46"/>
    </row>
    <row r="12">
      <c r="A12" s="49"/>
      <c r="B12" s="49"/>
      <c r="C12" s="50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>
      <c r="A13" s="51" t="s">
        <v>10295</v>
      </c>
      <c r="B13" s="51" t="s">
        <v>2</v>
      </c>
      <c r="C13" s="51" t="s">
        <v>3</v>
      </c>
      <c r="D13" s="51" t="s">
        <v>4</v>
      </c>
      <c r="E13" s="51" t="s">
        <v>10296</v>
      </c>
      <c r="F13" s="51" t="s">
        <v>10308</v>
      </c>
      <c r="G13" s="51" t="s">
        <v>10309</v>
      </c>
      <c r="H13" s="51" t="s">
        <v>10310</v>
      </c>
      <c r="I13" s="51" t="s">
        <v>10311</v>
      </c>
      <c r="J13" s="51" t="s">
        <v>10312</v>
      </c>
      <c r="K13" s="51" t="s">
        <v>10313</v>
      </c>
      <c r="L13" s="51" t="s">
        <v>10314</v>
      </c>
      <c r="M13" s="51" t="s">
        <v>10315</v>
      </c>
      <c r="N13" s="51" t="s">
        <v>10316</v>
      </c>
      <c r="O13" s="51" t="s">
        <v>10317</v>
      </c>
      <c r="P13" s="51" t="s">
        <v>10299</v>
      </c>
    </row>
    <row r="14" ht="28.5" customHeight="1">
      <c r="A14" s="66">
        <v>1.0</v>
      </c>
      <c r="B14" s="67">
        <f>IFERROR(__xludf.DUMMYFUNCTION("FILTER(MasterData!C2:F1845,MasterData!G2:G1845=N11)"),8033.0)</f>
        <v>8033</v>
      </c>
      <c r="C14" s="68" t="str">
        <f>IFERROR(__xludf.DUMMYFUNCTION("""COMPUTED_VALUE"""),"0082728366")</f>
        <v>0082728366</v>
      </c>
      <c r="D14" s="66" t="str">
        <f>IFERROR(__xludf.DUMMYFUNCTION("""COMPUTED_VALUE"""),"ADELIA NIZMA WARDHANI")</f>
        <v>ADELIA NIZMA WARDHANI</v>
      </c>
      <c r="E14" s="67" t="str">
        <f>IFERROR(__xludf.DUMMYFUNCTION("""COMPUTED_VALUE"""),"P")</f>
        <v>P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ht="28.5" customHeight="1">
      <c r="A15" s="66">
        <v>2.0</v>
      </c>
      <c r="B15" s="67">
        <f>IFERROR(__xludf.DUMMYFUNCTION("""COMPUTED_VALUE"""),8076.0)</f>
        <v>8076</v>
      </c>
      <c r="C15" s="68" t="str">
        <f>IFERROR(__xludf.DUMMYFUNCTION("""COMPUTED_VALUE"""),"0081539088")</f>
        <v>0081539088</v>
      </c>
      <c r="D15" s="66" t="str">
        <f>IFERROR(__xludf.DUMMYFUNCTION("""COMPUTED_VALUE"""),"ALVINA AMALIA SUBHAN")</f>
        <v>ALVINA AMALIA SUBHAN</v>
      </c>
      <c r="E15" s="67" t="str">
        <f>IFERROR(__xludf.DUMMYFUNCTION("""COMPUTED_VALUE"""),"P")</f>
        <v>P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</row>
    <row r="16" ht="28.5" customHeight="1">
      <c r="A16" s="66">
        <v>3.0</v>
      </c>
      <c r="B16" s="67">
        <f>IFERROR(__xludf.DUMMYFUNCTION("""COMPUTED_VALUE"""),8082.0)</f>
        <v>8082</v>
      </c>
      <c r="C16" s="68" t="str">
        <f>IFERROR(__xludf.DUMMYFUNCTION("""COMPUTED_VALUE"""),"0088804628")</f>
        <v>0088804628</v>
      </c>
      <c r="D16" s="66" t="str">
        <f>IFERROR(__xludf.DUMMYFUNCTION("""COMPUTED_VALUE"""),"ALZENA AYU NABILA HAKIM")</f>
        <v>ALZENA AYU NABILA HAKIM</v>
      </c>
      <c r="E16" s="67" t="str">
        <f>IFERROR(__xludf.DUMMYFUNCTION("""COMPUTED_VALUE"""),"P")</f>
        <v>P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ht="28.5" customHeight="1">
      <c r="A17" s="66">
        <v>4.0</v>
      </c>
      <c r="B17" s="67">
        <f>IFERROR(__xludf.DUMMYFUNCTION("""COMPUTED_VALUE"""),8097.0)</f>
        <v>8097</v>
      </c>
      <c r="C17" s="68" t="str">
        <f>IFERROR(__xludf.DUMMYFUNCTION("""COMPUTED_VALUE"""),"0079985645")</f>
        <v>0079985645</v>
      </c>
      <c r="D17" s="66" t="str">
        <f>IFERROR(__xludf.DUMMYFUNCTION("""COMPUTED_VALUE"""),"ANGGITA DWI PUSPITANINGRUM")</f>
        <v>ANGGITA DWI PUSPITANINGRUM</v>
      </c>
      <c r="E17" s="67" t="str">
        <f>IFERROR(__xludf.DUMMYFUNCTION("""COMPUTED_VALUE"""),"P")</f>
        <v>P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  <row r="18" ht="28.5" customHeight="1">
      <c r="A18" s="66">
        <v>5.0</v>
      </c>
      <c r="B18" s="67">
        <f>IFERROR(__xludf.DUMMYFUNCTION("""COMPUTED_VALUE"""),8102.0)</f>
        <v>8102</v>
      </c>
      <c r="C18" s="68" t="str">
        <f>IFERROR(__xludf.DUMMYFUNCTION("""COMPUTED_VALUE"""),"0079739922")</f>
        <v>0079739922</v>
      </c>
      <c r="D18" s="66" t="str">
        <f>IFERROR(__xludf.DUMMYFUNCTION("""COMPUTED_VALUE"""),"ANNISA NAILATUL IZZAH")</f>
        <v>ANNISA NAILATUL IZZAH</v>
      </c>
      <c r="E18" s="67" t="str">
        <f>IFERROR(__xludf.DUMMYFUNCTION("""COMPUTED_VALUE"""),"P")</f>
        <v>P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ht="28.5" customHeight="1">
      <c r="A19" s="66">
        <v>6.0</v>
      </c>
      <c r="B19" s="67">
        <f>IFERROR(__xludf.DUMMYFUNCTION("""COMPUTED_VALUE"""),8120.0)</f>
        <v>8120</v>
      </c>
      <c r="C19" s="68" t="str">
        <f>IFERROR(__xludf.DUMMYFUNCTION("""COMPUTED_VALUE"""),"0088523554")</f>
        <v>0088523554</v>
      </c>
      <c r="D19" s="66" t="str">
        <f>IFERROR(__xludf.DUMMYFUNCTION("""COMPUTED_VALUE"""),"ATHIYA BILQIS AIF GHASSANI")</f>
        <v>ATHIYA BILQIS AIF GHASSANI</v>
      </c>
      <c r="E19" s="67" t="str">
        <f>IFERROR(__xludf.DUMMYFUNCTION("""COMPUTED_VALUE"""),"P")</f>
        <v>P</v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</row>
    <row r="20" ht="28.5" customHeight="1">
      <c r="A20" s="66">
        <v>7.0</v>
      </c>
      <c r="B20" s="67">
        <f>IFERROR(__xludf.DUMMYFUNCTION("""COMPUTED_VALUE"""),8125.0)</f>
        <v>8125</v>
      </c>
      <c r="C20" s="68" t="str">
        <f>IFERROR(__xludf.DUMMYFUNCTION("""COMPUTED_VALUE"""),"0086121030")</f>
        <v>0086121030</v>
      </c>
      <c r="D20" s="66" t="str">
        <f>IFERROR(__xludf.DUMMYFUNCTION("""COMPUTED_VALUE"""),"AYU CINTIYA NOVITA SARI")</f>
        <v>AYU CINTIYA NOVITA SARI</v>
      </c>
      <c r="E20" s="67" t="str">
        <f>IFERROR(__xludf.DUMMYFUNCTION("""COMPUTED_VALUE"""),"P")</f>
        <v>P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ht="28.5" customHeight="1">
      <c r="A21" s="66">
        <v>8.0</v>
      </c>
      <c r="B21" s="67"/>
      <c r="C21" s="68"/>
      <c r="D21" s="66"/>
      <c r="E21" s="67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</row>
    <row r="22" ht="28.5" customHeight="1">
      <c r="A22" s="66">
        <v>9.0</v>
      </c>
      <c r="B22" s="67"/>
      <c r="C22" s="68"/>
      <c r="D22" s="66"/>
      <c r="E22" s="67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ht="28.5" customHeight="1">
      <c r="A23" s="66">
        <v>10.0</v>
      </c>
      <c r="B23" s="67"/>
      <c r="C23" s="68"/>
      <c r="D23" s="66"/>
      <c r="E23" s="67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</row>
    <row r="24" ht="28.5" customHeight="1">
      <c r="A24" s="66">
        <v>11.0</v>
      </c>
      <c r="B24" s="67"/>
      <c r="C24" s="68"/>
      <c r="D24" s="66"/>
      <c r="E24" s="67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</row>
    <row r="25" ht="28.5" customHeight="1">
      <c r="A25" s="66">
        <v>12.0</v>
      </c>
      <c r="B25" s="67"/>
      <c r="C25" s="68"/>
      <c r="D25" s="66"/>
      <c r="E25" s="67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</row>
    <row r="26" ht="28.5" customHeight="1">
      <c r="A26" s="66">
        <v>13.0</v>
      </c>
      <c r="B26" s="67"/>
      <c r="C26" s="68"/>
      <c r="D26" s="66"/>
      <c r="E26" s="67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</row>
    <row r="27" ht="28.5" customHeight="1">
      <c r="A27" s="66">
        <v>14.0</v>
      </c>
      <c r="B27" s="67"/>
      <c r="C27" s="68"/>
      <c r="D27" s="66"/>
      <c r="E27" s="67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</row>
    <row r="28" ht="28.5" customHeight="1">
      <c r="A28" s="66">
        <v>15.0</v>
      </c>
      <c r="B28" s="67"/>
      <c r="C28" s="68"/>
      <c r="D28" s="66"/>
      <c r="E28" s="67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</row>
    <row r="29" ht="28.5" customHeight="1">
      <c r="A29" s="66">
        <v>16.0</v>
      </c>
      <c r="B29" s="67"/>
      <c r="C29" s="68"/>
      <c r="D29" s="66"/>
      <c r="E29" s="67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</row>
    <row r="30" ht="28.5" customHeight="1">
      <c r="A30" s="66">
        <v>17.0</v>
      </c>
      <c r="B30" s="67"/>
      <c r="C30" s="68"/>
      <c r="D30" s="66"/>
      <c r="E30" s="67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</row>
    <row r="31" ht="28.5" customHeight="1">
      <c r="A31" s="66">
        <v>18.0</v>
      </c>
      <c r="B31" s="67"/>
      <c r="C31" s="68"/>
      <c r="D31" s="66"/>
      <c r="E31" s="67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</row>
    <row r="32" ht="28.5" customHeight="1">
      <c r="A32" s="66">
        <v>19.0</v>
      </c>
      <c r="B32" s="67"/>
      <c r="C32" s="68"/>
      <c r="D32" s="66"/>
      <c r="E32" s="67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</row>
    <row r="33" ht="28.5" customHeight="1">
      <c r="A33" s="66">
        <v>20.0</v>
      </c>
      <c r="B33" s="67"/>
      <c r="C33" s="68"/>
      <c r="D33" s="66"/>
      <c r="E33" s="67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</row>
    <row r="34" ht="28.5" customHeight="1">
      <c r="A34" s="66">
        <v>21.0</v>
      </c>
      <c r="B34" s="67"/>
      <c r="C34" s="68"/>
      <c r="D34" s="66"/>
      <c r="E34" s="67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</row>
    <row r="35" ht="28.5" customHeight="1">
      <c r="A35" s="66">
        <v>22.0</v>
      </c>
      <c r="B35" s="67"/>
      <c r="C35" s="68"/>
      <c r="D35" s="66"/>
      <c r="E35" s="67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</row>
    <row r="36" ht="28.5" customHeight="1">
      <c r="A36" s="66">
        <v>23.0</v>
      </c>
      <c r="B36" s="67"/>
      <c r="C36" s="68"/>
      <c r="D36" s="66"/>
      <c r="E36" s="67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</row>
    <row r="37" ht="28.5" customHeight="1">
      <c r="A37" s="66">
        <v>24.0</v>
      </c>
      <c r="B37" s="67"/>
      <c r="C37" s="68"/>
      <c r="D37" s="66"/>
      <c r="E37" s="67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</row>
    <row r="38" ht="28.5" customHeight="1">
      <c r="A38" s="66">
        <v>25.0</v>
      </c>
      <c r="B38" s="67"/>
      <c r="C38" s="68"/>
      <c r="D38" s="66"/>
      <c r="E38" s="67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</row>
    <row r="39" ht="28.5" customHeight="1">
      <c r="A39" s="66">
        <v>26.0</v>
      </c>
      <c r="B39" s="67"/>
      <c r="C39" s="68"/>
      <c r="D39" s="66"/>
      <c r="E39" s="67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</row>
    <row r="40" ht="28.5" customHeight="1">
      <c r="A40" s="66">
        <v>27.0</v>
      </c>
      <c r="B40" s="67"/>
      <c r="C40" s="68"/>
      <c r="D40" s="66"/>
      <c r="E40" s="67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</row>
    <row r="41" ht="28.5" customHeight="1">
      <c r="A41" s="66">
        <v>28.0</v>
      </c>
      <c r="B41" s="67"/>
      <c r="C41" s="68"/>
      <c r="D41" s="66"/>
      <c r="E41" s="67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</row>
    <row r="42" ht="28.5" customHeight="1">
      <c r="A42" s="66">
        <v>29.0</v>
      </c>
      <c r="B42" s="67"/>
      <c r="C42" s="68"/>
      <c r="D42" s="66"/>
      <c r="E42" s="67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</row>
    <row r="43" ht="28.5" customHeight="1">
      <c r="A43" s="66">
        <v>30.0</v>
      </c>
      <c r="B43" s="67"/>
      <c r="C43" s="68"/>
      <c r="D43" s="66"/>
      <c r="E43" s="67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</row>
    <row r="44" ht="28.5" customHeight="1">
      <c r="A44" s="66">
        <v>31.0</v>
      </c>
      <c r="B44" s="67"/>
      <c r="C44" s="68"/>
      <c r="D44" s="66"/>
      <c r="E44" s="67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</row>
    <row r="45" ht="28.5" customHeight="1">
      <c r="A45" s="66">
        <v>32.0</v>
      </c>
      <c r="B45" s="67"/>
      <c r="C45" s="68"/>
      <c r="D45" s="66"/>
      <c r="E45" s="67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</row>
    <row r="46" ht="28.5" customHeight="1">
      <c r="A46" s="66">
        <v>33.0</v>
      </c>
      <c r="B46" s="67"/>
      <c r="C46" s="68"/>
      <c r="D46" s="66"/>
      <c r="E46" s="67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</row>
    <row r="47" ht="28.5" customHeight="1">
      <c r="A47" s="66">
        <v>34.0</v>
      </c>
      <c r="B47" s="67"/>
      <c r="C47" s="68"/>
      <c r="D47" s="66"/>
      <c r="E47" s="67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</row>
    <row r="48" ht="28.5" customHeight="1">
      <c r="A48" s="66">
        <v>35.0</v>
      </c>
      <c r="B48" s="67"/>
      <c r="C48" s="68"/>
      <c r="D48" s="66"/>
      <c r="E48" s="67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</row>
    <row r="49" ht="28.5" customHeight="1">
      <c r="A49" s="66">
        <v>36.0</v>
      </c>
      <c r="B49" s="67"/>
      <c r="C49" s="68"/>
      <c r="D49" s="66"/>
      <c r="E49" s="67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>
      <c r="A51" s="44"/>
      <c r="B51" s="44"/>
      <c r="C51" s="44"/>
      <c r="D51" s="44" t="s">
        <v>10300</v>
      </c>
      <c r="E51" s="44">
        <f>COUNTIF($E$14:$E$49,"L")</f>
        <v>0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>
      <c r="A52" s="44"/>
      <c r="B52" s="44"/>
      <c r="C52" s="44"/>
      <c r="D52" s="44" t="s">
        <v>10301</v>
      </c>
      <c r="E52" s="44">
        <f>COUNTIF($E$14:$E$49,"P")</f>
        <v>7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 t="s">
        <v>10302</v>
      </c>
      <c r="P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 t="s">
        <v>10303</v>
      </c>
      <c r="P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61"/>
      <c r="M59" s="62"/>
      <c r="N59" s="62"/>
      <c r="O59" s="62"/>
      <c r="P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63" t="s">
        <v>10304</v>
      </c>
      <c r="M60" s="64"/>
      <c r="N60" s="64"/>
      <c r="O60" s="64"/>
      <c r="P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</sheetData>
  <mergeCells count="13">
    <mergeCell ref="D9:J9"/>
    <mergeCell ref="N11:O11"/>
    <mergeCell ref="L53:O53"/>
    <mergeCell ref="L54:O54"/>
    <mergeCell ref="L59:O59"/>
    <mergeCell ref="L60:O60"/>
    <mergeCell ref="D1:J1"/>
    <mergeCell ref="D2:J2"/>
    <mergeCell ref="D3:J3"/>
    <mergeCell ref="D4:J4"/>
    <mergeCell ref="D5:J5"/>
    <mergeCell ref="D7:J7"/>
    <mergeCell ref="D8:J8"/>
  </mergeCells>
  <dataValidations>
    <dataValidation type="list" allowBlank="1" showErrorMessage="1" sqref="N11">
      <formula1>MasterData!$G2:$G1995</formula1>
    </dataValidation>
  </dataValidation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32.89"/>
  </cols>
  <sheetData>
    <row r="1">
      <c r="A1" s="3" t="s">
        <v>10318</v>
      </c>
      <c r="B1" s="3" t="s">
        <v>10319</v>
      </c>
    </row>
    <row r="2">
      <c r="A2" s="5" t="s">
        <v>10320</v>
      </c>
      <c r="B2" s="3" t="s">
        <v>10321</v>
      </c>
    </row>
    <row r="3">
      <c r="A3" s="5" t="s">
        <v>10322</v>
      </c>
      <c r="B3" s="3" t="s">
        <v>10323</v>
      </c>
    </row>
    <row r="4">
      <c r="A4" s="5" t="s">
        <v>10324</v>
      </c>
      <c r="B4" s="3" t="s">
        <v>10325</v>
      </c>
    </row>
    <row r="5">
      <c r="A5" s="5" t="s">
        <v>10326</v>
      </c>
      <c r="B5" s="3" t="s">
        <v>10327</v>
      </c>
    </row>
    <row r="6">
      <c r="A6" s="8" t="s">
        <v>10328</v>
      </c>
      <c r="B6" s="3" t="s">
        <v>10329</v>
      </c>
    </row>
    <row r="7">
      <c r="A7" s="8" t="s">
        <v>10330</v>
      </c>
      <c r="B7" s="3" t="s">
        <v>10331</v>
      </c>
    </row>
    <row r="8">
      <c r="A8" s="5" t="s">
        <v>10332</v>
      </c>
      <c r="B8" s="3" t="s">
        <v>10333</v>
      </c>
    </row>
    <row r="9">
      <c r="A9" s="5" t="s">
        <v>10334</v>
      </c>
      <c r="B9" s="3" t="s">
        <v>10335</v>
      </c>
    </row>
    <row r="10">
      <c r="A10" s="5" t="s">
        <v>10336</v>
      </c>
      <c r="B10" s="3" t="s">
        <v>10337</v>
      </c>
    </row>
    <row r="11">
      <c r="A11" s="5" t="s">
        <v>10338</v>
      </c>
      <c r="B11" s="3" t="s">
        <v>10339</v>
      </c>
    </row>
    <row r="12">
      <c r="A12" s="5" t="s">
        <v>10340</v>
      </c>
      <c r="B12" s="3" t="s">
        <v>10341</v>
      </c>
    </row>
    <row r="13">
      <c r="A13" s="5" t="s">
        <v>10342</v>
      </c>
      <c r="B13" s="3" t="s">
        <v>10343</v>
      </c>
    </row>
    <row r="14">
      <c r="A14" s="5" t="s">
        <v>10344</v>
      </c>
      <c r="B14" s="3" t="s">
        <v>10345</v>
      </c>
    </row>
    <row r="15">
      <c r="A15" s="5" t="s">
        <v>10346</v>
      </c>
      <c r="B15" s="3" t="s">
        <v>10347</v>
      </c>
    </row>
    <row r="16">
      <c r="A16" s="5" t="s">
        <v>10307</v>
      </c>
      <c r="B16" s="5" t="s">
        <v>10348</v>
      </c>
    </row>
    <row r="17">
      <c r="A17" s="5" t="s">
        <v>10349</v>
      </c>
      <c r="B17" s="3" t="s">
        <v>10350</v>
      </c>
    </row>
    <row r="18">
      <c r="A18" s="5" t="s">
        <v>10351</v>
      </c>
      <c r="B18" s="3" t="s">
        <v>10352</v>
      </c>
    </row>
    <row r="19">
      <c r="A19" s="5" t="s">
        <v>10353</v>
      </c>
      <c r="B19" s="3" t="s">
        <v>10354</v>
      </c>
    </row>
    <row r="20">
      <c r="A20" s="5" t="s">
        <v>10355</v>
      </c>
      <c r="B20" s="3" t="s">
        <v>10356</v>
      </c>
    </row>
    <row r="21">
      <c r="A21" s="5" t="s">
        <v>10357</v>
      </c>
      <c r="B21" s="3" t="s">
        <v>10358</v>
      </c>
    </row>
    <row r="22">
      <c r="A22" s="5" t="s">
        <v>10359</v>
      </c>
      <c r="B22" s="3" t="s">
        <v>10360</v>
      </c>
    </row>
    <row r="23">
      <c r="A23" s="5" t="s">
        <v>10361</v>
      </c>
      <c r="B23" s="3" t="s">
        <v>10362</v>
      </c>
    </row>
    <row r="24">
      <c r="A24" s="5" t="s">
        <v>10363</v>
      </c>
      <c r="B24" s="3" t="s">
        <v>10364</v>
      </c>
    </row>
    <row r="25">
      <c r="A25" s="5" t="s">
        <v>10365</v>
      </c>
      <c r="B25" s="3" t="s">
        <v>10366</v>
      </c>
    </row>
    <row r="26">
      <c r="A26" s="5" t="s">
        <v>10367</v>
      </c>
      <c r="B26" s="3" t="s">
        <v>10368</v>
      </c>
    </row>
    <row r="27">
      <c r="A27" s="5" t="s">
        <v>10369</v>
      </c>
      <c r="B27" s="3" t="s">
        <v>10370</v>
      </c>
    </row>
    <row r="28">
      <c r="A28" s="5" t="s">
        <v>10371</v>
      </c>
      <c r="B28" s="3" t="s">
        <v>10372</v>
      </c>
    </row>
    <row r="29">
      <c r="A29" s="5" t="s">
        <v>10373</v>
      </c>
      <c r="B29" s="3" t="s">
        <v>10374</v>
      </c>
    </row>
    <row r="30">
      <c r="A30" s="5" t="s">
        <v>10375</v>
      </c>
      <c r="B30" s="3" t="s">
        <v>10376</v>
      </c>
    </row>
    <row r="31">
      <c r="A31" s="5" t="s">
        <v>10377</v>
      </c>
      <c r="B31" s="3" t="s">
        <v>10378</v>
      </c>
    </row>
    <row r="32">
      <c r="A32" s="5" t="s">
        <v>10379</v>
      </c>
      <c r="B32" s="3" t="s">
        <v>10380</v>
      </c>
    </row>
    <row r="33">
      <c r="A33" s="5" t="s">
        <v>10381</v>
      </c>
      <c r="B33" s="3" t="s">
        <v>10382</v>
      </c>
    </row>
    <row r="34">
      <c r="A34" s="5" t="s">
        <v>10383</v>
      </c>
      <c r="B34" s="3" t="s">
        <v>10384</v>
      </c>
    </row>
    <row r="35">
      <c r="A35" s="5" t="s">
        <v>10385</v>
      </c>
      <c r="B35" s="3" t="s">
        <v>10386</v>
      </c>
    </row>
    <row r="36">
      <c r="A36" s="5" t="s">
        <v>10387</v>
      </c>
      <c r="B36" s="3" t="s">
        <v>10388</v>
      </c>
    </row>
    <row r="37">
      <c r="A37" s="5" t="s">
        <v>10389</v>
      </c>
      <c r="B37" s="3" t="s">
        <v>10390</v>
      </c>
    </row>
    <row r="38">
      <c r="A38" s="5" t="s">
        <v>10391</v>
      </c>
      <c r="B38" s="3" t="s">
        <v>10392</v>
      </c>
    </row>
    <row r="39">
      <c r="A39" s="5" t="s">
        <v>10393</v>
      </c>
      <c r="B39" s="3" t="s">
        <v>10394</v>
      </c>
    </row>
    <row r="40">
      <c r="A40" s="5" t="s">
        <v>10395</v>
      </c>
      <c r="B40" s="3" t="s">
        <v>10396</v>
      </c>
    </row>
    <row r="41">
      <c r="A41" s="5" t="s">
        <v>10397</v>
      </c>
      <c r="B41" s="3" t="s">
        <v>10398</v>
      </c>
    </row>
    <row r="42">
      <c r="A42" s="8" t="s">
        <v>10399</v>
      </c>
      <c r="B42" s="3" t="s">
        <v>10400</v>
      </c>
    </row>
    <row r="43">
      <c r="A43" s="8" t="s">
        <v>10401</v>
      </c>
      <c r="B43" s="3" t="s">
        <v>10402</v>
      </c>
    </row>
    <row r="44">
      <c r="A44" s="5" t="s">
        <v>10403</v>
      </c>
      <c r="B44" s="3" t="s">
        <v>10404</v>
      </c>
    </row>
    <row r="45">
      <c r="A45" s="5" t="s">
        <v>10405</v>
      </c>
      <c r="B45" s="3" t="s">
        <v>10406</v>
      </c>
    </row>
    <row r="46">
      <c r="A46" s="5" t="s">
        <v>10407</v>
      </c>
      <c r="B46" s="3" t="s">
        <v>10408</v>
      </c>
    </row>
    <row r="47">
      <c r="A47" s="8" t="s">
        <v>10409</v>
      </c>
      <c r="B47" s="3" t="s">
        <v>10410</v>
      </c>
    </row>
    <row r="48">
      <c r="A48" s="8" t="s">
        <v>10411</v>
      </c>
      <c r="B48" s="3" t="s">
        <v>10412</v>
      </c>
    </row>
    <row r="49">
      <c r="A49" s="8" t="s">
        <v>10294</v>
      </c>
      <c r="B49" s="8" t="s">
        <v>10413</v>
      </c>
    </row>
    <row r="50">
      <c r="A50" s="8" t="s">
        <v>10414</v>
      </c>
      <c r="B50" s="3" t="s">
        <v>10415</v>
      </c>
    </row>
    <row r="51">
      <c r="A51" s="5" t="s">
        <v>10416</v>
      </c>
      <c r="B51" s="3" t="s">
        <v>10417</v>
      </c>
    </row>
    <row r="52">
      <c r="A52" s="5" t="s">
        <v>10418</v>
      </c>
      <c r="B52" s="3" t="s">
        <v>10419</v>
      </c>
    </row>
    <row r="53">
      <c r="B53" s="3" t="s">
        <v>10420</v>
      </c>
    </row>
    <row r="54">
      <c r="B54" s="3" t="s">
        <v>10421</v>
      </c>
    </row>
    <row r="55">
      <c r="B55" s="3" t="s">
        <v>10422</v>
      </c>
    </row>
    <row r="56">
      <c r="B56" s="3" t="s">
        <v>10423</v>
      </c>
    </row>
    <row r="57">
      <c r="B57" s="3" t="s">
        <v>10424</v>
      </c>
    </row>
    <row r="58">
      <c r="B58" s="3" t="s">
        <v>10425</v>
      </c>
    </row>
    <row r="59">
      <c r="B59" s="3" t="s">
        <v>10426</v>
      </c>
    </row>
    <row r="60">
      <c r="B60" s="3" t="s">
        <v>10427</v>
      </c>
    </row>
    <row r="61">
      <c r="B61" s="3" t="s">
        <v>10428</v>
      </c>
    </row>
    <row r="62">
      <c r="B62" s="3" t="s">
        <v>10429</v>
      </c>
    </row>
    <row r="63">
      <c r="A63" s="3"/>
      <c r="B63" s="3" t="s">
        <v>10430</v>
      </c>
    </row>
    <row r="64">
      <c r="B64" s="3" t="s">
        <v>10431</v>
      </c>
    </row>
    <row r="65">
      <c r="B65" s="3" t="s">
        <v>10432</v>
      </c>
    </row>
    <row r="66">
      <c r="B66" s="3" t="s">
        <v>10433</v>
      </c>
    </row>
    <row r="67">
      <c r="B67" s="3" t="s">
        <v>10434</v>
      </c>
    </row>
    <row r="68">
      <c r="B68" s="3" t="s">
        <v>10435</v>
      </c>
    </row>
    <row r="69">
      <c r="B69" s="3" t="s">
        <v>10436</v>
      </c>
    </row>
    <row r="70">
      <c r="B70" s="3" t="s">
        <v>10437</v>
      </c>
    </row>
    <row r="71">
      <c r="B71" s="3" t="s">
        <v>10438</v>
      </c>
    </row>
    <row r="72">
      <c r="B72" s="3" t="s">
        <v>10439</v>
      </c>
    </row>
    <row r="73">
      <c r="B73" s="3" t="s">
        <v>10440</v>
      </c>
    </row>
    <row r="74">
      <c r="B74" s="3" t="s">
        <v>10441</v>
      </c>
    </row>
    <row r="75">
      <c r="B75" s="3" t="s">
        <v>10442</v>
      </c>
    </row>
    <row r="76">
      <c r="B76" s="3" t="s">
        <v>10443</v>
      </c>
    </row>
    <row r="77">
      <c r="B77" s="3" t="s">
        <v>10444</v>
      </c>
    </row>
    <row r="78">
      <c r="B78" s="3" t="s">
        <v>10445</v>
      </c>
    </row>
    <row r="79">
      <c r="B79" s="3" t="s">
        <v>10446</v>
      </c>
    </row>
    <row r="80">
      <c r="B80" s="3" t="s">
        <v>10447</v>
      </c>
    </row>
    <row r="81">
      <c r="B81" s="3" t="s">
        <v>10448</v>
      </c>
    </row>
    <row r="82">
      <c r="A82" s="3"/>
      <c r="B82" s="3" t="s">
        <v>10449</v>
      </c>
    </row>
    <row r="83">
      <c r="A83" s="3"/>
      <c r="B83" s="3" t="s">
        <v>10450</v>
      </c>
    </row>
    <row r="84">
      <c r="A84" s="3"/>
      <c r="B84" s="3" t="s">
        <v>10451</v>
      </c>
    </row>
    <row r="85">
      <c r="B85" s="3" t="s">
        <v>10452</v>
      </c>
    </row>
    <row r="86">
      <c r="B86" s="3" t="s">
        <v>10453</v>
      </c>
    </row>
  </sheetData>
  <autoFilter ref="$A$1:$Y$86">
    <sortState ref="A1:Y86">
      <sortCondition ref="A1:A86"/>
      <sortCondition ref="B1:B86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2024-06-30T22:52:40Z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